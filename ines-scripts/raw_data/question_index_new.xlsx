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C:\Users\adi\OneDrive\Desktop\לימודים\מדעי המדינה\תואר שני\עוזר מחקר\INES\"/>
    </mc:Choice>
  </mc:AlternateContent>
  <xr:revisionPtr revIDLastSave="0" documentId="13_ncr:2001_{EA1F4DB1-E114-45EB-95C7-BEA1C8653094}" xr6:coauthVersionLast="47" xr6:coauthVersionMax="47" xr10:uidLastSave="{00000000-0000-0000-0000-000000000000}"/>
  <bookViews>
    <workbookView xWindow="-110" yWindow="-110" windowWidth="19420" windowHeight="10300" tabRatio="995" activeTab="3" xr2:uid="{270DBEFA-2A01-4AE1-A3A4-9752F577362B}"/>
  </bookViews>
  <sheets>
    <sheet name="הערות כלליות" sheetId="25" r:id="rId1"/>
    <sheet name="איחוד שאלות" sheetId="24" r:id="rId2"/>
    <sheet name="סופי סופי" sheetId="26" r:id="rId3"/>
    <sheet name="דמוגרפיה" sheetId="1" r:id="rId4"/>
    <sheet name="ישראל כללי" sheetId="2" r:id="rId5"/>
    <sheet name="עניין פוליטי" sheetId="20" r:id="rId6"/>
    <sheet name="ימין-שמאל" sheetId="12" r:id="rId7"/>
    <sheet name="זיקה רגשית" sheetId="14" r:id="rId8"/>
    <sheet name="תכונות" sheetId="17" r:id="rId9"/>
    <sheet name="הצבעה" sheetId="10" r:id="rId10"/>
    <sheet name="ציפיות" sheetId="18" r:id="rId11"/>
    <sheet name="סוגיות" sheetId="19" r:id="rId12"/>
    <sheet name="כלכלה-חברה" sheetId="7" r:id="rId13"/>
    <sheet name="דת ומדינה" sheetId="8" r:id="rId14"/>
    <sheet name="חוץ וביטחון" sheetId="9" r:id="rId15"/>
    <sheet name="שלום" sheetId="3" r:id="rId16"/>
    <sheet name="דמוקרטיה" sheetId="11" r:id="rId17"/>
    <sheet name="תקשורת" sheetId="13" r:id="rId18"/>
    <sheet name="ידע כללי" sheetId="15" r:id="rId19"/>
    <sheet name="מגדר" sheetId="16" r:id="rId20"/>
    <sheet name="ייצוגיות" sheetId="6" r:id="rId21"/>
    <sheet name="שחיתות" sheetId="5" r:id="rId22"/>
    <sheet name="ערבים בלבד" sheetId="4" r:id="rId23"/>
  </sheets>
  <definedNames>
    <definedName name="_xlnm._FilterDatabase" localSheetId="1" hidden="1">'איחוד שאלות'!$H$1:$N$1789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3" i="24" l="1" a="1"/>
  <c r="C553" i="24" s="1"/>
  <c r="C523" i="24" a="1"/>
  <c r="C523" i="24" s="1"/>
  <c r="C524" i="24" a="1"/>
  <c r="C524" i="24" s="1"/>
  <c r="C428" i="24" a="1"/>
  <c r="C428" i="24" s="1"/>
  <c r="C285" i="24" a="1"/>
  <c r="C285" i="24" s="1"/>
  <c r="C286" i="24" a="1"/>
  <c r="C286" i="24" s="1"/>
  <c r="C287" i="24" a="1"/>
  <c r="C287" i="24" s="1"/>
  <c r="C288" i="24" a="1"/>
  <c r="C288" i="24" s="1"/>
  <c r="C289" i="24" a="1"/>
  <c r="C289" i="24" s="1"/>
  <c r="C290" i="24" a="1"/>
  <c r="C290" i="24" s="1"/>
  <c r="C291" i="24" a="1"/>
  <c r="C291" i="24" s="1"/>
  <c r="C292" i="24" a="1"/>
  <c r="C292" i="24" s="1"/>
  <c r="C293" i="24" a="1"/>
  <c r="C293" i="24" s="1"/>
  <c r="C294" i="24" a="1"/>
  <c r="C294" i="24" s="1"/>
  <c r="C295" i="24" a="1"/>
  <c r="C295" i="24" s="1"/>
  <c r="C296" i="24" a="1"/>
  <c r="C296" i="24" s="1"/>
  <c r="C297" i="24" a="1"/>
  <c r="C297" i="24" s="1"/>
  <c r="C298" i="24" a="1"/>
  <c r="C298" i="24" s="1"/>
  <c r="C299" i="24" a="1"/>
  <c r="C299" i="24" s="1"/>
  <c r="C300" i="24" a="1"/>
  <c r="C300" i="24" s="1"/>
  <c r="C301" i="24" a="1"/>
  <c r="C301" i="24" s="1"/>
  <c r="C302" i="24" a="1"/>
  <c r="C302" i="24" s="1"/>
  <c r="C303" i="24" a="1"/>
  <c r="C303" i="24" s="1"/>
  <c r="C304" i="24" a="1"/>
  <c r="C304" i="24" s="1"/>
  <c r="C305" i="24" a="1"/>
  <c r="C305" i="24" s="1"/>
  <c r="C306" i="24" a="1"/>
  <c r="C306" i="24" s="1"/>
  <c r="C307" i="24" a="1"/>
  <c r="C307" i="24" s="1"/>
  <c r="C308" i="24" a="1"/>
  <c r="C308" i="24" s="1"/>
  <c r="C309" i="24" a="1"/>
  <c r="C309" i="24" s="1"/>
  <c r="C310" i="24" a="1"/>
  <c r="C310" i="24" s="1"/>
  <c r="C311" i="24" a="1"/>
  <c r="C311" i="24" s="1"/>
  <c r="C312" i="24" a="1"/>
  <c r="C312" i="24" s="1"/>
  <c r="C313" i="24" a="1"/>
  <c r="C313" i="24" s="1"/>
  <c r="C314" i="24" a="1"/>
  <c r="C314" i="24" s="1"/>
  <c r="C315" i="24" a="1"/>
  <c r="C315" i="24" s="1"/>
  <c r="C316" i="24" a="1"/>
  <c r="C316" i="24" s="1"/>
  <c r="C317" i="24" a="1"/>
  <c r="C317" i="24" s="1"/>
  <c r="C318" i="24" a="1"/>
  <c r="C318" i="24" s="1"/>
  <c r="C319" i="24" a="1"/>
  <c r="C319" i="24" s="1"/>
  <c r="C320" i="24" a="1"/>
  <c r="C320" i="24" s="1"/>
  <c r="C321" i="24" a="1"/>
  <c r="C321" i="24" s="1"/>
  <c r="C322" i="24" a="1"/>
  <c r="C322" i="24" s="1"/>
  <c r="C323" i="24" a="1"/>
  <c r="C323" i="24" s="1"/>
  <c r="C324" i="24" a="1"/>
  <c r="C324" i="24" s="1"/>
  <c r="C325" i="24" a="1"/>
  <c r="C325" i="24" s="1"/>
  <c r="C326" i="24" a="1"/>
  <c r="C326" i="24" s="1"/>
  <c r="C327" i="24" a="1"/>
  <c r="C327" i="24" s="1"/>
  <c r="C328" i="24" a="1"/>
  <c r="C328" i="24" s="1"/>
  <c r="C329" i="24" a="1"/>
  <c r="C329" i="24" s="1"/>
  <c r="C330" i="24" a="1"/>
  <c r="C330" i="24" s="1"/>
  <c r="C331" i="24" a="1"/>
  <c r="C331" i="24" s="1"/>
  <c r="C332" i="24" a="1"/>
  <c r="C332" i="24" s="1"/>
  <c r="C333" i="24" a="1"/>
  <c r="C333" i="24" s="1"/>
  <c r="C334" i="24" a="1"/>
  <c r="C334" i="24" s="1"/>
  <c r="C335" i="24" a="1"/>
  <c r="C335" i="24" s="1"/>
  <c r="C336" i="24" a="1"/>
  <c r="C336" i="24" s="1"/>
  <c r="C337" i="24" a="1"/>
  <c r="C337" i="24" s="1"/>
  <c r="C338" i="24" a="1"/>
  <c r="C338" i="24" s="1"/>
  <c r="C339" i="24" a="1"/>
  <c r="C339" i="24" s="1"/>
  <c r="C340" i="24" a="1"/>
  <c r="C340" i="24" s="1"/>
  <c r="C341" i="24" a="1"/>
  <c r="C341" i="24" s="1"/>
  <c r="C342" i="24" a="1"/>
  <c r="C342" i="24" s="1"/>
  <c r="C343" i="24" a="1"/>
  <c r="C343" i="24" s="1"/>
  <c r="C344" i="24" a="1"/>
  <c r="C344" i="24" s="1"/>
  <c r="C345" i="24" a="1"/>
  <c r="C345" i="24" s="1"/>
  <c r="C346" i="24" a="1"/>
  <c r="C346" i="24" s="1"/>
  <c r="C347" i="24" a="1"/>
  <c r="C347" i="24" s="1"/>
  <c r="C348" i="24" a="1"/>
  <c r="C348" i="24" s="1"/>
  <c r="C349" i="24" a="1"/>
  <c r="C349" i="24" s="1"/>
  <c r="C350" i="24" a="1"/>
  <c r="C350" i="24" s="1"/>
  <c r="C351" i="24" a="1"/>
  <c r="C351" i="24" s="1"/>
  <c r="C352" i="24" a="1"/>
  <c r="C352" i="24" s="1"/>
  <c r="C353" i="24" a="1"/>
  <c r="C353" i="24" s="1"/>
  <c r="C354" i="24" a="1"/>
  <c r="C354" i="24" s="1"/>
  <c r="C355" i="24" a="1"/>
  <c r="C355" i="24" s="1"/>
  <c r="C356" i="24" a="1"/>
  <c r="C356" i="24" s="1"/>
  <c r="C357" i="24" a="1"/>
  <c r="C357" i="24" s="1"/>
  <c r="C358" i="24" a="1"/>
  <c r="C358" i="24" s="1"/>
  <c r="C359" i="24" a="1"/>
  <c r="C359" i="24" s="1"/>
  <c r="C360" i="24" a="1"/>
  <c r="C360" i="24" s="1"/>
  <c r="C361" i="24" a="1"/>
  <c r="C361" i="24" s="1"/>
  <c r="C362" i="24" a="1"/>
  <c r="C362" i="24" s="1"/>
  <c r="C363" i="24" a="1"/>
  <c r="C363" i="24" s="1"/>
  <c r="C364" i="24" a="1"/>
  <c r="C364" i="24" s="1"/>
  <c r="C365" i="24" a="1"/>
  <c r="C365" i="24" s="1"/>
  <c r="C366" i="24" a="1"/>
  <c r="C366" i="24" s="1"/>
  <c r="C367" i="24" a="1"/>
  <c r="C367" i="24" s="1"/>
  <c r="C368" i="24" a="1"/>
  <c r="C368" i="24" s="1"/>
  <c r="C369" i="24" a="1"/>
  <c r="C369" i="24" s="1"/>
  <c r="C370" i="24" a="1"/>
  <c r="C370" i="24" s="1"/>
  <c r="C371" i="24" a="1"/>
  <c r="C371" i="24" s="1"/>
  <c r="C372" i="24" a="1"/>
  <c r="C372" i="24" s="1"/>
  <c r="C373" i="24" a="1"/>
  <c r="C373" i="24" s="1"/>
  <c r="C374" i="24" a="1"/>
  <c r="C374" i="24" s="1"/>
  <c r="C375" i="24" a="1"/>
  <c r="C375" i="24" s="1"/>
  <c r="C376" i="24" a="1"/>
  <c r="C376" i="24" s="1"/>
  <c r="C377" i="24" a="1"/>
  <c r="C377" i="24" s="1"/>
  <c r="C378" i="24" a="1"/>
  <c r="C378" i="24" s="1"/>
  <c r="C379" i="24" a="1"/>
  <c r="C379" i="24" s="1"/>
  <c r="C380" i="24" a="1"/>
  <c r="C380" i="24" s="1"/>
  <c r="C381" i="24" a="1"/>
  <c r="C381" i="24" s="1"/>
  <c r="C382" i="24" a="1"/>
  <c r="C382" i="24" s="1"/>
  <c r="C383" i="24" a="1"/>
  <c r="C383" i="24" s="1"/>
  <c r="C384" i="24" a="1"/>
  <c r="C384" i="24" s="1"/>
  <c r="C385" i="24" a="1"/>
  <c r="C385" i="24" s="1"/>
  <c r="C386" i="24" a="1"/>
  <c r="C386" i="24" s="1"/>
  <c r="C387" i="24" a="1"/>
  <c r="C387" i="24" s="1"/>
  <c r="C388" i="24" a="1"/>
  <c r="C388" i="24" s="1"/>
  <c r="C389" i="24" a="1"/>
  <c r="C389" i="24" s="1"/>
  <c r="C390" i="24" a="1"/>
  <c r="C390" i="24" s="1"/>
  <c r="C391" i="24" a="1"/>
  <c r="C391" i="24" s="1"/>
  <c r="C392" i="24" a="1"/>
  <c r="C392" i="24" s="1"/>
  <c r="C393" i="24" a="1"/>
  <c r="C393" i="24" s="1"/>
  <c r="C394" i="24" a="1"/>
  <c r="C394" i="24" s="1"/>
  <c r="C395" i="24" a="1"/>
  <c r="C395" i="24" s="1"/>
  <c r="C396" i="24" a="1"/>
  <c r="C396" i="24" s="1"/>
  <c r="C397" i="24" a="1"/>
  <c r="C397" i="24" s="1"/>
  <c r="C398" i="24" a="1"/>
  <c r="C398" i="24" s="1"/>
  <c r="C399" i="24" a="1"/>
  <c r="C399" i="24" s="1"/>
  <c r="C400" i="24" a="1"/>
  <c r="C400" i="24" s="1"/>
  <c r="C401" i="24" a="1"/>
  <c r="C401" i="24" s="1"/>
  <c r="C402" i="24" a="1"/>
  <c r="C402" i="24" s="1"/>
  <c r="C403" i="24" a="1"/>
  <c r="C403" i="24" s="1"/>
  <c r="C404" i="24" a="1"/>
  <c r="C404" i="24" s="1"/>
  <c r="C405" i="24" a="1"/>
  <c r="C405" i="24" s="1"/>
  <c r="C406" i="24" a="1"/>
  <c r="C406" i="24" s="1"/>
  <c r="C407" i="24" a="1"/>
  <c r="C407" i="24" s="1"/>
  <c r="C408" i="24" a="1"/>
  <c r="C408" i="24" s="1"/>
  <c r="C409" i="24" a="1"/>
  <c r="C409" i="24" s="1"/>
  <c r="C410" i="24" a="1"/>
  <c r="C410" i="24" s="1"/>
  <c r="C411" i="24" a="1"/>
  <c r="C411" i="24" s="1"/>
  <c r="C412" i="24" a="1"/>
  <c r="C412" i="24" s="1"/>
  <c r="C413" i="24" a="1"/>
  <c r="C413" i="24" s="1"/>
  <c r="C414" i="24" a="1"/>
  <c r="C414" i="24" s="1"/>
  <c r="C415" i="24" a="1"/>
  <c r="C415" i="24" s="1"/>
  <c r="C416" i="24" a="1"/>
  <c r="C416" i="24" s="1"/>
  <c r="C417" i="24" a="1"/>
  <c r="C417" i="24" s="1"/>
  <c r="C418" i="24" a="1"/>
  <c r="C418" i="24" s="1"/>
  <c r="C419" i="24" a="1"/>
  <c r="C419" i="24" s="1"/>
  <c r="C420" i="24" a="1"/>
  <c r="C420" i="24" s="1"/>
  <c r="C421" i="24" a="1"/>
  <c r="C421" i="24" s="1"/>
  <c r="C422" i="24" a="1"/>
  <c r="C422" i="24" s="1"/>
  <c r="C423" i="24" a="1"/>
  <c r="C423" i="24" s="1"/>
  <c r="C424" i="24" a="1"/>
  <c r="C424" i="24" s="1"/>
  <c r="C425" i="24" a="1"/>
  <c r="C425" i="24" s="1"/>
  <c r="C426" i="24" a="1"/>
  <c r="C426" i="24" s="1"/>
  <c r="C427" i="24" a="1"/>
  <c r="C427" i="24" s="1"/>
  <c r="C429" i="24" a="1"/>
  <c r="C429" i="24" s="1"/>
  <c r="C430" i="24" a="1"/>
  <c r="C430" i="24" s="1"/>
  <c r="C431" i="24" a="1"/>
  <c r="C431" i="24" s="1"/>
  <c r="C432" i="24" a="1"/>
  <c r="C432" i="24" s="1"/>
  <c r="C433" i="24" a="1"/>
  <c r="C433" i="24" s="1"/>
  <c r="C434" i="24" a="1"/>
  <c r="C434" i="24" s="1"/>
  <c r="C435" i="24" a="1"/>
  <c r="C435" i="24" s="1"/>
  <c r="C436" i="24" a="1"/>
  <c r="C436" i="24" s="1"/>
  <c r="C437" i="24" a="1"/>
  <c r="C437" i="24" s="1"/>
  <c r="C438" i="24" a="1"/>
  <c r="C438" i="24" s="1"/>
  <c r="C439" i="24" a="1"/>
  <c r="C439" i="24" s="1"/>
  <c r="C440" i="24" a="1"/>
  <c r="C440" i="24" s="1"/>
  <c r="C441" i="24" a="1"/>
  <c r="C441" i="24" s="1"/>
  <c r="C442" i="24" a="1"/>
  <c r="C442" i="24" s="1"/>
  <c r="C443" i="24" a="1"/>
  <c r="C443" i="24" s="1"/>
  <c r="C444" i="24" a="1"/>
  <c r="C444" i="24" s="1"/>
  <c r="C445" i="24" a="1"/>
  <c r="C445" i="24" s="1"/>
  <c r="C446" i="24" a="1"/>
  <c r="C446" i="24" s="1"/>
  <c r="C447" i="24" a="1"/>
  <c r="C447" i="24" s="1"/>
  <c r="C448" i="24" a="1"/>
  <c r="C448" i="24" s="1"/>
  <c r="C449" i="24" a="1"/>
  <c r="C449" i="24" s="1"/>
  <c r="C450" i="24" a="1"/>
  <c r="C450" i="24" s="1"/>
  <c r="C451" i="24" a="1"/>
  <c r="C451" i="24" s="1"/>
  <c r="C452" i="24" a="1"/>
  <c r="C452" i="24" s="1"/>
  <c r="C453" i="24" a="1"/>
  <c r="C453" i="24" s="1"/>
  <c r="C454" i="24" a="1"/>
  <c r="C454" i="24" s="1"/>
  <c r="C455" i="24" a="1"/>
  <c r="C455" i="24" s="1"/>
  <c r="C456" i="24" a="1"/>
  <c r="C456" i="24" s="1"/>
  <c r="C457" i="24" a="1"/>
  <c r="C457" i="24" s="1"/>
  <c r="C458" i="24" a="1"/>
  <c r="C458" i="24" s="1"/>
  <c r="C459" i="24" a="1"/>
  <c r="C459" i="24" s="1"/>
  <c r="C460" i="24" a="1"/>
  <c r="C460" i="24" s="1"/>
  <c r="C461" i="24" a="1"/>
  <c r="C461" i="24" s="1"/>
  <c r="C462" i="24" a="1"/>
  <c r="C462" i="24" s="1"/>
  <c r="C463" i="24" a="1"/>
  <c r="C463" i="24" s="1"/>
  <c r="C464" i="24" a="1"/>
  <c r="C464" i="24" s="1"/>
  <c r="C465" i="24" a="1"/>
  <c r="C465" i="24" s="1"/>
  <c r="C466" i="24" a="1"/>
  <c r="C466" i="24" s="1"/>
  <c r="C467" i="24" a="1"/>
  <c r="C467" i="24" s="1"/>
  <c r="C468" i="24" a="1"/>
  <c r="C468" i="24" s="1"/>
  <c r="C469" i="24" a="1"/>
  <c r="C469" i="24" s="1"/>
  <c r="C470" i="24" a="1"/>
  <c r="C470" i="24" s="1"/>
  <c r="C471" i="24" a="1"/>
  <c r="C471" i="24" s="1"/>
  <c r="C472" i="24" a="1"/>
  <c r="C472" i="24" s="1"/>
  <c r="C473" i="24" a="1"/>
  <c r="C473" i="24" s="1"/>
  <c r="C474" i="24" a="1"/>
  <c r="C474" i="24" s="1"/>
  <c r="C475" i="24" a="1"/>
  <c r="C475" i="24" s="1"/>
  <c r="C476" i="24" a="1"/>
  <c r="C476" i="24" s="1"/>
  <c r="C477" i="24" a="1"/>
  <c r="C477" i="24" s="1"/>
  <c r="C478" i="24" a="1"/>
  <c r="C478" i="24" s="1"/>
  <c r="C479" i="24" a="1"/>
  <c r="C479" i="24" s="1"/>
  <c r="C480" i="24" a="1"/>
  <c r="C480" i="24" s="1"/>
  <c r="C481" i="24" a="1"/>
  <c r="C481" i="24" s="1"/>
  <c r="C482" i="24" a="1"/>
  <c r="C482" i="24" s="1"/>
  <c r="C483" i="24" a="1"/>
  <c r="C483" i="24" s="1"/>
  <c r="C484" i="24" a="1"/>
  <c r="C484" i="24" s="1"/>
  <c r="C485" i="24" a="1"/>
  <c r="C485" i="24" s="1"/>
  <c r="C486" i="24" a="1"/>
  <c r="C486" i="24" s="1"/>
  <c r="C487" i="24" a="1"/>
  <c r="C487" i="24" s="1"/>
  <c r="C488" i="24" a="1"/>
  <c r="C488" i="24" s="1"/>
  <c r="C489" i="24" a="1"/>
  <c r="C489" i="24" s="1"/>
  <c r="C490" i="24" a="1"/>
  <c r="C490" i="24" s="1"/>
  <c r="C491" i="24" a="1"/>
  <c r="C491" i="24" s="1"/>
  <c r="C492" i="24" a="1"/>
  <c r="C492" i="24" s="1"/>
  <c r="C493" i="24" a="1"/>
  <c r="C493" i="24" s="1"/>
  <c r="C494" i="24" a="1"/>
  <c r="C494" i="24" s="1"/>
  <c r="C495" i="24" a="1"/>
  <c r="C495" i="24" s="1"/>
  <c r="C496" i="24" a="1"/>
  <c r="C496" i="24" s="1"/>
  <c r="C497" i="24" a="1"/>
  <c r="C497" i="24" s="1"/>
  <c r="C498" i="24" a="1"/>
  <c r="C498" i="24" s="1"/>
  <c r="C499" i="24" a="1"/>
  <c r="C499" i="24" s="1"/>
  <c r="C500" i="24" a="1"/>
  <c r="C500" i="24" s="1"/>
  <c r="C501" i="24" a="1"/>
  <c r="C501" i="24" s="1"/>
  <c r="C502" i="24" a="1"/>
  <c r="C502" i="24" s="1"/>
  <c r="C503" i="24" a="1"/>
  <c r="C503" i="24" s="1"/>
  <c r="C504" i="24" a="1"/>
  <c r="C504" i="24" s="1"/>
  <c r="C505" i="24" a="1"/>
  <c r="C505" i="24" s="1"/>
  <c r="C506" i="24" a="1"/>
  <c r="C506" i="24" s="1"/>
  <c r="C507" i="24" a="1"/>
  <c r="C507" i="24" s="1"/>
  <c r="C508" i="24" a="1"/>
  <c r="C508" i="24" s="1"/>
  <c r="C509" i="24" a="1"/>
  <c r="C509" i="24" s="1"/>
  <c r="C510" i="24" a="1"/>
  <c r="C510" i="24" s="1"/>
  <c r="C511" i="24" a="1"/>
  <c r="C511" i="24" s="1"/>
  <c r="C512" i="24" a="1"/>
  <c r="C512" i="24" s="1"/>
  <c r="C513" i="24" a="1"/>
  <c r="C513" i="24" s="1"/>
  <c r="C514" i="24" a="1"/>
  <c r="C514" i="24" s="1"/>
  <c r="C515" i="24" a="1"/>
  <c r="C515" i="24" s="1"/>
  <c r="C516" i="24" a="1"/>
  <c r="C516" i="24" s="1"/>
  <c r="C517" i="24" a="1"/>
  <c r="C517" i="24" s="1"/>
  <c r="C518" i="24" a="1"/>
  <c r="C518" i="24" s="1"/>
  <c r="C519" i="24" a="1"/>
  <c r="C519" i="24" s="1"/>
  <c r="C520" i="24" a="1"/>
  <c r="C520" i="24" s="1"/>
  <c r="C521" i="24" a="1"/>
  <c r="C521" i="24" s="1"/>
  <c r="C522" i="24" a="1"/>
  <c r="C522" i="24" s="1"/>
  <c r="C525" i="24" a="1"/>
  <c r="C525" i="24" s="1"/>
  <c r="C526" i="24" a="1"/>
  <c r="C526" i="24" s="1"/>
  <c r="C527" i="24" a="1"/>
  <c r="C527" i="24" s="1"/>
  <c r="C528" i="24" a="1"/>
  <c r="C528" i="24" s="1"/>
  <c r="C529" i="24" a="1"/>
  <c r="C529" i="24" s="1"/>
  <c r="C530" i="24" a="1"/>
  <c r="C530" i="24" s="1"/>
  <c r="C531" i="24" a="1"/>
  <c r="C531" i="24" s="1"/>
  <c r="C532" i="24" a="1"/>
  <c r="C532" i="24" s="1"/>
  <c r="C533" i="24" a="1"/>
  <c r="C533" i="24" s="1"/>
  <c r="C534" i="24" a="1"/>
  <c r="C534" i="24" s="1"/>
  <c r="C535" i="24" a="1"/>
  <c r="C535" i="24" s="1"/>
  <c r="C536" i="24" a="1"/>
  <c r="C536" i="24" s="1"/>
  <c r="C537" i="24" a="1"/>
  <c r="C537" i="24" s="1"/>
  <c r="C538" i="24" a="1"/>
  <c r="C538" i="24" s="1"/>
  <c r="C539" i="24" a="1"/>
  <c r="C539" i="24" s="1"/>
  <c r="C540" i="24" a="1"/>
  <c r="C540" i="24" s="1"/>
  <c r="C541" i="24" a="1"/>
  <c r="C541" i="24" s="1"/>
  <c r="C542" i="24" a="1"/>
  <c r="C542" i="24" s="1"/>
  <c r="C543" i="24" a="1"/>
  <c r="C543" i="24" s="1"/>
  <c r="C544" i="24" a="1"/>
  <c r="C544" i="24" s="1"/>
  <c r="C545" i="24" a="1"/>
  <c r="C545" i="24" s="1"/>
  <c r="C546" i="24" a="1"/>
  <c r="C546" i="24" s="1"/>
  <c r="C547" i="24" a="1"/>
  <c r="C547" i="24" s="1"/>
  <c r="C548" i="24" a="1"/>
  <c r="C548" i="24" s="1"/>
  <c r="C549" i="24" a="1"/>
  <c r="C549" i="24" s="1"/>
  <c r="C550" i="24" a="1"/>
  <c r="C550" i="24" s="1"/>
  <c r="C551" i="24" a="1"/>
  <c r="C551" i="24" s="1"/>
  <c r="C552" i="24" a="1"/>
  <c r="C552" i="24" s="1"/>
  <c r="C554" i="24" a="1"/>
  <c r="C554" i="24" s="1"/>
  <c r="C555" i="24" a="1"/>
  <c r="C555" i="24" s="1"/>
  <c r="C556" i="24" a="1"/>
  <c r="C556" i="24" s="1"/>
  <c r="C557" i="24" a="1"/>
  <c r="C557" i="24" s="1"/>
  <c r="C558" i="24" a="1"/>
  <c r="C558" i="24" s="1"/>
  <c r="C559" i="24" a="1"/>
  <c r="C559" i="24" s="1"/>
  <c r="C560" i="24" a="1"/>
  <c r="C560" i="24" s="1"/>
  <c r="C561" i="24" a="1"/>
  <c r="C561" i="24" s="1"/>
  <c r="C562" i="24" a="1"/>
  <c r="C562" i="24" s="1"/>
  <c r="C563" i="24" a="1"/>
  <c r="C563" i="24" s="1"/>
  <c r="C564" i="24" a="1"/>
  <c r="C564" i="24" s="1"/>
  <c r="C565" i="24" a="1"/>
  <c r="C565" i="24" s="1"/>
  <c r="C566" i="24" a="1"/>
  <c r="C566" i="24" s="1"/>
  <c r="C567" i="24" a="1"/>
  <c r="C567" i="24" s="1"/>
  <c r="C568" i="24" a="1"/>
  <c r="C568" i="24" s="1"/>
  <c r="C569" i="24" a="1"/>
  <c r="C569" i="24" s="1"/>
  <c r="C570" i="24" a="1"/>
  <c r="C570" i="24" s="1"/>
  <c r="C571" i="24" a="1"/>
  <c r="C571" i="24" s="1"/>
  <c r="C572" i="24" a="1"/>
  <c r="C572" i="24" s="1"/>
  <c r="C573" i="24" a="1"/>
  <c r="C573" i="24" s="1"/>
  <c r="C574" i="24" a="1"/>
  <c r="C574" i="24" s="1"/>
  <c r="C575" i="24" a="1"/>
  <c r="C575" i="24" s="1"/>
  <c r="C576" i="24" a="1"/>
  <c r="C576" i="24" s="1"/>
  <c r="C577" i="24" a="1"/>
  <c r="C577" i="24" s="1"/>
  <c r="C578" i="24" a="1"/>
  <c r="C578" i="24" s="1"/>
  <c r="C579" i="24" a="1"/>
  <c r="C579" i="24" s="1"/>
  <c r="C580" i="24" a="1"/>
  <c r="C580" i="24" s="1"/>
  <c r="C581" i="24" a="1"/>
  <c r="C581" i="24" s="1"/>
  <c r="C582" i="24" a="1"/>
  <c r="C582" i="24" s="1"/>
  <c r="C583" i="24" a="1"/>
  <c r="C583" i="24" s="1"/>
  <c r="C584" i="24" a="1"/>
  <c r="C584" i="24" s="1"/>
  <c r="C585" i="24" a="1"/>
  <c r="C585" i="24" s="1"/>
  <c r="C586" i="24" a="1"/>
  <c r="C586" i="24" s="1"/>
  <c r="C587" i="24" a="1"/>
  <c r="C587" i="24" s="1"/>
  <c r="C588" i="24" a="1"/>
  <c r="C588" i="24" s="1"/>
  <c r="C589" i="24" a="1"/>
  <c r="C589" i="24" s="1"/>
  <c r="C590" i="24" a="1"/>
  <c r="C590" i="24" s="1"/>
  <c r="C591" i="24" a="1"/>
  <c r="C591" i="24" s="1"/>
  <c r="C592" i="24" a="1"/>
  <c r="C592" i="24" s="1"/>
  <c r="C593" i="24" a="1"/>
  <c r="C593" i="24" s="1"/>
  <c r="C594" i="24" a="1"/>
  <c r="C594" i="24" s="1"/>
  <c r="C595" i="24" a="1"/>
  <c r="C595" i="24" s="1"/>
  <c r="C596" i="24" a="1"/>
  <c r="C596" i="24" s="1"/>
  <c r="C597" i="24" a="1"/>
  <c r="C597" i="24" s="1"/>
  <c r="C598" i="24" a="1"/>
  <c r="C598" i="24" s="1"/>
  <c r="C599" i="24" a="1"/>
  <c r="C599" i="24" s="1"/>
  <c r="C600" i="24" a="1"/>
  <c r="C600" i="24" s="1"/>
  <c r="C601" i="24" a="1"/>
  <c r="C601" i="24" s="1"/>
  <c r="C602" i="24" a="1"/>
  <c r="C602" i="24" s="1"/>
  <c r="C603" i="24" a="1"/>
  <c r="C603" i="24" s="1"/>
  <c r="C604" i="24" a="1"/>
  <c r="C604" i="24" s="1"/>
  <c r="C605" i="24" a="1"/>
  <c r="C605" i="24" s="1"/>
  <c r="C606" i="24" a="1"/>
  <c r="C606" i="24" s="1"/>
  <c r="C607" i="24" a="1"/>
  <c r="C607" i="24" s="1"/>
  <c r="C608" i="24" a="1"/>
  <c r="C608" i="24" s="1"/>
  <c r="C609" i="24" a="1"/>
  <c r="C609" i="24" s="1"/>
  <c r="C610" i="24" a="1"/>
  <c r="C610" i="24" s="1"/>
  <c r="C611" i="24" a="1"/>
  <c r="C611" i="24" s="1"/>
  <c r="C612" i="24" a="1"/>
  <c r="C612" i="24" s="1"/>
  <c r="C613" i="24" a="1"/>
  <c r="C613" i="24" s="1"/>
  <c r="C614" i="24" a="1"/>
  <c r="C614" i="24" s="1"/>
  <c r="C615" i="24" a="1"/>
  <c r="C615" i="24" s="1"/>
  <c r="C616" i="24" a="1"/>
  <c r="C616" i="24" s="1"/>
  <c r="C617" i="24" a="1"/>
  <c r="C617" i="24" s="1"/>
  <c r="C618" i="24" a="1"/>
  <c r="C618" i="24" s="1"/>
  <c r="C619" i="24" a="1"/>
  <c r="C619" i="24" s="1"/>
  <c r="C620" i="24" a="1"/>
  <c r="C620" i="24" s="1"/>
  <c r="C621" i="24" a="1"/>
  <c r="C621" i="24" s="1"/>
  <c r="C622" i="24" a="1"/>
  <c r="C622" i="24" s="1"/>
  <c r="C623" i="24" a="1"/>
  <c r="C623" i="24" s="1"/>
  <c r="C624" i="24" a="1"/>
  <c r="C624" i="24" s="1"/>
  <c r="C625" i="24" a="1"/>
  <c r="C625" i="24" s="1"/>
  <c r="C626" i="24" a="1"/>
  <c r="C626" i="24" s="1"/>
  <c r="C627" i="24" a="1"/>
  <c r="C627" i="24" s="1"/>
  <c r="C628" i="24" a="1"/>
  <c r="C628" i="24" s="1"/>
  <c r="C629" i="24" a="1"/>
  <c r="C629" i="24" s="1"/>
  <c r="C630" i="24" a="1"/>
  <c r="C630" i="24" s="1"/>
  <c r="C631" i="24" a="1"/>
  <c r="C631" i="24" s="1"/>
  <c r="C632" i="24" a="1"/>
  <c r="C632" i="24" s="1"/>
  <c r="C633" i="24" a="1"/>
  <c r="C633" i="24" s="1"/>
  <c r="C634" i="24" a="1"/>
  <c r="C634" i="24" s="1"/>
  <c r="C635" i="24" a="1"/>
  <c r="C635" i="24" s="1"/>
  <c r="C636" i="24" a="1"/>
  <c r="C636" i="24" s="1"/>
  <c r="C637" i="24" a="1"/>
  <c r="C637" i="24" s="1"/>
  <c r="C638" i="24" a="1"/>
  <c r="C638" i="24" s="1"/>
  <c r="C639" i="24" a="1"/>
  <c r="C639" i="24" s="1"/>
  <c r="C640" i="24" a="1"/>
  <c r="C640" i="24" s="1"/>
  <c r="C641" i="24" a="1"/>
  <c r="C641" i="24" s="1"/>
  <c r="C642" i="24" a="1"/>
  <c r="C642" i="24" s="1"/>
  <c r="C643" i="24" a="1"/>
  <c r="C643" i="24" s="1"/>
  <c r="C644" i="24" a="1"/>
  <c r="C644" i="24" s="1"/>
  <c r="C645" i="24" a="1"/>
  <c r="C645" i="24" s="1"/>
  <c r="C646" i="24" a="1"/>
  <c r="C646" i="24" s="1"/>
  <c r="C647" i="24" a="1"/>
  <c r="C647" i="24" s="1"/>
  <c r="C648" i="24" a="1"/>
  <c r="C648" i="24" s="1"/>
  <c r="C649" i="24" a="1"/>
  <c r="C649" i="24" s="1"/>
  <c r="C650" i="24" a="1"/>
  <c r="C650" i="24" s="1"/>
  <c r="C651" i="24" a="1"/>
  <c r="C651" i="24" s="1"/>
  <c r="C652" i="24" a="1"/>
  <c r="C652" i="24" s="1"/>
  <c r="C653" i="24" a="1"/>
  <c r="C653" i="24" s="1"/>
  <c r="C654" i="24" a="1"/>
  <c r="C654" i="24" s="1"/>
  <c r="C655" i="24" a="1"/>
  <c r="C655" i="24" s="1"/>
  <c r="C656" i="24" a="1"/>
  <c r="C656" i="24" s="1"/>
  <c r="C657" i="24" a="1"/>
  <c r="C657" i="24" s="1"/>
  <c r="C658" i="24" a="1"/>
  <c r="C658" i="24" s="1"/>
  <c r="C659" i="24" a="1"/>
  <c r="C659" i="24" s="1"/>
  <c r="C660" i="24" a="1"/>
  <c r="C660" i="24" s="1"/>
  <c r="C661" i="24" a="1"/>
  <c r="C661" i="24" s="1"/>
  <c r="C662" i="24" a="1"/>
  <c r="C662" i="24" s="1"/>
  <c r="C663" i="24" a="1"/>
  <c r="C663" i="24" s="1"/>
  <c r="C664" i="24" a="1"/>
  <c r="C664" i="24" s="1"/>
  <c r="C665" i="24" a="1"/>
  <c r="C665" i="24" s="1"/>
  <c r="C666" i="24" a="1"/>
  <c r="C666" i="24" s="1"/>
  <c r="C667" i="24" a="1"/>
  <c r="C667" i="24" s="1"/>
  <c r="C668" i="24" a="1"/>
  <c r="C668" i="24" s="1"/>
  <c r="C669" i="24" a="1"/>
  <c r="C669" i="24" s="1"/>
  <c r="C670" i="24" a="1"/>
  <c r="C670" i="24" s="1"/>
  <c r="C671" i="24" a="1"/>
  <c r="C671" i="24" s="1"/>
  <c r="C672" i="24" a="1"/>
  <c r="C672" i="24" s="1"/>
  <c r="C673" i="24" a="1"/>
  <c r="C673" i="24" s="1"/>
  <c r="C674" i="24" a="1"/>
  <c r="C674" i="24" s="1"/>
  <c r="C675" i="24" a="1"/>
  <c r="C675" i="24" s="1"/>
  <c r="C676" i="24" a="1"/>
  <c r="C676" i="24" s="1"/>
  <c r="C677" i="24" a="1"/>
  <c r="C677" i="24" s="1"/>
  <c r="C678" i="24" a="1"/>
  <c r="C678" i="24" s="1"/>
  <c r="C679" i="24" a="1"/>
  <c r="C679" i="24" s="1"/>
  <c r="C680" i="24" a="1"/>
  <c r="C680" i="24" s="1"/>
  <c r="C681" i="24" a="1"/>
  <c r="C681" i="24" s="1"/>
  <c r="C682" i="24" a="1"/>
  <c r="C682" i="24" s="1"/>
  <c r="C683" i="24" a="1"/>
  <c r="C683" i="24" s="1"/>
  <c r="C684" i="24" a="1"/>
  <c r="C684" i="24" s="1"/>
  <c r="C685" i="24" a="1"/>
  <c r="C685" i="24" s="1"/>
  <c r="C686" i="24" a="1"/>
  <c r="C686" i="24" s="1"/>
  <c r="C687" i="24" a="1"/>
  <c r="C687" i="24" s="1"/>
  <c r="C688" i="24" a="1"/>
  <c r="C688" i="24" s="1"/>
  <c r="C689" i="24" a="1"/>
  <c r="C689" i="24" s="1"/>
  <c r="C690" i="24" a="1"/>
  <c r="C690" i="24" s="1"/>
  <c r="C691" i="24" a="1"/>
  <c r="C691" i="24" s="1"/>
  <c r="C692" i="24" a="1"/>
  <c r="C692" i="24" s="1"/>
  <c r="C693" i="24" a="1"/>
  <c r="C693" i="24" s="1"/>
  <c r="C694" i="24" a="1"/>
  <c r="C694" i="24" s="1"/>
  <c r="C695" i="24" a="1"/>
  <c r="C695" i="24" s="1"/>
  <c r="C696" i="24" a="1"/>
  <c r="C696" i="24" s="1"/>
  <c r="C697" i="24" a="1"/>
  <c r="C697" i="24" s="1"/>
  <c r="C698" i="24" a="1"/>
  <c r="C698" i="24" s="1"/>
  <c r="C699" i="24" a="1"/>
  <c r="C699" i="24" s="1"/>
  <c r="C700" i="24" a="1"/>
  <c r="C700" i="24" s="1"/>
  <c r="C701" i="24" a="1"/>
  <c r="C701" i="24" s="1"/>
  <c r="C702" i="24" a="1"/>
  <c r="C702" i="24" s="1"/>
  <c r="C703" i="24" a="1"/>
  <c r="C703" i="24" s="1"/>
  <c r="C704" i="24" a="1"/>
  <c r="C704" i="24" s="1"/>
  <c r="C705" i="24" a="1"/>
  <c r="C705" i="24" s="1"/>
  <c r="C706" i="24" a="1"/>
  <c r="C706" i="24" s="1"/>
  <c r="C707" i="24" a="1"/>
  <c r="C707" i="24" s="1"/>
  <c r="C708" i="24" a="1"/>
  <c r="C708" i="24" s="1"/>
  <c r="C709" i="24" a="1"/>
  <c r="C709" i="24" s="1"/>
  <c r="C710" i="24" a="1"/>
  <c r="C710" i="24" s="1"/>
  <c r="C711" i="24" a="1"/>
  <c r="C711" i="24" s="1"/>
  <c r="C712" i="24" a="1"/>
  <c r="C712" i="24" s="1"/>
  <c r="C713" i="24" a="1"/>
  <c r="C713" i="24" s="1"/>
  <c r="C714" i="24" a="1"/>
  <c r="C714" i="24" s="1"/>
  <c r="C715" i="24" a="1"/>
  <c r="C715" i="24" s="1"/>
  <c r="C716" i="24" a="1"/>
  <c r="C716" i="24" s="1"/>
  <c r="C717" i="24" a="1"/>
  <c r="C717" i="24" s="1"/>
  <c r="C718" i="24" a="1"/>
  <c r="C718" i="24" s="1"/>
  <c r="C719" i="24" a="1"/>
  <c r="C719" i="24" s="1"/>
  <c r="C720" i="24" a="1"/>
  <c r="C720" i="24" s="1"/>
  <c r="C721" i="24" a="1"/>
  <c r="C721" i="24" s="1"/>
  <c r="C722" i="24" a="1"/>
  <c r="C722" i="24" s="1"/>
  <c r="C723" i="24" a="1"/>
  <c r="C723" i="24" s="1"/>
  <c r="C724" i="24" a="1"/>
  <c r="C724" i="24" s="1"/>
  <c r="C725" i="24" a="1"/>
  <c r="C725" i="24" s="1"/>
  <c r="C726" i="24" a="1"/>
  <c r="C726" i="24" s="1"/>
  <c r="C727" i="24" a="1"/>
  <c r="C727" i="24" s="1"/>
  <c r="C728" i="24" a="1"/>
  <c r="C728" i="24" s="1"/>
  <c r="C729" i="24" a="1"/>
  <c r="C729" i="24" s="1"/>
  <c r="C730" i="24" a="1"/>
  <c r="C730" i="24" s="1"/>
  <c r="C731" i="24" a="1"/>
  <c r="C731" i="24" s="1"/>
  <c r="C732" i="24" a="1"/>
  <c r="C732" i="24" s="1"/>
  <c r="C733" i="24" a="1"/>
  <c r="C733" i="24" s="1"/>
  <c r="C734" i="24" a="1"/>
  <c r="C734" i="24" s="1"/>
  <c r="C735" i="24" a="1"/>
  <c r="C735" i="24" s="1"/>
  <c r="C736" i="24" a="1"/>
  <c r="C736" i="24" s="1"/>
  <c r="C737" i="24" a="1"/>
  <c r="C737" i="24" s="1"/>
  <c r="C738" i="24" a="1"/>
  <c r="C738" i="24" s="1"/>
  <c r="C739" i="24" a="1"/>
  <c r="C739" i="24" s="1"/>
  <c r="C740" i="24" a="1"/>
  <c r="C740" i="24" s="1"/>
  <c r="C741" i="24" a="1"/>
  <c r="C741" i="24" s="1"/>
  <c r="C742" i="24" a="1"/>
  <c r="C742" i="24" s="1"/>
  <c r="C743" i="24" a="1"/>
  <c r="C743" i="24" s="1"/>
  <c r="C744" i="24" a="1"/>
  <c r="C744" i="24" s="1"/>
  <c r="C745" i="24" a="1"/>
  <c r="C745" i="24" s="1"/>
  <c r="C746" i="24" a="1"/>
  <c r="C746" i="24" s="1"/>
  <c r="C747" i="24" a="1"/>
  <c r="C747" i="24" s="1"/>
  <c r="C748" i="24" a="1"/>
  <c r="C748" i="24" s="1"/>
  <c r="C749" i="24" a="1"/>
  <c r="C749" i="24" s="1"/>
  <c r="C750" i="24" a="1"/>
  <c r="C750" i="24" s="1"/>
  <c r="C751" i="24" a="1"/>
  <c r="C751" i="24" s="1"/>
  <c r="C752" i="24" a="1"/>
  <c r="C752" i="24" s="1"/>
  <c r="C753" i="24" a="1"/>
  <c r="C753" i="24" s="1"/>
  <c r="C754" i="24" a="1"/>
  <c r="C754" i="24" s="1"/>
  <c r="C755" i="24" a="1"/>
  <c r="C755" i="24" s="1"/>
  <c r="C756" i="24" a="1"/>
  <c r="C756" i="24" s="1"/>
  <c r="C757" i="24" a="1"/>
  <c r="C757" i="24" s="1"/>
  <c r="C758" i="24" a="1"/>
  <c r="C758" i="24" s="1"/>
  <c r="C759" i="24" a="1"/>
  <c r="C759" i="24" s="1"/>
  <c r="C760" i="24" a="1"/>
  <c r="C760" i="24" s="1"/>
  <c r="C761" i="24" a="1"/>
  <c r="C761" i="24" s="1"/>
  <c r="C762" i="24" a="1"/>
  <c r="C762" i="24" s="1"/>
  <c r="C763" i="24" a="1"/>
  <c r="C763" i="24" s="1"/>
  <c r="C764" i="24" a="1"/>
  <c r="C764" i="24" s="1"/>
  <c r="C765" i="24" a="1"/>
  <c r="C765" i="24" s="1"/>
  <c r="C766" i="24" a="1"/>
  <c r="C766" i="24" s="1"/>
  <c r="C767" i="24" a="1"/>
  <c r="C767" i="24" s="1"/>
  <c r="C768" i="24" a="1"/>
  <c r="C768" i="24" s="1"/>
  <c r="C769" i="24" a="1"/>
  <c r="C769" i="24" s="1"/>
  <c r="C770" i="24" a="1"/>
  <c r="C770" i="24" s="1"/>
  <c r="C771" i="24" a="1"/>
  <c r="C771" i="24" s="1"/>
  <c r="C772" i="24" a="1"/>
  <c r="C772" i="24" s="1"/>
  <c r="C773" i="24" a="1"/>
  <c r="C773" i="24" s="1"/>
  <c r="C774" i="24" a="1"/>
  <c r="C774" i="24" s="1"/>
  <c r="C775" i="24" a="1"/>
  <c r="C775" i="24" s="1"/>
  <c r="C776" i="24" a="1"/>
  <c r="C776" i="24" s="1"/>
  <c r="C777" i="24" a="1"/>
  <c r="C777" i="24" s="1"/>
  <c r="C778" i="24" a="1"/>
  <c r="C778" i="24" s="1"/>
  <c r="C779" i="24" a="1"/>
  <c r="C779" i="24" s="1"/>
  <c r="C780" i="24" a="1"/>
  <c r="C780" i="24" s="1"/>
  <c r="C781" i="24" a="1"/>
  <c r="C781" i="24" s="1"/>
  <c r="C782" i="24" a="1"/>
  <c r="C782" i="24" s="1"/>
  <c r="C783" i="24" a="1"/>
  <c r="C783" i="24" s="1"/>
  <c r="C784" i="24" a="1"/>
  <c r="C784" i="24" s="1"/>
  <c r="C785" i="24" a="1"/>
  <c r="C785" i="24" s="1"/>
  <c r="C786" i="24" a="1"/>
  <c r="C786" i="24" s="1"/>
  <c r="C787" i="24" a="1"/>
  <c r="C787" i="24" s="1"/>
  <c r="C788" i="24" a="1"/>
  <c r="C788" i="24" s="1"/>
  <c r="C789" i="24" a="1"/>
  <c r="C789" i="24" s="1"/>
  <c r="C790" i="24" a="1"/>
  <c r="C790" i="24" s="1"/>
  <c r="C791" i="24" a="1"/>
  <c r="C791" i="24" s="1"/>
  <c r="C792" i="24" a="1"/>
  <c r="C792" i="24" s="1"/>
  <c r="C793" i="24" a="1"/>
  <c r="C793" i="24" s="1"/>
  <c r="C794" i="24" a="1"/>
  <c r="C794" i="24" s="1"/>
  <c r="C795" i="24" a="1"/>
  <c r="C795" i="24" s="1"/>
  <c r="C796" i="24" a="1"/>
  <c r="C796" i="24" s="1"/>
  <c r="C797" i="24" a="1"/>
  <c r="C797" i="24" s="1"/>
  <c r="C798" i="24" a="1"/>
  <c r="C798" i="24" s="1"/>
  <c r="C799" i="24" a="1"/>
  <c r="C799" i="24" s="1"/>
  <c r="C800" i="24" a="1"/>
  <c r="C800" i="24" s="1"/>
  <c r="C801" i="24" a="1"/>
  <c r="C801" i="24" s="1"/>
  <c r="C802" i="24" a="1"/>
  <c r="C802" i="24" s="1"/>
  <c r="C803" i="24" a="1"/>
  <c r="C803" i="24" s="1"/>
  <c r="C804" i="24" a="1"/>
  <c r="C804" i="24" s="1"/>
  <c r="C805" i="24" a="1"/>
  <c r="C805" i="24" s="1"/>
  <c r="C806" i="24" a="1"/>
  <c r="C806" i="24" s="1"/>
  <c r="C807" i="24" a="1"/>
  <c r="C807" i="24" s="1"/>
  <c r="C808" i="24" a="1"/>
  <c r="C808" i="24" s="1"/>
  <c r="C809" i="24" a="1"/>
  <c r="C809" i="24" s="1"/>
  <c r="C810" i="24" a="1"/>
  <c r="C810" i="24" s="1"/>
  <c r="C811" i="24" a="1"/>
  <c r="C811" i="24" s="1"/>
  <c r="C812" i="24" a="1"/>
  <c r="C812" i="24" s="1"/>
  <c r="C813" i="24" a="1"/>
  <c r="C813" i="24" s="1"/>
  <c r="C814" i="24" a="1"/>
  <c r="C814" i="24" s="1"/>
  <c r="C815" i="24" a="1"/>
  <c r="C815" i="24" s="1"/>
  <c r="C816" i="24" a="1"/>
  <c r="C816" i="24" s="1"/>
  <c r="C817" i="24" a="1"/>
  <c r="C817" i="24" s="1"/>
  <c r="C818" i="24" a="1"/>
  <c r="C818" i="24" s="1"/>
  <c r="C819" i="24" a="1"/>
  <c r="C819" i="24" s="1"/>
  <c r="C820" i="24" a="1"/>
  <c r="C820" i="24" s="1"/>
  <c r="C821" i="24" a="1"/>
  <c r="C821" i="24" s="1"/>
  <c r="C822" i="24" a="1"/>
  <c r="C822" i="24" s="1"/>
  <c r="C823" i="24" a="1"/>
  <c r="C823" i="24" s="1"/>
  <c r="C824" i="24" a="1"/>
  <c r="C824" i="24" s="1"/>
  <c r="C825" i="24" a="1"/>
  <c r="C825" i="24" s="1"/>
  <c r="C826" i="24" a="1"/>
  <c r="C826" i="24" s="1"/>
  <c r="C827" i="24" a="1"/>
  <c r="C827" i="24" s="1"/>
  <c r="C828" i="24" a="1"/>
  <c r="C828" i="24" s="1"/>
  <c r="C829" i="24" a="1"/>
  <c r="C829" i="24" s="1"/>
  <c r="C830" i="24" a="1"/>
  <c r="C830" i="24" s="1"/>
  <c r="C831" i="24" a="1"/>
  <c r="C831" i="24" s="1"/>
  <c r="C832" i="24" a="1"/>
  <c r="C832" i="24" s="1"/>
  <c r="C833" i="24" a="1"/>
  <c r="C833" i="24" s="1"/>
  <c r="C834" i="24" a="1"/>
  <c r="C834" i="24" s="1"/>
  <c r="C835" i="24" a="1"/>
  <c r="C835" i="24" s="1"/>
  <c r="C836" i="24" a="1"/>
  <c r="C836" i="24" s="1"/>
  <c r="C837" i="24" a="1"/>
  <c r="C837" i="24" s="1"/>
  <c r="C838" i="24" a="1"/>
  <c r="C838" i="24" s="1"/>
  <c r="C839" i="24" a="1"/>
  <c r="C839" i="24" s="1"/>
  <c r="C840" i="24" a="1"/>
  <c r="C840" i="24" s="1"/>
  <c r="C841" i="24" a="1"/>
  <c r="C841" i="24" s="1"/>
  <c r="C842" i="24" a="1"/>
  <c r="C842" i="24" s="1"/>
  <c r="C843" i="24" a="1"/>
  <c r="C843" i="24" s="1"/>
  <c r="C844" i="24" a="1"/>
  <c r="C844" i="24" s="1"/>
  <c r="C845" i="24" a="1"/>
  <c r="C845" i="24" s="1"/>
  <c r="C846" i="24" a="1"/>
  <c r="C846" i="24" s="1"/>
  <c r="C847" i="24" a="1"/>
  <c r="C847" i="24" s="1"/>
  <c r="C848" i="24" a="1"/>
  <c r="C848" i="24" s="1"/>
  <c r="C849" i="24" a="1"/>
  <c r="C849" i="24" s="1"/>
  <c r="C850" i="24" a="1"/>
  <c r="C850" i="24" s="1"/>
  <c r="C851" i="24" a="1"/>
  <c r="C851" i="24" s="1"/>
  <c r="C852" i="24" a="1"/>
  <c r="C852" i="24" s="1"/>
  <c r="C853" i="24" a="1"/>
  <c r="C853" i="24" s="1"/>
  <c r="C854" i="24" a="1"/>
  <c r="C854" i="24" s="1"/>
  <c r="C855" i="24" a="1"/>
  <c r="C855" i="24" s="1"/>
  <c r="C856" i="24" a="1"/>
  <c r="C856" i="24" s="1"/>
  <c r="C857" i="24" a="1"/>
  <c r="C857" i="24" s="1"/>
  <c r="C858" i="24" a="1"/>
  <c r="C858" i="24" s="1"/>
  <c r="C859" i="24" a="1"/>
  <c r="C859" i="24" s="1"/>
  <c r="C860" i="24" a="1"/>
  <c r="C860" i="24" s="1"/>
  <c r="C861" i="24" a="1"/>
  <c r="C861" i="24" s="1"/>
  <c r="C862" i="24" a="1"/>
  <c r="C862" i="24" s="1"/>
  <c r="C863" i="24" a="1"/>
  <c r="C863" i="24" s="1"/>
  <c r="C864" i="24" a="1"/>
  <c r="C864" i="24" s="1"/>
  <c r="C865" i="24" a="1"/>
  <c r="C865" i="24" s="1"/>
  <c r="C866" i="24" a="1"/>
  <c r="C866" i="24" s="1"/>
  <c r="C867" i="24" a="1"/>
  <c r="C867" i="24" s="1"/>
  <c r="C868" i="24" a="1"/>
  <c r="C868" i="24" s="1"/>
  <c r="C869" i="24" a="1"/>
  <c r="C869" i="24" s="1"/>
  <c r="C870" i="24" a="1"/>
  <c r="C870" i="24" s="1"/>
  <c r="C871" i="24" a="1"/>
  <c r="C871" i="24" s="1"/>
  <c r="C872" i="24" a="1"/>
  <c r="C872" i="24" s="1"/>
  <c r="C873" i="24" a="1"/>
  <c r="C873" i="24" s="1"/>
  <c r="C874" i="24" a="1"/>
  <c r="C874" i="24" s="1"/>
  <c r="C875" i="24" a="1"/>
  <c r="C875" i="24" s="1"/>
  <c r="C876" i="24" a="1"/>
  <c r="C876" i="24" s="1"/>
  <c r="C877" i="24" a="1"/>
  <c r="C877" i="24" s="1"/>
  <c r="C878" i="24" a="1"/>
  <c r="C878" i="24" s="1"/>
  <c r="C879" i="24" a="1"/>
  <c r="C879" i="24" s="1"/>
  <c r="C880" i="24" a="1"/>
  <c r="C880" i="24" s="1"/>
  <c r="C881" i="24" a="1"/>
  <c r="C881" i="24" s="1"/>
  <c r="C882" i="24" a="1"/>
  <c r="C882" i="24" s="1"/>
  <c r="C883" i="24" a="1"/>
  <c r="C883" i="24" s="1"/>
  <c r="C884" i="24" a="1"/>
  <c r="C884" i="24" s="1"/>
  <c r="C885" i="24" a="1"/>
  <c r="C885" i="24" s="1"/>
  <c r="C886" i="24" a="1"/>
  <c r="C886" i="24" s="1"/>
  <c r="C887" i="24" a="1"/>
  <c r="C887" i="24" s="1"/>
  <c r="C888" i="24" a="1"/>
  <c r="C888" i="24" s="1"/>
  <c r="C889" i="24" a="1"/>
  <c r="C889" i="24" s="1"/>
  <c r="C890" i="24" a="1"/>
  <c r="C890" i="24" s="1"/>
  <c r="C891" i="24" a="1"/>
  <c r="C891" i="24" s="1"/>
  <c r="C892" i="24" a="1"/>
  <c r="C892" i="24" s="1"/>
  <c r="C893" i="24" a="1"/>
  <c r="C893" i="24" s="1"/>
  <c r="C894" i="24" a="1"/>
  <c r="C894" i="24" s="1"/>
  <c r="C895" i="24" a="1"/>
  <c r="C895" i="24" s="1"/>
  <c r="C896" i="24" a="1"/>
  <c r="C896" i="24" s="1"/>
  <c r="C897" i="24" a="1"/>
  <c r="C897" i="24" s="1"/>
  <c r="C898" i="24" a="1"/>
  <c r="C898" i="24" s="1"/>
  <c r="C899" i="24" a="1"/>
  <c r="C899" i="24" s="1"/>
  <c r="C900" i="24" a="1"/>
  <c r="C900" i="24" s="1"/>
  <c r="C901" i="24" a="1"/>
  <c r="C901" i="24" s="1"/>
  <c r="C902" i="24" a="1"/>
  <c r="C902" i="24" s="1"/>
  <c r="C903" i="24" a="1"/>
  <c r="C903" i="24" s="1"/>
  <c r="C904" i="24" a="1"/>
  <c r="C904" i="24" s="1"/>
  <c r="C905" i="24" a="1"/>
  <c r="C905" i="24" s="1"/>
  <c r="C906" i="24" a="1"/>
  <c r="C906" i="24" s="1"/>
  <c r="C907" i="24" a="1"/>
  <c r="C907" i="24" s="1"/>
  <c r="C908" i="24" a="1"/>
  <c r="C908" i="24" s="1"/>
  <c r="C909" i="24" a="1"/>
  <c r="C909" i="24" s="1"/>
  <c r="C910" i="24" a="1"/>
  <c r="C910" i="24" s="1"/>
  <c r="C911" i="24" a="1"/>
  <c r="C911" i="24" s="1"/>
  <c r="C912" i="24" a="1"/>
  <c r="C912" i="24" s="1"/>
  <c r="C913" i="24" a="1"/>
  <c r="C913" i="24" s="1"/>
  <c r="C914" i="24" a="1"/>
  <c r="C914" i="24" s="1"/>
  <c r="C915" i="24" a="1"/>
  <c r="C915" i="24" s="1"/>
  <c r="C916" i="24" a="1"/>
  <c r="C916" i="24" s="1"/>
  <c r="C917" i="24" a="1"/>
  <c r="C917" i="24" s="1"/>
  <c r="C918" i="24" a="1"/>
  <c r="C918" i="24" s="1"/>
  <c r="C919" i="24" a="1"/>
  <c r="C919" i="24" s="1"/>
  <c r="C920" i="24" a="1"/>
  <c r="C920" i="24" s="1"/>
  <c r="C921" i="24" a="1"/>
  <c r="C921" i="24" s="1"/>
  <c r="C922" i="24" a="1"/>
  <c r="C922" i="24" s="1"/>
  <c r="C923" i="24" a="1"/>
  <c r="C923" i="24" s="1"/>
  <c r="C924" i="24" a="1"/>
  <c r="C924" i="24" s="1"/>
  <c r="C925" i="24" a="1"/>
  <c r="C925" i="24" s="1"/>
  <c r="C926" i="24" a="1"/>
  <c r="C926" i="24" s="1"/>
  <c r="C927" i="24" a="1"/>
  <c r="C927" i="24" s="1"/>
  <c r="C928" i="24" a="1"/>
  <c r="C928" i="24" s="1"/>
  <c r="C929" i="24" a="1"/>
  <c r="C929" i="24" s="1"/>
  <c r="C930" i="24" a="1"/>
  <c r="C930" i="24" s="1"/>
  <c r="C931" i="24" a="1"/>
  <c r="C931" i="24" s="1"/>
  <c r="C932" i="24" a="1"/>
  <c r="C932" i="24" s="1"/>
  <c r="C933" i="24" a="1"/>
  <c r="C933" i="24" s="1"/>
  <c r="C934" i="24" a="1"/>
  <c r="C934" i="24" s="1"/>
  <c r="C935" i="24" a="1"/>
  <c r="C935" i="24" s="1"/>
  <c r="C936" i="24" a="1"/>
  <c r="C936" i="24" s="1"/>
  <c r="C937" i="24" a="1"/>
  <c r="C937" i="24" s="1"/>
  <c r="C938" i="24" a="1"/>
  <c r="C938" i="24" s="1"/>
  <c r="C939" i="24" a="1"/>
  <c r="C939" i="24" s="1"/>
  <c r="C940" i="24" a="1"/>
  <c r="C940" i="24" s="1"/>
  <c r="C941" i="24" a="1"/>
  <c r="C941" i="24" s="1"/>
  <c r="C942" i="24" a="1"/>
  <c r="C942" i="24" s="1"/>
  <c r="C943" i="24" a="1"/>
  <c r="C943" i="24" s="1"/>
  <c r="C944" i="24" a="1"/>
  <c r="C944" i="24" s="1"/>
  <c r="C945" i="24" a="1"/>
  <c r="C945" i="24" s="1"/>
  <c r="C946" i="24" a="1"/>
  <c r="C946" i="24" s="1"/>
  <c r="C947" i="24" a="1"/>
  <c r="C947" i="24" s="1"/>
  <c r="C948" i="24" a="1"/>
  <c r="C948" i="24" s="1"/>
  <c r="C949" i="24" a="1"/>
  <c r="C949" i="24" s="1"/>
  <c r="C950" i="24" a="1"/>
  <c r="C950" i="24" s="1"/>
  <c r="C951" i="24" a="1"/>
  <c r="C951" i="24" s="1"/>
  <c r="C952" i="24" a="1"/>
  <c r="C952" i="24" s="1"/>
  <c r="C953" i="24" a="1"/>
  <c r="C953" i="24" s="1"/>
  <c r="C954" i="24" a="1"/>
  <c r="C954" i="24" s="1"/>
  <c r="C955" i="24" a="1"/>
  <c r="C955" i="24" s="1"/>
  <c r="C956" i="24" a="1"/>
  <c r="C956" i="24" s="1"/>
  <c r="C957" i="24" a="1"/>
  <c r="C957" i="24" s="1"/>
  <c r="C958" i="24" a="1"/>
  <c r="C958" i="24" s="1"/>
  <c r="C959" i="24" a="1"/>
  <c r="C959" i="24" s="1"/>
  <c r="C960" i="24" a="1"/>
  <c r="C960" i="24" s="1"/>
  <c r="C961" i="24" a="1"/>
  <c r="C961" i="24" s="1"/>
  <c r="C962" i="24" a="1"/>
  <c r="C962" i="24" s="1"/>
  <c r="C963" i="24" a="1"/>
  <c r="C963" i="24" s="1"/>
  <c r="C964" i="24" a="1"/>
  <c r="C964" i="24" s="1"/>
  <c r="C965" i="24" a="1"/>
  <c r="C965" i="24" s="1"/>
  <c r="C966" i="24" a="1"/>
  <c r="C966" i="24" s="1"/>
  <c r="C967" i="24" a="1"/>
  <c r="C967" i="24" s="1"/>
  <c r="C968" i="24" a="1"/>
  <c r="C968" i="24" s="1"/>
  <c r="C969" i="24" a="1"/>
  <c r="C969" i="24" s="1"/>
  <c r="C970" i="24" a="1"/>
  <c r="C970" i="24" s="1"/>
  <c r="C971" i="24" a="1"/>
  <c r="C971" i="24" s="1"/>
  <c r="C972" i="24" a="1"/>
  <c r="C972" i="24" s="1"/>
  <c r="C973" i="24" a="1"/>
  <c r="C973" i="24" s="1"/>
  <c r="C974" i="24" a="1"/>
  <c r="C974" i="24" s="1"/>
  <c r="C975" i="24" a="1"/>
  <c r="C975" i="24" s="1"/>
  <c r="C976" i="24" a="1"/>
  <c r="C976" i="24" s="1"/>
  <c r="C977" i="24" a="1"/>
  <c r="C977" i="24" s="1"/>
  <c r="C978" i="24" a="1"/>
  <c r="C978" i="24" s="1"/>
  <c r="C979" i="24" a="1"/>
  <c r="C979" i="24" s="1"/>
  <c r="C980" i="24" a="1"/>
  <c r="C980" i="24" s="1"/>
  <c r="C981" i="24" a="1"/>
  <c r="C981" i="24" s="1"/>
  <c r="C982" i="24" a="1"/>
  <c r="C982" i="24" s="1"/>
  <c r="C983" i="24" a="1"/>
  <c r="C983" i="24" s="1"/>
  <c r="C984" i="24" a="1"/>
  <c r="C984" i="24" s="1"/>
  <c r="C985" i="24" a="1"/>
  <c r="C985" i="24" s="1"/>
  <c r="C986" i="24" a="1"/>
  <c r="C986" i="24" s="1"/>
  <c r="C987" i="24" a="1"/>
  <c r="C987" i="24" s="1"/>
  <c r="C988" i="24" a="1"/>
  <c r="C988" i="24" s="1"/>
  <c r="C989" i="24" a="1"/>
  <c r="C989" i="24" s="1"/>
  <c r="C990" i="24" a="1"/>
  <c r="C990" i="24" s="1"/>
  <c r="C991" i="24" a="1"/>
  <c r="C991" i="24" s="1"/>
  <c r="C992" i="24" a="1"/>
  <c r="C992" i="24" s="1"/>
  <c r="C993" i="24" a="1"/>
  <c r="C993" i="24" s="1"/>
  <c r="C994" i="24" a="1"/>
  <c r="C994" i="24" s="1"/>
  <c r="C995" i="24" a="1"/>
  <c r="C995" i="24" s="1"/>
  <c r="C996" i="24" a="1"/>
  <c r="C996" i="24" s="1"/>
  <c r="C997" i="24" a="1"/>
  <c r="C997" i="24" s="1"/>
  <c r="C998" i="24" a="1"/>
  <c r="C998" i="24" s="1"/>
  <c r="C999" i="24" a="1"/>
  <c r="C999" i="24" s="1"/>
  <c r="C1000" i="24" a="1"/>
  <c r="C1000" i="24" s="1"/>
  <c r="C1001" i="24" a="1"/>
  <c r="C1001" i="24" s="1"/>
  <c r="C1002" i="24" a="1"/>
  <c r="C1002" i="24" s="1"/>
  <c r="C1003" i="24" a="1"/>
  <c r="C1003" i="24" s="1"/>
  <c r="C1004" i="24" a="1"/>
  <c r="C1004" i="24" s="1"/>
  <c r="C1005" i="24" a="1"/>
  <c r="C1005" i="24" s="1"/>
  <c r="C1006" i="24" a="1"/>
  <c r="C1006" i="24" s="1"/>
  <c r="C1007" i="24" a="1"/>
  <c r="C1007" i="24" s="1"/>
  <c r="C1008" i="24" a="1"/>
  <c r="C1008" i="24" s="1"/>
  <c r="C1009" i="24" a="1"/>
  <c r="C1009" i="24" s="1"/>
  <c r="C1010" i="24" a="1"/>
  <c r="C1010" i="24" s="1"/>
  <c r="C1011" i="24" a="1"/>
  <c r="C1011" i="24" s="1"/>
  <c r="C1012" i="24" a="1"/>
  <c r="C1012" i="24" s="1"/>
  <c r="C1013" i="24" a="1"/>
  <c r="C1013" i="24" s="1"/>
  <c r="C1014" i="24" a="1"/>
  <c r="C1014" i="24" s="1"/>
  <c r="C1015" i="24" a="1"/>
  <c r="C1015" i="24" s="1"/>
  <c r="C1016" i="24" a="1"/>
  <c r="C1016" i="24" s="1"/>
  <c r="C1017" i="24" a="1"/>
  <c r="C1017" i="24" s="1"/>
  <c r="C1018" i="24" a="1"/>
  <c r="C1018" i="24" s="1"/>
  <c r="C1019" i="24" a="1"/>
  <c r="C1019" i="24" s="1"/>
  <c r="C1020" i="24" a="1"/>
  <c r="C1020" i="24" s="1"/>
  <c r="C1021" i="24" a="1"/>
  <c r="C1021" i="24" s="1"/>
  <c r="C1022" i="24" a="1"/>
  <c r="C1022" i="24" s="1"/>
  <c r="C1023" i="24" a="1"/>
  <c r="C1023" i="24" s="1"/>
  <c r="C1024" i="24" a="1"/>
  <c r="C1024" i="24" s="1"/>
  <c r="C1025" i="24" a="1"/>
  <c r="C1025" i="24" s="1"/>
  <c r="C1026" i="24" a="1"/>
  <c r="C1026" i="24" s="1"/>
  <c r="C1027" i="24" a="1"/>
  <c r="C1027" i="24" s="1"/>
  <c r="C1028" i="24" a="1"/>
  <c r="C1028" i="24" s="1"/>
  <c r="C1029" i="24" a="1"/>
  <c r="C1029" i="24" s="1"/>
  <c r="C1030" i="24" a="1"/>
  <c r="C1030" i="24" s="1"/>
  <c r="C1031" i="24" a="1"/>
  <c r="C1031" i="24" s="1"/>
  <c r="C1032" i="24" a="1"/>
  <c r="C1032" i="24" s="1"/>
  <c r="C1033" i="24" a="1"/>
  <c r="C1033" i="24" s="1"/>
  <c r="C1034" i="24" a="1"/>
  <c r="C1034" i="24" s="1"/>
  <c r="C1035" i="24" a="1"/>
  <c r="C1035" i="24" s="1"/>
  <c r="C1036" i="24" a="1"/>
  <c r="C1036" i="24" s="1"/>
  <c r="C1037" i="24" a="1"/>
  <c r="C1037" i="24" s="1"/>
  <c r="C1038" i="24" a="1"/>
  <c r="C1038" i="24" s="1"/>
  <c r="C1039" i="24" a="1"/>
  <c r="C1039" i="24" s="1"/>
  <c r="C1040" i="24" a="1"/>
  <c r="C1040" i="24" s="1"/>
  <c r="C1041" i="24" a="1"/>
  <c r="C1041" i="24" s="1"/>
  <c r="C1042" i="24" a="1"/>
  <c r="C1042" i="24" s="1"/>
  <c r="C1043" i="24" a="1"/>
  <c r="C1043" i="24" s="1"/>
  <c r="C1044" i="24" a="1"/>
  <c r="C1044" i="24" s="1"/>
  <c r="C1045" i="24" a="1"/>
  <c r="C1045" i="24" s="1"/>
  <c r="C1046" i="24" a="1"/>
  <c r="C1046" i="24" s="1"/>
  <c r="C1047" i="24" a="1"/>
  <c r="C1047" i="24" s="1"/>
  <c r="C1048" i="24" a="1"/>
  <c r="C1048" i="24" s="1"/>
  <c r="C1049" i="24" a="1"/>
  <c r="C1049" i="24" s="1"/>
  <c r="C1050" i="24" a="1"/>
  <c r="C1050" i="24" s="1"/>
  <c r="C1051" i="24" a="1"/>
  <c r="C1051" i="24" s="1"/>
  <c r="C1052" i="24" a="1"/>
  <c r="C1052" i="24" s="1"/>
  <c r="C1053" i="24" a="1"/>
  <c r="C1053" i="24" s="1"/>
  <c r="C1054" i="24" a="1"/>
  <c r="C1054" i="24" s="1"/>
  <c r="C1055" i="24" a="1"/>
  <c r="C1055" i="24" s="1"/>
  <c r="C1056" i="24" a="1"/>
  <c r="C1056" i="24" s="1"/>
  <c r="C1057" i="24" a="1"/>
  <c r="C1057" i="24" s="1"/>
  <c r="C1058" i="24" a="1"/>
  <c r="C1058" i="24" s="1"/>
  <c r="C1059" i="24" a="1"/>
  <c r="C1059" i="24" s="1"/>
  <c r="C1060" i="24" a="1"/>
  <c r="C1060" i="24" s="1"/>
  <c r="C1061" i="24" a="1"/>
  <c r="C1061" i="24" s="1"/>
  <c r="C1062" i="24" a="1"/>
  <c r="C1062" i="24" s="1"/>
  <c r="C1063" i="24" a="1"/>
  <c r="C1063" i="24" s="1"/>
  <c r="C1064" i="24" a="1"/>
  <c r="C1064" i="24" s="1"/>
  <c r="C1065" i="24" a="1"/>
  <c r="C1065" i="24" s="1"/>
  <c r="C1066" i="24" a="1"/>
  <c r="C1066" i="24" s="1"/>
  <c r="C1067" i="24" a="1"/>
  <c r="C1067" i="24" s="1"/>
  <c r="C1068" i="24" a="1"/>
  <c r="C1068" i="24" s="1"/>
  <c r="C1069" i="24" a="1"/>
  <c r="C1069" i="24" s="1"/>
  <c r="C1070" i="24" a="1"/>
  <c r="C1070" i="24" s="1"/>
  <c r="C1071" i="24" a="1"/>
  <c r="C1071" i="24" s="1"/>
  <c r="C1072" i="24" a="1"/>
  <c r="C1072" i="24" s="1"/>
  <c r="C1073" i="24" a="1"/>
  <c r="C1073" i="24" s="1"/>
  <c r="C1074" i="24" a="1"/>
  <c r="C1074" i="24" s="1"/>
  <c r="C1075" i="24" a="1"/>
  <c r="C1075" i="24" s="1"/>
  <c r="C1076" i="24" a="1"/>
  <c r="C1076" i="24" s="1"/>
  <c r="C1077" i="24" a="1"/>
  <c r="C1077" i="24" s="1"/>
  <c r="C1078" i="24" a="1"/>
  <c r="C1078" i="24" s="1"/>
  <c r="C1079" i="24" a="1"/>
  <c r="C1079" i="24" s="1"/>
  <c r="C1080" i="24" a="1"/>
  <c r="C1080" i="24" s="1"/>
  <c r="C1081" i="24" a="1"/>
  <c r="C1081" i="24" s="1"/>
  <c r="C1082" i="24" a="1"/>
  <c r="C1082" i="24" s="1"/>
  <c r="C1083" i="24" a="1"/>
  <c r="C1083" i="24" s="1"/>
  <c r="C1084" i="24" a="1"/>
  <c r="C1084" i="24" s="1"/>
  <c r="C1085" i="24" a="1"/>
  <c r="C1085" i="24" s="1"/>
  <c r="C1086" i="24" a="1"/>
  <c r="C1086" i="24" s="1"/>
  <c r="C1087" i="24" a="1"/>
  <c r="C1087" i="24" s="1"/>
  <c r="C1088" i="24" a="1"/>
  <c r="C1088" i="24" s="1"/>
  <c r="C1089" i="24" a="1"/>
  <c r="C1089" i="24" s="1"/>
  <c r="C1090" i="24" a="1"/>
  <c r="C1090" i="24" s="1"/>
  <c r="C1091" i="24" a="1"/>
  <c r="C1091" i="24" s="1"/>
  <c r="C1092" i="24" a="1"/>
  <c r="C1092" i="24" s="1"/>
  <c r="C1093" i="24" a="1"/>
  <c r="C1093" i="24" s="1"/>
  <c r="C1094" i="24" a="1"/>
  <c r="C1094" i="24" s="1"/>
  <c r="C1095" i="24" a="1"/>
  <c r="C1095" i="24" s="1"/>
  <c r="C1096" i="24" a="1"/>
  <c r="C1096" i="24" s="1"/>
  <c r="C1097" i="24" a="1"/>
  <c r="C1097" i="24" s="1"/>
  <c r="C1098" i="24" a="1"/>
  <c r="C1098" i="24" s="1"/>
  <c r="C1099" i="24" a="1"/>
  <c r="C1099" i="24" s="1"/>
  <c r="C1100" i="24" a="1"/>
  <c r="C1100" i="24" s="1"/>
  <c r="C1101" i="24" a="1"/>
  <c r="C1101" i="24" s="1"/>
  <c r="C1102" i="24" a="1"/>
  <c r="C1102" i="24" s="1"/>
  <c r="C1103" i="24" a="1"/>
  <c r="C1103" i="24" s="1"/>
  <c r="C1104" i="24" a="1"/>
  <c r="C1104" i="24" s="1"/>
  <c r="C1105" i="24" a="1"/>
  <c r="C1105" i="24" s="1"/>
  <c r="C1106" i="24" a="1"/>
  <c r="C1106" i="24" s="1"/>
  <c r="C1107" i="24" a="1"/>
  <c r="C1107" i="24" s="1"/>
  <c r="C1108" i="24" a="1"/>
  <c r="C1108" i="24" s="1"/>
  <c r="C1109" i="24" a="1"/>
  <c r="C1109" i="24" s="1"/>
  <c r="C1110" i="24" a="1"/>
  <c r="C1110" i="24" s="1"/>
  <c r="C1111" i="24" a="1"/>
  <c r="C1111" i="24" s="1"/>
  <c r="C1112" i="24" a="1"/>
  <c r="C1112" i="24" s="1"/>
  <c r="C1113" i="24" a="1"/>
  <c r="C1113" i="24" s="1"/>
  <c r="C1114" i="24" a="1"/>
  <c r="C1114" i="24" s="1"/>
  <c r="C1115" i="24" a="1"/>
  <c r="C1115" i="24" s="1"/>
  <c r="C1116" i="24" a="1"/>
  <c r="C1116" i="24" s="1"/>
  <c r="C1117" i="24" a="1"/>
  <c r="C1117" i="24" s="1"/>
  <c r="C1118" i="24" a="1"/>
  <c r="C1118" i="24" s="1"/>
  <c r="C1119" i="24" a="1"/>
  <c r="C1119" i="24" s="1"/>
  <c r="C1120" i="24" a="1"/>
  <c r="C1120" i="24" s="1"/>
  <c r="C1121" i="24" a="1"/>
  <c r="C1121" i="24" s="1"/>
  <c r="C1122" i="24" a="1"/>
  <c r="C1122" i="24" s="1"/>
  <c r="C1123" i="24" a="1"/>
  <c r="C1123" i="24" s="1"/>
  <c r="C1124" i="24" a="1"/>
  <c r="C1124" i="24" s="1"/>
  <c r="C1125" i="24" a="1"/>
  <c r="C1125" i="24" s="1"/>
  <c r="C1126" i="24" a="1"/>
  <c r="C1126" i="24" s="1"/>
  <c r="C1127" i="24" a="1"/>
  <c r="C1127" i="24" s="1"/>
  <c r="C1128" i="24" a="1"/>
  <c r="C1128" i="24" s="1"/>
  <c r="C1129" i="24" a="1"/>
  <c r="C1129" i="24" s="1"/>
  <c r="C1130" i="24" a="1"/>
  <c r="C1130" i="24" s="1"/>
  <c r="C1131" i="24" a="1"/>
  <c r="C1131" i="24" s="1"/>
  <c r="C1132" i="24" a="1"/>
  <c r="C1132" i="24" s="1"/>
  <c r="C1133" i="24" a="1"/>
  <c r="C1133" i="24" s="1"/>
  <c r="C1134" i="24" a="1"/>
  <c r="C1134" i="24" s="1"/>
  <c r="C1135" i="24" a="1"/>
  <c r="C1135" i="24" s="1"/>
  <c r="C1136" i="24" a="1"/>
  <c r="C1136" i="24" s="1"/>
  <c r="C1137" i="24" a="1"/>
  <c r="C1137" i="24" s="1"/>
  <c r="C1138" i="24" a="1"/>
  <c r="C1138" i="24" s="1"/>
  <c r="C1139" i="24" a="1"/>
  <c r="C1139" i="24" s="1"/>
  <c r="C1140" i="24" a="1"/>
  <c r="C1140" i="24" s="1"/>
  <c r="C1141" i="24" a="1"/>
  <c r="C1141" i="24" s="1"/>
  <c r="C1142" i="24" a="1"/>
  <c r="C1142" i="24" s="1"/>
  <c r="C1143" i="24" a="1"/>
  <c r="C1143" i="24" s="1"/>
  <c r="C1144" i="24" a="1"/>
  <c r="C1144" i="24" s="1"/>
  <c r="C1145" i="24" a="1"/>
  <c r="C1145" i="24" s="1"/>
  <c r="C1146" i="24" a="1"/>
  <c r="C1146" i="24" s="1"/>
  <c r="C1147" i="24" a="1"/>
  <c r="C1147" i="24" s="1"/>
  <c r="C1148" i="24" a="1"/>
  <c r="C1148" i="24" s="1"/>
  <c r="C1149" i="24" a="1"/>
  <c r="C1149" i="24" s="1"/>
  <c r="C1150" i="24" a="1"/>
  <c r="C1150" i="24" s="1"/>
  <c r="C1151" i="24" a="1"/>
  <c r="C1151" i="24" s="1"/>
  <c r="C1152" i="24" a="1"/>
  <c r="C1152" i="24" s="1"/>
  <c r="C1153" i="24" a="1"/>
  <c r="C1153" i="24" s="1"/>
  <c r="C1154" i="24" a="1"/>
  <c r="C1154" i="24" s="1"/>
  <c r="C1155" i="24" a="1"/>
  <c r="C1155" i="24" s="1"/>
  <c r="C1156" i="24" a="1"/>
  <c r="C1156" i="24" s="1"/>
  <c r="C1157" i="24" a="1"/>
  <c r="C1157" i="24" s="1"/>
  <c r="C1158" i="24" a="1"/>
  <c r="C1158" i="24" s="1"/>
  <c r="C1159" i="24" a="1"/>
  <c r="C1159" i="24" s="1"/>
  <c r="C1160" i="24" a="1"/>
  <c r="C1160" i="24" s="1"/>
  <c r="C1161" i="24" a="1"/>
  <c r="C1161" i="24" s="1"/>
  <c r="C1162" i="24" a="1"/>
  <c r="C1162" i="24" s="1"/>
  <c r="C1163" i="24" a="1"/>
  <c r="C1163" i="24" s="1"/>
  <c r="C1164" i="24" a="1"/>
  <c r="C1164" i="24" s="1"/>
  <c r="C1165" i="24" a="1"/>
  <c r="C1165" i="24" s="1"/>
  <c r="C1166" i="24" a="1"/>
  <c r="C1166" i="24" s="1"/>
  <c r="C1167" i="24" a="1"/>
  <c r="C1167" i="24" s="1"/>
  <c r="C1168" i="24" a="1"/>
  <c r="C1168" i="24" s="1"/>
  <c r="C1169" i="24" a="1"/>
  <c r="C1169" i="24" s="1"/>
  <c r="C1170" i="24" a="1"/>
  <c r="C1170" i="24" s="1"/>
  <c r="C1171" i="24" a="1"/>
  <c r="C1171" i="24" s="1"/>
  <c r="C1172" i="24" a="1"/>
  <c r="C1172" i="24" s="1"/>
  <c r="C1173" i="24" a="1"/>
  <c r="C1173" i="24" s="1"/>
  <c r="C1174" i="24" a="1"/>
  <c r="C1174" i="24" s="1"/>
  <c r="C1175" i="24" a="1"/>
  <c r="C1175" i="24" s="1"/>
  <c r="C1176" i="24" a="1"/>
  <c r="C1176" i="24" s="1"/>
  <c r="C1177" i="24" a="1"/>
  <c r="C1177" i="24" s="1"/>
  <c r="C1178" i="24" a="1"/>
  <c r="C1178" i="24" s="1"/>
  <c r="C1179" i="24" a="1"/>
  <c r="C1179" i="24" s="1"/>
  <c r="C1180" i="24" a="1"/>
  <c r="C1180" i="24" s="1"/>
  <c r="C1181" i="24" a="1"/>
  <c r="C1181" i="24" s="1"/>
  <c r="C1182" i="24" a="1"/>
  <c r="C1182" i="24" s="1"/>
  <c r="C1183" i="24" a="1"/>
  <c r="C1183" i="24" s="1"/>
  <c r="C1184" i="24" a="1"/>
  <c r="C1184" i="24" s="1"/>
  <c r="C1185" i="24" a="1"/>
  <c r="C1185" i="24" s="1"/>
  <c r="C1186" i="24" a="1"/>
  <c r="C1186" i="24" s="1"/>
  <c r="C1187" i="24" a="1"/>
  <c r="C1187" i="24" s="1"/>
  <c r="C1188" i="24" a="1"/>
  <c r="C1188" i="24" s="1"/>
  <c r="C1189" i="24" a="1"/>
  <c r="C1189" i="24" s="1"/>
  <c r="C1190" i="24" a="1"/>
  <c r="C1190" i="24" s="1"/>
  <c r="C1191" i="24" a="1"/>
  <c r="C1191" i="24" s="1"/>
  <c r="C1192" i="24" a="1"/>
  <c r="C1192" i="24" s="1"/>
  <c r="C1193" i="24" a="1"/>
  <c r="C1193" i="24" s="1"/>
  <c r="C1194" i="24" a="1"/>
  <c r="C1194" i="24" s="1"/>
  <c r="C1195" i="24" a="1"/>
  <c r="C1195" i="24" s="1"/>
  <c r="C1196" i="24" a="1"/>
  <c r="C1196" i="24" s="1"/>
  <c r="C1197" i="24" a="1"/>
  <c r="C1197" i="24" s="1"/>
  <c r="C1198" i="24" a="1"/>
  <c r="C1198" i="24" s="1"/>
  <c r="C1199" i="24" a="1"/>
  <c r="C1199" i="24" s="1"/>
  <c r="C1200" i="24" a="1"/>
  <c r="C1200" i="24" s="1"/>
  <c r="C1201" i="24" a="1"/>
  <c r="C1201" i="24" s="1"/>
  <c r="C1202" i="24" a="1"/>
  <c r="C1202" i="24" s="1"/>
  <c r="C1203" i="24" a="1"/>
  <c r="C1203" i="24" s="1"/>
  <c r="C1204" i="24" a="1"/>
  <c r="C1204" i="24" s="1"/>
  <c r="C1205" i="24" a="1"/>
  <c r="C1205" i="24" s="1"/>
  <c r="C1206" i="24" a="1"/>
  <c r="C1206" i="24" s="1"/>
  <c r="C1207" i="24" a="1"/>
  <c r="C1207" i="24" s="1"/>
  <c r="C1208" i="24" a="1"/>
  <c r="C1208" i="24" s="1"/>
  <c r="C1209" i="24" a="1"/>
  <c r="C1209" i="24" s="1"/>
  <c r="C1210" i="24" a="1"/>
  <c r="C1210" i="24" s="1"/>
  <c r="C1211" i="24" a="1"/>
  <c r="C1211" i="24" s="1"/>
  <c r="C1212" i="24" a="1"/>
  <c r="C1212" i="24" s="1"/>
  <c r="C1213" i="24" a="1"/>
  <c r="C1213" i="24" s="1"/>
  <c r="C1214" i="24" a="1"/>
  <c r="C1214" i="24" s="1"/>
  <c r="C1215" i="24" a="1"/>
  <c r="C1215" i="24" s="1"/>
  <c r="C1216" i="24" a="1"/>
  <c r="C1216" i="24" s="1"/>
  <c r="C1217" i="24" a="1"/>
  <c r="C1217" i="24" s="1"/>
  <c r="C1218" i="24" a="1"/>
  <c r="C1218" i="24" s="1"/>
  <c r="C1219" i="24" a="1"/>
  <c r="C1219" i="24" s="1"/>
  <c r="C1220" i="24" a="1"/>
  <c r="C1220" i="24" s="1"/>
  <c r="C1221" i="24" a="1"/>
  <c r="C1221" i="24" s="1"/>
  <c r="C1222" i="24" a="1"/>
  <c r="C1222" i="24" s="1"/>
  <c r="C1223" i="24" a="1"/>
  <c r="C1223" i="24" s="1"/>
  <c r="C1224" i="24" a="1"/>
  <c r="C1224" i="24" s="1"/>
  <c r="C1225" i="24" a="1"/>
  <c r="C1225" i="24" s="1"/>
  <c r="C1226" i="24" a="1"/>
  <c r="C1226" i="24" s="1"/>
  <c r="C1227" i="24" a="1"/>
  <c r="C1227" i="24" s="1"/>
  <c r="C1228" i="24" a="1"/>
  <c r="C1228" i="24" s="1"/>
  <c r="C1229" i="24" a="1"/>
  <c r="C1229" i="24" s="1"/>
  <c r="C1230" i="24" a="1"/>
  <c r="C1230" i="24" s="1"/>
  <c r="C1231" i="24" a="1"/>
  <c r="C1231" i="24" s="1"/>
  <c r="C1232" i="24" a="1"/>
  <c r="C1232" i="24" s="1"/>
  <c r="C1233" i="24" a="1"/>
  <c r="C1233" i="24" s="1"/>
  <c r="C1234" i="24" a="1"/>
  <c r="C1234" i="24" s="1"/>
  <c r="C1235" i="24" a="1"/>
  <c r="C1235" i="24" s="1"/>
  <c r="C1236" i="24" a="1"/>
  <c r="C1236" i="24" s="1"/>
  <c r="C1237" i="24" a="1"/>
  <c r="C1237" i="24" s="1"/>
  <c r="C1238" i="24" a="1"/>
  <c r="C1238" i="24" s="1"/>
  <c r="C1239" i="24" a="1"/>
  <c r="C1239" i="24" s="1"/>
  <c r="C1240" i="24" a="1"/>
  <c r="C1240" i="24" s="1"/>
  <c r="C1241" i="24" a="1"/>
  <c r="C1241" i="24" s="1"/>
  <c r="C1242" i="24" a="1"/>
  <c r="C1242" i="24" s="1"/>
  <c r="C1243" i="24" a="1"/>
  <c r="C1243" i="24" s="1"/>
  <c r="C1244" i="24" a="1"/>
  <c r="C1244" i="24" s="1"/>
  <c r="C1245" i="24" a="1"/>
  <c r="C1245" i="24" s="1"/>
  <c r="C1246" i="24" a="1"/>
  <c r="C1246" i="24" s="1"/>
  <c r="C1247" i="24" a="1"/>
  <c r="C1247" i="24" s="1"/>
  <c r="C1248" i="24" a="1"/>
  <c r="C1248" i="24" s="1"/>
  <c r="C1249" i="24" a="1"/>
  <c r="C1249" i="24" s="1"/>
  <c r="C1250" i="24" a="1"/>
  <c r="C1250" i="24" s="1"/>
  <c r="C1251" i="24" a="1"/>
  <c r="C1251" i="24" s="1"/>
  <c r="C1252" i="24" a="1"/>
  <c r="C1252" i="24" s="1"/>
  <c r="C1253" i="24" a="1"/>
  <c r="C1253" i="24" s="1"/>
  <c r="C1254" i="24" a="1"/>
  <c r="C1254" i="24" s="1"/>
  <c r="C1255" i="24" a="1"/>
  <c r="C1255" i="24" s="1"/>
  <c r="C1256" i="24" a="1"/>
  <c r="C1256" i="24" s="1"/>
  <c r="C1257" i="24" a="1"/>
  <c r="C1257" i="24" s="1"/>
  <c r="C1258" i="24" a="1"/>
  <c r="C1258" i="24" s="1"/>
  <c r="C1259" i="24" a="1"/>
  <c r="C1259" i="24" s="1"/>
  <c r="C1260" i="24" a="1"/>
  <c r="C1260" i="24" s="1"/>
  <c r="C1261" i="24" a="1"/>
  <c r="C1261" i="24" s="1"/>
  <c r="C1262" i="24" a="1"/>
  <c r="C1262" i="24" s="1"/>
  <c r="C1263" i="24" a="1"/>
  <c r="C1263" i="24" s="1"/>
  <c r="C1264" i="24" a="1"/>
  <c r="C1264" i="24" s="1"/>
  <c r="C1265" i="24" a="1"/>
  <c r="C1265" i="24" s="1"/>
  <c r="C1266" i="24" a="1"/>
  <c r="C1266" i="24" s="1"/>
  <c r="C1267" i="24" a="1"/>
  <c r="C1267" i="24" s="1"/>
  <c r="C1268" i="24" a="1"/>
  <c r="C1268" i="24" s="1"/>
  <c r="C1269" i="24" a="1"/>
  <c r="C1269" i="24" s="1"/>
  <c r="C1270" i="24" a="1"/>
  <c r="C1270" i="24" s="1"/>
  <c r="C1271" i="24" a="1"/>
  <c r="C1271" i="24" s="1"/>
  <c r="C1272" i="24" a="1"/>
  <c r="C1272" i="24" s="1"/>
  <c r="C1273" i="24" a="1"/>
  <c r="C1273" i="24" s="1"/>
  <c r="C1274" i="24" a="1"/>
  <c r="C1274" i="24" s="1"/>
  <c r="C1275" i="24" a="1"/>
  <c r="C1275" i="24" s="1"/>
  <c r="C1276" i="24" a="1"/>
  <c r="C1276" i="24" s="1"/>
  <c r="C1277" i="24" a="1"/>
  <c r="C1277" i="24" s="1"/>
  <c r="C1278" i="24" a="1"/>
  <c r="C1278" i="24" s="1"/>
  <c r="C1279" i="24" a="1"/>
  <c r="C1279" i="24" s="1"/>
  <c r="C1280" i="24" a="1"/>
  <c r="C1280" i="24" s="1"/>
  <c r="C1281" i="24" a="1"/>
  <c r="C1281" i="24" s="1"/>
  <c r="C1282" i="24" a="1"/>
  <c r="C1282" i="24" s="1"/>
  <c r="C1283" i="24" a="1"/>
  <c r="C1283" i="24" s="1"/>
  <c r="C1284" i="24" a="1"/>
  <c r="C1284" i="24" s="1"/>
  <c r="C1285" i="24" a="1"/>
  <c r="C1285" i="24" s="1"/>
  <c r="C1286" i="24" a="1"/>
  <c r="C1286" i="24" s="1"/>
  <c r="C1287" i="24" a="1"/>
  <c r="C1287" i="24" s="1"/>
  <c r="C1288" i="24" a="1"/>
  <c r="C1288" i="24" s="1"/>
  <c r="C1289" i="24" a="1"/>
  <c r="C1289" i="24" s="1"/>
  <c r="C1290" i="24" a="1"/>
  <c r="C1290" i="24" s="1"/>
  <c r="C1291" i="24" a="1"/>
  <c r="C1291" i="24" s="1"/>
  <c r="C1292" i="24" a="1"/>
  <c r="C1292" i="24" s="1"/>
  <c r="C1293" i="24" a="1"/>
  <c r="C1293" i="24" s="1"/>
  <c r="C1294" i="24" a="1"/>
  <c r="C1294" i="24" s="1"/>
  <c r="C1295" i="24" a="1"/>
  <c r="C1295" i="24" s="1"/>
  <c r="C1296" i="24" a="1"/>
  <c r="C1296" i="24" s="1"/>
  <c r="C1297" i="24" a="1"/>
  <c r="C1297" i="24" s="1"/>
  <c r="C1298" i="24" a="1"/>
  <c r="C1298" i="24" s="1"/>
  <c r="C1299" i="24" a="1"/>
  <c r="C1299" i="24" s="1"/>
  <c r="C1300" i="24" a="1"/>
  <c r="C1300" i="24" s="1"/>
  <c r="C1301" i="24" a="1"/>
  <c r="C1301" i="24" s="1"/>
  <c r="C1302" i="24" a="1"/>
  <c r="C1302" i="24" s="1"/>
  <c r="C1303" i="24" a="1"/>
  <c r="C1303" i="24" s="1"/>
  <c r="C1304" i="24" a="1"/>
  <c r="C1304" i="24" s="1"/>
  <c r="C1305" i="24" a="1"/>
  <c r="C1305" i="24" s="1"/>
  <c r="C1306" i="24" a="1"/>
  <c r="C1306" i="24" s="1"/>
  <c r="C1307" i="24" a="1"/>
  <c r="C1307" i="24" s="1"/>
  <c r="C1308" i="24" a="1"/>
  <c r="C1308" i="24" s="1"/>
  <c r="C1309" i="24" a="1"/>
  <c r="C1309" i="24" s="1"/>
  <c r="C1310" i="24" a="1"/>
  <c r="C1310" i="24" s="1"/>
  <c r="C1311" i="24" a="1"/>
  <c r="C1311" i="24" s="1"/>
  <c r="C1312" i="24" a="1"/>
  <c r="C1312" i="24" s="1"/>
  <c r="C1313" i="24" a="1"/>
  <c r="C1313" i="24" s="1"/>
  <c r="C1314" i="24" a="1"/>
  <c r="C1314" i="24" s="1"/>
  <c r="C1315" i="24" a="1"/>
  <c r="C1315" i="24" s="1"/>
  <c r="C1316" i="24" a="1"/>
  <c r="C1316" i="24" s="1"/>
  <c r="C1317" i="24" a="1"/>
  <c r="C1317" i="24" s="1"/>
  <c r="C1318" i="24" a="1"/>
  <c r="C1318" i="24" s="1"/>
  <c r="C1319" i="24" a="1"/>
  <c r="C1319" i="24" s="1"/>
  <c r="C1320" i="24" a="1"/>
  <c r="C1320" i="24" s="1"/>
  <c r="C1321" i="24" a="1"/>
  <c r="C1321" i="24" s="1"/>
  <c r="C1322" i="24" a="1"/>
  <c r="C1322" i="24" s="1"/>
  <c r="C1323" i="24" a="1"/>
  <c r="C1323" i="24" s="1"/>
  <c r="C1324" i="24" a="1"/>
  <c r="C1324" i="24" s="1"/>
  <c r="C1325" i="24" a="1"/>
  <c r="C1325" i="24" s="1"/>
  <c r="C1326" i="24" a="1"/>
  <c r="C1326" i="24" s="1"/>
  <c r="C1327" i="24" a="1"/>
  <c r="C1327" i="24" s="1"/>
  <c r="C1328" i="24" a="1"/>
  <c r="C1328" i="24" s="1"/>
  <c r="C1329" i="24" a="1"/>
  <c r="C1329" i="24" s="1"/>
  <c r="C1330" i="24" a="1"/>
  <c r="C1330" i="24" s="1"/>
  <c r="C1331" i="24" a="1"/>
  <c r="C1331" i="24" s="1"/>
  <c r="C1332" i="24" a="1"/>
  <c r="C1332" i="24" s="1"/>
  <c r="C1333" i="24" a="1"/>
  <c r="C1333" i="24" s="1"/>
  <c r="C1334" i="24" a="1"/>
  <c r="C1334" i="24" s="1"/>
  <c r="C1335" i="24" a="1"/>
  <c r="C1335" i="24" s="1"/>
  <c r="C1336" i="24" a="1"/>
  <c r="C1336" i="24" s="1"/>
  <c r="C1337" i="24" a="1"/>
  <c r="C1337" i="24" s="1"/>
  <c r="C1338" i="24" a="1"/>
  <c r="C1338" i="24" s="1"/>
  <c r="C1339" i="24" a="1"/>
  <c r="C1339" i="24" s="1"/>
  <c r="C1340" i="24" a="1"/>
  <c r="C1340" i="24" s="1"/>
  <c r="C1341" i="24" a="1"/>
  <c r="C1341" i="24" s="1"/>
  <c r="C1342" i="24" a="1"/>
  <c r="C1342" i="24" s="1"/>
  <c r="C1343" i="24" a="1"/>
  <c r="C1343" i="24" s="1"/>
  <c r="C1344" i="24" a="1"/>
  <c r="C1344" i="24" s="1"/>
  <c r="C1345" i="24" a="1"/>
  <c r="C1345" i="24" s="1"/>
  <c r="C1346" i="24" a="1"/>
  <c r="C1346" i="24" s="1"/>
  <c r="C1347" i="24" a="1"/>
  <c r="C1347" i="24" s="1"/>
  <c r="C1348" i="24" a="1"/>
  <c r="C1348" i="24" s="1"/>
  <c r="C1349" i="24" a="1"/>
  <c r="C1349" i="24" s="1"/>
  <c r="C1350" i="24" a="1"/>
  <c r="C1350" i="24" s="1"/>
  <c r="C1351" i="24" a="1"/>
  <c r="C1351" i="24" s="1"/>
  <c r="C1352" i="24" a="1"/>
  <c r="C1352" i="24" s="1"/>
  <c r="C1353" i="24" a="1"/>
  <c r="C1353" i="24" s="1"/>
  <c r="C1354" i="24" a="1"/>
  <c r="C1354" i="24" s="1"/>
  <c r="C1355" i="24" a="1"/>
  <c r="C1355" i="24" s="1"/>
  <c r="C1356" i="24" a="1"/>
  <c r="C1356" i="24" s="1"/>
  <c r="C1357" i="24" a="1"/>
  <c r="C1357" i="24" s="1"/>
  <c r="C1358" i="24" a="1"/>
  <c r="C1358" i="24" s="1"/>
  <c r="C1359" i="24" a="1"/>
  <c r="C1359" i="24" s="1"/>
  <c r="C1360" i="24" a="1"/>
  <c r="C1360" i="24" s="1"/>
  <c r="C1361" i="24" a="1"/>
  <c r="C1361" i="24" s="1"/>
  <c r="C1362" i="24" a="1"/>
  <c r="C1362" i="24" s="1"/>
  <c r="C1363" i="24" a="1"/>
  <c r="C1363" i="24" s="1"/>
  <c r="C1364" i="24" a="1"/>
  <c r="C1364" i="24" s="1"/>
  <c r="C1365" i="24" a="1"/>
  <c r="C1365" i="24" s="1"/>
  <c r="C1366" i="24" a="1"/>
  <c r="C1366" i="24" s="1"/>
  <c r="C1367" i="24" a="1"/>
  <c r="C1367" i="24" s="1"/>
  <c r="C1368" i="24" a="1"/>
  <c r="C1368" i="24" s="1"/>
  <c r="C1369" i="24" a="1"/>
  <c r="C1369" i="24" s="1"/>
  <c r="C1370" i="24" a="1"/>
  <c r="C1370" i="24" s="1"/>
  <c r="C1371" i="24" a="1"/>
  <c r="C1371" i="24" s="1"/>
  <c r="C1372" i="24" a="1"/>
  <c r="C1372" i="24" s="1"/>
  <c r="C1373" i="24" a="1"/>
  <c r="C1373" i="24" s="1"/>
  <c r="C1374" i="24" a="1"/>
  <c r="C1374" i="24" s="1"/>
  <c r="C1375" i="24" a="1"/>
  <c r="C1375" i="24" s="1"/>
  <c r="C1376" i="24" a="1"/>
  <c r="C1376" i="24" s="1"/>
  <c r="C1377" i="24" a="1"/>
  <c r="C1377" i="24" s="1"/>
  <c r="C1378" i="24" a="1"/>
  <c r="C1378" i="24" s="1"/>
  <c r="C1379" i="24" a="1"/>
  <c r="C1379" i="24" s="1"/>
  <c r="C1380" i="24" a="1"/>
  <c r="C1380" i="24" s="1"/>
  <c r="C1381" i="24" a="1"/>
  <c r="C1381" i="24" s="1"/>
  <c r="C1382" i="24" a="1"/>
  <c r="C1382" i="24" s="1"/>
  <c r="C1383" i="24" a="1"/>
  <c r="C1383" i="24" s="1"/>
  <c r="C1384" i="24" a="1"/>
  <c r="C1384" i="24" s="1"/>
  <c r="C1385" i="24" a="1"/>
  <c r="C1385" i="24" s="1"/>
  <c r="C1386" i="24" a="1"/>
  <c r="C1386" i="24" s="1"/>
  <c r="C1387" i="24" a="1"/>
  <c r="C1387" i="24" s="1"/>
  <c r="C1388" i="24" a="1"/>
  <c r="C1388" i="24" s="1"/>
  <c r="C1389" i="24" a="1"/>
  <c r="C1389" i="24" s="1"/>
  <c r="C1390" i="24" a="1"/>
  <c r="C1390" i="24" s="1"/>
  <c r="C1391" i="24" a="1"/>
  <c r="C1391" i="24" s="1"/>
  <c r="C1392" i="24" a="1"/>
  <c r="C1392" i="24" s="1"/>
  <c r="C1393" i="24" a="1"/>
  <c r="C1393" i="24" s="1"/>
  <c r="C1394" i="24" a="1"/>
  <c r="C1394" i="24" s="1"/>
  <c r="C1395" i="24" a="1"/>
  <c r="C1395" i="24" s="1"/>
  <c r="C1396" i="24" a="1"/>
  <c r="C1396" i="24" s="1"/>
  <c r="C1397" i="24" a="1"/>
  <c r="C1397" i="24" s="1"/>
  <c r="C1398" i="24" a="1"/>
  <c r="C1398" i="24" s="1"/>
  <c r="C1399" i="24" a="1"/>
  <c r="C1399" i="24" s="1"/>
  <c r="C1400" i="24" a="1"/>
  <c r="C1400" i="24" s="1"/>
  <c r="C1401" i="24" a="1"/>
  <c r="C1401" i="24" s="1"/>
  <c r="C1402" i="24" a="1"/>
  <c r="C1402" i="24" s="1"/>
  <c r="C1403" i="24" a="1"/>
  <c r="C1403" i="24" s="1"/>
  <c r="C1404" i="24" a="1"/>
  <c r="C1404" i="24" s="1"/>
  <c r="C1405" i="24" a="1"/>
  <c r="C1405" i="24" s="1"/>
  <c r="C1406" i="24" a="1"/>
  <c r="C1406" i="24" s="1"/>
  <c r="C1407" i="24" a="1"/>
  <c r="C1407" i="24" s="1"/>
  <c r="C1408" i="24" a="1"/>
  <c r="C1408" i="24" s="1"/>
  <c r="C1409" i="24" a="1"/>
  <c r="C1409" i="24" s="1"/>
  <c r="C1410" i="24" a="1"/>
  <c r="C1410" i="24" s="1"/>
  <c r="C1411" i="24" a="1"/>
  <c r="C1411" i="24" s="1"/>
  <c r="C1412" i="24" a="1"/>
  <c r="C1412" i="24" s="1"/>
  <c r="C1413" i="24" a="1"/>
  <c r="C1413" i="24" s="1"/>
  <c r="C1414" i="24" a="1"/>
  <c r="C1414" i="24" s="1"/>
  <c r="C1415" i="24" a="1"/>
  <c r="C1415" i="24" s="1"/>
  <c r="C1416" i="24" a="1"/>
  <c r="C1416" i="24" s="1"/>
  <c r="C1417" i="24" a="1"/>
  <c r="C1417" i="24" s="1"/>
  <c r="C1418" i="24" a="1"/>
  <c r="C1418" i="24" s="1"/>
  <c r="C1419" i="24" a="1"/>
  <c r="C1419" i="24" s="1"/>
  <c r="C1420" i="24" a="1"/>
  <c r="C1420" i="24" s="1"/>
  <c r="C1421" i="24" a="1"/>
  <c r="C1421" i="24" s="1"/>
  <c r="C1422" i="24" a="1"/>
  <c r="C1422" i="24" s="1"/>
  <c r="C1423" i="24" a="1"/>
  <c r="C1423" i="24" s="1"/>
  <c r="C1424" i="24" a="1"/>
  <c r="C1424" i="24" s="1"/>
  <c r="C1425" i="24" a="1"/>
  <c r="C1425" i="24" s="1"/>
  <c r="C1426" i="24" a="1"/>
  <c r="C1426" i="24" s="1"/>
  <c r="C1427" i="24" a="1"/>
  <c r="C1427" i="24" s="1"/>
  <c r="C1428" i="24" a="1"/>
  <c r="C1428" i="24" s="1"/>
  <c r="C1429" i="24" a="1"/>
  <c r="C1429" i="24" s="1"/>
  <c r="C1430" i="24" a="1"/>
  <c r="C1430" i="24" s="1"/>
  <c r="C1431" i="24" a="1"/>
  <c r="C1431" i="24" s="1"/>
  <c r="C1432" i="24" a="1"/>
  <c r="C1432" i="24" s="1"/>
  <c r="C1433" i="24" a="1"/>
  <c r="C1433" i="24" s="1"/>
  <c r="C1434" i="24" a="1"/>
  <c r="C1434" i="24" s="1"/>
  <c r="C1435" i="24" a="1"/>
  <c r="C1435" i="24" s="1"/>
  <c r="C1436" i="24" a="1"/>
  <c r="C1436" i="24" s="1"/>
  <c r="C1437" i="24" a="1"/>
  <c r="C1437" i="24" s="1"/>
  <c r="C1438" i="24" a="1"/>
  <c r="C1438" i="24" s="1"/>
  <c r="C1439" i="24" a="1"/>
  <c r="C1439" i="24" s="1"/>
  <c r="C1440" i="24" a="1"/>
  <c r="C1440" i="24" s="1"/>
  <c r="C1441" i="24" a="1"/>
  <c r="C1441" i="24" s="1"/>
  <c r="C1442" i="24" a="1"/>
  <c r="C1442" i="24" s="1"/>
  <c r="C1443" i="24" a="1"/>
  <c r="C1443" i="24" s="1"/>
  <c r="C1444" i="24" a="1"/>
  <c r="C1444" i="24" s="1"/>
  <c r="C1445" i="24" a="1"/>
  <c r="C1445" i="24" s="1"/>
  <c r="C1446" i="24" a="1"/>
  <c r="C1446" i="24" s="1"/>
  <c r="C1447" i="24" a="1"/>
  <c r="C1447" i="24" s="1"/>
  <c r="C1448" i="24" a="1"/>
  <c r="C1448" i="24" s="1"/>
  <c r="C1449" i="24" a="1"/>
  <c r="C1449" i="24" s="1"/>
  <c r="C1450" i="24" a="1"/>
  <c r="C1450" i="24" s="1"/>
  <c r="C1451" i="24" a="1"/>
  <c r="C1451" i="24" s="1"/>
  <c r="C1452" i="24" a="1"/>
  <c r="C1452" i="24" s="1"/>
  <c r="C1453" i="24" a="1"/>
  <c r="C1453" i="24" s="1"/>
  <c r="C1454" i="24" a="1"/>
  <c r="C1454" i="24" s="1"/>
  <c r="C1455" i="24" a="1"/>
  <c r="C1455" i="24" s="1"/>
  <c r="C1456" i="24" a="1"/>
  <c r="C1456" i="24" s="1"/>
  <c r="C1457" i="24" a="1"/>
  <c r="C1457" i="24" s="1"/>
  <c r="C1458" i="24" a="1"/>
  <c r="C1458" i="24" s="1"/>
  <c r="C1459" i="24" a="1"/>
  <c r="C1459" i="24" s="1"/>
  <c r="C1460" i="24" a="1"/>
  <c r="C1460" i="24" s="1"/>
  <c r="C1461" i="24" a="1"/>
  <c r="C1461" i="24" s="1"/>
  <c r="C1462" i="24" a="1"/>
  <c r="C1462" i="24" s="1"/>
  <c r="C1463" i="24" a="1"/>
  <c r="C1463" i="24" s="1"/>
  <c r="C1464" i="24" a="1"/>
  <c r="C1464" i="24" s="1"/>
  <c r="C1465" i="24" a="1"/>
  <c r="C1465" i="24" s="1"/>
  <c r="C1466" i="24" a="1"/>
  <c r="C1466" i="24" s="1"/>
  <c r="C1467" i="24" a="1"/>
  <c r="C1467" i="24" s="1"/>
  <c r="C1468" i="24" a="1"/>
  <c r="C1468" i="24" s="1"/>
  <c r="C1469" i="24" a="1"/>
  <c r="C1469" i="24" s="1"/>
  <c r="C1470" i="24" a="1"/>
  <c r="C1470" i="24" s="1"/>
  <c r="C1471" i="24" a="1"/>
  <c r="C1471" i="24" s="1"/>
  <c r="C1472" i="24" a="1"/>
  <c r="C1472" i="24" s="1"/>
  <c r="C1473" i="24" a="1"/>
  <c r="C1473" i="24" s="1"/>
  <c r="C1474" i="24" a="1"/>
  <c r="C1474" i="24" s="1"/>
  <c r="C1475" i="24" a="1"/>
  <c r="C1475" i="24" s="1"/>
  <c r="C1476" i="24" a="1"/>
  <c r="C1476" i="24" s="1"/>
  <c r="C1477" i="24" a="1"/>
  <c r="C1477" i="24" s="1"/>
  <c r="C1478" i="24" a="1"/>
  <c r="C1478" i="24" s="1"/>
  <c r="C1479" i="24" a="1"/>
  <c r="C1479" i="24" s="1"/>
  <c r="C1480" i="24" a="1"/>
  <c r="C1480" i="24" s="1"/>
  <c r="C1481" i="24" a="1"/>
  <c r="C1481" i="24" s="1"/>
  <c r="C1482" i="24" a="1"/>
  <c r="C1482" i="24" s="1"/>
  <c r="C1483" i="24" a="1"/>
  <c r="C1483" i="24" s="1"/>
  <c r="C1484" i="24" a="1"/>
  <c r="C1484" i="24" s="1"/>
  <c r="C1485" i="24" a="1"/>
  <c r="C1485" i="24" s="1"/>
  <c r="C1486" i="24" a="1"/>
  <c r="C1486" i="24" s="1"/>
  <c r="C1487" i="24" a="1"/>
  <c r="C1487" i="24" s="1"/>
  <c r="C1488" i="24" a="1"/>
  <c r="C1488" i="24" s="1"/>
  <c r="C1489" i="24" a="1"/>
  <c r="C1489" i="24" s="1"/>
  <c r="C1490" i="24" a="1"/>
  <c r="C1490" i="24" s="1"/>
  <c r="C1491" i="24" a="1"/>
  <c r="C1491" i="24" s="1"/>
  <c r="C1492" i="24" a="1"/>
  <c r="C1492" i="24" s="1"/>
  <c r="C1493" i="24" a="1"/>
  <c r="C1493" i="24" s="1"/>
  <c r="C1494" i="24" a="1"/>
  <c r="C1494" i="24" s="1"/>
  <c r="C1495" i="24" a="1"/>
  <c r="C1495" i="24" s="1"/>
  <c r="C1496" i="24" a="1"/>
  <c r="C1496" i="24" s="1"/>
  <c r="C1497" i="24" a="1"/>
  <c r="C1497" i="24" s="1"/>
  <c r="C1498" i="24" a="1"/>
  <c r="C1498" i="24" s="1"/>
  <c r="C1499" i="24" a="1"/>
  <c r="C1499" i="24" s="1"/>
  <c r="C1500" i="24" a="1"/>
  <c r="C1500" i="24" s="1"/>
  <c r="C1501" i="24" a="1"/>
  <c r="C1501" i="24" s="1"/>
  <c r="C1502" i="24" a="1"/>
  <c r="C1502" i="24" s="1"/>
  <c r="C1503" i="24" a="1"/>
  <c r="C1503" i="24" s="1"/>
  <c r="C1504" i="24" a="1"/>
  <c r="C1504" i="24" s="1"/>
  <c r="C1505" i="24" a="1"/>
  <c r="C1505" i="24" s="1"/>
  <c r="C1506" i="24" a="1"/>
  <c r="C1506" i="24" s="1"/>
  <c r="C1507" i="24" a="1"/>
  <c r="C1507" i="24" s="1"/>
  <c r="C1508" i="24" a="1"/>
  <c r="C1508" i="24" s="1"/>
  <c r="C1509" i="24" a="1"/>
  <c r="C1509" i="24" s="1"/>
  <c r="C1510" i="24" a="1"/>
  <c r="C1510" i="24" s="1"/>
  <c r="C1511" i="24" a="1"/>
  <c r="C1511" i="24" s="1"/>
  <c r="C1512" i="24" a="1"/>
  <c r="C1512" i="24" s="1"/>
  <c r="C1513" i="24" a="1"/>
  <c r="C1513" i="24" s="1"/>
  <c r="C1514" i="24" a="1"/>
  <c r="C1514" i="24" s="1"/>
  <c r="C1515" i="24" a="1"/>
  <c r="C1515" i="24" s="1"/>
  <c r="C1516" i="24" a="1"/>
  <c r="C1516" i="24" s="1"/>
  <c r="C1517" i="24" a="1"/>
  <c r="C1517" i="24" s="1"/>
  <c r="C1518" i="24" a="1"/>
  <c r="C1518" i="24" s="1"/>
  <c r="C1519" i="24" a="1"/>
  <c r="C1519" i="24" s="1"/>
  <c r="C1520" i="24" a="1"/>
  <c r="C1520" i="24" s="1"/>
  <c r="C1521" i="24" a="1"/>
  <c r="C1521" i="24" s="1"/>
  <c r="C1522" i="24" a="1"/>
  <c r="C1522" i="24" s="1"/>
  <c r="C1523" i="24" a="1"/>
  <c r="C1523" i="24" s="1"/>
  <c r="C1524" i="24" a="1"/>
  <c r="C1524" i="24" s="1"/>
  <c r="C1525" i="24" a="1"/>
  <c r="C1525" i="24" s="1"/>
  <c r="C1526" i="24" a="1"/>
  <c r="C1526" i="24" s="1"/>
  <c r="C1527" i="24" a="1"/>
  <c r="C1527" i="24" s="1"/>
  <c r="C1528" i="24" a="1"/>
  <c r="C1528" i="24" s="1"/>
  <c r="C1529" i="24" a="1"/>
  <c r="C1529" i="24" s="1"/>
  <c r="C1530" i="24" a="1"/>
  <c r="C1530" i="24" s="1"/>
  <c r="C1531" i="24" a="1"/>
  <c r="C1531" i="24" s="1"/>
  <c r="C1532" i="24" a="1"/>
  <c r="C1532" i="24" s="1"/>
  <c r="C1533" i="24" a="1"/>
  <c r="C1533" i="24" s="1"/>
  <c r="C1534" i="24" a="1"/>
  <c r="C1534" i="24" s="1"/>
  <c r="C1535" i="24" a="1"/>
  <c r="C1535" i="24" s="1"/>
  <c r="C1536" i="24" a="1"/>
  <c r="C1536" i="24" s="1"/>
  <c r="C1537" i="24" a="1"/>
  <c r="C1537" i="24" s="1"/>
  <c r="C1538" i="24" a="1"/>
  <c r="C1538" i="24" s="1"/>
  <c r="C1539" i="24" a="1"/>
  <c r="C1539" i="24" s="1"/>
  <c r="C1540" i="24" a="1"/>
  <c r="C1540" i="24" s="1"/>
  <c r="C1541" i="24" a="1"/>
  <c r="C1541" i="24" s="1"/>
  <c r="C1542" i="24" a="1"/>
  <c r="C1542" i="24" s="1"/>
  <c r="C1543" i="24" a="1"/>
  <c r="C1543" i="24" s="1"/>
  <c r="C1544" i="24" a="1"/>
  <c r="C1544" i="24" s="1"/>
  <c r="C1545" i="24" a="1"/>
  <c r="C1545" i="24" s="1"/>
  <c r="C1546" i="24" a="1"/>
  <c r="C1546" i="24" s="1"/>
  <c r="C1547" i="24" a="1"/>
  <c r="C1547" i="24" s="1"/>
  <c r="C1548" i="24" a="1"/>
  <c r="C1548" i="24" s="1"/>
  <c r="C1549" i="24" a="1"/>
  <c r="C1549" i="24" s="1"/>
  <c r="C1550" i="24" a="1"/>
  <c r="C1550" i="24" s="1"/>
  <c r="C1551" i="24" a="1"/>
  <c r="C1551" i="24" s="1"/>
  <c r="C1552" i="24" a="1"/>
  <c r="C1552" i="24" s="1"/>
  <c r="C1553" i="24" a="1"/>
  <c r="C1553" i="24" s="1"/>
  <c r="C1554" i="24" a="1"/>
  <c r="C1554" i="24" s="1"/>
  <c r="C1555" i="24" a="1"/>
  <c r="C1555" i="24" s="1"/>
  <c r="C1556" i="24" a="1"/>
  <c r="C1556" i="24" s="1"/>
  <c r="C1557" i="24" a="1"/>
  <c r="C1557" i="24" s="1"/>
  <c r="C1558" i="24" a="1"/>
  <c r="C1558" i="24" s="1"/>
  <c r="C1559" i="24" a="1"/>
  <c r="C1559" i="24" s="1"/>
  <c r="C1560" i="24" a="1"/>
  <c r="C1560" i="24" s="1"/>
  <c r="C1561" i="24" a="1"/>
  <c r="C1561" i="24" s="1"/>
  <c r="C1562" i="24" a="1"/>
  <c r="C1562" i="24" s="1"/>
  <c r="C1563" i="24" a="1"/>
  <c r="C1563" i="24" s="1"/>
  <c r="C1564" i="24" a="1"/>
  <c r="C1564" i="24" s="1"/>
  <c r="C1565" i="24" a="1"/>
  <c r="C1565" i="24" s="1"/>
  <c r="C1566" i="24" a="1"/>
  <c r="C1566" i="24" s="1"/>
  <c r="C1567" i="24" a="1"/>
  <c r="C1567" i="24" s="1"/>
  <c r="C1568" i="24" a="1"/>
  <c r="C1568" i="24" s="1"/>
  <c r="C1569" i="24" a="1"/>
  <c r="C1569" i="24" s="1"/>
  <c r="C1570" i="24" a="1"/>
  <c r="C1570" i="24" s="1"/>
  <c r="C1571" i="24" a="1"/>
  <c r="C1571" i="24" s="1"/>
  <c r="C1572" i="24" a="1"/>
  <c r="C1572" i="24" s="1"/>
  <c r="C1573" i="24" a="1"/>
  <c r="C1573" i="24" s="1"/>
  <c r="C1574" i="24" a="1"/>
  <c r="C1574" i="24" s="1"/>
  <c r="C1575" i="24" a="1"/>
  <c r="C1575" i="24" s="1"/>
  <c r="C1576" i="24" a="1"/>
  <c r="C1576" i="24" s="1"/>
  <c r="C1577" i="24" a="1"/>
  <c r="C1577" i="24" s="1"/>
  <c r="C1578" i="24" a="1"/>
  <c r="C1578" i="24" s="1"/>
  <c r="C1579" i="24" a="1"/>
  <c r="C1579" i="24" s="1"/>
  <c r="C1580" i="24" a="1"/>
  <c r="C1580" i="24" s="1"/>
  <c r="C1581" i="24" a="1"/>
  <c r="C1581" i="24" s="1"/>
  <c r="C1582" i="24" a="1"/>
  <c r="C1582" i="24" s="1"/>
  <c r="C1583" i="24" a="1"/>
  <c r="C1583" i="24" s="1"/>
  <c r="C1584" i="24" a="1"/>
  <c r="C1584" i="24" s="1"/>
  <c r="C1585" i="24" a="1"/>
  <c r="C1585" i="24" s="1"/>
  <c r="C1586" i="24" a="1"/>
  <c r="C1586" i="24" s="1"/>
  <c r="C1587" i="24" a="1"/>
  <c r="C1587" i="24" s="1"/>
  <c r="C1588" i="24" a="1"/>
  <c r="C1588" i="24" s="1"/>
  <c r="C1589" i="24" a="1"/>
  <c r="C1589" i="24" s="1"/>
  <c r="C1590" i="24" a="1"/>
  <c r="C1590" i="24" s="1"/>
  <c r="C1591" i="24" a="1"/>
  <c r="C1591" i="24" s="1"/>
  <c r="C1592" i="24" a="1"/>
  <c r="C1592" i="24" s="1"/>
  <c r="C1593" i="24" a="1"/>
  <c r="C1593" i="24" s="1"/>
  <c r="C1594" i="24" a="1"/>
  <c r="C1594" i="24" s="1"/>
  <c r="C1595" i="24" a="1"/>
  <c r="C1595" i="24" s="1"/>
  <c r="C1596" i="24" a="1"/>
  <c r="C1596" i="24" s="1"/>
  <c r="C1597" i="24" a="1"/>
  <c r="C1597" i="24" s="1"/>
  <c r="C1598" i="24" a="1"/>
  <c r="C1598" i="24" s="1"/>
  <c r="C1599" i="24" a="1"/>
  <c r="C1599" i="24" s="1"/>
  <c r="C1600" i="24" a="1"/>
  <c r="C1600" i="24" s="1"/>
  <c r="C1601" i="24" a="1"/>
  <c r="C1601" i="24" s="1"/>
  <c r="C1602" i="24" a="1"/>
  <c r="C1602" i="24" s="1"/>
  <c r="C1603" i="24" a="1"/>
  <c r="C1603" i="24" s="1"/>
  <c r="C1604" i="24" a="1"/>
  <c r="C1604" i="24" s="1"/>
  <c r="C1605" i="24" a="1"/>
  <c r="C1605" i="24" s="1"/>
  <c r="C1606" i="24" a="1"/>
  <c r="C1606" i="24" s="1"/>
  <c r="C1607" i="24" a="1"/>
  <c r="C1607" i="24" s="1"/>
  <c r="C1608" i="24" a="1"/>
  <c r="C1608" i="24" s="1"/>
  <c r="C1609" i="24" a="1"/>
  <c r="C1609" i="24" s="1"/>
  <c r="C1610" i="24" a="1"/>
  <c r="C1610" i="24" s="1"/>
  <c r="C1611" i="24" a="1"/>
  <c r="C1611" i="24" s="1"/>
  <c r="C1612" i="24" a="1"/>
  <c r="C1612" i="24" s="1"/>
  <c r="C1613" i="24" a="1"/>
  <c r="C1613" i="24" s="1"/>
  <c r="C1614" i="24" a="1"/>
  <c r="C1614" i="24" s="1"/>
  <c r="C1615" i="24" a="1"/>
  <c r="C1615" i="24" s="1"/>
  <c r="C1616" i="24" a="1"/>
  <c r="C1616" i="24" s="1"/>
  <c r="C1617" i="24" a="1"/>
  <c r="C1617" i="24" s="1"/>
  <c r="C1618" i="24" a="1"/>
  <c r="C1618" i="24" s="1"/>
  <c r="C1619" i="24" a="1"/>
  <c r="C1619" i="24" s="1"/>
  <c r="C1620" i="24" a="1"/>
  <c r="C1620" i="24" s="1"/>
  <c r="C1621" i="24" a="1"/>
  <c r="C1621" i="24" s="1"/>
  <c r="C1622" i="24" a="1"/>
  <c r="C1622" i="24" s="1"/>
  <c r="C1623" i="24" a="1"/>
  <c r="C1623" i="24" s="1"/>
  <c r="C1624" i="24" a="1"/>
  <c r="C1624" i="24" s="1"/>
  <c r="C1625" i="24" a="1"/>
  <c r="C1625" i="24" s="1"/>
  <c r="C1626" i="24" a="1"/>
  <c r="C1626" i="24" s="1"/>
  <c r="C1627" i="24" a="1"/>
  <c r="C1627" i="24" s="1"/>
  <c r="C1628" i="24" a="1"/>
  <c r="C1628" i="24" s="1"/>
  <c r="C1629" i="24" a="1"/>
  <c r="C1629" i="24" s="1"/>
  <c r="C1630" i="24" a="1"/>
  <c r="C1630" i="24" s="1"/>
  <c r="C1631" i="24" a="1"/>
  <c r="C1631" i="24" s="1"/>
  <c r="C1632" i="24" a="1"/>
  <c r="C1632" i="24" s="1"/>
  <c r="C1633" i="24" a="1"/>
  <c r="C1633" i="24" s="1"/>
  <c r="C1634" i="24" a="1"/>
  <c r="C1634" i="24" s="1"/>
  <c r="C1635" i="24" a="1"/>
  <c r="C1635" i="24" s="1"/>
  <c r="C1636" i="24" a="1"/>
  <c r="C1636" i="24" s="1"/>
  <c r="C1637" i="24" a="1"/>
  <c r="C1637" i="24" s="1"/>
  <c r="C1638" i="24" a="1"/>
  <c r="C1638" i="24" s="1"/>
  <c r="C1639" i="24" a="1"/>
  <c r="C1639" i="24" s="1"/>
  <c r="C1640" i="24" a="1"/>
  <c r="C1640" i="24" s="1"/>
  <c r="C1641" i="24" a="1"/>
  <c r="C1641" i="24" s="1"/>
  <c r="C1642" i="24" a="1"/>
  <c r="C1642" i="24" s="1"/>
  <c r="C1643" i="24" a="1"/>
  <c r="C1643" i="24" s="1"/>
  <c r="C1644" i="24" a="1"/>
  <c r="C1644" i="24" s="1"/>
  <c r="C1645" i="24" a="1"/>
  <c r="C1645" i="24" s="1"/>
  <c r="C1646" i="24" a="1"/>
  <c r="C1646" i="24" s="1"/>
  <c r="C1647" i="24" a="1"/>
  <c r="C1647" i="24" s="1"/>
  <c r="C1648" i="24" a="1"/>
  <c r="C1648" i="24" s="1"/>
  <c r="C1649" i="24" a="1"/>
  <c r="C1649" i="24" s="1"/>
  <c r="C1650" i="24" a="1"/>
  <c r="C1650" i="24" s="1"/>
  <c r="C1651" i="24" a="1"/>
  <c r="C1651" i="24" s="1"/>
  <c r="C1652" i="24" a="1"/>
  <c r="C1652" i="24" s="1"/>
  <c r="C1653" i="24" a="1"/>
  <c r="C1653" i="24" s="1"/>
  <c r="C1654" i="24" a="1"/>
  <c r="C1654" i="24" s="1"/>
  <c r="C1655" i="24" a="1"/>
  <c r="C1655" i="24" s="1"/>
  <c r="C1656" i="24" a="1"/>
  <c r="C1656" i="24" s="1"/>
  <c r="C1657" i="24" a="1"/>
  <c r="C1657" i="24" s="1"/>
  <c r="C1658" i="24" a="1"/>
  <c r="C1658" i="24" s="1"/>
  <c r="C1659" i="24" a="1"/>
  <c r="C1659" i="24" s="1"/>
  <c r="C1660" i="24" a="1"/>
  <c r="C1660" i="24" s="1"/>
  <c r="C1661" i="24" a="1"/>
  <c r="C1661" i="24" s="1"/>
  <c r="C1662" i="24" a="1"/>
  <c r="C1662" i="24" s="1"/>
  <c r="C1663" i="24" a="1"/>
  <c r="C1663" i="24" s="1"/>
  <c r="C1664" i="24" a="1"/>
  <c r="C1664" i="24" s="1"/>
  <c r="C1665" i="24" a="1"/>
  <c r="C1665" i="24" s="1"/>
  <c r="C1666" i="24" a="1"/>
  <c r="C1666" i="24" s="1"/>
  <c r="C1667" i="24" a="1"/>
  <c r="C1667" i="24" s="1"/>
  <c r="C1668" i="24" a="1"/>
  <c r="C1668" i="24" s="1"/>
  <c r="C1669" i="24" a="1"/>
  <c r="C1669" i="24" s="1"/>
  <c r="C1670" i="24" a="1"/>
  <c r="C1670" i="24" s="1"/>
  <c r="C1671" i="24" a="1"/>
  <c r="C1671" i="24" s="1"/>
  <c r="C1672" i="24" a="1"/>
  <c r="C1672" i="24" s="1"/>
  <c r="C1673" i="24" a="1"/>
  <c r="C1673" i="24" s="1"/>
  <c r="C1674" i="24" a="1"/>
  <c r="C1674" i="24" s="1"/>
  <c r="C1675" i="24" a="1"/>
  <c r="C1675" i="24" s="1"/>
  <c r="C1676" i="24" a="1"/>
  <c r="C1676" i="24" s="1"/>
  <c r="C1677" i="24" a="1"/>
  <c r="C1677" i="24" s="1"/>
  <c r="C1678" i="24" a="1"/>
  <c r="C1678" i="24" s="1"/>
  <c r="C1679" i="24" a="1"/>
  <c r="C1679" i="24" s="1"/>
  <c r="C1680" i="24" a="1"/>
  <c r="C1680" i="24" s="1"/>
  <c r="C1681" i="24" a="1"/>
  <c r="C1681" i="24" s="1"/>
  <c r="C1682" i="24" a="1"/>
  <c r="C1682" i="24" s="1"/>
  <c r="C1683" i="24" a="1"/>
  <c r="C1683" i="24" s="1"/>
  <c r="C1684" i="24" a="1"/>
  <c r="C1684" i="24" s="1"/>
  <c r="C1685" i="24" a="1"/>
  <c r="C1685" i="24" s="1"/>
  <c r="C1686" i="24" a="1"/>
  <c r="C1686" i="24" s="1"/>
  <c r="C1687" i="24" a="1"/>
  <c r="C1687" i="24" s="1"/>
  <c r="C1688" i="24" a="1"/>
  <c r="C1688" i="24" s="1"/>
  <c r="C1689" i="24" a="1"/>
  <c r="C1689" i="24" s="1"/>
  <c r="C1690" i="24" a="1"/>
  <c r="C1690" i="24" s="1"/>
  <c r="C1691" i="24" a="1"/>
  <c r="C1691" i="24" s="1"/>
  <c r="C1692" i="24" a="1"/>
  <c r="C1692" i="24" s="1"/>
  <c r="C1693" i="24" a="1"/>
  <c r="C1693" i="24" s="1"/>
  <c r="C1694" i="24" a="1"/>
  <c r="C1694" i="24" s="1"/>
  <c r="C1695" i="24" a="1"/>
  <c r="C1695" i="24" s="1"/>
  <c r="C1696" i="24" a="1"/>
  <c r="C1696" i="24" s="1"/>
  <c r="C1697" i="24" a="1"/>
  <c r="C1697" i="24" s="1"/>
  <c r="C1698" i="24" a="1"/>
  <c r="C1698" i="24" s="1"/>
  <c r="C1699" i="24" a="1"/>
  <c r="C1699" i="24" s="1"/>
  <c r="C1700" i="24" a="1"/>
  <c r="C1700" i="24" s="1"/>
  <c r="C1701" i="24" a="1"/>
  <c r="C1701" i="24" s="1"/>
  <c r="C1702" i="24" a="1"/>
  <c r="C1702" i="24" s="1"/>
  <c r="C1703" i="24" a="1"/>
  <c r="C1703" i="24" s="1"/>
  <c r="C1704" i="24" a="1"/>
  <c r="C1704" i="24" s="1"/>
  <c r="C1705" i="24" a="1"/>
  <c r="C1705" i="24" s="1"/>
  <c r="C1706" i="24" a="1"/>
  <c r="C1706" i="24" s="1"/>
  <c r="C1707" i="24" a="1"/>
  <c r="C1707" i="24" s="1"/>
  <c r="C1708" i="24" a="1"/>
  <c r="C1708" i="24" s="1"/>
  <c r="C1709" i="24" a="1"/>
  <c r="C1709" i="24" s="1"/>
  <c r="C1710" i="24" a="1"/>
  <c r="C1710" i="24" s="1"/>
  <c r="C1711" i="24" a="1"/>
  <c r="C1711" i="24" s="1"/>
  <c r="C1712" i="24" a="1"/>
  <c r="C1712" i="24" s="1"/>
  <c r="C1713" i="24" a="1"/>
  <c r="C1713" i="24" s="1"/>
  <c r="C1714" i="24" a="1"/>
  <c r="C1714" i="24" s="1"/>
  <c r="C1715" i="24" a="1"/>
  <c r="C1715" i="24" s="1"/>
  <c r="C1716" i="24" a="1"/>
  <c r="C1716" i="24" s="1"/>
  <c r="C1717" i="24" a="1"/>
  <c r="C1717" i="24" s="1"/>
  <c r="C1718" i="24" a="1"/>
  <c r="C1718" i="24" s="1"/>
  <c r="C1719" i="24" a="1"/>
  <c r="C1719" i="24" s="1"/>
  <c r="C1720" i="24" a="1"/>
  <c r="C1720" i="24" s="1"/>
  <c r="C1721" i="24" a="1"/>
  <c r="C1721" i="24" s="1"/>
  <c r="C1722" i="24" a="1"/>
  <c r="C1722" i="24" s="1"/>
  <c r="C1723" i="24" a="1"/>
  <c r="C1723" i="24" s="1"/>
  <c r="C1724" i="24" a="1"/>
  <c r="C1724" i="24" s="1"/>
  <c r="C1725" i="24" a="1"/>
  <c r="C1725" i="24" s="1"/>
  <c r="C1726" i="24" a="1"/>
  <c r="C1726" i="24" s="1"/>
  <c r="C1727" i="24" a="1"/>
  <c r="C1727" i="24" s="1"/>
  <c r="C1728" i="24" a="1"/>
  <c r="C1728" i="24" s="1"/>
  <c r="C1729" i="24" a="1"/>
  <c r="C1729" i="24" s="1"/>
  <c r="C1730" i="24" a="1"/>
  <c r="C1730" i="24" s="1"/>
  <c r="C1731" i="24" a="1"/>
  <c r="C1731" i="24" s="1"/>
  <c r="C1732" i="24" a="1"/>
  <c r="C1732" i="24" s="1"/>
  <c r="C1733" i="24" a="1"/>
  <c r="C1733" i="24" s="1"/>
  <c r="C1734" i="24" a="1"/>
  <c r="C1734" i="24" s="1"/>
  <c r="C1735" i="24" a="1"/>
  <c r="C1735" i="24" s="1"/>
  <c r="C1736" i="24" a="1"/>
  <c r="C1736" i="24" s="1"/>
  <c r="C1737" i="24" a="1"/>
  <c r="C1737" i="24" s="1"/>
  <c r="C1738" i="24" a="1"/>
  <c r="C1738" i="24" s="1"/>
  <c r="C1739" i="24" a="1"/>
  <c r="C1739" i="24" s="1"/>
  <c r="C1740" i="24" a="1"/>
  <c r="C1740" i="24" s="1"/>
  <c r="C1741" i="24" a="1"/>
  <c r="C1741" i="24" s="1"/>
  <c r="C1742" i="24" a="1"/>
  <c r="C1742" i="24" s="1"/>
  <c r="C1743" i="24" a="1"/>
  <c r="C1743" i="24" s="1"/>
  <c r="C1744" i="24" a="1"/>
  <c r="C1744" i="24" s="1"/>
  <c r="C1745" i="24" a="1"/>
  <c r="C1745" i="24" s="1"/>
  <c r="C1746" i="24" a="1"/>
  <c r="C1746" i="24" s="1"/>
  <c r="C1747" i="24" a="1"/>
  <c r="C1747" i="24" s="1"/>
  <c r="C1748" i="24" a="1"/>
  <c r="C1748" i="24" s="1"/>
  <c r="C1749" i="24" a="1"/>
  <c r="C1749" i="24" s="1"/>
  <c r="C1750" i="24" a="1"/>
  <c r="C1750" i="24" s="1"/>
  <c r="C1751" i="24" a="1"/>
  <c r="C1751" i="24" s="1"/>
  <c r="C1752" i="24" a="1"/>
  <c r="C1752" i="24" s="1"/>
  <c r="C1753" i="24" a="1"/>
  <c r="C1753" i="24" s="1"/>
  <c r="C1754" i="24" a="1"/>
  <c r="C1754" i="24" s="1"/>
  <c r="C1755" i="24" a="1"/>
  <c r="C1755" i="24" s="1"/>
  <c r="C1756" i="24" a="1"/>
  <c r="C1756" i="24" s="1"/>
  <c r="C1757" i="24" a="1"/>
  <c r="C1757" i="24" s="1"/>
  <c r="C1758" i="24" a="1"/>
  <c r="C1758" i="24" s="1"/>
  <c r="C1759" i="24" a="1"/>
  <c r="C1759" i="24" s="1"/>
  <c r="C1760" i="24" a="1"/>
  <c r="C1760" i="24" s="1"/>
  <c r="C1761" i="24" a="1"/>
  <c r="C1761" i="24" s="1"/>
  <c r="C1762" i="24" a="1"/>
  <c r="C1762" i="24" s="1"/>
  <c r="C1763" i="24" a="1"/>
  <c r="C1763" i="24" s="1"/>
  <c r="C1764" i="24" a="1"/>
  <c r="C1764" i="24" s="1"/>
  <c r="C1765" i="24" a="1"/>
  <c r="C1765" i="24" s="1"/>
  <c r="C1766" i="24" a="1"/>
  <c r="C1766" i="24" s="1"/>
  <c r="C1767" i="24" a="1"/>
  <c r="C1767" i="24" s="1"/>
  <c r="C1768" i="24" a="1"/>
  <c r="C1768" i="24" s="1"/>
  <c r="C1769" i="24" a="1"/>
  <c r="C1769" i="24" s="1"/>
  <c r="C1770" i="24" a="1"/>
  <c r="C1770" i="24" s="1"/>
  <c r="C1771" i="24" a="1"/>
  <c r="C1771" i="24" s="1"/>
  <c r="C1772" i="24" a="1"/>
  <c r="C1772" i="24" s="1"/>
  <c r="C1773" i="24" a="1"/>
  <c r="C1773" i="24" s="1"/>
  <c r="C1774" i="24" a="1"/>
  <c r="C1774" i="24" s="1"/>
  <c r="C1775" i="24" a="1"/>
  <c r="C1775" i="24" s="1"/>
  <c r="C1776" i="24" a="1"/>
  <c r="C1776" i="24" s="1"/>
  <c r="C1777" i="24" a="1"/>
  <c r="C1777" i="24" s="1"/>
  <c r="C1778" i="24" a="1"/>
  <c r="C1778" i="24" s="1"/>
  <c r="C1779" i="24" a="1"/>
  <c r="C1779" i="24" s="1"/>
  <c r="C1780" i="24" a="1"/>
  <c r="C1780" i="24" s="1"/>
  <c r="C1781" i="24" a="1"/>
  <c r="C1781" i="24" s="1"/>
  <c r="C1782" i="24" a="1"/>
  <c r="C1782" i="24" s="1"/>
  <c r="C1783" i="24" a="1"/>
  <c r="C1783" i="24" s="1"/>
  <c r="C1784" i="24" a="1"/>
  <c r="C1784" i="24" s="1"/>
  <c r="C1785" i="24" a="1"/>
  <c r="C1785" i="24" s="1"/>
  <c r="C1786" i="24" a="1"/>
  <c r="C1786" i="24" s="1"/>
  <c r="C1787" i="24" a="1"/>
  <c r="C1787" i="24" s="1"/>
  <c r="C1788" i="24" a="1"/>
  <c r="C1788" i="24" s="1"/>
  <c r="C1789" i="24" a="1"/>
  <c r="C1789" i="24" s="1"/>
  <c r="C283" i="24" a="1"/>
  <c r="C283" i="24" s="1"/>
  <c r="C284" i="24" a="1"/>
  <c r="C284" i="24" s="1"/>
  <c r="C2" i="24" a="1"/>
  <c r="C2" i="24" s="1"/>
  <c r="C7" i="24" a="1"/>
  <c r="C7" i="24" s="1"/>
  <c r="C8" i="24" a="1"/>
  <c r="C8" i="24" s="1"/>
  <c r="C9" i="24" a="1"/>
  <c r="C9" i="24" s="1"/>
  <c r="C10" i="24" a="1"/>
  <c r="C10" i="24" s="1"/>
  <c r="C11" i="24" a="1"/>
  <c r="C11" i="24" s="1"/>
  <c r="C12" i="24" a="1"/>
  <c r="C12" i="24" s="1"/>
  <c r="C13" i="24" a="1"/>
  <c r="C13" i="24" s="1"/>
  <c r="C14" i="24" a="1"/>
  <c r="C14" i="24" s="1"/>
  <c r="C15" i="24" a="1"/>
  <c r="C15" i="24" s="1"/>
  <c r="C16" i="24" a="1"/>
  <c r="C16" i="24" s="1"/>
  <c r="C17" i="24" a="1"/>
  <c r="C17" i="24" s="1"/>
  <c r="C18" i="24" a="1"/>
  <c r="C18" i="24" s="1"/>
  <c r="C19" i="24" a="1"/>
  <c r="C19" i="24" s="1"/>
  <c r="C20" i="24" a="1"/>
  <c r="C20" i="24" s="1"/>
  <c r="C21" i="24" a="1"/>
  <c r="C21" i="24" s="1"/>
  <c r="C22" i="24" a="1"/>
  <c r="C22" i="24" s="1"/>
  <c r="C23" i="24" a="1"/>
  <c r="C23" i="24" s="1"/>
  <c r="C24" i="24" a="1"/>
  <c r="C24" i="24" s="1"/>
  <c r="C25" i="24" a="1"/>
  <c r="C25" i="24" s="1"/>
  <c r="C26" i="24" a="1"/>
  <c r="C26" i="24" s="1"/>
  <c r="C27" i="24" a="1"/>
  <c r="C27" i="24" s="1"/>
  <c r="C28" i="24" a="1"/>
  <c r="C28" i="24" s="1"/>
  <c r="C29" i="24" a="1"/>
  <c r="C29" i="24" s="1"/>
  <c r="C30" i="24" a="1"/>
  <c r="C30" i="24" s="1"/>
  <c r="C31" i="24" a="1"/>
  <c r="C31" i="24" s="1"/>
  <c r="C32" i="24" a="1"/>
  <c r="C32" i="24" s="1"/>
  <c r="C33" i="24" a="1"/>
  <c r="C33" i="24" s="1"/>
  <c r="C34" i="24" a="1"/>
  <c r="C34" i="24" s="1"/>
  <c r="C35" i="24" a="1"/>
  <c r="C35" i="24" s="1"/>
  <c r="C36" i="24" a="1"/>
  <c r="C36" i="24" s="1"/>
  <c r="C37" i="24" a="1"/>
  <c r="C37" i="24" s="1"/>
  <c r="C38" i="24" a="1"/>
  <c r="C38" i="24" s="1"/>
  <c r="C39" i="24" a="1"/>
  <c r="C39" i="24" s="1"/>
  <c r="C40" i="24" a="1"/>
  <c r="C40" i="24" s="1"/>
  <c r="C41" i="24" a="1"/>
  <c r="C41" i="24" s="1"/>
  <c r="C42" i="24" a="1"/>
  <c r="C42" i="24" s="1"/>
  <c r="C43" i="24" a="1"/>
  <c r="C43" i="24" s="1"/>
  <c r="C44" i="24" a="1"/>
  <c r="C44" i="24" s="1"/>
  <c r="C45" i="24" a="1"/>
  <c r="C45" i="24" s="1"/>
  <c r="C46" i="24" a="1"/>
  <c r="C46" i="24" s="1"/>
  <c r="C47" i="24" a="1"/>
  <c r="C47" i="24" s="1"/>
  <c r="C48" i="24" a="1"/>
  <c r="C48" i="24" s="1"/>
  <c r="C49" i="24" a="1"/>
  <c r="C49" i="24" s="1"/>
  <c r="C50" i="24" a="1"/>
  <c r="C50" i="24" s="1"/>
  <c r="C51" i="24" a="1"/>
  <c r="C51" i="24" s="1"/>
  <c r="C52" i="24" a="1"/>
  <c r="C52" i="24" s="1"/>
  <c r="C53" i="24" a="1"/>
  <c r="C53" i="24" s="1"/>
  <c r="C54" i="24" a="1"/>
  <c r="C54" i="24" s="1"/>
  <c r="C55" i="24" a="1"/>
  <c r="C55" i="24" s="1"/>
  <c r="C56" i="24" a="1"/>
  <c r="C56" i="24" s="1"/>
  <c r="C57" i="24" a="1"/>
  <c r="C57" i="24" s="1"/>
  <c r="C58" i="24" a="1"/>
  <c r="C58" i="24" s="1"/>
  <c r="C59" i="24" a="1"/>
  <c r="C59" i="24" s="1"/>
  <c r="C60" i="24" a="1"/>
  <c r="C60" i="24" s="1"/>
  <c r="C61" i="24" a="1"/>
  <c r="C61" i="24" s="1"/>
  <c r="C62" i="24" a="1"/>
  <c r="C62" i="24" s="1"/>
  <c r="C63" i="24" a="1"/>
  <c r="C63" i="24" s="1"/>
  <c r="C64" i="24" a="1"/>
  <c r="C64" i="24" s="1"/>
  <c r="C65" i="24" a="1"/>
  <c r="C65" i="24" s="1"/>
  <c r="C66" i="24" a="1"/>
  <c r="C66" i="24" s="1"/>
  <c r="C67" i="24" a="1"/>
  <c r="C67" i="24" s="1"/>
  <c r="C68" i="24" a="1"/>
  <c r="C68" i="24" s="1"/>
  <c r="C69" i="24" a="1"/>
  <c r="C69" i="24" s="1"/>
  <c r="C70" i="24" a="1"/>
  <c r="C70" i="24" s="1"/>
  <c r="C71" i="24" a="1"/>
  <c r="C71" i="24" s="1"/>
  <c r="C72" i="24" a="1"/>
  <c r="C72" i="24" s="1"/>
  <c r="C73" i="24" a="1"/>
  <c r="C73" i="24" s="1"/>
  <c r="C74" i="24" a="1"/>
  <c r="C74" i="24" s="1"/>
  <c r="C75" i="24" a="1"/>
  <c r="C75" i="24" s="1"/>
  <c r="C76" i="24" a="1"/>
  <c r="C76" i="24" s="1"/>
  <c r="C77" i="24" a="1"/>
  <c r="C77" i="24" s="1"/>
  <c r="C78" i="24" a="1"/>
  <c r="C78" i="24" s="1"/>
  <c r="C79" i="24" a="1"/>
  <c r="C79" i="24" s="1"/>
  <c r="C80" i="24" a="1"/>
  <c r="C80" i="24" s="1"/>
  <c r="C81" i="24" a="1"/>
  <c r="C81" i="24" s="1"/>
  <c r="C82" i="24" a="1"/>
  <c r="C82" i="24" s="1"/>
  <c r="C83" i="24" a="1"/>
  <c r="C83" i="24" s="1"/>
  <c r="C84" i="24" a="1"/>
  <c r="C84" i="24" s="1"/>
  <c r="C85" i="24" a="1"/>
  <c r="C85" i="24" s="1"/>
  <c r="C86" i="24" a="1"/>
  <c r="C86" i="24" s="1"/>
  <c r="C87" i="24" a="1"/>
  <c r="C87" i="24" s="1"/>
  <c r="C88" i="24" a="1"/>
  <c r="C88" i="24" s="1"/>
  <c r="C89" i="24" a="1"/>
  <c r="C89" i="24" s="1"/>
  <c r="C90" i="24" a="1"/>
  <c r="C90" i="24" s="1"/>
  <c r="C91" i="24" a="1"/>
  <c r="C91" i="24" s="1"/>
  <c r="C92" i="24" a="1"/>
  <c r="C92" i="24" s="1"/>
  <c r="C93" i="24" a="1"/>
  <c r="C93" i="24" s="1"/>
  <c r="C94" i="24" a="1"/>
  <c r="C94" i="24" s="1"/>
  <c r="C95" i="24" a="1"/>
  <c r="C95" i="24" s="1"/>
  <c r="C96" i="24" a="1"/>
  <c r="C96" i="24" s="1"/>
  <c r="C97" i="24" a="1"/>
  <c r="C97" i="24" s="1"/>
  <c r="C98" i="24" a="1"/>
  <c r="C98" i="24" s="1"/>
  <c r="C99" i="24" a="1"/>
  <c r="C99" i="24" s="1"/>
  <c r="C100" i="24" a="1"/>
  <c r="C100" i="24" s="1"/>
  <c r="C101" i="24" a="1"/>
  <c r="C101" i="24" s="1"/>
  <c r="C102" i="24" a="1"/>
  <c r="C102" i="24" s="1"/>
  <c r="C103" i="24" a="1"/>
  <c r="C103" i="24" s="1"/>
  <c r="C104" i="24" a="1"/>
  <c r="C104" i="24" s="1"/>
  <c r="C105" i="24" a="1"/>
  <c r="C105" i="24" s="1"/>
  <c r="C106" i="24" a="1"/>
  <c r="C106" i="24" s="1"/>
  <c r="C107" i="24" a="1"/>
  <c r="C107" i="24" s="1"/>
  <c r="C108" i="24" a="1"/>
  <c r="C108" i="24" s="1"/>
  <c r="C109" i="24" a="1"/>
  <c r="C109" i="24" s="1"/>
  <c r="C110" i="24" a="1"/>
  <c r="C110" i="24" s="1"/>
  <c r="C111" i="24" a="1"/>
  <c r="C111" i="24" s="1"/>
  <c r="C112" i="24" a="1"/>
  <c r="C112" i="24" s="1"/>
  <c r="C113" i="24" a="1"/>
  <c r="C113" i="24" s="1"/>
  <c r="C114" i="24" a="1"/>
  <c r="C114" i="24" s="1"/>
  <c r="C115" i="24" a="1"/>
  <c r="C115" i="24" s="1"/>
  <c r="C116" i="24" a="1"/>
  <c r="C116" i="24" s="1"/>
  <c r="C117" i="24" a="1"/>
  <c r="C117" i="24" s="1"/>
  <c r="C118" i="24" a="1"/>
  <c r="C118" i="24" s="1"/>
  <c r="C119" i="24" a="1"/>
  <c r="C119" i="24" s="1"/>
  <c r="C120" i="24" a="1"/>
  <c r="C120" i="24" s="1"/>
  <c r="C121" i="24" a="1"/>
  <c r="C121" i="24" s="1"/>
  <c r="C122" i="24" a="1"/>
  <c r="C122" i="24" s="1"/>
  <c r="C123" i="24" a="1"/>
  <c r="C123" i="24" s="1"/>
  <c r="C124" i="24" a="1"/>
  <c r="C124" i="24" s="1"/>
  <c r="C125" i="24" a="1"/>
  <c r="C125" i="24" s="1"/>
  <c r="C126" i="24" a="1"/>
  <c r="C126" i="24" s="1"/>
  <c r="C127" i="24" a="1"/>
  <c r="C127" i="24" s="1"/>
  <c r="C128" i="24" a="1"/>
  <c r="C128" i="24" s="1"/>
  <c r="C129" i="24" a="1"/>
  <c r="C129" i="24" s="1"/>
  <c r="C130" i="24" a="1"/>
  <c r="C130" i="24" s="1"/>
  <c r="C131" i="24" a="1"/>
  <c r="C131" i="24" s="1"/>
  <c r="C132" i="24" a="1"/>
  <c r="C132" i="24" s="1"/>
  <c r="C133" i="24" a="1"/>
  <c r="C133" i="24" s="1"/>
  <c r="C134" i="24" a="1"/>
  <c r="C134" i="24" s="1"/>
  <c r="C135" i="24" a="1"/>
  <c r="C135" i="24" s="1"/>
  <c r="C136" i="24" a="1"/>
  <c r="C136" i="24" s="1"/>
  <c r="C137" i="24" a="1"/>
  <c r="C137" i="24" s="1"/>
  <c r="C138" i="24" a="1"/>
  <c r="C138" i="24" s="1"/>
  <c r="C139" i="24" a="1"/>
  <c r="C139" i="24" s="1"/>
  <c r="C140" i="24" a="1"/>
  <c r="C140" i="24" s="1"/>
  <c r="C141" i="24" a="1"/>
  <c r="C141" i="24" s="1"/>
  <c r="C142" i="24" a="1"/>
  <c r="C142" i="24" s="1"/>
  <c r="C143" i="24" a="1"/>
  <c r="C143" i="24" s="1"/>
  <c r="C144" i="24" a="1"/>
  <c r="C144" i="24" s="1"/>
  <c r="C145" i="24" a="1"/>
  <c r="C145" i="24" s="1"/>
  <c r="C146" i="24" a="1"/>
  <c r="C146" i="24" s="1"/>
  <c r="C147" i="24" a="1"/>
  <c r="C147" i="24" s="1"/>
  <c r="C148" i="24" a="1"/>
  <c r="C148" i="24" s="1"/>
  <c r="C149" i="24" a="1"/>
  <c r="C149" i="24" s="1"/>
  <c r="C150" i="24" a="1"/>
  <c r="C150" i="24" s="1"/>
  <c r="C151" i="24" a="1"/>
  <c r="C151" i="24" s="1"/>
  <c r="C152" i="24" a="1"/>
  <c r="C152" i="24" s="1"/>
  <c r="C153" i="24" a="1"/>
  <c r="C153" i="24" s="1"/>
  <c r="C154" i="24" a="1"/>
  <c r="C154" i="24" s="1"/>
  <c r="C155" i="24" a="1"/>
  <c r="C155" i="24" s="1"/>
  <c r="C156" i="24" a="1"/>
  <c r="C156" i="24" s="1"/>
  <c r="C157" i="24" a="1"/>
  <c r="C157" i="24" s="1"/>
  <c r="C158" i="24" a="1"/>
  <c r="C158" i="24" s="1"/>
  <c r="C159" i="24" a="1"/>
  <c r="C159" i="24" s="1"/>
  <c r="C160" i="24" a="1"/>
  <c r="C160" i="24" s="1"/>
  <c r="C161" i="24" a="1"/>
  <c r="C161" i="24" s="1"/>
  <c r="C162" i="24" a="1"/>
  <c r="C162" i="24" s="1"/>
  <c r="C163" i="24" a="1"/>
  <c r="C163" i="24" s="1"/>
  <c r="C164" i="24" a="1"/>
  <c r="C164" i="24" s="1"/>
  <c r="C165" i="24" a="1"/>
  <c r="C165" i="24" s="1"/>
  <c r="C166" i="24" a="1"/>
  <c r="C166" i="24" s="1"/>
  <c r="C167" i="24" a="1"/>
  <c r="C167" i="24" s="1"/>
  <c r="C168" i="24" a="1"/>
  <c r="C168" i="24" s="1"/>
  <c r="C169" i="24" a="1"/>
  <c r="C169" i="24" s="1"/>
  <c r="C170" i="24" a="1"/>
  <c r="C170" i="24" s="1"/>
  <c r="C171" i="24" a="1"/>
  <c r="C171" i="24" s="1"/>
  <c r="C172" i="24" a="1"/>
  <c r="C172" i="24" s="1"/>
  <c r="C173" i="24" a="1"/>
  <c r="C173" i="24" s="1"/>
  <c r="C174" i="24" a="1"/>
  <c r="C174" i="24" s="1"/>
  <c r="C175" i="24" a="1"/>
  <c r="C175" i="24" s="1"/>
  <c r="C176" i="24" a="1"/>
  <c r="C176" i="24" s="1"/>
  <c r="C177" i="24" a="1"/>
  <c r="C177" i="24" s="1"/>
  <c r="C178" i="24" a="1"/>
  <c r="C178" i="24" s="1"/>
  <c r="C179" i="24" a="1"/>
  <c r="C179" i="24" s="1"/>
  <c r="C180" i="24" a="1"/>
  <c r="C180" i="24" s="1"/>
  <c r="C181" i="24" a="1"/>
  <c r="C181" i="24" s="1"/>
  <c r="C182" i="24" a="1"/>
  <c r="C182" i="24" s="1"/>
  <c r="C183" i="24" a="1"/>
  <c r="C183" i="24" s="1"/>
  <c r="C184" i="24" a="1"/>
  <c r="C184" i="24" s="1"/>
  <c r="C185" i="24" a="1"/>
  <c r="C185" i="24" s="1"/>
  <c r="C186" i="24" a="1"/>
  <c r="C186" i="24" s="1"/>
  <c r="C187" i="24" a="1"/>
  <c r="C187" i="24" s="1"/>
  <c r="C188" i="24" a="1"/>
  <c r="C188" i="24" s="1"/>
  <c r="C189" i="24" a="1"/>
  <c r="C189" i="24" s="1"/>
  <c r="C190" i="24" a="1"/>
  <c r="C190" i="24" s="1"/>
  <c r="C191" i="24" a="1"/>
  <c r="C191" i="24" s="1"/>
  <c r="C192" i="24" a="1"/>
  <c r="C192" i="24" s="1"/>
  <c r="C193" i="24" a="1"/>
  <c r="C193" i="24" s="1"/>
  <c r="C194" i="24" a="1"/>
  <c r="C194" i="24" s="1"/>
  <c r="C195" i="24" a="1"/>
  <c r="C195" i="24" s="1"/>
  <c r="C196" i="24" a="1"/>
  <c r="C196" i="24" s="1"/>
  <c r="C197" i="24" a="1"/>
  <c r="C197" i="24" s="1"/>
  <c r="C198" i="24" a="1"/>
  <c r="C198" i="24" s="1"/>
  <c r="C199" i="24" a="1"/>
  <c r="C199" i="24" s="1"/>
  <c r="C200" i="24" a="1"/>
  <c r="C200" i="24" s="1"/>
  <c r="C201" i="24" a="1"/>
  <c r="C201" i="24" s="1"/>
  <c r="C202" i="24" a="1"/>
  <c r="C202" i="24" s="1"/>
  <c r="C203" i="24" a="1"/>
  <c r="C203" i="24" s="1"/>
  <c r="C204" i="24" a="1"/>
  <c r="C204" i="24" s="1"/>
  <c r="C205" i="24" a="1"/>
  <c r="C205" i="24" s="1"/>
  <c r="C206" i="24" a="1"/>
  <c r="C206" i="24" s="1"/>
  <c r="C207" i="24" a="1"/>
  <c r="C207" i="24" s="1"/>
  <c r="C208" i="24" a="1"/>
  <c r="C208" i="24" s="1"/>
  <c r="C209" i="24" a="1"/>
  <c r="C209" i="24" s="1"/>
  <c r="C210" i="24" a="1"/>
  <c r="C210" i="24" s="1"/>
  <c r="C211" i="24" a="1"/>
  <c r="C211" i="24" s="1"/>
  <c r="C212" i="24" a="1"/>
  <c r="C212" i="24" s="1"/>
  <c r="C213" i="24" a="1"/>
  <c r="C213" i="24" s="1"/>
  <c r="C214" i="24" a="1"/>
  <c r="C214" i="24" s="1"/>
  <c r="C215" i="24" a="1"/>
  <c r="C215" i="24" s="1"/>
  <c r="C216" i="24" a="1"/>
  <c r="C216" i="24" s="1"/>
  <c r="C217" i="24" a="1"/>
  <c r="C217" i="24" s="1"/>
  <c r="C218" i="24" a="1"/>
  <c r="C218" i="24" s="1"/>
  <c r="C219" i="24" a="1"/>
  <c r="C219" i="24" s="1"/>
  <c r="C220" i="24" a="1"/>
  <c r="C220" i="24" s="1"/>
  <c r="C221" i="24" a="1"/>
  <c r="C221" i="24" s="1"/>
  <c r="C222" i="24" a="1"/>
  <c r="C222" i="24" s="1"/>
  <c r="C223" i="24" a="1"/>
  <c r="C223" i="24" s="1"/>
  <c r="C224" i="24" a="1"/>
  <c r="C224" i="24" s="1"/>
  <c r="C225" i="24" a="1"/>
  <c r="C225" i="24" s="1"/>
  <c r="C226" i="24" a="1"/>
  <c r="C226" i="24" s="1"/>
  <c r="C227" i="24" a="1"/>
  <c r="C227" i="24" s="1"/>
  <c r="C228" i="24" a="1"/>
  <c r="C228" i="24" s="1"/>
  <c r="C229" i="24" a="1"/>
  <c r="C229" i="24" s="1"/>
  <c r="C230" i="24" a="1"/>
  <c r="C230" i="24" s="1"/>
  <c r="C231" i="24" a="1"/>
  <c r="C231" i="24" s="1"/>
  <c r="C232" i="24" a="1"/>
  <c r="C232" i="24" s="1"/>
  <c r="C233" i="24" a="1"/>
  <c r="C233" i="24" s="1"/>
  <c r="C234" i="24" a="1"/>
  <c r="C234" i="24" s="1"/>
  <c r="C235" i="24" a="1"/>
  <c r="C235" i="24" s="1"/>
  <c r="C236" i="24" a="1"/>
  <c r="C236" i="24" s="1"/>
  <c r="C237" i="24" a="1"/>
  <c r="C237" i="24" s="1"/>
  <c r="C238" i="24" a="1"/>
  <c r="C238" i="24" s="1"/>
  <c r="C239" i="24" a="1"/>
  <c r="C239" i="24" s="1"/>
  <c r="C240" i="24" a="1"/>
  <c r="C240" i="24" s="1"/>
  <c r="C241" i="24" a="1"/>
  <c r="C241" i="24" s="1"/>
  <c r="C242" i="24" a="1"/>
  <c r="C242" i="24" s="1"/>
  <c r="C243" i="24" a="1"/>
  <c r="C243" i="24" s="1"/>
  <c r="C244" i="24" a="1"/>
  <c r="C244" i="24" s="1"/>
  <c r="C245" i="24" a="1"/>
  <c r="C245" i="24" s="1"/>
  <c r="C246" i="24" a="1"/>
  <c r="C246" i="24" s="1"/>
  <c r="C247" i="24" a="1"/>
  <c r="C247" i="24" s="1"/>
  <c r="C248" i="24" a="1"/>
  <c r="C248" i="24" s="1"/>
  <c r="C249" i="24" a="1"/>
  <c r="C249" i="24" s="1"/>
  <c r="C250" i="24" a="1"/>
  <c r="C250" i="24" s="1"/>
  <c r="C251" i="24" a="1"/>
  <c r="C251" i="24" s="1"/>
  <c r="C252" i="24" a="1"/>
  <c r="C252" i="24" s="1"/>
  <c r="C253" i="24" a="1"/>
  <c r="C253" i="24" s="1"/>
  <c r="C254" i="24" a="1"/>
  <c r="C254" i="24" s="1"/>
  <c r="C255" i="24" a="1"/>
  <c r="C255" i="24" s="1"/>
  <c r="C256" i="24" a="1"/>
  <c r="C256" i="24" s="1"/>
  <c r="C257" i="24" a="1"/>
  <c r="C257" i="24" s="1"/>
  <c r="C258" i="24" a="1"/>
  <c r="C258" i="24" s="1"/>
  <c r="C259" i="24" a="1"/>
  <c r="C259" i="24" s="1"/>
  <c r="C260" i="24" a="1"/>
  <c r="C260" i="24" s="1"/>
  <c r="C261" i="24" a="1"/>
  <c r="C261" i="24" s="1"/>
  <c r="C262" i="24" a="1"/>
  <c r="C262" i="24" s="1"/>
  <c r="C263" i="24" a="1"/>
  <c r="C263" i="24" s="1"/>
  <c r="C264" i="24" a="1"/>
  <c r="C264" i="24" s="1"/>
  <c r="C265" i="24" a="1"/>
  <c r="C265" i="24" s="1"/>
  <c r="C266" i="24" a="1"/>
  <c r="C266" i="24" s="1"/>
  <c r="C267" i="24" a="1"/>
  <c r="C267" i="24" s="1"/>
  <c r="C268" i="24" a="1"/>
  <c r="C268" i="24" s="1"/>
  <c r="C269" i="24" a="1"/>
  <c r="C269" i="24" s="1"/>
  <c r="C270" i="24" a="1"/>
  <c r="C270" i="24" s="1"/>
  <c r="C271" i="24" a="1"/>
  <c r="C271" i="24" s="1"/>
  <c r="C272" i="24" a="1"/>
  <c r="C272" i="24" s="1"/>
  <c r="C273" i="24" a="1"/>
  <c r="C273" i="24" s="1"/>
  <c r="C274" i="24" a="1"/>
  <c r="C274" i="24" s="1"/>
  <c r="C275" i="24" a="1"/>
  <c r="C275" i="24" s="1"/>
  <c r="C276" i="24" a="1"/>
  <c r="C276" i="24" s="1"/>
  <c r="C277" i="24" a="1"/>
  <c r="C277" i="24" s="1"/>
  <c r="C278" i="24" a="1"/>
  <c r="C278" i="24" s="1"/>
  <c r="C279" i="24" a="1"/>
  <c r="C279" i="24" s="1"/>
  <c r="C280" i="24" a="1"/>
  <c r="C280" i="24" s="1"/>
  <c r="C281" i="24" a="1"/>
  <c r="C281" i="24" s="1"/>
  <c r="C282" i="24" a="1"/>
  <c r="C282" i="24" s="1"/>
  <c r="C5" i="24" a="1"/>
  <c r="C5" i="24" s="1"/>
  <c r="C6" i="24" a="1"/>
  <c r="C6" i="24" s="1"/>
  <c r="C4" i="24" a="1"/>
  <c r="C4" i="24" s="1"/>
  <c r="C3" i="24" a="1"/>
  <c r="C3" i="24" s="1"/>
  <c r="AK3" i="4"/>
  <c r="AK4" i="4"/>
  <c r="AK5" i="4"/>
  <c r="AK6" i="4"/>
  <c r="AK7" i="4"/>
  <c r="AK9" i="4"/>
  <c r="AK10" i="4"/>
  <c r="AK11" i="4"/>
  <c r="AK12" i="4"/>
  <c r="AK13" i="4"/>
  <c r="AK14" i="4"/>
  <c r="AK15" i="4"/>
  <c r="AK16" i="4"/>
  <c r="AK17" i="4"/>
  <c r="AK2" i="4"/>
  <c r="AJ3" i="5"/>
  <c r="AJ4" i="5"/>
  <c r="AJ5" i="5"/>
  <c r="AJ6" i="5"/>
  <c r="AJ7" i="5"/>
  <c r="AJ8" i="5"/>
  <c r="AJ2" i="5"/>
  <c r="AK3" i="6"/>
  <c r="AK4" i="6"/>
  <c r="AK5" i="6"/>
  <c r="AK6" i="6"/>
  <c r="AK7" i="6"/>
  <c r="AK8" i="6"/>
  <c r="AK9" i="6"/>
  <c r="AK10" i="6"/>
  <c r="AK11" i="6"/>
  <c r="AK12" i="6"/>
  <c r="AK13" i="6"/>
  <c r="AK14" i="6"/>
  <c r="AK15" i="6"/>
  <c r="AK16" i="6"/>
  <c r="AK17" i="6"/>
  <c r="AK18" i="6"/>
  <c r="AK19" i="6"/>
  <c r="AK20" i="6"/>
  <c r="AK21" i="6"/>
  <c r="AK22" i="6"/>
  <c r="AK23" i="6"/>
  <c r="AK24" i="6"/>
  <c r="AK25" i="6"/>
  <c r="AK26" i="6"/>
  <c r="AK27" i="6"/>
  <c r="AK28" i="6"/>
  <c r="AK29" i="6"/>
  <c r="AK30" i="6"/>
  <c r="AK31" i="6"/>
  <c r="AK32" i="6"/>
  <c r="AK33" i="6"/>
  <c r="AK34" i="6"/>
  <c r="AK35" i="6"/>
  <c r="AK36" i="6"/>
  <c r="AK2" i="6"/>
  <c r="AJ3" i="16"/>
  <c r="AJ4" i="16"/>
  <c r="AJ5" i="16"/>
  <c r="AJ6" i="16"/>
  <c r="AJ7" i="16"/>
  <c r="AJ8" i="16"/>
  <c r="AJ9" i="16"/>
  <c r="AJ10" i="16"/>
  <c r="AJ11" i="16"/>
  <c r="AJ2" i="16"/>
  <c r="AJ3" i="15"/>
  <c r="AJ4" i="15"/>
  <c r="AJ5" i="15"/>
  <c r="AJ6" i="15"/>
  <c r="AJ7" i="15"/>
  <c r="AJ8" i="15"/>
  <c r="AJ9" i="15"/>
  <c r="AJ10" i="15"/>
  <c r="AJ11" i="15"/>
  <c r="AJ12" i="15"/>
  <c r="AJ13" i="15"/>
  <c r="AJ2" i="15"/>
  <c r="AK3" i="13"/>
  <c r="AK4" i="13"/>
  <c r="AK5" i="13"/>
  <c r="AK6" i="13"/>
  <c r="AK7" i="13"/>
  <c r="AK8" i="13"/>
  <c r="AK9" i="13"/>
  <c r="AK10" i="13"/>
  <c r="AK11" i="13"/>
  <c r="AK12" i="13"/>
  <c r="AK13" i="13"/>
  <c r="AK14" i="13"/>
  <c r="AK15" i="13"/>
  <c r="AK16" i="13"/>
  <c r="AK17" i="13"/>
  <c r="AK18" i="13"/>
  <c r="AK19" i="13"/>
  <c r="AK20" i="13"/>
  <c r="AK21" i="13"/>
  <c r="AK22" i="13"/>
  <c r="AK23" i="13"/>
  <c r="AK24" i="13"/>
  <c r="AK25" i="13"/>
  <c r="AK26" i="13"/>
  <c r="AK27" i="13"/>
  <c r="AK28" i="13"/>
  <c r="AK29" i="13"/>
  <c r="AK30" i="13"/>
  <c r="AK31" i="13"/>
  <c r="AK32" i="13"/>
  <c r="AK33" i="13"/>
  <c r="AK34" i="13"/>
  <c r="AK35" i="13"/>
  <c r="AK36" i="13"/>
  <c r="AK37" i="13"/>
  <c r="AK38" i="13"/>
  <c r="AK39" i="13"/>
  <c r="AK40" i="13"/>
  <c r="AK41" i="13"/>
  <c r="AK42" i="13"/>
  <c r="AK43" i="13"/>
  <c r="AK44" i="13"/>
  <c r="AK45" i="13"/>
  <c r="AK46" i="13"/>
  <c r="AK47" i="13"/>
  <c r="AK48" i="13"/>
  <c r="AK49" i="13"/>
  <c r="AK50" i="13"/>
  <c r="AK51" i="13"/>
  <c r="AK52" i="13"/>
  <c r="AK53" i="13"/>
  <c r="AK54" i="13"/>
  <c r="AK55" i="13"/>
  <c r="AK56" i="13"/>
  <c r="AK57" i="13"/>
  <c r="AK58" i="13"/>
  <c r="AK59" i="13"/>
  <c r="AK60" i="13"/>
  <c r="AK61" i="13"/>
  <c r="AK62" i="13"/>
  <c r="AK63" i="13"/>
  <c r="AK64" i="13"/>
  <c r="AK65" i="13"/>
  <c r="AK66" i="13"/>
  <c r="AK67" i="13"/>
  <c r="AK68" i="13"/>
  <c r="AK69" i="13"/>
  <c r="AK70" i="13"/>
  <c r="AK71" i="13"/>
  <c r="AK72" i="13"/>
  <c r="AK73" i="13"/>
  <c r="AK74" i="13"/>
  <c r="AK75" i="13"/>
  <c r="AK76" i="13"/>
  <c r="AK77" i="13"/>
  <c r="AK78" i="13"/>
  <c r="AK79" i="13"/>
  <c r="AK80" i="13"/>
  <c r="AK81" i="13"/>
  <c r="AK82" i="13"/>
  <c r="AK83" i="13"/>
  <c r="AK84" i="13"/>
  <c r="AK85" i="13"/>
  <c r="AK86" i="13"/>
  <c r="AK87" i="13"/>
  <c r="AK88" i="13"/>
  <c r="AK89" i="13"/>
  <c r="AK90" i="13"/>
  <c r="AK91" i="13"/>
  <c r="AK92" i="13"/>
  <c r="AK93" i="13"/>
  <c r="AK94" i="13"/>
  <c r="AK95" i="13"/>
  <c r="AK96" i="13"/>
  <c r="AK97" i="13"/>
  <c r="AK98" i="13"/>
  <c r="AK99" i="13"/>
  <c r="AK100" i="13"/>
  <c r="AK101" i="13"/>
  <c r="AK102" i="13"/>
  <c r="AK103" i="13"/>
  <c r="AK104" i="13"/>
  <c r="AK105" i="13"/>
  <c r="AK106" i="13"/>
  <c r="AK107" i="13"/>
  <c r="AK108" i="13"/>
  <c r="AK109" i="13"/>
  <c r="AK110" i="13"/>
  <c r="AK2" i="13"/>
  <c r="AK3" i="11"/>
  <c r="AK4" i="11"/>
  <c r="AK5" i="11"/>
  <c r="AK6" i="11"/>
  <c r="AK7" i="11"/>
  <c r="AK8" i="11"/>
  <c r="AK9" i="11"/>
  <c r="AK10" i="11"/>
  <c r="AK11" i="11"/>
  <c r="AK12" i="11"/>
  <c r="AK13" i="11"/>
  <c r="AK14" i="11"/>
  <c r="AK15" i="11"/>
  <c r="AK16" i="11"/>
  <c r="AK17" i="11"/>
  <c r="AK20" i="11"/>
  <c r="AK21" i="11"/>
  <c r="AK22" i="11"/>
  <c r="AK23" i="11"/>
  <c r="AK24" i="11"/>
  <c r="AK25" i="11"/>
  <c r="AK26" i="11"/>
  <c r="AK27" i="11"/>
  <c r="AK28" i="11"/>
  <c r="AK29" i="11"/>
  <c r="AK30" i="11"/>
  <c r="AK31" i="11"/>
  <c r="AK32" i="11"/>
  <c r="AK33" i="11"/>
  <c r="AK34" i="11"/>
  <c r="AK35" i="11"/>
  <c r="AK36" i="11"/>
  <c r="AK37" i="11"/>
  <c r="AK38" i="11"/>
  <c r="AK39" i="11"/>
  <c r="AK40" i="11"/>
  <c r="AK41" i="11"/>
  <c r="AK42" i="11"/>
  <c r="AK43" i="11"/>
  <c r="AK44" i="11"/>
  <c r="AK45" i="11"/>
  <c r="AK46" i="11"/>
  <c r="AK47" i="11"/>
  <c r="AK48" i="11"/>
  <c r="AK49" i="11"/>
  <c r="AK50" i="11"/>
  <c r="AK51" i="11"/>
  <c r="AK52" i="11"/>
  <c r="AK53" i="11"/>
  <c r="AK54" i="11"/>
  <c r="AK55" i="11"/>
  <c r="AK56" i="11"/>
  <c r="AK57" i="11"/>
  <c r="AK58" i="11"/>
  <c r="AK59" i="11"/>
  <c r="AK60" i="11"/>
  <c r="AK61" i="11"/>
  <c r="AK62" i="11"/>
  <c r="AK63" i="11"/>
  <c r="AK64" i="11"/>
  <c r="AK65" i="11"/>
  <c r="AK66" i="11"/>
  <c r="AK67" i="11"/>
  <c r="AK68" i="11"/>
  <c r="AK69" i="11"/>
  <c r="AK70" i="11"/>
  <c r="AK71" i="11"/>
  <c r="AK72" i="11"/>
  <c r="AK73" i="11"/>
  <c r="AK74" i="11"/>
  <c r="AK75" i="11"/>
  <c r="AK76" i="11"/>
  <c r="AK77" i="11"/>
  <c r="AK78" i="11"/>
  <c r="AK79" i="11"/>
  <c r="AK80" i="11"/>
  <c r="AK81" i="11"/>
  <c r="AK82" i="11"/>
  <c r="AK83" i="11"/>
  <c r="AK84" i="11"/>
  <c r="AK85" i="11"/>
  <c r="AK86" i="11"/>
  <c r="AK87" i="11"/>
  <c r="AK88" i="11"/>
  <c r="AK89" i="11"/>
  <c r="AK90" i="11"/>
  <c r="AK91" i="11"/>
  <c r="AK92" i="11"/>
  <c r="AK93" i="11"/>
  <c r="AK2" i="11"/>
  <c r="AK127"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2" i="3"/>
  <c r="AK3" i="9"/>
  <c r="AK4" i="9"/>
  <c r="AK5" i="9"/>
  <c r="AK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K125" i="9"/>
  <c r="AK126" i="9"/>
  <c r="AK127" i="9"/>
  <c r="AK128" i="9"/>
  <c r="AK129" i="9"/>
  <c r="AK130" i="9"/>
  <c r="AK131" i="9"/>
  <c r="AK132" i="9"/>
  <c r="AK133" i="9"/>
  <c r="AK134" i="9"/>
  <c r="AK135" i="9"/>
  <c r="AK136" i="9"/>
  <c r="AK137" i="9"/>
  <c r="AK138" i="9"/>
  <c r="AK139" i="9"/>
  <c r="AK140" i="9"/>
  <c r="AK141" i="9"/>
  <c r="AK142" i="9"/>
  <c r="AK2" i="9"/>
  <c r="AK3" i="8"/>
  <c r="AK4" i="8"/>
  <c r="AK5" i="8"/>
  <c r="AK6" i="8"/>
  <c r="AK7" i="8"/>
  <c r="AK8" i="8"/>
  <c r="AK9" i="8"/>
  <c r="AK10" i="8"/>
  <c r="AK11" i="8"/>
  <c r="AK12" i="8"/>
  <c r="AK13" i="8"/>
  <c r="AK14" i="8"/>
  <c r="AK15" i="8"/>
  <c r="AK16" i="8"/>
  <c r="AK17" i="8"/>
  <c r="AK18" i="8"/>
  <c r="AK19" i="8"/>
  <c r="AK20" i="8"/>
  <c r="AK21" i="8"/>
  <c r="AK22" i="8"/>
  <c r="AK23" i="8"/>
  <c r="AK24" i="8"/>
  <c r="AK25" i="8"/>
  <c r="AK26" i="8"/>
  <c r="AK27" i="8"/>
  <c r="AK28" i="8"/>
  <c r="AK29" i="8"/>
  <c r="AK30" i="8"/>
  <c r="AK31" i="8"/>
  <c r="AK32" i="8"/>
  <c r="AK33" i="8"/>
  <c r="AK34" i="8"/>
  <c r="AK35" i="8"/>
  <c r="AK36" i="8"/>
  <c r="AK37" i="8"/>
  <c r="AK38" i="8"/>
  <c r="AK2" i="8"/>
  <c r="AK3" i="7"/>
  <c r="AK4" i="7"/>
  <c r="AK5" i="7"/>
  <c r="AK6" i="7"/>
  <c r="AK7" i="7"/>
  <c r="AK8" i="7"/>
  <c r="AK9" i="7"/>
  <c r="AK10" i="7"/>
  <c r="AK11" i="7"/>
  <c r="AK12" i="7"/>
  <c r="AK13" i="7"/>
  <c r="AK14" i="7"/>
  <c r="AK15" i="7"/>
  <c r="AK16" i="7"/>
  <c r="AK17" i="7"/>
  <c r="AK18" i="7"/>
  <c r="AK19" i="7"/>
  <c r="AK20" i="7"/>
  <c r="AK21" i="7"/>
  <c r="AK22" i="7"/>
  <c r="AK23" i="7"/>
  <c r="AK24" i="7"/>
  <c r="AK25" i="7"/>
  <c r="AK26" i="7"/>
  <c r="AK27" i="7"/>
  <c r="AK28" i="7"/>
  <c r="AK29" i="7"/>
  <c r="AK30" i="7"/>
  <c r="AK31" i="7"/>
  <c r="AK32" i="7"/>
  <c r="AK33" i="7"/>
  <c r="AK34" i="7"/>
  <c r="AK35" i="7"/>
  <c r="AK36" i="7"/>
  <c r="AK37" i="7"/>
  <c r="AK38" i="7"/>
  <c r="AK39" i="7"/>
  <c r="AK40" i="7"/>
  <c r="AK41" i="7"/>
  <c r="AK42" i="7"/>
  <c r="AK43" i="7"/>
  <c r="AK44" i="7"/>
  <c r="AK45" i="7"/>
  <c r="AK46" i="7"/>
  <c r="AK47" i="7"/>
  <c r="AK48" i="7"/>
  <c r="AK49" i="7"/>
  <c r="AK50" i="7"/>
  <c r="AK51" i="7"/>
  <c r="AK52" i="7"/>
  <c r="AK53" i="7"/>
  <c r="AK54" i="7"/>
  <c r="AK55" i="7"/>
  <c r="AK56" i="7"/>
  <c r="AK57" i="7"/>
  <c r="AK58" i="7"/>
  <c r="AK59" i="7"/>
  <c r="AK60" i="7"/>
  <c r="AK61" i="7"/>
  <c r="AK62" i="7"/>
  <c r="AK63" i="7"/>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5" i="7"/>
  <c r="AK96" i="7"/>
  <c r="AK97" i="7"/>
  <c r="AK98" i="7"/>
  <c r="AK99" i="7"/>
  <c r="AK100" i="7"/>
  <c r="AK101" i="7"/>
  <c r="AK102" i="7"/>
  <c r="AK103" i="7"/>
  <c r="AK104" i="7"/>
  <c r="AK105" i="7"/>
  <c r="AK106" i="7"/>
  <c r="AK107" i="7"/>
  <c r="AK108" i="7"/>
  <c r="AK109" i="7"/>
  <c r="AK110" i="7"/>
  <c r="AK111" i="7"/>
  <c r="AK112" i="7"/>
  <c r="AK113" i="7"/>
  <c r="AK114" i="7"/>
  <c r="AK115" i="7"/>
  <c r="AK116" i="7"/>
  <c r="AK117" i="7"/>
  <c r="AK118" i="7"/>
  <c r="AK2" i="7"/>
  <c r="AJ3" i="19"/>
  <c r="AJ4" i="19"/>
  <c r="AJ5" i="19"/>
  <c r="AJ6" i="19"/>
  <c r="AJ7" i="19"/>
  <c r="AJ8" i="19"/>
  <c r="AJ9" i="19"/>
  <c r="AJ10" i="19"/>
  <c r="AJ11" i="19"/>
  <c r="AJ12" i="19"/>
  <c r="AJ13" i="19"/>
  <c r="AJ14" i="19"/>
  <c r="AJ15" i="19"/>
  <c r="AJ16" i="19"/>
  <c r="AJ17" i="19"/>
  <c r="AJ18" i="19"/>
  <c r="AJ19" i="19"/>
  <c r="AJ20" i="19"/>
  <c r="AJ21" i="19"/>
  <c r="AJ22" i="19"/>
  <c r="AJ23" i="19"/>
  <c r="AJ24" i="19"/>
  <c r="AJ25" i="19"/>
  <c r="AJ26" i="19"/>
  <c r="AJ27" i="19"/>
  <c r="AJ28" i="19"/>
  <c r="AJ29" i="19"/>
  <c r="AJ30" i="19"/>
  <c r="AJ31" i="19"/>
  <c r="AJ32" i="19"/>
  <c r="AJ33" i="19"/>
  <c r="AJ34" i="19"/>
  <c r="AJ35" i="19"/>
  <c r="AJ36" i="19"/>
  <c r="AJ37" i="19"/>
  <c r="AJ38" i="19"/>
  <c r="AJ39" i="19"/>
  <c r="AJ40" i="19"/>
  <c r="AJ41" i="19"/>
  <c r="AJ42" i="19"/>
  <c r="AJ43" i="19"/>
  <c r="AJ44" i="19"/>
  <c r="AJ45" i="19"/>
  <c r="AJ46" i="19"/>
  <c r="AJ47" i="19"/>
  <c r="AJ48" i="19"/>
  <c r="AJ49" i="19"/>
  <c r="AJ50" i="19"/>
  <c r="AJ51" i="19"/>
  <c r="AJ52" i="19"/>
  <c r="AJ53" i="19"/>
  <c r="AJ54" i="19"/>
  <c r="AJ55" i="19"/>
  <c r="AJ56" i="19"/>
  <c r="AJ57" i="19"/>
  <c r="AJ58" i="19"/>
  <c r="AJ59" i="19"/>
  <c r="AJ60" i="19"/>
  <c r="AJ61" i="19"/>
  <c r="AJ62" i="19"/>
  <c r="AJ63" i="19"/>
  <c r="AJ64" i="19"/>
  <c r="AJ65" i="19"/>
  <c r="AJ66" i="19"/>
  <c r="AJ67" i="19"/>
  <c r="AJ68" i="19"/>
  <c r="AJ69" i="19"/>
  <c r="AJ70" i="19"/>
  <c r="AJ2" i="19"/>
  <c r="AK53" i="18"/>
  <c r="AK54" i="18"/>
  <c r="AK55" i="18"/>
  <c r="AK56" i="18"/>
  <c r="AK57" i="18"/>
  <c r="AK58" i="18"/>
  <c r="AK59" i="18"/>
  <c r="AK60" i="18"/>
  <c r="AK61" i="18"/>
  <c r="AK62" i="18"/>
  <c r="AK63" i="18"/>
  <c r="AK64" i="18"/>
  <c r="AK65" i="18"/>
  <c r="AK66" i="18"/>
  <c r="AK67" i="18"/>
  <c r="AK68" i="18"/>
  <c r="AK69" i="18"/>
  <c r="AK70" i="18"/>
  <c r="AK71" i="18"/>
  <c r="AK72" i="18"/>
  <c r="AK52" i="18"/>
  <c r="AK3" i="10"/>
  <c r="AK4" i="10"/>
  <c r="AK5" i="10"/>
  <c r="AK6" i="10"/>
  <c r="AK7" i="10"/>
  <c r="AK8" i="10"/>
  <c r="AK9" i="10"/>
  <c r="AK10" i="10"/>
  <c r="AK11" i="10"/>
  <c r="AK12" i="10"/>
  <c r="AK13" i="10"/>
  <c r="AK14" i="10"/>
  <c r="AK15" i="10"/>
  <c r="AK16" i="10"/>
  <c r="AK17" i="10"/>
  <c r="AK18" i="10"/>
  <c r="AK19" i="10"/>
  <c r="AK20" i="10"/>
  <c r="AK21" i="10"/>
  <c r="AK22" i="10"/>
  <c r="AK23" i="10"/>
  <c r="AK24" i="10"/>
  <c r="AK25" i="10"/>
  <c r="AK26" i="10"/>
  <c r="AK27" i="10"/>
  <c r="AK28" i="10"/>
  <c r="AK29" i="10"/>
  <c r="AK30" i="10"/>
  <c r="AK31" i="10"/>
  <c r="AK32" i="10"/>
  <c r="AK33" i="10"/>
  <c r="AK34" i="10"/>
  <c r="AK35" i="10"/>
  <c r="AK36" i="10"/>
  <c r="AK37" i="10"/>
  <c r="AK38" i="10"/>
  <c r="AK39" i="10"/>
  <c r="AK40" i="10"/>
  <c r="AK41" i="10"/>
  <c r="AK42" i="10"/>
  <c r="AK43" i="10"/>
  <c r="AK44" i="10"/>
  <c r="AK45" i="10"/>
  <c r="AK46" i="10"/>
  <c r="AK47" i="10"/>
  <c r="AK48" i="10"/>
  <c r="AK49" i="10"/>
  <c r="AK50" i="10"/>
  <c r="AK51" i="10"/>
  <c r="AK52" i="10"/>
  <c r="AK53" i="10"/>
  <c r="AK54" i="10"/>
  <c r="AK55" i="10"/>
  <c r="AK56" i="10"/>
  <c r="AK57" i="10"/>
  <c r="AK58" i="10"/>
  <c r="AK59" i="10"/>
  <c r="AK60" i="10"/>
  <c r="AK61" i="10"/>
  <c r="AK62" i="10"/>
  <c r="AK63" i="10"/>
  <c r="AK64" i="10"/>
  <c r="AK65" i="10"/>
  <c r="AK66" i="10"/>
  <c r="AK67" i="10"/>
  <c r="AK68" i="10"/>
  <c r="AK69" i="10"/>
  <c r="AK70" i="10"/>
  <c r="AK71" i="10"/>
  <c r="AK72" i="10"/>
  <c r="AK73" i="10"/>
  <c r="AK74" i="10"/>
  <c r="AK75" i="10"/>
  <c r="AK76" i="10"/>
  <c r="AK77" i="10"/>
  <c r="AK78" i="10"/>
  <c r="AK79" i="10"/>
  <c r="AK80" i="10"/>
  <c r="AK81" i="10"/>
  <c r="AK82" i="10"/>
  <c r="AK83" i="10"/>
  <c r="AK84" i="10"/>
  <c r="AK85" i="10"/>
  <c r="AK86" i="10"/>
  <c r="AK87" i="10"/>
  <c r="AK88" i="10"/>
  <c r="AK89" i="10"/>
  <c r="AK90" i="10"/>
  <c r="AK91" i="10"/>
  <c r="AK92" i="10"/>
  <c r="AK93" i="10"/>
  <c r="AK94" i="10"/>
  <c r="AK95" i="10"/>
  <c r="AK96" i="10"/>
  <c r="AK97" i="10"/>
  <c r="AK98" i="10"/>
  <c r="AK99" i="10"/>
  <c r="AK100" i="10"/>
  <c r="AK101" i="10"/>
  <c r="AK102" i="10"/>
  <c r="AK103" i="10"/>
  <c r="AK104" i="10"/>
  <c r="AK105" i="10"/>
  <c r="AK106" i="10"/>
  <c r="AK107" i="10"/>
  <c r="AK108" i="10"/>
  <c r="AK109" i="10"/>
  <c r="AK110" i="10"/>
  <c r="AK111" i="10"/>
  <c r="AK112" i="10"/>
  <c r="AK113" i="10"/>
  <c r="AK114" i="10"/>
  <c r="AK115" i="10"/>
  <c r="AK116" i="10"/>
  <c r="AK117" i="10"/>
  <c r="AK118" i="10"/>
  <c r="AK119" i="10"/>
  <c r="AK120" i="10"/>
  <c r="AK121" i="10"/>
  <c r="AK122" i="10"/>
  <c r="AK123" i="10"/>
  <c r="AK124" i="10"/>
  <c r="AK125" i="10"/>
  <c r="AK126" i="10"/>
  <c r="AK127" i="10"/>
  <c r="AK128" i="10"/>
  <c r="AK129" i="10"/>
  <c r="AK130" i="10"/>
  <c r="AK131" i="10"/>
  <c r="AK132" i="10"/>
  <c r="AK133" i="10"/>
  <c r="AK134" i="10"/>
  <c r="AK135" i="10"/>
  <c r="AK136" i="10"/>
  <c r="AK137" i="10"/>
  <c r="AK138" i="10"/>
  <c r="AK139" i="10"/>
  <c r="AK140" i="10"/>
  <c r="AK141" i="10"/>
  <c r="AK142" i="10"/>
  <c r="AK143" i="10"/>
  <c r="AK144" i="10"/>
  <c r="AK145" i="10"/>
  <c r="AK146" i="10"/>
  <c r="AK147" i="10"/>
  <c r="AK148" i="10"/>
  <c r="AK149" i="10"/>
  <c r="AK150" i="10"/>
  <c r="AK151" i="10"/>
  <c r="AK152" i="10"/>
  <c r="AK153" i="10"/>
  <c r="AK154" i="10"/>
  <c r="AK155" i="10"/>
  <c r="AK156" i="10"/>
  <c r="AK157" i="10"/>
  <c r="AK158" i="10"/>
  <c r="AK159" i="10"/>
  <c r="AK160" i="10"/>
  <c r="AK161" i="10"/>
  <c r="AK162" i="10"/>
  <c r="AK163" i="10"/>
  <c r="AK164" i="10"/>
  <c r="AK165" i="10"/>
  <c r="AK166" i="10"/>
  <c r="AK167" i="10"/>
  <c r="AK168" i="10"/>
  <c r="AK169" i="10"/>
  <c r="AK170" i="10"/>
  <c r="AK171" i="10"/>
  <c r="AK172" i="10"/>
  <c r="AK173" i="10"/>
  <c r="AK174" i="10"/>
  <c r="AK175" i="10"/>
  <c r="AK176" i="10"/>
  <c r="AK177" i="10"/>
  <c r="AK178" i="10"/>
  <c r="AK179" i="10"/>
  <c r="AK180" i="10"/>
  <c r="AK181" i="10"/>
  <c r="AK182" i="10"/>
  <c r="AK183" i="10"/>
  <c r="AK184" i="10"/>
  <c r="AK185" i="10"/>
  <c r="AK186" i="10"/>
  <c r="AK187" i="10"/>
  <c r="AK188" i="10"/>
  <c r="AK189" i="10"/>
  <c r="AK190" i="10"/>
  <c r="AK191" i="10"/>
  <c r="AK192" i="10"/>
  <c r="AK193" i="10"/>
  <c r="AK194" i="10"/>
  <c r="AK195" i="10"/>
  <c r="AK196" i="10"/>
  <c r="AK2" i="10"/>
  <c r="AJ3" i="17"/>
  <c r="AJ4" i="17"/>
  <c r="AJ5" i="17"/>
  <c r="AJ6" i="17"/>
  <c r="AJ7" i="17"/>
  <c r="AJ8" i="17"/>
  <c r="AJ9" i="17"/>
  <c r="AJ10" i="17"/>
  <c r="AJ11" i="17"/>
  <c r="AJ12" i="17"/>
  <c r="AJ13" i="17"/>
  <c r="AJ14" i="17"/>
  <c r="AJ15" i="17"/>
  <c r="AJ16" i="17"/>
  <c r="AJ17" i="17"/>
  <c r="AJ18" i="17"/>
  <c r="AJ19" i="17"/>
  <c r="AJ20" i="17"/>
  <c r="AJ21" i="17"/>
  <c r="AJ22" i="17"/>
  <c r="AJ23" i="17"/>
  <c r="AJ24" i="17"/>
  <c r="AJ25" i="17"/>
  <c r="AJ26" i="17"/>
  <c r="AJ27" i="17"/>
  <c r="AJ28" i="17"/>
  <c r="AJ29" i="17"/>
  <c r="AJ30" i="17"/>
  <c r="AJ31" i="17"/>
  <c r="AJ32" i="17"/>
  <c r="AJ33" i="17"/>
  <c r="AJ34" i="17"/>
  <c r="AJ35" i="17"/>
  <c r="AJ36" i="17"/>
  <c r="AJ37" i="17"/>
  <c r="AJ38" i="17"/>
  <c r="AJ39" i="17"/>
  <c r="AJ40" i="17"/>
  <c r="AJ41" i="17"/>
  <c r="AJ42" i="17"/>
  <c r="AJ43" i="17"/>
  <c r="AJ44" i="17"/>
  <c r="AJ45" i="17"/>
  <c r="AJ46" i="17"/>
  <c r="AJ47" i="17"/>
  <c r="AJ48" i="17"/>
  <c r="AJ49" i="17"/>
  <c r="AJ50" i="17"/>
  <c r="AJ51" i="17"/>
  <c r="AJ52" i="17"/>
  <c r="AJ53" i="17"/>
  <c r="AJ54" i="17"/>
  <c r="AJ55" i="17"/>
  <c r="AJ56" i="17"/>
  <c r="AJ57" i="17"/>
  <c r="AJ58" i="17"/>
  <c r="AJ59" i="17"/>
  <c r="AJ60" i="17"/>
  <c r="AJ61" i="17"/>
  <c r="AJ62" i="17"/>
  <c r="AJ63" i="17"/>
  <c r="AJ64" i="17"/>
  <c r="AJ65" i="17"/>
  <c r="AJ66" i="17"/>
  <c r="AJ67" i="17"/>
  <c r="AJ68" i="17"/>
  <c r="AJ69" i="17"/>
  <c r="AJ70" i="17"/>
  <c r="AJ71" i="17"/>
  <c r="AJ72" i="17"/>
  <c r="AJ73" i="17"/>
  <c r="AJ74" i="17"/>
  <c r="AJ75" i="17"/>
  <c r="AJ76" i="17"/>
  <c r="AJ77" i="17"/>
  <c r="AJ78" i="17"/>
  <c r="AJ79" i="17"/>
  <c r="AJ80" i="17"/>
  <c r="AJ81" i="17"/>
  <c r="AJ82" i="17"/>
  <c r="AJ83" i="17"/>
  <c r="AJ84" i="17"/>
  <c r="AJ85" i="17"/>
  <c r="AJ86" i="17"/>
  <c r="AJ87" i="17"/>
  <c r="AJ88" i="17"/>
  <c r="AJ89" i="17"/>
  <c r="AJ90" i="17"/>
  <c r="AJ91" i="17"/>
  <c r="AJ92" i="17"/>
  <c r="AJ93" i="17"/>
  <c r="AJ94" i="17"/>
  <c r="AJ95" i="17"/>
  <c r="AJ96" i="17"/>
  <c r="AJ97" i="17"/>
  <c r="AJ98" i="17"/>
  <c r="AJ99" i="17"/>
  <c r="AJ100" i="17"/>
  <c r="AJ101" i="17"/>
  <c r="AJ102" i="17"/>
  <c r="AJ103" i="17"/>
  <c r="AJ104" i="17"/>
  <c r="AJ105" i="17"/>
  <c r="AJ106" i="17"/>
  <c r="AJ107" i="17"/>
  <c r="AJ108" i="17"/>
  <c r="AJ109" i="17"/>
  <c r="AJ110" i="17"/>
  <c r="AJ111" i="17"/>
  <c r="AJ112" i="17"/>
  <c r="AJ113" i="17"/>
  <c r="AJ114"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55" i="17"/>
  <c r="AJ156" i="17"/>
  <c r="AJ157" i="17"/>
  <c r="AJ158" i="17"/>
  <c r="AJ159" i="17"/>
  <c r="AJ160" i="17"/>
  <c r="AJ161" i="17"/>
  <c r="AJ162" i="17"/>
  <c r="AJ163" i="17"/>
  <c r="AJ164" i="17"/>
  <c r="AJ165" i="17"/>
  <c r="AJ166" i="17"/>
  <c r="AJ167" i="17"/>
  <c r="AJ168" i="17"/>
  <c r="AJ169" i="17"/>
  <c r="AJ170" i="17"/>
  <c r="AJ171" i="17"/>
  <c r="AJ172" i="17"/>
  <c r="AJ173" i="17"/>
  <c r="AJ174" i="17"/>
  <c r="AJ175" i="17"/>
  <c r="AJ176" i="17"/>
  <c r="AJ177" i="17"/>
  <c r="AJ178" i="17"/>
  <c r="AJ179" i="17"/>
  <c r="AJ180" i="17"/>
  <c r="AJ181" i="17"/>
  <c r="AJ182" i="17"/>
  <c r="AJ183" i="17"/>
  <c r="AJ184" i="17"/>
  <c r="AJ185" i="17"/>
  <c r="AJ186" i="17"/>
  <c r="AJ187" i="17"/>
  <c r="AJ188" i="17"/>
  <c r="AJ189" i="17"/>
  <c r="AJ190" i="17"/>
  <c r="AJ191" i="17"/>
  <c r="AJ192" i="17"/>
  <c r="AJ193" i="17"/>
  <c r="AJ194" i="17"/>
  <c r="AJ195" i="17"/>
  <c r="AJ196" i="17"/>
  <c r="AJ197" i="17"/>
  <c r="AJ198" i="17"/>
  <c r="AJ199" i="17"/>
  <c r="AJ200" i="17"/>
  <c r="AJ201" i="17"/>
  <c r="AJ202" i="17"/>
  <c r="AJ203" i="17"/>
  <c r="AJ204" i="17"/>
  <c r="AJ205" i="17"/>
  <c r="AJ206" i="17"/>
  <c r="AJ207" i="17"/>
  <c r="AJ208" i="17"/>
  <c r="AJ209" i="17"/>
  <c r="AJ210" i="17"/>
  <c r="AJ211" i="17"/>
  <c r="AJ212" i="17"/>
  <c r="AJ213" i="17"/>
  <c r="AJ214" i="17"/>
  <c r="AJ215" i="17"/>
  <c r="AJ216" i="17"/>
  <c r="AJ217" i="17"/>
  <c r="AJ218" i="17"/>
  <c r="AJ219" i="17"/>
  <c r="AJ220" i="17"/>
  <c r="AJ221" i="17"/>
  <c r="AJ222" i="17"/>
  <c r="AJ223" i="17"/>
  <c r="AJ224" i="17"/>
  <c r="AJ225" i="17"/>
  <c r="AJ226" i="17"/>
  <c r="AJ227" i="17"/>
  <c r="AJ228" i="17"/>
  <c r="AJ229" i="17"/>
  <c r="AJ230" i="17"/>
  <c r="AJ231" i="17"/>
  <c r="AJ232" i="17"/>
  <c r="AJ233" i="17"/>
  <c r="AJ234" i="17"/>
  <c r="AJ235" i="17"/>
  <c r="AJ2" i="17"/>
  <c r="AK3" i="12"/>
  <c r="AK4" i="12"/>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2" i="12"/>
  <c r="AK3" i="20"/>
  <c r="AK4" i="20"/>
  <c r="AK5" i="20"/>
  <c r="AK6" i="20"/>
  <c r="AK7" i="20"/>
  <c r="AK8" i="20"/>
  <c r="AK9" i="20"/>
  <c r="AK10" i="20"/>
  <c r="AK11" i="20"/>
  <c r="AK12" i="20"/>
  <c r="AK13" i="20"/>
  <c r="AK14" i="20"/>
  <c r="AK15" i="20"/>
  <c r="AK16" i="20"/>
  <c r="AK17" i="20"/>
  <c r="AK18" i="20"/>
  <c r="AK19" i="20"/>
  <c r="AK20" i="20"/>
  <c r="AK21" i="20"/>
  <c r="AK22" i="20"/>
  <c r="AK23" i="20"/>
  <c r="AK24" i="20"/>
  <c r="AK25" i="20"/>
  <c r="AK26" i="20"/>
  <c r="AK27" i="20"/>
  <c r="AK28" i="20"/>
  <c r="AK29" i="20"/>
  <c r="AK30" i="20"/>
  <c r="AK31" i="20"/>
  <c r="AK32" i="20"/>
  <c r="AK33" i="20"/>
  <c r="AK34" i="20"/>
  <c r="AK35" i="20"/>
  <c r="AK36" i="20"/>
  <c r="AK37" i="20"/>
  <c r="AK38" i="20"/>
  <c r="AK39" i="20"/>
  <c r="AK40" i="20"/>
  <c r="AK41" i="20"/>
  <c r="AK42" i="20"/>
  <c r="AK43" i="20"/>
  <c r="AK44" i="20"/>
  <c r="AK45" i="20"/>
  <c r="AK46" i="20"/>
  <c r="AK47" i="20"/>
  <c r="AK2" i="20"/>
  <c r="AK150" i="2"/>
  <c r="AK149" i="2"/>
  <c r="AK148" i="2"/>
  <c r="AK147" i="2"/>
  <c r="AK146" i="2"/>
  <c r="AK145" i="2"/>
  <c r="AK144" i="2"/>
  <c r="AK143" i="2"/>
  <c r="AK142" i="2"/>
  <c r="AK141" i="2"/>
  <c r="AK140" i="2"/>
  <c r="AK139" i="2"/>
  <c r="AK138" i="2"/>
  <c r="AK137" i="2"/>
  <c r="AK136" i="2"/>
  <c r="AK135" i="2"/>
  <c r="AK134" i="2"/>
  <c r="AK133" i="2"/>
  <c r="AK132" i="2"/>
  <c r="AK131" i="2"/>
  <c r="AK130" i="2"/>
  <c r="AK129" i="2"/>
  <c r="AK128" i="2"/>
  <c r="AK127" i="2"/>
  <c r="AK126" i="2"/>
  <c r="AK125" i="2"/>
  <c r="AK124" i="2"/>
  <c r="AK123" i="2"/>
  <c r="AK122" i="2"/>
  <c r="AK121" i="2"/>
  <c r="AK120" i="2"/>
  <c r="AK119" i="2"/>
  <c r="AK118" i="2"/>
  <c r="AK117" i="2"/>
  <c r="AK116" i="2"/>
  <c r="AK115" i="2"/>
  <c r="AK114" i="2"/>
  <c r="AK113" i="2"/>
  <c r="AK112" i="2"/>
  <c r="AK111" i="2"/>
  <c r="AK110" i="2"/>
  <c r="AK109" i="2"/>
  <c r="AK108" i="2"/>
  <c r="AK107" i="2"/>
  <c r="AK106" i="2"/>
  <c r="AK105" i="2"/>
  <c r="AK104" i="2"/>
  <c r="AK103" i="2"/>
  <c r="AK102" i="2"/>
  <c r="AK101" i="2"/>
  <c r="AK100" i="2"/>
  <c r="AK99" i="2"/>
  <c r="AK98" i="2"/>
  <c r="AK97" i="2"/>
  <c r="AK96" i="2"/>
  <c r="AK95" i="2"/>
  <c r="AK94" i="2"/>
  <c r="AK93" i="2"/>
  <c r="AK92" i="2"/>
  <c r="AK91" i="2"/>
  <c r="AK90" i="2"/>
  <c r="AK89" i="2"/>
  <c r="AK88" i="2"/>
  <c r="AK87" i="2"/>
  <c r="AK86" i="2"/>
  <c r="AK85" i="2"/>
  <c r="AK84" i="2"/>
  <c r="AK83" i="2"/>
  <c r="AK82" i="2"/>
  <c r="AK81" i="2"/>
  <c r="AK80" i="2"/>
  <c r="AK79" i="2"/>
  <c r="AK78" i="2"/>
  <c r="AK77" i="2"/>
  <c r="AK76" i="2"/>
  <c r="AK75" i="2"/>
  <c r="AK74" i="2"/>
  <c r="AK73" i="2"/>
  <c r="AK72" i="2"/>
  <c r="AK71" i="2"/>
  <c r="AK70" i="2"/>
  <c r="AK69" i="2"/>
  <c r="AK68" i="2"/>
  <c r="AK67" i="2"/>
  <c r="AK66" i="2"/>
  <c r="AK65" i="2"/>
  <c r="AK64" i="2"/>
  <c r="AK63" i="2"/>
  <c r="AK62" i="2"/>
  <c r="AK61" i="2"/>
  <c r="AK60" i="2"/>
  <c r="AK59" i="2"/>
  <c r="AK58" i="2"/>
  <c r="AK57" i="2"/>
  <c r="AK56" i="2"/>
  <c r="AK55" i="2"/>
  <c r="AK54" i="2"/>
  <c r="AK53" i="2"/>
  <c r="AK52" i="2"/>
  <c r="AK51" i="2"/>
  <c r="AK50" i="2"/>
  <c r="AK49" i="2"/>
  <c r="AK48" i="2"/>
  <c r="AK47" i="2"/>
  <c r="AK46" i="2"/>
  <c r="AK45" i="2"/>
  <c r="AK44" i="2"/>
  <c r="AK43" i="2"/>
  <c r="AK42" i="2"/>
  <c r="AK41" i="2"/>
  <c r="AK40" i="2"/>
  <c r="AK39" i="2"/>
  <c r="AK38" i="2"/>
  <c r="AK37" i="2"/>
  <c r="AK36" i="2"/>
  <c r="AK35" i="2"/>
  <c r="AK34" i="2"/>
  <c r="AK33" i="2"/>
  <c r="AK32" i="2"/>
  <c r="AK31" i="2"/>
  <c r="AK30" i="2"/>
  <c r="AK29" i="2"/>
  <c r="AK28" i="2"/>
  <c r="AK27" i="2"/>
  <c r="AK26" i="2"/>
  <c r="AK25" i="2"/>
  <c r="AK24" i="2"/>
  <c r="AK23" i="2"/>
  <c r="AK22" i="2"/>
  <c r="AK21" i="2"/>
  <c r="AK20" i="2"/>
  <c r="AK19" i="2"/>
  <c r="AK18" i="2"/>
  <c r="AK17" i="2"/>
  <c r="AK16" i="2"/>
  <c r="AK15" i="2"/>
  <c r="AK14" i="2"/>
  <c r="AK13" i="2"/>
  <c r="AK12" i="2"/>
  <c r="AK11" i="2"/>
  <c r="AK10" i="2"/>
  <c r="AK9" i="2"/>
  <c r="AK8" i="2"/>
  <c r="AK7" i="2"/>
  <c r="AK6" i="2"/>
  <c r="AK5" i="2"/>
  <c r="AK4" i="2"/>
  <c r="AK3" i="2"/>
  <c r="AK2" i="2"/>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3" i="1"/>
  <c r="AK2" i="1"/>
  <c r="AK4" i="14"/>
  <c r="AK5" i="14"/>
  <c r="AK6" i="14"/>
  <c r="AK7" i="14"/>
  <c r="AK8" i="14"/>
  <c r="AK9" i="14"/>
  <c r="AK10" i="14"/>
  <c r="AK11" i="14"/>
  <c r="AK12" i="14"/>
  <c r="AK13" i="14"/>
  <c r="AK14" i="14"/>
  <c r="AK15" i="14"/>
  <c r="AK16" i="14"/>
  <c r="AK17" i="14"/>
  <c r="AK18" i="14"/>
  <c r="AK19" i="14"/>
  <c r="AK20" i="14"/>
  <c r="AK21" i="14"/>
  <c r="AK22" i="14"/>
  <c r="AK23" i="14"/>
  <c r="AK24" i="14"/>
  <c r="AK25" i="14"/>
  <c r="AK26" i="14"/>
  <c r="AK27" i="14"/>
  <c r="AK28" i="14"/>
  <c r="AK29" i="14"/>
  <c r="AK30" i="14"/>
  <c r="AK31" i="14"/>
  <c r="AK32" i="14"/>
  <c r="AK33" i="14"/>
  <c r="AK34" i="14"/>
  <c r="AK35" i="14"/>
  <c r="AK36" i="14"/>
  <c r="AK37" i="14"/>
  <c r="AK38" i="14"/>
  <c r="AK40" i="14"/>
  <c r="AK41" i="14"/>
  <c r="AK42" i="14"/>
  <c r="AK43" i="14"/>
  <c r="AK44" i="14"/>
  <c r="AK45" i="14"/>
  <c r="AK46" i="14"/>
  <c r="AK47" i="14"/>
  <c r="AK48" i="14"/>
  <c r="AK49" i="14"/>
  <c r="AK50" i="14"/>
  <c r="AK51" i="14"/>
  <c r="AK52" i="14"/>
  <c r="AK53" i="14"/>
  <c r="AK54" i="14"/>
  <c r="AK55" i="14"/>
  <c r="AK56" i="14"/>
  <c r="AK57" i="14"/>
  <c r="AK58" i="14"/>
  <c r="AK59" i="14"/>
  <c r="AK60" i="14"/>
  <c r="AK61" i="14"/>
  <c r="AK62" i="14"/>
  <c r="AK63" i="14"/>
  <c r="AK64" i="14"/>
  <c r="AK65" i="14"/>
  <c r="AK66" i="14"/>
  <c r="AK67" i="14"/>
  <c r="AK68" i="14"/>
  <c r="AK69" i="14"/>
  <c r="AK70" i="14"/>
  <c r="AK71" i="14"/>
  <c r="AK72" i="14"/>
  <c r="AK73" i="14"/>
  <c r="AK74" i="14"/>
  <c r="AK75" i="14"/>
  <c r="AK76" i="14"/>
  <c r="AK77" i="14"/>
  <c r="AK78" i="14"/>
  <c r="AK79" i="14"/>
  <c r="AK80" i="14"/>
  <c r="AK81" i="14"/>
  <c r="AK82" i="14"/>
  <c r="AK83" i="14"/>
  <c r="AK84" i="14"/>
  <c r="AK85" i="14"/>
  <c r="AK86" i="14"/>
  <c r="AK87" i="14"/>
  <c r="AK88" i="14"/>
  <c r="AK89" i="14"/>
  <c r="AK90" i="14"/>
  <c r="AK91" i="14"/>
  <c r="AK92" i="14"/>
  <c r="AK93" i="14"/>
  <c r="AK94" i="14"/>
  <c r="AK95" i="14"/>
  <c r="AK96" i="14"/>
  <c r="AK97" i="14"/>
  <c r="AK98" i="14"/>
  <c r="AK99" i="14"/>
  <c r="AK100" i="14"/>
  <c r="AK101" i="14"/>
  <c r="AK102" i="14"/>
  <c r="AK103" i="14"/>
  <c r="AK104" i="14"/>
  <c r="AK105" i="14"/>
  <c r="AK106" i="14"/>
  <c r="AK107" i="14"/>
  <c r="AK108" i="14"/>
  <c r="AK109" i="14"/>
  <c r="AK110" i="14"/>
  <c r="AK111" i="14"/>
  <c r="AK112" i="14"/>
  <c r="AK113" i="14"/>
  <c r="AK114" i="14"/>
  <c r="AK115" i="14"/>
  <c r="AK116" i="14"/>
  <c r="AK117" i="14"/>
  <c r="AK118" i="14"/>
  <c r="AK119" i="14"/>
  <c r="AK120" i="14"/>
  <c r="AK121" i="14"/>
  <c r="AK122" i="14"/>
  <c r="AK123" i="14"/>
  <c r="AK124" i="14"/>
  <c r="AK125" i="14"/>
  <c r="AK126" i="14"/>
  <c r="AK127" i="14"/>
  <c r="AK128" i="14"/>
  <c r="AK129" i="14"/>
  <c r="AK130" i="14"/>
  <c r="AK131" i="14"/>
  <c r="AK132" i="14"/>
  <c r="AK133" i="14"/>
  <c r="AK134" i="14"/>
  <c r="AK135" i="14"/>
  <c r="AK136" i="14"/>
  <c r="AK137" i="14"/>
  <c r="AK138" i="14"/>
  <c r="AK139" i="14"/>
  <c r="AK140" i="14"/>
  <c r="AK141" i="14"/>
  <c r="AK142" i="14"/>
  <c r="AK143" i="14"/>
  <c r="AK144" i="14"/>
  <c r="AK145" i="14"/>
  <c r="AK146" i="14"/>
  <c r="AK147" i="14"/>
  <c r="AK148" i="14"/>
  <c r="AK149" i="14"/>
  <c r="AK150" i="14"/>
  <c r="AK151" i="14"/>
  <c r="AK152" i="14"/>
  <c r="AK153" i="14"/>
  <c r="AK154" i="14"/>
  <c r="AK155" i="14"/>
  <c r="AK156" i="14"/>
  <c r="AK157" i="14"/>
  <c r="AK158" i="14"/>
  <c r="AK159" i="14"/>
  <c r="AK160" i="14"/>
  <c r="AK161" i="14"/>
  <c r="AK162" i="14"/>
  <c r="AK163" i="14"/>
  <c r="AK164" i="14"/>
  <c r="AK165" i="14"/>
  <c r="AK166" i="14"/>
  <c r="AK167" i="14"/>
  <c r="AK168" i="14"/>
  <c r="AK169" i="14"/>
  <c r="AK170" i="14"/>
  <c r="AK171" i="14"/>
  <c r="AK172" i="14"/>
  <c r="AK173" i="14"/>
  <c r="AK174" i="14"/>
  <c r="AK175" i="14"/>
  <c r="AK176" i="14"/>
  <c r="AK177" i="14"/>
  <c r="AK178" i="14"/>
  <c r="AK179" i="14"/>
  <c r="AK180" i="14"/>
  <c r="AK181" i="14"/>
  <c r="AK182" i="14"/>
  <c r="AK183" i="14"/>
  <c r="AK184" i="14"/>
  <c r="AK3" i="14"/>
  <c r="AK2" i="14"/>
  <c r="AN2" i="5"/>
  <c r="AN2" i="16"/>
  <c r="AN2" i="15"/>
  <c r="AO2" i="7"/>
  <c r="AN2" i="19"/>
  <c r="AN2" i="17"/>
  <c r="AL3" i="5"/>
  <c r="AL4" i="5"/>
  <c r="AL5" i="5"/>
  <c r="AL6" i="5"/>
  <c r="AL7" i="5"/>
  <c r="AL8" i="5"/>
  <c r="AL2" i="5"/>
  <c r="AM3" i="6"/>
  <c r="AM4" i="6"/>
  <c r="AM5" i="6"/>
  <c r="AM6" i="6"/>
  <c r="AM7" i="6"/>
  <c r="AM8" i="6"/>
  <c r="AM9" i="6"/>
  <c r="AM10" i="6"/>
  <c r="AM11" i="6"/>
  <c r="AM12" i="6"/>
  <c r="AM13" i="6"/>
  <c r="AM14" i="6"/>
  <c r="AM15" i="6"/>
  <c r="AM16" i="6"/>
  <c r="AM17" i="6"/>
  <c r="AM18" i="6"/>
  <c r="AM19" i="6"/>
  <c r="AM20" i="6"/>
  <c r="AM21" i="6"/>
  <c r="AM22" i="6"/>
  <c r="AM23" i="6"/>
  <c r="AM24" i="6"/>
  <c r="AM25" i="6"/>
  <c r="AM26" i="6"/>
  <c r="AM27" i="6"/>
  <c r="AM28" i="6"/>
  <c r="AM29" i="6"/>
  <c r="AM30" i="6"/>
  <c r="AM31" i="6"/>
  <c r="AM32" i="6"/>
  <c r="AM33" i="6"/>
  <c r="AM34" i="6"/>
  <c r="AM35" i="6"/>
  <c r="AM36" i="6"/>
  <c r="AM2" i="6"/>
  <c r="AO2" i="6" s="1"/>
  <c r="AL3" i="16"/>
  <c r="AL4" i="16"/>
  <c r="AL5" i="16"/>
  <c r="AL6" i="16"/>
  <c r="AL7" i="16"/>
  <c r="AL8" i="16"/>
  <c r="AL9" i="16"/>
  <c r="AL10" i="16"/>
  <c r="AL11" i="16"/>
  <c r="AL2" i="16"/>
  <c r="AL3" i="15"/>
  <c r="AL4" i="15"/>
  <c r="AL5" i="15"/>
  <c r="AL6" i="15"/>
  <c r="AL7" i="15"/>
  <c r="AL8" i="15"/>
  <c r="AL9" i="15"/>
  <c r="AL10" i="15"/>
  <c r="AL11" i="15"/>
  <c r="AL12" i="15"/>
  <c r="AL13" i="15"/>
  <c r="AL2" i="15"/>
  <c r="AM3" i="13"/>
  <c r="AM4" i="13"/>
  <c r="AM5" i="13"/>
  <c r="AM6" i="13"/>
  <c r="AM7" i="13"/>
  <c r="AM8" i="13"/>
  <c r="AM9" i="13"/>
  <c r="AM10" i="13"/>
  <c r="AM11" i="13"/>
  <c r="AM12" i="13"/>
  <c r="AM13" i="13"/>
  <c r="AM14" i="13"/>
  <c r="AM15" i="13"/>
  <c r="AM16" i="13"/>
  <c r="AM17" i="13"/>
  <c r="AM18" i="13"/>
  <c r="AM19" i="13"/>
  <c r="AM20" i="13"/>
  <c r="AM21" i="13"/>
  <c r="AM22" i="13"/>
  <c r="AM23" i="13"/>
  <c r="AM24" i="13"/>
  <c r="AM25" i="13"/>
  <c r="AM26" i="13"/>
  <c r="AM27" i="13"/>
  <c r="AM28" i="13"/>
  <c r="AM29" i="13"/>
  <c r="AM30" i="13"/>
  <c r="AM31" i="13"/>
  <c r="AM32" i="13"/>
  <c r="AM33" i="13"/>
  <c r="AM34" i="13"/>
  <c r="AM35" i="13"/>
  <c r="AM36" i="13"/>
  <c r="AM37" i="13"/>
  <c r="AM38" i="13"/>
  <c r="AO2" i="13" s="1"/>
  <c r="AM39" i="13"/>
  <c r="AM40" i="13"/>
  <c r="AM41" i="13"/>
  <c r="AM42" i="13"/>
  <c r="AM43" i="13"/>
  <c r="AM44" i="13"/>
  <c r="AM45" i="13"/>
  <c r="AM46" i="13"/>
  <c r="AM47" i="13"/>
  <c r="AM48" i="13"/>
  <c r="AM49" i="13"/>
  <c r="AM50" i="13"/>
  <c r="AM51" i="13"/>
  <c r="AM52" i="13"/>
  <c r="AM53" i="13"/>
  <c r="AM54" i="13"/>
  <c r="AM55" i="13"/>
  <c r="AM56" i="13"/>
  <c r="AM57" i="13"/>
  <c r="AM58" i="13"/>
  <c r="AM59" i="13"/>
  <c r="AM60" i="13"/>
  <c r="AM61" i="13"/>
  <c r="AM62" i="13"/>
  <c r="AM63" i="13"/>
  <c r="AM64" i="13"/>
  <c r="AM65" i="13"/>
  <c r="AM66" i="13"/>
  <c r="AM67" i="13"/>
  <c r="AM68" i="13"/>
  <c r="AM69" i="13"/>
  <c r="AM70" i="13"/>
  <c r="AM71" i="13"/>
  <c r="AM72" i="13"/>
  <c r="AM73" i="13"/>
  <c r="AM74" i="13"/>
  <c r="AM75" i="13"/>
  <c r="AM76" i="13"/>
  <c r="AM77" i="13"/>
  <c r="AM78" i="13"/>
  <c r="AM79" i="13"/>
  <c r="AM80" i="13"/>
  <c r="AM81" i="13"/>
  <c r="AM82" i="13"/>
  <c r="AM83" i="13"/>
  <c r="AM84" i="13"/>
  <c r="AM85" i="13"/>
  <c r="AM86" i="13"/>
  <c r="AM87" i="13"/>
  <c r="AM88" i="13"/>
  <c r="AM89" i="13"/>
  <c r="AM90" i="13"/>
  <c r="AM91" i="13"/>
  <c r="AM92" i="13"/>
  <c r="AM93" i="13"/>
  <c r="AM94" i="13"/>
  <c r="AM95" i="13"/>
  <c r="AM96" i="13"/>
  <c r="AM97" i="13"/>
  <c r="AM98" i="13"/>
  <c r="AM99" i="13"/>
  <c r="AM100" i="13"/>
  <c r="AM101" i="13"/>
  <c r="AM102" i="13"/>
  <c r="AM103" i="13"/>
  <c r="AM104" i="13"/>
  <c r="AM105" i="13"/>
  <c r="AM106" i="13"/>
  <c r="AM107" i="13"/>
  <c r="AM108" i="13"/>
  <c r="AM109" i="13"/>
  <c r="AM110" i="13"/>
  <c r="AM2" i="13"/>
  <c r="AM3" i="11"/>
  <c r="AM4" i="11"/>
  <c r="AM5" i="11"/>
  <c r="AM6" i="11"/>
  <c r="AM7" i="11"/>
  <c r="AM8" i="11"/>
  <c r="AM9" i="11"/>
  <c r="AM10" i="11"/>
  <c r="AM11" i="11"/>
  <c r="AM12" i="11"/>
  <c r="AM13" i="11"/>
  <c r="AM14" i="11"/>
  <c r="AM15" i="11"/>
  <c r="AM16" i="11"/>
  <c r="AM17" i="11"/>
  <c r="AM20" i="11"/>
  <c r="AM21" i="11"/>
  <c r="AM22" i="11"/>
  <c r="AM23" i="11"/>
  <c r="AM24" i="11"/>
  <c r="AM25" i="11"/>
  <c r="AM26" i="11"/>
  <c r="AM27" i="11"/>
  <c r="AM28" i="11"/>
  <c r="AM29" i="11"/>
  <c r="AM30" i="11"/>
  <c r="AM31" i="11"/>
  <c r="AM32" i="11"/>
  <c r="AM33" i="11"/>
  <c r="AM34" i="11"/>
  <c r="AM35" i="11"/>
  <c r="AM36" i="11"/>
  <c r="AM37" i="11"/>
  <c r="AM38" i="11"/>
  <c r="AM39" i="11"/>
  <c r="AM40" i="11"/>
  <c r="AM41" i="11"/>
  <c r="AM42" i="11"/>
  <c r="AM43" i="11"/>
  <c r="AM44" i="11"/>
  <c r="AM45" i="11"/>
  <c r="AM46" i="11"/>
  <c r="AM47" i="11"/>
  <c r="AM48" i="11"/>
  <c r="AM49" i="11"/>
  <c r="AM50" i="11"/>
  <c r="AM51" i="11"/>
  <c r="AM52" i="11"/>
  <c r="AM53" i="11"/>
  <c r="AM54" i="11"/>
  <c r="AM55" i="11"/>
  <c r="AM56" i="11"/>
  <c r="AM57" i="11"/>
  <c r="AM58" i="11"/>
  <c r="AM59" i="11"/>
  <c r="AM60" i="11"/>
  <c r="AM61" i="11"/>
  <c r="AM62" i="11"/>
  <c r="AM63" i="11"/>
  <c r="AM64" i="11"/>
  <c r="AM65" i="11"/>
  <c r="AM66" i="11"/>
  <c r="AM67" i="11"/>
  <c r="AM68" i="11"/>
  <c r="AM69" i="11"/>
  <c r="AM70" i="11"/>
  <c r="AM71" i="11"/>
  <c r="AM72" i="11"/>
  <c r="AM73" i="11"/>
  <c r="AM74" i="11"/>
  <c r="AM75" i="11"/>
  <c r="AM76" i="11"/>
  <c r="AM77" i="11"/>
  <c r="AM78" i="11"/>
  <c r="AM79" i="11"/>
  <c r="AM80" i="11"/>
  <c r="AM81" i="11"/>
  <c r="AM82" i="11"/>
  <c r="AM83" i="11"/>
  <c r="AM84" i="11"/>
  <c r="AM85" i="11"/>
  <c r="AM86" i="11"/>
  <c r="AM87" i="11"/>
  <c r="AM88" i="11"/>
  <c r="AM89" i="11"/>
  <c r="AM90" i="11"/>
  <c r="AM91" i="11"/>
  <c r="AM2" i="11"/>
  <c r="AM3" i="3"/>
  <c r="AM4" i="3"/>
  <c r="AM5" i="3"/>
  <c r="AM6" i="3"/>
  <c r="AM7" i="3"/>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7" i="3"/>
  <c r="AM78" i="3"/>
  <c r="AM79" i="3"/>
  <c r="AM80" i="3"/>
  <c r="AM81" i="3"/>
  <c r="AM82" i="3"/>
  <c r="AM83" i="3"/>
  <c r="AM84" i="3"/>
  <c r="AM85" i="3"/>
  <c r="AM86" i="3"/>
  <c r="AM87" i="3"/>
  <c r="AM88" i="3"/>
  <c r="AM89" i="3"/>
  <c r="AM90" i="3"/>
  <c r="AM91" i="3"/>
  <c r="AM92" i="3"/>
  <c r="AM93" i="3"/>
  <c r="AM94" i="3"/>
  <c r="AM95" i="3"/>
  <c r="AM96" i="3"/>
  <c r="AM97" i="3"/>
  <c r="AM98" i="3"/>
  <c r="AM99" i="3"/>
  <c r="AM100" i="3"/>
  <c r="AM101" i="3"/>
  <c r="AM102" i="3"/>
  <c r="AM103" i="3"/>
  <c r="AM104" i="3"/>
  <c r="AM105" i="3"/>
  <c r="AM106" i="3"/>
  <c r="AM107" i="3"/>
  <c r="AM108" i="3"/>
  <c r="AM109" i="3"/>
  <c r="AM110" i="3"/>
  <c r="AM111" i="3"/>
  <c r="AM112" i="3"/>
  <c r="AM113" i="3"/>
  <c r="AM114" i="3"/>
  <c r="AM115" i="3"/>
  <c r="AM116" i="3"/>
  <c r="AM117" i="3"/>
  <c r="AM118" i="3"/>
  <c r="AM119" i="3"/>
  <c r="AM120" i="3"/>
  <c r="AM121" i="3"/>
  <c r="AM122" i="3"/>
  <c r="AM123" i="3"/>
  <c r="AM124" i="3"/>
  <c r="AM125" i="3"/>
  <c r="AM126" i="3"/>
  <c r="AM2" i="3"/>
  <c r="AO2" i="3" s="1"/>
  <c r="AM3" i="9"/>
  <c r="AM4" i="9"/>
  <c r="AM5" i="9"/>
  <c r="AM6" i="9"/>
  <c r="AM7" i="9"/>
  <c r="AM8" i="9"/>
  <c r="AM9" i="9"/>
  <c r="AM10" i="9"/>
  <c r="AM11" i="9"/>
  <c r="AM12" i="9"/>
  <c r="AM13" i="9"/>
  <c r="AM14" i="9"/>
  <c r="AM15" i="9"/>
  <c r="AM16" i="9"/>
  <c r="AM17" i="9"/>
  <c r="AM18" i="9"/>
  <c r="AM19" i="9"/>
  <c r="AM20" i="9"/>
  <c r="AM21" i="9"/>
  <c r="AM22" i="9"/>
  <c r="AM23" i="9"/>
  <c r="AM24" i="9"/>
  <c r="AM25" i="9"/>
  <c r="AM26" i="9"/>
  <c r="AM27" i="9"/>
  <c r="AM28" i="9"/>
  <c r="AM29" i="9"/>
  <c r="AM30" i="9"/>
  <c r="AM31" i="9"/>
  <c r="AM32" i="9"/>
  <c r="AM33" i="9"/>
  <c r="AM34" i="9"/>
  <c r="AM35" i="9"/>
  <c r="AM36" i="9"/>
  <c r="AM37" i="9"/>
  <c r="AM38" i="9"/>
  <c r="AM39" i="9"/>
  <c r="AM40" i="9"/>
  <c r="AM41" i="9"/>
  <c r="AM42" i="9"/>
  <c r="AM43" i="9"/>
  <c r="AM44" i="9"/>
  <c r="AM45" i="9"/>
  <c r="AM46" i="9"/>
  <c r="AM47" i="9"/>
  <c r="AM48" i="9"/>
  <c r="AM49" i="9"/>
  <c r="AM50" i="9"/>
  <c r="AM51" i="9"/>
  <c r="AM52" i="9"/>
  <c r="AM53" i="9"/>
  <c r="AM54" i="9"/>
  <c r="AM55" i="9"/>
  <c r="AM56" i="9"/>
  <c r="AM57" i="9"/>
  <c r="AM58" i="9"/>
  <c r="AM59" i="9"/>
  <c r="AM60" i="9"/>
  <c r="AM61" i="9"/>
  <c r="AM62" i="9"/>
  <c r="AM63" i="9"/>
  <c r="AM64" i="9"/>
  <c r="AM65" i="9"/>
  <c r="AM66" i="9"/>
  <c r="AM67" i="9"/>
  <c r="AM68" i="9"/>
  <c r="AM69" i="9"/>
  <c r="AM70" i="9"/>
  <c r="AM71" i="9"/>
  <c r="AM72" i="9"/>
  <c r="AM73" i="9"/>
  <c r="AM74" i="9"/>
  <c r="AM75" i="9"/>
  <c r="AM76" i="9"/>
  <c r="AM77" i="9"/>
  <c r="AM78" i="9"/>
  <c r="AM79" i="9"/>
  <c r="AM80" i="9"/>
  <c r="AM81" i="9"/>
  <c r="AM82" i="9"/>
  <c r="AM83" i="9"/>
  <c r="AM84" i="9"/>
  <c r="AM85" i="9"/>
  <c r="AM86" i="9"/>
  <c r="AM87" i="9"/>
  <c r="AM88" i="9"/>
  <c r="AM89" i="9"/>
  <c r="AM90" i="9"/>
  <c r="AM91" i="9"/>
  <c r="AM92" i="9"/>
  <c r="AM93" i="9"/>
  <c r="AM94" i="9"/>
  <c r="AM95" i="9"/>
  <c r="AM96" i="9"/>
  <c r="AM97" i="9"/>
  <c r="AM98" i="9"/>
  <c r="AM99" i="9"/>
  <c r="AM100" i="9"/>
  <c r="AM101" i="9"/>
  <c r="AM102" i="9"/>
  <c r="AM103" i="9"/>
  <c r="AM104" i="9"/>
  <c r="AM105" i="9"/>
  <c r="AM106" i="9"/>
  <c r="AM107" i="9"/>
  <c r="AM108" i="9"/>
  <c r="AM109" i="9"/>
  <c r="AM110" i="9"/>
  <c r="AM111" i="9"/>
  <c r="AM112" i="9"/>
  <c r="AM113" i="9"/>
  <c r="AM114" i="9"/>
  <c r="AM115" i="9"/>
  <c r="AM116" i="9"/>
  <c r="AM117" i="9"/>
  <c r="AM118" i="9"/>
  <c r="AM119" i="9"/>
  <c r="AM120" i="9"/>
  <c r="AM121" i="9"/>
  <c r="AM122" i="9"/>
  <c r="AM123" i="9"/>
  <c r="AM124" i="9"/>
  <c r="AM125" i="9"/>
  <c r="AM126" i="9"/>
  <c r="AM127" i="9"/>
  <c r="AM128" i="9"/>
  <c r="AM129" i="9"/>
  <c r="AM130" i="9"/>
  <c r="AM131" i="9"/>
  <c r="AM132" i="9"/>
  <c r="AM133" i="9"/>
  <c r="AM134" i="9"/>
  <c r="AM135" i="9"/>
  <c r="AM136" i="9"/>
  <c r="AM137" i="9"/>
  <c r="AM138" i="9"/>
  <c r="AM139" i="9"/>
  <c r="AM140" i="9"/>
  <c r="AM141" i="9"/>
  <c r="AM142" i="9"/>
  <c r="AM2" i="9"/>
  <c r="AO2" i="9" s="1"/>
  <c r="AM3" i="8"/>
  <c r="AM4" i="8"/>
  <c r="AO2" i="8" s="1"/>
  <c r="AM5" i="8"/>
  <c r="AM6" i="8"/>
  <c r="AM7" i="8"/>
  <c r="AM8" i="8"/>
  <c r="AM9" i="8"/>
  <c r="AM10" i="8"/>
  <c r="AM11" i="8"/>
  <c r="AM12" i="8"/>
  <c r="AM13" i="8"/>
  <c r="AM14" i="8"/>
  <c r="AM15" i="8"/>
  <c r="AM16" i="8"/>
  <c r="AM17" i="8"/>
  <c r="AM18" i="8"/>
  <c r="AM19" i="8"/>
  <c r="AM20" i="8"/>
  <c r="AM21" i="8"/>
  <c r="AM22" i="8"/>
  <c r="AM23" i="8"/>
  <c r="AM24" i="8"/>
  <c r="AM25" i="8"/>
  <c r="AM26" i="8"/>
  <c r="AM27" i="8"/>
  <c r="AM28" i="8"/>
  <c r="AM29" i="8"/>
  <c r="AM30" i="8"/>
  <c r="AM31" i="8"/>
  <c r="AM32" i="8"/>
  <c r="AM33" i="8"/>
  <c r="AM34" i="8"/>
  <c r="AM35" i="8"/>
  <c r="AM36" i="8"/>
  <c r="AM37" i="8"/>
  <c r="AM38" i="8"/>
  <c r="AM2" i="8"/>
  <c r="AM3" i="7"/>
  <c r="AM4" i="7"/>
  <c r="AM5" i="7"/>
  <c r="AM6" i="7"/>
  <c r="AM7" i="7"/>
  <c r="AM8" i="7"/>
  <c r="AM9" i="7"/>
  <c r="AM10" i="7"/>
  <c r="AM11" i="7"/>
  <c r="AM12" i="7"/>
  <c r="AM13" i="7"/>
  <c r="AM14" i="7"/>
  <c r="AM15" i="7"/>
  <c r="AM16" i="7"/>
  <c r="AM17" i="7"/>
  <c r="AM18" i="7"/>
  <c r="AM19" i="7"/>
  <c r="AM20" i="7"/>
  <c r="AM21" i="7"/>
  <c r="AM22" i="7"/>
  <c r="AM23" i="7"/>
  <c r="AM24" i="7"/>
  <c r="AM25" i="7"/>
  <c r="AM26" i="7"/>
  <c r="AM27" i="7"/>
  <c r="AM28" i="7"/>
  <c r="AM29" i="7"/>
  <c r="AM30" i="7"/>
  <c r="AM31" i="7"/>
  <c r="AM32" i="7"/>
  <c r="AM33" i="7"/>
  <c r="AM34" i="7"/>
  <c r="AM35" i="7"/>
  <c r="AM36" i="7"/>
  <c r="AM37" i="7"/>
  <c r="AM38" i="7"/>
  <c r="AM39"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2" i="7"/>
  <c r="AL3" i="19"/>
  <c r="AL4" i="19"/>
  <c r="AL5" i="19"/>
  <c r="AL6"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L69" i="19"/>
  <c r="AL70" i="19"/>
  <c r="AL2" i="19"/>
  <c r="AM3" i="18"/>
  <c r="AM4" i="18"/>
  <c r="AM5" i="18"/>
  <c r="AM6" i="18"/>
  <c r="AM7" i="18"/>
  <c r="AM8" i="18"/>
  <c r="AM9" i="18"/>
  <c r="AM10" i="18"/>
  <c r="AM11" i="18"/>
  <c r="AM12" i="18"/>
  <c r="AM13" i="18"/>
  <c r="AM14" i="18"/>
  <c r="AM15" i="18"/>
  <c r="AM16" i="18"/>
  <c r="AM17" i="18"/>
  <c r="AM18" i="18"/>
  <c r="AM19" i="18"/>
  <c r="AM20" i="18"/>
  <c r="AM21" i="18"/>
  <c r="AM22" i="18"/>
  <c r="AM23" i="18"/>
  <c r="AM24" i="18"/>
  <c r="AM25" i="18"/>
  <c r="AM26" i="18"/>
  <c r="AM27" i="18"/>
  <c r="AM28" i="18"/>
  <c r="AM29" i="18"/>
  <c r="AM30" i="18"/>
  <c r="AM31" i="18"/>
  <c r="AM32" i="18"/>
  <c r="AM33" i="18"/>
  <c r="AM34" i="18"/>
  <c r="AM35" i="18"/>
  <c r="AM36" i="18"/>
  <c r="AM37" i="18"/>
  <c r="AM38" i="18"/>
  <c r="AM39" i="18"/>
  <c r="AM40" i="18"/>
  <c r="AM41" i="18"/>
  <c r="AM42" i="18"/>
  <c r="AM43" i="18"/>
  <c r="AM44" i="18"/>
  <c r="AM45" i="18"/>
  <c r="AM46" i="18"/>
  <c r="AM47" i="18"/>
  <c r="AM48" i="18"/>
  <c r="AM49" i="18"/>
  <c r="AM50" i="18"/>
  <c r="AM51" i="18"/>
  <c r="AM52" i="18"/>
  <c r="AM53" i="18"/>
  <c r="AM54" i="18"/>
  <c r="AM55" i="18"/>
  <c r="AM56" i="18"/>
  <c r="AM57" i="18"/>
  <c r="AM58" i="18"/>
  <c r="AM59" i="18"/>
  <c r="AM60" i="18"/>
  <c r="AM61" i="18"/>
  <c r="AM62" i="18"/>
  <c r="AM63" i="18"/>
  <c r="AM64" i="18"/>
  <c r="AM65" i="18"/>
  <c r="AM66" i="18"/>
  <c r="AM67" i="18"/>
  <c r="AM68" i="18"/>
  <c r="AM69" i="18"/>
  <c r="AM70" i="18"/>
  <c r="AM71" i="18"/>
  <c r="AM72" i="18"/>
  <c r="AM2" i="18"/>
  <c r="AO2" i="18" s="1"/>
  <c r="AM3" i="10"/>
  <c r="AM4" i="10"/>
  <c r="AM5" i="10"/>
  <c r="AM6" i="10"/>
  <c r="AM7" i="10"/>
  <c r="AM8" i="10"/>
  <c r="AM9" i="10"/>
  <c r="AM10" i="10"/>
  <c r="AM11" i="10"/>
  <c r="AM12" i="10"/>
  <c r="AM13" i="10"/>
  <c r="AM14" i="10"/>
  <c r="AM15" i="10"/>
  <c r="AM16" i="10"/>
  <c r="AM17" i="10"/>
  <c r="AM18" i="10"/>
  <c r="AM19" i="10"/>
  <c r="AM20" i="10"/>
  <c r="AM21" i="10"/>
  <c r="AM23" i="10"/>
  <c r="AM24" i="10"/>
  <c r="AM25" i="10"/>
  <c r="AM26" i="10"/>
  <c r="AM27" i="10"/>
  <c r="AM28" i="10"/>
  <c r="AM29"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M60" i="10"/>
  <c r="AM61" i="10"/>
  <c r="AM62" i="10"/>
  <c r="AM63" i="10"/>
  <c r="AM64" i="10"/>
  <c r="AM65" i="10"/>
  <c r="AM66" i="10"/>
  <c r="AM67" i="10"/>
  <c r="AM68" i="10"/>
  <c r="AM69" i="10"/>
  <c r="AM70" i="10"/>
  <c r="AM71" i="10"/>
  <c r="AM72" i="10"/>
  <c r="AM73" i="10"/>
  <c r="AM74" i="10"/>
  <c r="AM75" i="10"/>
  <c r="AM76" i="10"/>
  <c r="AM77" i="10"/>
  <c r="AM78" i="10"/>
  <c r="AM79" i="10"/>
  <c r="AM80" i="10"/>
  <c r="AM81" i="10"/>
  <c r="AM82" i="10"/>
  <c r="AM83" i="10"/>
  <c r="AM84" i="10"/>
  <c r="AM85" i="10"/>
  <c r="AM86" i="10"/>
  <c r="AM87" i="10"/>
  <c r="AM88" i="10"/>
  <c r="AM89" i="10"/>
  <c r="AM90" i="10"/>
  <c r="AM91" i="10"/>
  <c r="AM92" i="10"/>
  <c r="AM93" i="10"/>
  <c r="AM94" i="10"/>
  <c r="AM95" i="10"/>
  <c r="AM96" i="10"/>
  <c r="AM97" i="10"/>
  <c r="AM98" i="10"/>
  <c r="AM99" i="10"/>
  <c r="AM100" i="10"/>
  <c r="AM101" i="10"/>
  <c r="AM102" i="10"/>
  <c r="AM103" i="10"/>
  <c r="AM104" i="10"/>
  <c r="AM105" i="10"/>
  <c r="AM106" i="10"/>
  <c r="AM107" i="10"/>
  <c r="AM108" i="10"/>
  <c r="AM109" i="10"/>
  <c r="AM110" i="10"/>
  <c r="AM111" i="10"/>
  <c r="AM112" i="10"/>
  <c r="AM113" i="10"/>
  <c r="AM114" i="10"/>
  <c r="AM115" i="10"/>
  <c r="AM116" i="10"/>
  <c r="AM117" i="10"/>
  <c r="AM118" i="10"/>
  <c r="AM119" i="10"/>
  <c r="AM120" i="10"/>
  <c r="AM121" i="10"/>
  <c r="AM122" i="10"/>
  <c r="AM123" i="10"/>
  <c r="AM124" i="10"/>
  <c r="AM125" i="10"/>
  <c r="AM126" i="10"/>
  <c r="AM127" i="10"/>
  <c r="AM128" i="10"/>
  <c r="AM129" i="10"/>
  <c r="AM130" i="10"/>
  <c r="AM131" i="10"/>
  <c r="AM132" i="10"/>
  <c r="AM133" i="10"/>
  <c r="AM134" i="10"/>
  <c r="AM135" i="10"/>
  <c r="AM136" i="10"/>
  <c r="AM137" i="10"/>
  <c r="AM138" i="10"/>
  <c r="AM139" i="10"/>
  <c r="AM140" i="10"/>
  <c r="AM141" i="10"/>
  <c r="AM142" i="10"/>
  <c r="AM143" i="10"/>
  <c r="AM144" i="10"/>
  <c r="AM145" i="10"/>
  <c r="AM146" i="10"/>
  <c r="AM147" i="10"/>
  <c r="AM148" i="10"/>
  <c r="AM149" i="10"/>
  <c r="AM150" i="10"/>
  <c r="AM151" i="10"/>
  <c r="AM152" i="10"/>
  <c r="AM153" i="10"/>
  <c r="AM154" i="10"/>
  <c r="AM155" i="10"/>
  <c r="AM156" i="10"/>
  <c r="AM157" i="10"/>
  <c r="AM158" i="10"/>
  <c r="AM159" i="10"/>
  <c r="AM160" i="10"/>
  <c r="AM161" i="10"/>
  <c r="AM162" i="10"/>
  <c r="AM163" i="10"/>
  <c r="AM164" i="10"/>
  <c r="AM165" i="10"/>
  <c r="AM166" i="10"/>
  <c r="AM167" i="10"/>
  <c r="AM168" i="10"/>
  <c r="AM169" i="10"/>
  <c r="AM170" i="10"/>
  <c r="AM171" i="10"/>
  <c r="AM172" i="10"/>
  <c r="AM173" i="10"/>
  <c r="AM174" i="10"/>
  <c r="AM175" i="10"/>
  <c r="AM176" i="10"/>
  <c r="AM177" i="10"/>
  <c r="AM178" i="10"/>
  <c r="AM179" i="10"/>
  <c r="AM180" i="10"/>
  <c r="AM181" i="10"/>
  <c r="AM182" i="10"/>
  <c r="AM183" i="10"/>
  <c r="AM184" i="10"/>
  <c r="AM185" i="10"/>
  <c r="AM186" i="10"/>
  <c r="AM187" i="10"/>
  <c r="AM188" i="10"/>
  <c r="AM189" i="10"/>
  <c r="AM190" i="10"/>
  <c r="AM191" i="10"/>
  <c r="AM192" i="10"/>
  <c r="AM193" i="10"/>
  <c r="AM194" i="10"/>
  <c r="AM195" i="10"/>
  <c r="AM196" i="10"/>
  <c r="AM2" i="10"/>
  <c r="AO2" i="10" s="1"/>
  <c r="AL3" i="17"/>
  <c r="AL4" i="17"/>
  <c r="AL5" i="17"/>
  <c r="AL6" i="17"/>
  <c r="AL7" i="17"/>
  <c r="AL8" i="17"/>
  <c r="AL9" i="17"/>
  <c r="AL10" i="17"/>
  <c r="AL11" i="17"/>
  <c r="AL12" i="17"/>
  <c r="AL13" i="17"/>
  <c r="AL14" i="17"/>
  <c r="AL15" i="17"/>
  <c r="AL16" i="17"/>
  <c r="AL17" i="17"/>
  <c r="AL18" i="17"/>
  <c r="AL19" i="17"/>
  <c r="AL20" i="17"/>
  <c r="AL21" i="17"/>
  <c r="AL22" i="17"/>
  <c r="AL23" i="17"/>
  <c r="AL24" i="17"/>
  <c r="AL25" i="17"/>
  <c r="AL26" i="17"/>
  <c r="AL27" i="17"/>
  <c r="AL28" i="17"/>
  <c r="AL29" i="17"/>
  <c r="AL30" i="17"/>
  <c r="AL31" i="17"/>
  <c r="AL32" i="17"/>
  <c r="AL33" i="17"/>
  <c r="AL34" i="17"/>
  <c r="AL35" i="17"/>
  <c r="AL36" i="17"/>
  <c r="AL37" i="17"/>
  <c r="AL38" i="17"/>
  <c r="AL39" i="17"/>
  <c r="AL40" i="17"/>
  <c r="AL41" i="17"/>
  <c r="AL42" i="17"/>
  <c r="AL43" i="17"/>
  <c r="AL44" i="17"/>
  <c r="AL45" i="17"/>
  <c r="AL46" i="17"/>
  <c r="AL47" i="17"/>
  <c r="AL48" i="17"/>
  <c r="AL49" i="17"/>
  <c r="AL50" i="17"/>
  <c r="AL51" i="17"/>
  <c r="AL52" i="17"/>
  <c r="AL53" i="17"/>
  <c r="AL54" i="17"/>
  <c r="AL55" i="17"/>
  <c r="AL56" i="17"/>
  <c r="AL57" i="17"/>
  <c r="AL58" i="17"/>
  <c r="AL59" i="17"/>
  <c r="AL60" i="17"/>
  <c r="AL61" i="17"/>
  <c r="AL62" i="17"/>
  <c r="AL63" i="17"/>
  <c r="AL64" i="17"/>
  <c r="AL65" i="17"/>
  <c r="AL66" i="17"/>
  <c r="AL67" i="17"/>
  <c r="AL68" i="17"/>
  <c r="AL69" i="17"/>
  <c r="AL70" i="17"/>
  <c r="AL71" i="17"/>
  <c r="AL72" i="17"/>
  <c r="AL73" i="17"/>
  <c r="AL74" i="17"/>
  <c r="AL75" i="17"/>
  <c r="AL76" i="17"/>
  <c r="AL77" i="17"/>
  <c r="AL78" i="17"/>
  <c r="AL79" i="17"/>
  <c r="AL80" i="17"/>
  <c r="AL81" i="17"/>
  <c r="AL82" i="17"/>
  <c r="AL83" i="17"/>
  <c r="AL84" i="17"/>
  <c r="AL85" i="17"/>
  <c r="AL86" i="17"/>
  <c r="AL87" i="17"/>
  <c r="AL88" i="17"/>
  <c r="AL89" i="17"/>
  <c r="AL90" i="17"/>
  <c r="AL91" i="17"/>
  <c r="AL92" i="17"/>
  <c r="AL93" i="17"/>
  <c r="AL94" i="17"/>
  <c r="AL95" i="17"/>
  <c r="AL96" i="17"/>
  <c r="AL97" i="17"/>
  <c r="AL98" i="17"/>
  <c r="AL99" i="17"/>
  <c r="AL100" i="17"/>
  <c r="AL101" i="17"/>
  <c r="AL102" i="17"/>
  <c r="AL103" i="17"/>
  <c r="AL104" i="17"/>
  <c r="AL105" i="17"/>
  <c r="AL106" i="17"/>
  <c r="AL107" i="17"/>
  <c r="AL108" i="17"/>
  <c r="AL109" i="17"/>
  <c r="AL110" i="17"/>
  <c r="AL111" i="17"/>
  <c r="AL112" i="17"/>
  <c r="AL113" i="17"/>
  <c r="AL114" i="17"/>
  <c r="AL115" i="17"/>
  <c r="AL116" i="17"/>
  <c r="AL117" i="17"/>
  <c r="AL118" i="17"/>
  <c r="AL119" i="17"/>
  <c r="AL120" i="17"/>
  <c r="AL121" i="17"/>
  <c r="AL122" i="17"/>
  <c r="AL123" i="17"/>
  <c r="AL124" i="17"/>
  <c r="AL125" i="17"/>
  <c r="AL126" i="17"/>
  <c r="AL127" i="17"/>
  <c r="AL128" i="17"/>
  <c r="AL129" i="17"/>
  <c r="AL130" i="17"/>
  <c r="AL131" i="17"/>
  <c r="AL132" i="17"/>
  <c r="AL133" i="17"/>
  <c r="AL134" i="17"/>
  <c r="AL135" i="17"/>
  <c r="AL136" i="17"/>
  <c r="AL137" i="17"/>
  <c r="AL138" i="17"/>
  <c r="AL139" i="17"/>
  <c r="AL140" i="17"/>
  <c r="AL141" i="17"/>
  <c r="AL142" i="17"/>
  <c r="AL143" i="17"/>
  <c r="AL144" i="17"/>
  <c r="AL145" i="17"/>
  <c r="AL146" i="17"/>
  <c r="AL147" i="17"/>
  <c r="AL148" i="17"/>
  <c r="AL149" i="17"/>
  <c r="AL150" i="17"/>
  <c r="AL151" i="17"/>
  <c r="AL152" i="17"/>
  <c r="AL153" i="17"/>
  <c r="AL154" i="17"/>
  <c r="AL155" i="17"/>
  <c r="AL156" i="17"/>
  <c r="AL157" i="17"/>
  <c r="AL158" i="17"/>
  <c r="AL159" i="17"/>
  <c r="AL160" i="17"/>
  <c r="AL161" i="17"/>
  <c r="AL162" i="17"/>
  <c r="AL163" i="17"/>
  <c r="AL164" i="17"/>
  <c r="AL165" i="17"/>
  <c r="AL166" i="17"/>
  <c r="AL167" i="17"/>
  <c r="AL168" i="17"/>
  <c r="AL169" i="17"/>
  <c r="AL170" i="17"/>
  <c r="AL171" i="17"/>
  <c r="AL172" i="17"/>
  <c r="AL173" i="17"/>
  <c r="AL174" i="17"/>
  <c r="AL175" i="17"/>
  <c r="AL176" i="17"/>
  <c r="AL177" i="17"/>
  <c r="AL178" i="17"/>
  <c r="AL179" i="17"/>
  <c r="AL180" i="17"/>
  <c r="AL181" i="17"/>
  <c r="AL182" i="17"/>
  <c r="AL183" i="17"/>
  <c r="AL184" i="17"/>
  <c r="AL185" i="17"/>
  <c r="AL186" i="17"/>
  <c r="AL187" i="17"/>
  <c r="AL188" i="17"/>
  <c r="AL189" i="17"/>
  <c r="AL190" i="17"/>
  <c r="AL191" i="17"/>
  <c r="AL192" i="17"/>
  <c r="AL193" i="17"/>
  <c r="AL194" i="17"/>
  <c r="AL195" i="17"/>
  <c r="AL196" i="17"/>
  <c r="AL197" i="17"/>
  <c r="AL198" i="17"/>
  <c r="AL199" i="17"/>
  <c r="AL200" i="17"/>
  <c r="AL201" i="17"/>
  <c r="AL202" i="17"/>
  <c r="AL203" i="17"/>
  <c r="AL204" i="17"/>
  <c r="AL205" i="17"/>
  <c r="AL206" i="17"/>
  <c r="AL207" i="17"/>
  <c r="AL208" i="17"/>
  <c r="AL209" i="17"/>
  <c r="AL210" i="17"/>
  <c r="AL211" i="17"/>
  <c r="AL212" i="17"/>
  <c r="AL213" i="17"/>
  <c r="AL214" i="17"/>
  <c r="AL215" i="17"/>
  <c r="AL216" i="17"/>
  <c r="AL217" i="17"/>
  <c r="AL218" i="17"/>
  <c r="AL219" i="17"/>
  <c r="AL220" i="17"/>
  <c r="AL221" i="17"/>
  <c r="AL222" i="17"/>
  <c r="AL223" i="17"/>
  <c r="AL224" i="17"/>
  <c r="AL225" i="17"/>
  <c r="AL226" i="17"/>
  <c r="AL227" i="17"/>
  <c r="AL228" i="17"/>
  <c r="AL229" i="17"/>
  <c r="AL230" i="17"/>
  <c r="AL231" i="17"/>
  <c r="AL232" i="17"/>
  <c r="AL233" i="17"/>
  <c r="AL234" i="17"/>
  <c r="AL235" i="17"/>
  <c r="AL2" i="17"/>
  <c r="AM3" i="14"/>
  <c r="AM4" i="14"/>
  <c r="AM5" i="14"/>
  <c r="AM6" i="14"/>
  <c r="AM7" i="14"/>
  <c r="AM8" i="14"/>
  <c r="AM9" i="14"/>
  <c r="AM10" i="14"/>
  <c r="AM11" i="14"/>
  <c r="AM12" i="14"/>
  <c r="AM13" i="14"/>
  <c r="AM14" i="14"/>
  <c r="AM15" i="14"/>
  <c r="AM16" i="14"/>
  <c r="AM17" i="14"/>
  <c r="AM18" i="14"/>
  <c r="AM19" i="14"/>
  <c r="AM20" i="14"/>
  <c r="AM21" i="14"/>
  <c r="AM22" i="14"/>
  <c r="AM23" i="14"/>
  <c r="AM24" i="14"/>
  <c r="AM25" i="14"/>
  <c r="AM26" i="14"/>
  <c r="AM27" i="14"/>
  <c r="AM28" i="14"/>
  <c r="AM29" i="14"/>
  <c r="AM30" i="14"/>
  <c r="AM31" i="14"/>
  <c r="AM32" i="14"/>
  <c r="AM33" i="14"/>
  <c r="AM34" i="14"/>
  <c r="AM35" i="14"/>
  <c r="AM36" i="14"/>
  <c r="AM37" i="14"/>
  <c r="AM40" i="14"/>
  <c r="AM41" i="14"/>
  <c r="AM42" i="14"/>
  <c r="AM43" i="14"/>
  <c r="AM44" i="14"/>
  <c r="AM45" i="14"/>
  <c r="AM46" i="14"/>
  <c r="AM47" i="14"/>
  <c r="AM48" i="14"/>
  <c r="AM49" i="14"/>
  <c r="AM50" i="14"/>
  <c r="AM51" i="14"/>
  <c r="AM52" i="14"/>
  <c r="AM53" i="14"/>
  <c r="AM54" i="14"/>
  <c r="AM55" i="14"/>
  <c r="AM56" i="14"/>
  <c r="AM57" i="14"/>
  <c r="AM58" i="14"/>
  <c r="AM59" i="14"/>
  <c r="AM60" i="14"/>
  <c r="AM61" i="14"/>
  <c r="AM62" i="14"/>
  <c r="AM63" i="14"/>
  <c r="AM64" i="14"/>
  <c r="AM65" i="14"/>
  <c r="AM66" i="14"/>
  <c r="AM67" i="14"/>
  <c r="AM68" i="14"/>
  <c r="AM69" i="14"/>
  <c r="AM70" i="14"/>
  <c r="AM71" i="14"/>
  <c r="AM72" i="14"/>
  <c r="AM73" i="14"/>
  <c r="AM74" i="14"/>
  <c r="AM75" i="14"/>
  <c r="AM76" i="14"/>
  <c r="AM77" i="14"/>
  <c r="AM78" i="14"/>
  <c r="AM79" i="14"/>
  <c r="AM80" i="14"/>
  <c r="AM81" i="14"/>
  <c r="AM82" i="14"/>
  <c r="AM83" i="14"/>
  <c r="AM84" i="14"/>
  <c r="AM85" i="14"/>
  <c r="AM86" i="14"/>
  <c r="AM87" i="14"/>
  <c r="AM88" i="14"/>
  <c r="AM89" i="14"/>
  <c r="AM90" i="14"/>
  <c r="AM91" i="14"/>
  <c r="AM92" i="14"/>
  <c r="AM93" i="14"/>
  <c r="AM94" i="14"/>
  <c r="AM95" i="14"/>
  <c r="AM96" i="14"/>
  <c r="AM97" i="14"/>
  <c r="AM98" i="14"/>
  <c r="AM99" i="14"/>
  <c r="AM100" i="14"/>
  <c r="AM101" i="14"/>
  <c r="AM102" i="14"/>
  <c r="AM103" i="14"/>
  <c r="AM104" i="14"/>
  <c r="AM105" i="14"/>
  <c r="AM106" i="14"/>
  <c r="AM107" i="14"/>
  <c r="AM108" i="14"/>
  <c r="AM109" i="14"/>
  <c r="AM110" i="14"/>
  <c r="AM111" i="14"/>
  <c r="AM112" i="14"/>
  <c r="AM113" i="14"/>
  <c r="AM114" i="14"/>
  <c r="AM115" i="14"/>
  <c r="AM116" i="14"/>
  <c r="AM117" i="14"/>
  <c r="AM118" i="14"/>
  <c r="AM119" i="14"/>
  <c r="AM120" i="14"/>
  <c r="AM121" i="14"/>
  <c r="AM122" i="14"/>
  <c r="AM123" i="14"/>
  <c r="AM124" i="14"/>
  <c r="AM125" i="14"/>
  <c r="AM126" i="14"/>
  <c r="AM127" i="14"/>
  <c r="AM128" i="14"/>
  <c r="AM129" i="14"/>
  <c r="AM130" i="14"/>
  <c r="AM131" i="14"/>
  <c r="AM132" i="14"/>
  <c r="AM133" i="14"/>
  <c r="AM134" i="14"/>
  <c r="AM135" i="14"/>
  <c r="AM136" i="14"/>
  <c r="AM137" i="14"/>
  <c r="AM138" i="14"/>
  <c r="AM139" i="14"/>
  <c r="AM140" i="14"/>
  <c r="AM141" i="14"/>
  <c r="AM142" i="14"/>
  <c r="AM143" i="14"/>
  <c r="AM144" i="14"/>
  <c r="AM145" i="14"/>
  <c r="AM146" i="14"/>
  <c r="AM147" i="14"/>
  <c r="AM148" i="14"/>
  <c r="AM149" i="14"/>
  <c r="AM150" i="14"/>
  <c r="AM151" i="14"/>
  <c r="AM152" i="14"/>
  <c r="AM153" i="14"/>
  <c r="AM154" i="14"/>
  <c r="AM155" i="14"/>
  <c r="AM156" i="14"/>
  <c r="AM157" i="14"/>
  <c r="AM158" i="14"/>
  <c r="AM159" i="14"/>
  <c r="AM160" i="14"/>
  <c r="AM161" i="14"/>
  <c r="AM162" i="14"/>
  <c r="AM163" i="14"/>
  <c r="AM164" i="14"/>
  <c r="AM165" i="14"/>
  <c r="AM166" i="14"/>
  <c r="AM167" i="14"/>
  <c r="AM168" i="14"/>
  <c r="AM169" i="14"/>
  <c r="AM170" i="14"/>
  <c r="AM171" i="14"/>
  <c r="AM172" i="14"/>
  <c r="AM173" i="14"/>
  <c r="AM174" i="14"/>
  <c r="AM175" i="14"/>
  <c r="AM176" i="14"/>
  <c r="AM177" i="14"/>
  <c r="AM178" i="14"/>
  <c r="AM179" i="14"/>
  <c r="AM2" i="14"/>
  <c r="AM3" i="12"/>
  <c r="AM4" i="12"/>
  <c r="AM5" i="12"/>
  <c r="AM6" i="12"/>
  <c r="AM7" i="12"/>
  <c r="AM8" i="12"/>
  <c r="AM9" i="12"/>
  <c r="AM10" i="12"/>
  <c r="AM11" i="12"/>
  <c r="AM12" i="12"/>
  <c r="AM13" i="12"/>
  <c r="AM14" i="12"/>
  <c r="AM15" i="12"/>
  <c r="AM16" i="12"/>
  <c r="AM17" i="12"/>
  <c r="AM18" i="12"/>
  <c r="AM19" i="12"/>
  <c r="AM20" i="12"/>
  <c r="AM21" i="12"/>
  <c r="AO2" i="12" s="1"/>
  <c r="AM22" i="12"/>
  <c r="AM23" i="12"/>
  <c r="AM24" i="12"/>
  <c r="AM25" i="12"/>
  <c r="AM26" i="12"/>
  <c r="AM27" i="12"/>
  <c r="AM28" i="12"/>
  <c r="AM29" i="12"/>
  <c r="AM30" i="12"/>
  <c r="AM31" i="12"/>
  <c r="AM32" i="12"/>
  <c r="AM33" i="12"/>
  <c r="AM34" i="12"/>
  <c r="AM35" i="12"/>
  <c r="AM36" i="12"/>
  <c r="AM37" i="12"/>
  <c r="AM38" i="12"/>
  <c r="AM39" i="12"/>
  <c r="AM40" i="12"/>
  <c r="AM41" i="12"/>
  <c r="AM42" i="12"/>
  <c r="AM43" i="12"/>
  <c r="AM44" i="12"/>
  <c r="AM45" i="12"/>
  <c r="AM46" i="12"/>
  <c r="AM47" i="12"/>
  <c r="AM48" i="12"/>
  <c r="AM49" i="12"/>
  <c r="AM50" i="12"/>
  <c r="AM51" i="12"/>
  <c r="AM52" i="12"/>
  <c r="AM53" i="12"/>
  <c r="AM54" i="12"/>
  <c r="AM55" i="12"/>
  <c r="AM2" i="12"/>
  <c r="AM3" i="20"/>
  <c r="AM4" i="20"/>
  <c r="AM5" i="20"/>
  <c r="AM6" i="20"/>
  <c r="AM7" i="20"/>
  <c r="AM8" i="20"/>
  <c r="AM9" i="20"/>
  <c r="AM10" i="20"/>
  <c r="AM11" i="20"/>
  <c r="AM12" i="20"/>
  <c r="AM13" i="20"/>
  <c r="AM14" i="20"/>
  <c r="AM15" i="20"/>
  <c r="AM16" i="20"/>
  <c r="AM17" i="20"/>
  <c r="AM18" i="20"/>
  <c r="AM19" i="20"/>
  <c r="AM20" i="20"/>
  <c r="AM21" i="20"/>
  <c r="AM22" i="20"/>
  <c r="AM23" i="20"/>
  <c r="AM24" i="20"/>
  <c r="AM25" i="20"/>
  <c r="AM26" i="20"/>
  <c r="AM27" i="20"/>
  <c r="AM28" i="20"/>
  <c r="AM29" i="20"/>
  <c r="AM30" i="20"/>
  <c r="AM31" i="20"/>
  <c r="AM32" i="20"/>
  <c r="AM33" i="20"/>
  <c r="AM34" i="20"/>
  <c r="AM35" i="20"/>
  <c r="AM36" i="20"/>
  <c r="AM37" i="20"/>
  <c r="AM38" i="20"/>
  <c r="AM39" i="20"/>
  <c r="AM40" i="20"/>
  <c r="AM41" i="20"/>
  <c r="AM42" i="20"/>
  <c r="AM43" i="20"/>
  <c r="AM44" i="20"/>
  <c r="AM45" i="20"/>
  <c r="AM46" i="20"/>
  <c r="AM47" i="20"/>
  <c r="AM2" i="20"/>
  <c r="AO2" i="20" s="1"/>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2" i="2"/>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3" i="1"/>
  <c r="AM2" i="1"/>
  <c r="AM2" i="4"/>
  <c r="AO2" i="4" s="1"/>
  <c r="AM3" i="4"/>
  <c r="AM4" i="4"/>
  <c r="AM5" i="4"/>
  <c r="AM6" i="4"/>
  <c r="AM7" i="4"/>
  <c r="AM9" i="4"/>
  <c r="AM10" i="4"/>
  <c r="AM11" i="4"/>
  <c r="AM12" i="4"/>
  <c r="AM13" i="4"/>
  <c r="AM14" i="4"/>
  <c r="AM15" i="4"/>
  <c r="AM16" i="4"/>
  <c r="AM17" i="4"/>
  <c r="AK3" i="18"/>
  <c r="AK4" i="18"/>
  <c r="AK5" i="18"/>
  <c r="AK6" i="18"/>
  <c r="AK7" i="18"/>
  <c r="AK8" i="18"/>
  <c r="AK9" i="18"/>
  <c r="AK10" i="18"/>
  <c r="AK11" i="18"/>
  <c r="AK12" i="18"/>
  <c r="AK13" i="18"/>
  <c r="AK14" i="18"/>
  <c r="AK15" i="18"/>
  <c r="AK16" i="18"/>
  <c r="AK17" i="18"/>
  <c r="AK18" i="18"/>
  <c r="AK19" i="18"/>
  <c r="AK20" i="18"/>
  <c r="AK21" i="18"/>
  <c r="AK22" i="18"/>
  <c r="AK23" i="18"/>
  <c r="AK24" i="18"/>
  <c r="AK25" i="18"/>
  <c r="AK26" i="18"/>
  <c r="AK27" i="18"/>
  <c r="AK28" i="18"/>
  <c r="AK29" i="18"/>
  <c r="AK30" i="18"/>
  <c r="AK31" i="18"/>
  <c r="AK32" i="18"/>
  <c r="AK33" i="18"/>
  <c r="AK34" i="18"/>
  <c r="AK35" i="18"/>
  <c r="AK36" i="18"/>
  <c r="AK37" i="18"/>
  <c r="AK38" i="18"/>
  <c r="AK39" i="18"/>
  <c r="AK40" i="18"/>
  <c r="AK41" i="18"/>
  <c r="AK42" i="18"/>
  <c r="AK43" i="18"/>
  <c r="AK44" i="18"/>
  <c r="AK45" i="18"/>
  <c r="AK46" i="18"/>
  <c r="AK47" i="18"/>
  <c r="AK48" i="18"/>
  <c r="AK49" i="18"/>
  <c r="AK50" i="18"/>
  <c r="AK51" i="18"/>
  <c r="AK2" i="18"/>
  <c r="AO2" i="11" l="1"/>
  <c r="AO2" i="1"/>
  <c r="AO2" i="14"/>
  <c r="AO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יניב שפירא</author>
    <author>tc={0C0288FC-C99C-4D18-A857-EB59872556ED}</author>
    <author>tc={BE3EDCC4-AF0E-4E90-8A67-7E7703A6E18C}</author>
    <author>tc={F698DAF3-4007-42BD-A475-047DDA17C1D9}</author>
    <author>tc={17611148-FFB1-4C19-A0E1-57C153A998AF}</author>
    <author>tc={3160E230-1A62-48DC-BEFB-F2672C88C1EB}</author>
    <author>tc={CB84E261-879C-4119-A90E-80447C071EB5}</author>
    <author>tc={166AB126-554F-4870-8E88-5EDDCD50D68D}</author>
    <author>tc={83185ACA-DF85-4069-BC85-DE07588B4660}</author>
    <author>tc={69072366-B9BE-4133-BB21-8E966F969C0E}</author>
    <author>tc={45AC07B3-35BF-4276-9915-7BA8DC7747F5}</author>
    <author>tc={B026CFE5-95D9-4C81-AC54-88C3BB4F2B87}</author>
    <author>tc={0FEFC2FC-2ADD-4276-A387-721FFA145950}</author>
    <author>tc={AE300436-4423-44FE-9BF1-448324F88662}</author>
    <author>tc={6B1E3CB3-9DF9-4F76-8ADC-203DC5D2F34B}</author>
    <author>tc={3C98A977-8CE5-4AC6-8D5D-ABE9685B5E37}</author>
    <author>tc={AC9C7250-DE2E-4E6C-982B-D8CD48EFB98E}</author>
    <author>tc={8264D2E8-5D2F-472F-8081-4049DEFCB430}</author>
    <author>tc={334A09F6-CCBA-4756-860D-72B826192EB2}</author>
    <author>tc={C49E697D-6EE6-458F-8921-4039E8CEEFCF}</author>
    <author>tc={2DB1A7B5-71E7-4327-81DF-47BDD3542D93}</author>
    <author>tc={5DFDA766-61FF-4FB1-A413-19281907D5FE}</author>
    <author>tc={F71344D1-72F5-4505-AFFC-5CF1189514F2}</author>
    <author>tc={E04FAB27-EF47-4E29-BCF6-1D877E5A566E}</author>
    <author>tc={71084E98-EA52-4841-8C4E-DF85211671B9}</author>
    <author>tc={9834B2DB-18A2-4ED1-A3E4-EFE66F6C000F}</author>
    <author>tc={BF90CE27-EE04-4255-981E-E1A8CAAEC878}</author>
    <author>tc={172765D8-78E3-4586-8B33-1B3732F215FD}</author>
    <author>tc={C153B06A-E793-4F64-B5EA-0DF9014D78CE}</author>
    <author>tc={34EE59FC-E095-4F97-9AFB-71F870B97EC8}</author>
    <author>tc={0D3E5276-5355-4CF6-B814-9F7C14CB3F0B}</author>
    <author>tc={B31E98B5-3D34-4F79-940A-5634BFAB96F2}</author>
    <author>tc={8FC01AF1-AABE-4E64-A0BC-D34D57FC0D25}</author>
    <author>tc={F52918DE-BE5C-4C0A-B75B-2AB7989F98E5}</author>
    <author>tc={E42F34A0-6A57-4BBA-8DC1-FC4BF325D14A}</author>
    <author>tc={984EF24E-083A-4FD5-906F-0FDF337D3840}</author>
    <author>tc={16669D4F-5581-4F51-8674-5DECA35F3A4C}</author>
    <author>tc={4AB42C55-84BC-4CC7-BE2A-5ADDB60B4609}</author>
    <author>tc={D2023427-0EF0-40AC-812B-D315A4FC9F0E}</author>
    <author>tc={CEAFD052-DA3F-4D17-9B7F-55EAC254C25E}</author>
    <author>tc={562B1360-074E-41E9-B96E-81223E00A91D}</author>
    <author>tc={1591C6E4-ECC2-438C-B8AD-20687E43F257}</author>
    <author>tc={83CB1825-2CF0-485C-81B5-A314CB83DB0F}</author>
    <author>tc={66721245-740A-42F1-8376-22BA65B81B18}</author>
    <author>tc={B3C5AF49-6C9B-441F-AA04-AAEBE287E853}</author>
    <author>tc={FE7D99CA-D961-4A48-BEC0-90A2C4013773}</author>
    <author>tc={E2B09CFA-FB94-4332-B8F5-6AD942BA8374}</author>
    <author>tc={DB0CEEDE-CDE9-4DD4-899D-28035D424FD6}</author>
    <author>tc={E26E7E49-5AA1-4AFF-B030-062611EE4F11}</author>
    <author>tc={FD71CE5E-816D-4379-B63B-453EEBF173CE}</author>
    <author>tc={39796953-560C-41E9-8314-FC118523F583}</author>
    <author>tc={944CAE45-80F1-4A54-9689-47905B84EEBB}</author>
    <author>tc={F609C672-A647-4ECE-96E2-66EBEA099072}</author>
    <author>tc={DD0AD433-6A0D-496E-B7A5-67B5026678D5}</author>
    <author>tc={A0280845-057B-4B2B-A588-65D4371ED020}</author>
    <author>tc={36CBA67A-941F-4EDB-BAD7-8E71ED44058A}</author>
    <author>tc={3D02CAC9-3074-4B0D-90A5-ACDCB35F92A2}</author>
    <author>tc={E87D1587-7DC9-4F06-BD2C-E109A6AE4717}</author>
    <author>tc={80EEB494-ED82-48FF-932A-7BDFCFE08073}</author>
    <author>tc={40A32E51-3836-4DEE-9C52-9AC30FD85893}</author>
    <author>tc={908BE24F-7C4D-478D-A5C8-9813898F71D7}</author>
    <author>tc={74B2D708-F198-4B60-B824-E6C4162C6F54}</author>
    <author>tc={0D1BC34D-E3EB-4128-A2F6-999CB689C0DD}</author>
    <author>tc={46DEC515-DE5A-42A6-ADB6-114B4EECAD5A}</author>
    <author>tc={9751F5A4-4729-4A80-B364-83D21D886BFD}</author>
    <author>tc={610EEB94-4262-4B17-9E67-D7481205627B}</author>
    <author>tc={EE870537-B43F-4F10-8FC4-EA94FF84A896}</author>
    <author>tc={C8175B47-F6C7-4CBB-8F26-51C02F86ED8B}</author>
    <author>tc={36FF387F-614B-48ED-8E1A-C022C67D3AEB}</author>
    <author>tc={35D3B2C4-C03F-401C-9122-68A559C1E186}</author>
    <author>tc={85678B1E-6F6B-44D7-A6A4-B8C2C1FED631}</author>
    <author>tc={54B27088-F44A-4810-BD3B-97906BCB9459}</author>
    <author>tc={82515416-DFD8-4A7D-89F0-20B31851101E}</author>
    <author>tc={A6E19DBB-5BB9-4631-8E4A-985D2E2CF00C}</author>
    <author>tc={183F4EF0-A0F4-4B71-AC47-DC930C5C8FA6}</author>
    <author>tc={9A875F9A-65FA-4030-8E69-E305594B1AE8}</author>
    <author>tc={94687852-29FF-43DA-BC38-C102F9B36D3B}</author>
    <author>tc={00B7F9A1-15BE-4954-A15E-4BEDB80E9AC5}</author>
    <author>tc={FD5F374A-CF45-4528-98AE-80ADE760447B}</author>
    <author>tc={CF6241E2-45E0-400A-AC84-A9840EC6B1F0}</author>
    <author>tc={807BB094-203E-4801-B18B-9C4F87EDA004}</author>
    <author>tc={C97AE472-067A-4CA4-8029-CB89E54FB37C}</author>
    <author>tc={F0220CB2-2A70-4A99-83C0-6AFD08726FBA}</author>
    <author>tc={CBCEE698-8218-4E61-AB70-D71B44899683}</author>
    <author>tc={C7E39A1B-B080-49B0-BC2F-F385FC21AC29}</author>
    <author>tc={B557FC8D-9871-483A-8C83-F5E62C50DD84}</author>
    <author>tc={8F1A5E34-9111-4B7B-9C52-6DCFAB0DEE4A}</author>
    <author>tc={1239800C-9572-4B5B-BF3D-D87324F97E1C}</author>
    <author>tc={A08E788B-A468-481B-88D6-9F109AB8225E}</author>
    <author>tc={C12D7FD7-48AC-4AED-AFA6-8C101798BDA5}</author>
    <author>tc={7BE75116-4A21-4B80-BD40-B7161A877FC6}</author>
  </authors>
  <commentList>
    <comment ref="A5" authorId="0" shapeId="0" xr:uid="{E01D773F-E937-40B2-91C8-B223134CE2C8}">
      <text>
        <r>
          <rPr>
            <b/>
            <sz val="9"/>
            <color indexed="81"/>
            <rFont val="Tahoma"/>
            <family val="2"/>
          </rPr>
          <t>יניב שפירא:</t>
        </r>
        <r>
          <rPr>
            <sz val="9"/>
            <color indexed="81"/>
            <rFont val="Tahoma"/>
            <family val="2"/>
          </rPr>
          <t xml:space="preserve">
שאלה 145
אין קידוד בstata
גם ב2020 וגם ב2019
גם ב2021</t>
        </r>
      </text>
    </comment>
    <comment ref="A11" authorId="0" shapeId="0" xr:uid="{D8235278-4621-44D9-821E-BFBE94669720}">
      <text>
        <r>
          <rPr>
            <b/>
            <sz val="9"/>
            <color indexed="81"/>
            <rFont val="Tahoma"/>
            <family val="2"/>
          </rPr>
          <t>יניב שפירא:</t>
        </r>
        <r>
          <rPr>
            <sz val="9"/>
            <color indexed="81"/>
            <rFont val="Tahoma"/>
            <family val="2"/>
          </rPr>
          <t xml:space="preserve">
יהודים בלבד</t>
        </r>
      </text>
    </comment>
    <comment ref="A17" authorId="0" shapeId="0" xr:uid="{04C50B45-8F3F-4E20-B7DA-69FB7ECCF1CC}">
      <text>
        <r>
          <rPr>
            <b/>
            <sz val="9"/>
            <color indexed="81"/>
            <rFont val="Tahoma"/>
            <family val="2"/>
          </rPr>
          <t>יניב שפירא:</t>
        </r>
        <r>
          <rPr>
            <sz val="9"/>
            <color indexed="81"/>
            <rFont val="Tahoma"/>
            <family val="2"/>
          </rPr>
          <t xml:space="preserve">
יהודים בלבד</t>
        </r>
      </text>
    </comment>
    <comment ref="A22" authorId="0" shapeId="0" xr:uid="{8C24DBAC-942B-4139-B9F1-11BDCCE66B05}">
      <text>
        <r>
          <rPr>
            <b/>
            <sz val="9"/>
            <color indexed="81"/>
            <rFont val="Tahoma"/>
            <charset val="177"/>
          </rPr>
          <t>יניב שפירא:</t>
        </r>
        <r>
          <rPr>
            <sz val="9"/>
            <color indexed="81"/>
            <rFont val="Tahoma"/>
            <charset val="177"/>
          </rPr>
          <t xml:space="preserve">
שאלה פתוחה</t>
        </r>
      </text>
    </comment>
    <comment ref="A23" authorId="0" shapeId="0" xr:uid="{19B4ACBE-1C30-4285-B76E-9DA5093042D2}">
      <text>
        <r>
          <rPr>
            <b/>
            <sz val="9"/>
            <color indexed="81"/>
            <rFont val="Tahoma"/>
            <family val="2"/>
          </rPr>
          <t>יניב שפירא:</t>
        </r>
        <r>
          <rPr>
            <sz val="9"/>
            <color indexed="81"/>
            <rFont val="Tahoma"/>
            <family val="2"/>
          </rPr>
          <t xml:space="preserve">
יהודים בלבד</t>
        </r>
      </text>
    </comment>
    <comment ref="A27" authorId="0" shapeId="0" xr:uid="{BAE7B1FE-178B-49C6-A7AE-487DCA936F2B}">
      <text>
        <r>
          <rPr>
            <b/>
            <sz val="9"/>
            <color indexed="81"/>
            <rFont val="Tahoma"/>
            <family val="2"/>
          </rPr>
          <t>יניב שפירא:</t>
        </r>
        <r>
          <rPr>
            <sz val="9"/>
            <color indexed="81"/>
            <rFont val="Tahoma"/>
            <family val="2"/>
          </rPr>
          <t xml:space="preserve">
יהודים בלבד</t>
        </r>
      </text>
    </comment>
    <comment ref="A29" authorId="0" shapeId="0" xr:uid="{5A9A437B-D85B-4120-B14D-12119753885B}">
      <text>
        <r>
          <rPr>
            <b/>
            <sz val="9"/>
            <color indexed="81"/>
            <rFont val="Tahoma"/>
            <family val="2"/>
          </rPr>
          <t>יניב שפירא:</t>
        </r>
        <r>
          <rPr>
            <sz val="9"/>
            <color indexed="81"/>
            <rFont val="Tahoma"/>
            <family val="2"/>
          </rPr>
          <t xml:space="preserve">
רק לעולי ברה"מ</t>
        </r>
      </text>
    </comment>
    <comment ref="A30" authorId="0" shapeId="0" xr:uid="{EAF8251B-3A52-4C52-BDAA-252D7DB116FF}">
      <text>
        <r>
          <rPr>
            <b/>
            <sz val="9"/>
            <color indexed="81"/>
            <rFont val="Tahoma"/>
            <family val="2"/>
          </rPr>
          <t>יניב שפירא:</t>
        </r>
        <r>
          <rPr>
            <sz val="9"/>
            <color indexed="81"/>
            <rFont val="Tahoma"/>
            <family val="2"/>
          </rPr>
          <t xml:space="preserve">
רק לעולי ברה"מ</t>
        </r>
      </text>
    </comment>
    <comment ref="A31" authorId="0" shapeId="0" xr:uid="{B1E26351-F383-4D11-8C1E-E47C4634C273}">
      <text>
        <r>
          <rPr>
            <b/>
            <sz val="9"/>
            <color indexed="81"/>
            <rFont val="Tahoma"/>
            <family val="2"/>
          </rPr>
          <t>יניב שפירא:</t>
        </r>
        <r>
          <rPr>
            <sz val="9"/>
            <color indexed="81"/>
            <rFont val="Tahoma"/>
            <family val="2"/>
          </rPr>
          <t xml:space="preserve">
רק לעולי ברה"מ</t>
        </r>
      </text>
    </comment>
    <comment ref="B31" authorId="1" shapeId="0" xr:uid="{0C0288FC-C99C-4D18-A857-EB59872556ED}">
      <text>
        <t>[Threaded comment]
Your version of Excel allows you to read this threaded comment; however, any edits to it will get removed if the file is opened in a newer version of Excel. Learn more: https://go.microsoft.com/fwlink/?linkid=870924
Comment:
    איך נכון להבין חברים? זה התנהגות? דמוגרפיה? אפקט? העדפות?</t>
      </text>
    </comment>
    <comment ref="A37" authorId="0" shapeId="0" xr:uid="{1938D4EC-63EB-4824-AF0F-9C76D2EDD3C8}">
      <text>
        <r>
          <rPr>
            <b/>
            <sz val="9"/>
            <color indexed="81"/>
            <rFont val="Tahoma"/>
            <family val="2"/>
          </rPr>
          <t>יניב שפירא:</t>
        </r>
        <r>
          <rPr>
            <sz val="9"/>
            <color indexed="81"/>
            <rFont val="Tahoma"/>
            <family val="2"/>
          </rPr>
          <t xml:space="preserve">
ב2022 הוצאה עמדה על 16,000 ₪ 
ב2019 הוצאה עמדה על 15,000 ₪ 
ב2015 ההוצאה עמדה על 14,000 ₪ </t>
        </r>
      </text>
    </comment>
    <comment ref="A55" authorId="0" shapeId="0" xr:uid="{2F533E47-4710-40A2-8E31-39C9918FD059}">
      <text>
        <r>
          <rPr>
            <b/>
            <sz val="9"/>
            <color indexed="81"/>
            <rFont val="Tahoma"/>
            <family val="2"/>
          </rPr>
          <t>יניב שפירא:</t>
        </r>
        <r>
          <rPr>
            <sz val="9"/>
            <color indexed="81"/>
            <rFont val="Tahoma"/>
            <family val="2"/>
          </rPr>
          <t xml:space="preserve">
רק למי שענה שעובד</t>
        </r>
      </text>
    </comment>
    <comment ref="A65" authorId="0" shapeId="0" xr:uid="{CF05378F-18C3-4D2C-8FC1-C87566F05F2D}">
      <text>
        <r>
          <rPr>
            <b/>
            <sz val="9"/>
            <color indexed="81"/>
            <rFont val="Tahoma"/>
            <charset val="177"/>
          </rPr>
          <t>יניב שפירא:</t>
        </r>
        <r>
          <rPr>
            <sz val="9"/>
            <color indexed="81"/>
            <rFont val="Tahoma"/>
            <charset val="177"/>
          </rPr>
          <t xml:space="preserve">
רק למי שענה שיש לו ילדים</t>
        </r>
      </text>
    </comment>
    <comment ref="A66" authorId="2" shapeId="0" xr:uid="{BE3EDCC4-AF0E-4E90-8A67-7E7703A6E18C}">
      <text>
        <t>[Threaded comment]
Your version of Excel allows you to read this threaded comment; however, any edits to it will get removed if the file is opened in a newer version of Excel. Learn more: https://go.microsoft.com/fwlink/?linkid=870924
Comment:
    שאלה אם זה התנהגות או דמוגרפיה</t>
      </text>
    </comment>
    <comment ref="A80" authorId="3" shapeId="0" xr:uid="{F698DAF3-4007-42BD-A475-047DDA17C1D9}">
      <text>
        <t>[Threaded comment]
Your version of Excel allows you to read this threaded comment; however, any edits to it will get removed if the file is opened in a newer version of Excel. Learn more: https://go.microsoft.com/fwlink/?linkid=870924
Comment:
    איך להתייחס לחברות בהסתדרות? זהות? התנהגות? תחת תעסוקה?</t>
      </text>
    </comment>
    <comment ref="A87" authorId="4" shapeId="0" xr:uid="{17611148-FFB1-4C19-A0E1-57C153A998AF}">
      <text>
        <t>[Threaded comment]
Your version of Excel allows you to read this threaded comment; however, any edits to it will get removed if the file is opened in a newer version of Excel. Learn more: https://go.microsoft.com/fwlink/?linkid=870924
Comment:
    אולי דמוגרפי</t>
      </text>
    </comment>
    <comment ref="A97" authorId="5" shapeId="0" xr:uid="{3160E230-1A62-48DC-BEFB-F2672C88C1EB}">
      <text>
        <t>[Threaded comment]
Your version of Excel allows you to read this threaded comment; however, any edits to it will get removed if the file is opened in a newer version of Excel. Learn more: https://go.microsoft.com/fwlink/?linkid=870924
Comment:
    מופיע רק בשנה אחת שבה לא נשאל "מי מהמועמדים לראשות הממשלה יוכל לטפל טוב יותר בבעיה" (1984), אולי שווה לחבר את השאלות?</t>
      </text>
    </comment>
    <comment ref="A98" authorId="0" shapeId="0" xr:uid="{378022AE-5E3D-4104-A1CB-71B37A49D923}">
      <text>
        <r>
          <rPr>
            <b/>
            <sz val="9"/>
            <color indexed="81"/>
            <rFont val="Tahoma"/>
            <family val="2"/>
          </rPr>
          <t>יניב שפירא:</t>
        </r>
        <r>
          <rPr>
            <sz val="9"/>
            <color indexed="81"/>
            <rFont val="Tahoma"/>
            <family val="2"/>
          </rPr>
          <t xml:space="preserve">
אין קידוד
גם ב2020 וגם ב2021</t>
        </r>
      </text>
    </comment>
    <comment ref="A100" authorId="0" shapeId="0" xr:uid="{4F7D14CD-D598-4E50-9460-2399839C5F8F}">
      <text>
        <r>
          <rPr>
            <b/>
            <sz val="9"/>
            <color indexed="81"/>
            <rFont val="Tahoma"/>
            <family val="2"/>
          </rPr>
          <t>יניב שפירא:</t>
        </r>
        <r>
          <rPr>
            <sz val="9"/>
            <color indexed="81"/>
            <rFont val="Tahoma"/>
            <family val="2"/>
          </rPr>
          <t xml:space="preserve">
שאלות 12A-14A בפוסט בחירות 2019 לא מקודדות בstata</t>
        </r>
      </text>
    </comment>
    <comment ref="B100" authorId="6" shapeId="0" xr:uid="{CB84E261-879C-4119-A90E-80447C071EB5}">
      <text>
        <t>[Threaded comment]
Your version of Excel allows you to read this threaded comment; however, any edits to it will get removed if the file is opened in a newer version of Excel. Learn more: https://go.microsoft.com/fwlink/?linkid=870924
Comment:
    אפקט רגשי או העדפה?</t>
      </text>
    </comment>
    <comment ref="B115" authorId="7" shapeId="0" xr:uid="{166AB126-554F-4870-8E88-5EDDCD50D68D}">
      <text>
        <t>[Threaded comment]
Your version of Excel allows you to read this threaded comment; however, any edits to it will get removed if the file is opened in a newer version of Excel. Learn more: https://go.microsoft.com/fwlink/?linkid=870924
Comment:
    איך נכון להבין חברים? זה התנהגות? דמוגרפיה? אפקט? העדפות?</t>
      </text>
    </comment>
    <comment ref="A140" authorId="8" shapeId="0" xr:uid="{83185ACA-DF85-4069-BC85-DE07588B4660}">
      <text>
        <t>[Threaded comment]
Your version of Excel allows you to read this threaded comment; however, any edits to it will get removed if the file is opened in a newer version of Excel. Learn more: https://go.microsoft.com/fwlink/?linkid=870924
Comment:
    אולי צריך להיות attribute_personality</t>
      </text>
    </comment>
    <comment ref="A144" authorId="9" shapeId="0" xr:uid="{69072366-B9BE-4133-BB21-8E966F969C0E}">
      <text>
        <t>[Threaded comment]
Your version of Excel allows you to read this threaded comment; however, any edits to it will get removed if the file is opened in a newer version of Excel. Learn more: https://go.microsoft.com/fwlink/?linkid=870924
Comment:
    אולי צריך להיות אמון ב-strangers</t>
      </text>
    </comment>
    <comment ref="A147" authorId="10" shapeId="0" xr:uid="{45AC07B3-35BF-4276-9915-7BA8DC7747F5}">
      <text>
        <t>[Threaded comment]
Your version of Excel allows you to read this threaded comment; however, any edits to it will get removed if the file is opened in a newer version of Excel. Learn more: https://go.microsoft.com/fwlink/?linkid=870924
Comment:
    אולי אמונה או אישיות עד 154</t>
      </text>
    </comment>
    <comment ref="A152" authorId="11" shapeId="0" xr:uid="{B026CFE5-95D9-4C81-AC54-88C3BB4F2B87}">
      <text>
        <t>[Threaded comment]
Your version of Excel allows you to read this threaded comment; however, any edits to it will get removed if the file is opened in a newer version of Excel. Learn more: https://go.microsoft.com/fwlink/?linkid=870924
Comment:
    אולי שמרנות? מה רצו בעצם לבדוק פה?</t>
      </text>
    </comment>
    <comment ref="A155" authorId="12" shapeId="0" xr:uid="{0FEFC2FC-2ADD-4276-A387-721FFA145950}">
      <text>
        <t>[Threaded comment]
Your version of Excel allows you to read this threaded comment; however, any edits to it will get removed if the file is opened in a newer version of Excel. Learn more: https://go.microsoft.com/fwlink/?linkid=870924
Comment:
    בחרתי לקרוא לזה טרמו ככותרת כללית לאהדה אבל אולי צריך לשנות</t>
      </text>
    </comment>
    <comment ref="A156" authorId="0" shapeId="0" xr:uid="{BA650BB2-4B1C-4854-81B8-AF4EF412513A}">
      <text>
        <r>
          <rPr>
            <b/>
            <sz val="9"/>
            <color indexed="81"/>
            <rFont val="Tahoma"/>
            <family val="2"/>
          </rPr>
          <t>יניב שפירא:</t>
        </r>
        <r>
          <rPr>
            <sz val="9"/>
            <color indexed="81"/>
            <rFont val="Tahoma"/>
            <family val="2"/>
          </rPr>
          <t xml:space="preserve">
מי שענה '3' בשאלה הקודמת (a45)</t>
        </r>
      </text>
    </comment>
    <comment ref="A157" authorId="13" shapeId="0" xr:uid="{AE300436-4423-44FE-9BF1-448324F88662}">
      <text>
        <t>[Threaded comment]
Your version of Excel allows you to read this threaded comment; however, any edits to it will get removed if the file is opened in a newer version of Excel. Learn more: https://go.microsoft.com/fwlink/?linkid=870924
Comment:
    אולי לחבר עם attitude_personal_condition</t>
      </text>
    </comment>
    <comment ref="A158" authorId="14" shapeId="0" xr:uid="{6B1E3CB3-9DF9-4F76-8ADC-203DC5D2F34B}">
      <text>
        <t>[Threaded comment]
Your version of Excel allows you to read this threaded comment; however, any edits to it will get removed if the file is opened in a newer version of Excel. Learn more: https://go.microsoft.com/fwlink/?linkid=870924
Comment:
    אולי כדאי להוסיף להתנהגות מדרגה 2 = פוליטי</t>
      </text>
    </comment>
    <comment ref="A159" authorId="15" shapeId="0" xr:uid="{3C98A977-8CE5-4AC6-8D5D-ABE9685B5E37}">
      <text>
        <t>[Threaded comment]
Your version of Excel allows you to read this threaded comment; however, any edits to it will get removed if the file is opened in a newer version of Excel. Learn more: https://go.microsoft.com/fwlink/?linkid=870924
Comment:
    לנסות למצוא מדרגה 2 רחבה יותר</t>
      </text>
    </comment>
    <comment ref="A161" authorId="16" shapeId="0" xr:uid="{AC9C7250-DE2E-4E6C-982B-D8CD48EFB98E}">
      <text>
        <t>[Threaded comment]
Your version of Excel allows you to read this threaded comment; however, any edits to it will get removed if the file is opened in a newer version of Excel. Learn more: https://go.microsoft.com/fwlink/?linkid=870924
Comment:
    גם נכנס לקבוצה של מי שדומים ל-attitude_personal_condition</t>
      </text>
    </comment>
    <comment ref="A165" authorId="17" shapeId="0" xr:uid="{8264D2E8-5D2F-472F-8081-4049DEFCB430}">
      <text>
        <t>[Threaded comment]
Your version of Excel allows you to read this threaded comment; however, any edits to it will get removed if the file is opened in a newer version of Excel. Learn more: https://go.microsoft.com/fwlink/?linkid=870924
Comment:
    יכול להיות שאפשר למצוא דרך להדגיש את הפציעה האישית</t>
      </text>
    </comment>
    <comment ref="A168" authorId="18" shapeId="0" xr:uid="{334A09F6-CCBA-4756-860D-72B826192EB2}">
      <text>
        <t>[Threaded comment]
Your version of Excel allows you to read this threaded comment; however, any edits to it will get removed if the file is opened in a newer version of Excel. Learn more: https://go.microsoft.com/fwlink/?linkid=870924
Comment:
    איך נכון לקרוא לזה?</t>
      </text>
    </comment>
    <comment ref="A184" authorId="0" shapeId="0" xr:uid="{D001F088-064C-4AF3-AEDD-B643152E72CD}">
      <text>
        <r>
          <rPr>
            <b/>
            <sz val="9"/>
            <color indexed="81"/>
            <rFont val="Tahoma"/>
            <charset val="177"/>
          </rPr>
          <t>יניב שפירא:</t>
        </r>
        <r>
          <rPr>
            <sz val="9"/>
            <color indexed="81"/>
            <rFont val="Tahoma"/>
            <charset val="177"/>
          </rPr>
          <t xml:space="preserve">
לנשים בלבד</t>
        </r>
      </text>
    </comment>
    <comment ref="A186" authorId="19" shapeId="0" xr:uid="{C49E697D-6EE6-458F-8921-4039E8CEEFCF}">
      <text>
        <t>[Threaded comment]
Your version of Excel allows you to read this threaded comment; however, any edits to it will get removed if the file is opened in a newer version of Excel. Learn more: https://go.microsoft.com/fwlink/?linkid=870924
Comment:
    לא בטוח שזה attitude</t>
      </text>
    </comment>
    <comment ref="A190" authorId="20" shapeId="0" xr:uid="{2DB1A7B5-71E7-4327-81DF-47BDD3542D93}">
      <text>
        <t xml:space="preserve">[Threaded comment]
Your version of Excel allows you to read this threaded comment; however, any edits to it will get removed if the file is opened in a newer version of Excel. Learn more: https://go.microsoft.com/fwlink/?linkid=870924
Comment:
    אפשר לחבר עם attitude_satisfaction_government </t>
      </text>
    </comment>
    <comment ref="A191" authorId="21" shapeId="0" xr:uid="{5DFDA766-61FF-4FB1-A413-19281907D5FE}">
      <text>
        <t>[Threaded comment]
Your version of Excel allows you to read this threaded comment; however, any edits to it will get removed if the file is opened in a newer version of Excel. Learn more: https://go.microsoft.com/fwlink/?linkid=870924
Comment:
    לאחד עם attitude_satisfaction_political_system</t>
      </text>
    </comment>
    <comment ref="A197" authorId="22" shapeId="0" xr:uid="{F71344D1-72F5-4505-AFFC-5CF1189514F2}">
      <text>
        <t>[Threaded comment]
Your version of Excel allows you to read this threaded comment; however, any edits to it will get removed if the file is opened in a newer version of Excel. Learn more: https://go.microsoft.com/fwlink/?linkid=870924
Comment:
    כל השאלות האלה אולי לא ממש מתאימות לAFFECT</t>
      </text>
    </comment>
    <comment ref="A233" authorId="23" shapeId="0" xr:uid="{E04FAB27-EF47-4E29-BCF6-1D877E5A566E}">
      <text>
        <t>[Threaded comment]
Your version of Excel allows you to read this threaded comment; however, any edits to it will get removed if the file is opened in a newer version of Excel. Learn more: https://go.microsoft.com/fwlink/?linkid=870924
Comment:
    לא בטוח איך לקרוא לזה</t>
      </text>
    </comment>
    <comment ref="A287" authorId="0" shapeId="0" xr:uid="{47E8F2E2-CDE8-468F-BFCC-A99C1EB6B477}">
      <text>
        <r>
          <rPr>
            <b/>
            <sz val="9"/>
            <color indexed="81"/>
            <rFont val="Tahoma"/>
            <charset val="177"/>
          </rPr>
          <t>יניב שפירא:</t>
        </r>
        <r>
          <rPr>
            <sz val="9"/>
            <color indexed="81"/>
            <rFont val="Tahoma"/>
            <charset val="177"/>
          </rPr>
          <t xml:space="preserve">
מי שדירג עצמו "4"
בשאלה של ימין-שמאל</t>
        </r>
      </text>
    </comment>
    <comment ref="A288" authorId="0" shapeId="0" xr:uid="{83423DB1-61A8-43FE-A25F-E9CD4A667BD3}">
      <text>
        <r>
          <rPr>
            <b/>
            <sz val="9"/>
            <color indexed="81"/>
            <rFont val="Tahoma"/>
            <charset val="177"/>
          </rPr>
          <t>יניב שפירא:</t>
        </r>
        <r>
          <rPr>
            <sz val="9"/>
            <color indexed="81"/>
            <rFont val="Tahoma"/>
            <charset val="177"/>
          </rPr>
          <t xml:space="preserve">
כל מי שלא דירג עצמו "4" בשאלה של ימין-שמאל</t>
        </r>
      </text>
    </comment>
    <comment ref="A300" authorId="24" shapeId="0" xr:uid="{71084E98-EA52-4841-8C4E-DF85211671B9}">
      <text>
        <t>[Threaded comment]
Your version of Excel allows you to read this threaded comment; however, any edits to it will get removed if the file is opened in a newer version of Excel. Learn more: https://go.microsoft.com/fwlink/?linkid=870924
Comment:
    ב2015 השאלות כלכלה ומדיניות חברתית אוחדו לשאלה הזו, אפשר אולי לאחד פה לפאנל ארוך אבל זאת שאלה איך ואת מי.</t>
      </text>
    </comment>
    <comment ref="A339" authorId="0" shapeId="0" xr:uid="{501FAAD2-F83A-459B-A1F3-BACC7A05A8EF}">
      <text>
        <r>
          <rPr>
            <b/>
            <sz val="9"/>
            <color indexed="81"/>
            <rFont val="Tahoma"/>
            <family val="2"/>
          </rPr>
          <t>יניב שפירא:</t>
        </r>
        <r>
          <rPr>
            <sz val="9"/>
            <color indexed="81"/>
            <rFont val="Tahoma"/>
            <family val="2"/>
          </rPr>
          <t xml:space="preserve">
רק מגזר יהודי</t>
        </r>
      </text>
    </comment>
    <comment ref="A345" authorId="0" shapeId="0" xr:uid="{B416160C-EE9C-4AD0-911E-8A4D24BF14B8}">
      <text>
        <r>
          <rPr>
            <b/>
            <sz val="9"/>
            <color indexed="81"/>
            <rFont val="Tahoma"/>
            <family val="2"/>
          </rPr>
          <t>יניב שפירא:</t>
        </r>
        <r>
          <rPr>
            <sz val="9"/>
            <color indexed="81"/>
            <rFont val="Tahoma"/>
            <family val="2"/>
          </rPr>
          <t xml:space="preserve">
בבחירות 2015 התאחדו עם העבודה ויצרו את
"המחנה הציוני"</t>
        </r>
      </text>
    </comment>
    <comment ref="A347" authorId="0" shapeId="0" xr:uid="{4D37BC19-4340-4DB9-867F-B97416A44F27}">
      <text>
        <r>
          <rPr>
            <b/>
            <sz val="9"/>
            <color indexed="81"/>
            <rFont val="Tahoma"/>
            <family val="2"/>
          </rPr>
          <t>יניב שפירא:</t>
        </r>
        <r>
          <rPr>
            <sz val="9"/>
            <color indexed="81"/>
            <rFont val="Tahoma"/>
            <family val="2"/>
          </rPr>
          <t xml:space="preserve">
רק מגזר יהודי!</t>
        </r>
      </text>
    </comment>
    <comment ref="A348" authorId="0" shapeId="0" xr:uid="{FA4E9F66-FDD1-4F4D-ACE1-8F6B5ABDBB2D}">
      <text>
        <r>
          <rPr>
            <b/>
            <sz val="9"/>
            <color indexed="81"/>
            <rFont val="Tahoma"/>
            <family val="2"/>
          </rPr>
          <t>יניב שפירא:</t>
        </r>
        <r>
          <rPr>
            <sz val="9"/>
            <color indexed="81"/>
            <rFont val="Tahoma"/>
            <family val="2"/>
          </rPr>
          <t xml:space="preserve">
רק מגזר יהודי</t>
        </r>
      </text>
    </comment>
    <comment ref="A349" authorId="0" shapeId="0" xr:uid="{E57338BC-CACB-4469-8F90-5DB762A18A37}">
      <text>
        <r>
          <rPr>
            <b/>
            <sz val="9"/>
            <color indexed="81"/>
            <rFont val="Tahoma"/>
            <family val="2"/>
          </rPr>
          <t>יניב שפירא:</t>
        </r>
        <r>
          <rPr>
            <sz val="9"/>
            <color indexed="81"/>
            <rFont val="Tahoma"/>
            <family val="2"/>
          </rPr>
          <t xml:space="preserve">
רק מגזר יהודי</t>
        </r>
      </text>
    </comment>
    <comment ref="A350" authorId="0" shapeId="0" xr:uid="{6511805E-B566-4E25-B59D-0380DF94A8EC}">
      <text>
        <r>
          <rPr>
            <b/>
            <sz val="9"/>
            <color indexed="81"/>
            <rFont val="Tahoma"/>
            <family val="2"/>
          </rPr>
          <t>יניב שפירא:</t>
        </r>
        <r>
          <rPr>
            <sz val="9"/>
            <color indexed="81"/>
            <rFont val="Tahoma"/>
            <family val="2"/>
          </rPr>
          <t xml:space="preserve">
רק מגזר יהודי!
בחירות 2013 רצו עם הליכוד</t>
        </r>
      </text>
    </comment>
    <comment ref="A351" authorId="0" shapeId="0" xr:uid="{B354635C-D425-4565-9BB3-78E01F29ABBA}">
      <text>
        <r>
          <rPr>
            <b/>
            <sz val="9"/>
            <color indexed="81"/>
            <rFont val="Tahoma"/>
            <family val="2"/>
          </rPr>
          <t>יניב שפירא:</t>
        </r>
        <r>
          <rPr>
            <sz val="9"/>
            <color indexed="81"/>
            <rFont val="Tahoma"/>
            <family val="2"/>
          </rPr>
          <t xml:space="preserve">
רק מגזר יהודי!</t>
        </r>
      </text>
    </comment>
    <comment ref="A353" authorId="0" shapeId="0" xr:uid="{B3E60FBA-398B-4A18-A37C-2F8B85546A39}">
      <text>
        <r>
          <rPr>
            <b/>
            <sz val="9"/>
            <color indexed="81"/>
            <rFont val="Tahoma"/>
            <family val="2"/>
          </rPr>
          <t>יניב שפירא:</t>
        </r>
        <r>
          <rPr>
            <sz val="9"/>
            <color indexed="81"/>
            <rFont val="Tahoma"/>
            <family val="2"/>
          </rPr>
          <t xml:space="preserve">
רק מגזר יהודי!</t>
        </r>
      </text>
    </comment>
    <comment ref="A354" authorId="0" shapeId="0" xr:uid="{A4AD655D-64FC-444F-9707-E96E69879985}">
      <text>
        <r>
          <rPr>
            <b/>
            <sz val="9"/>
            <color indexed="81"/>
            <rFont val="Tahoma"/>
            <family val="2"/>
          </rPr>
          <t>יניב שפירא:</t>
        </r>
        <r>
          <rPr>
            <sz val="9"/>
            <color indexed="81"/>
            <rFont val="Tahoma"/>
            <family val="2"/>
          </rPr>
          <t xml:space="preserve">
רק מגזר יהודי!</t>
        </r>
      </text>
    </comment>
    <comment ref="A357" authorId="0" shapeId="0" xr:uid="{011B73CB-E76B-467F-B1FE-74D24243FD06}">
      <text>
        <r>
          <rPr>
            <b/>
            <sz val="9"/>
            <color indexed="81"/>
            <rFont val="Tahoma"/>
            <family val="2"/>
          </rPr>
          <t>יניב שפירא:</t>
        </r>
        <r>
          <rPr>
            <sz val="9"/>
            <color indexed="81"/>
            <rFont val="Tahoma"/>
            <family val="2"/>
          </rPr>
          <t xml:space="preserve">
רק ערבים</t>
        </r>
      </text>
    </comment>
    <comment ref="A358" authorId="0" shapeId="0" xr:uid="{121A525A-688D-4CDF-9DED-00F02E464BE6}">
      <text>
        <r>
          <rPr>
            <b/>
            <sz val="9"/>
            <color indexed="81"/>
            <rFont val="Tahoma"/>
            <family val="2"/>
          </rPr>
          <t>יניב שפירא:</t>
        </r>
        <r>
          <rPr>
            <sz val="9"/>
            <color indexed="81"/>
            <rFont val="Tahoma"/>
            <family val="2"/>
          </rPr>
          <t xml:space="preserve">
רק ערבים</t>
        </r>
      </text>
    </comment>
    <comment ref="A359" authorId="0" shapeId="0" xr:uid="{8E4051DC-3CF1-4F9A-A775-DF5EDD26030F}">
      <text>
        <r>
          <rPr>
            <b/>
            <sz val="9"/>
            <color indexed="81"/>
            <rFont val="Tahoma"/>
            <family val="2"/>
          </rPr>
          <t>יניב שפירא:</t>
        </r>
        <r>
          <rPr>
            <sz val="9"/>
            <color indexed="81"/>
            <rFont val="Tahoma"/>
            <family val="2"/>
          </rPr>
          <t xml:space="preserve">
ערבים בלבד</t>
        </r>
      </text>
    </comment>
    <comment ref="A360" authorId="0" shapeId="0" xr:uid="{E5506245-0EE8-4EE1-8D7D-C208213D23EC}">
      <text>
        <r>
          <rPr>
            <b/>
            <sz val="9"/>
            <color indexed="81"/>
            <rFont val="Tahoma"/>
            <family val="2"/>
          </rPr>
          <t>יניב שפירא:</t>
        </r>
        <r>
          <rPr>
            <sz val="9"/>
            <color indexed="81"/>
            <rFont val="Tahoma"/>
            <family val="2"/>
          </rPr>
          <t xml:space="preserve">
ערבים בלבד</t>
        </r>
      </text>
    </comment>
    <comment ref="A361" authorId="0" shapeId="0" xr:uid="{3F330226-064F-4E01-8D66-78D2CF492C34}">
      <text>
        <r>
          <rPr>
            <b/>
            <sz val="9"/>
            <color indexed="81"/>
            <rFont val="Tahoma"/>
            <family val="2"/>
          </rPr>
          <t>יניב שפירא:</t>
        </r>
        <r>
          <rPr>
            <sz val="9"/>
            <color indexed="81"/>
            <rFont val="Tahoma"/>
            <family val="2"/>
          </rPr>
          <t xml:space="preserve">
ערבים בלבד</t>
        </r>
      </text>
    </comment>
    <comment ref="A362" authorId="0" shapeId="0" xr:uid="{FC311FB7-5A09-4066-BFBD-4DBB92C60CC9}">
      <text>
        <r>
          <rPr>
            <b/>
            <sz val="9"/>
            <color indexed="81"/>
            <rFont val="Tahoma"/>
            <family val="2"/>
          </rPr>
          <t>יניב שפירא:</t>
        </r>
        <r>
          <rPr>
            <sz val="9"/>
            <color indexed="81"/>
            <rFont val="Tahoma"/>
            <family val="2"/>
          </rPr>
          <t xml:space="preserve">
ערבים בלבד</t>
        </r>
      </text>
    </comment>
    <comment ref="A390" authorId="0" shapeId="0" xr:uid="{A2D5706D-EA8E-4CBA-856E-254E0B247444}">
      <text>
        <r>
          <rPr>
            <b/>
            <sz val="9"/>
            <color indexed="81"/>
            <rFont val="Tahoma"/>
            <family val="2"/>
          </rPr>
          <t>יניב שפירא:</t>
        </r>
        <r>
          <rPr>
            <sz val="9"/>
            <color indexed="81"/>
            <rFont val="Tahoma"/>
            <family val="2"/>
          </rPr>
          <t xml:space="preserve">
ליהודים בלבד</t>
        </r>
      </text>
    </comment>
    <comment ref="A402" authorId="0" shapeId="0" xr:uid="{A6DA85ED-26BF-430E-98E2-E11848247E70}">
      <text>
        <r>
          <rPr>
            <b/>
            <sz val="9"/>
            <color indexed="81"/>
            <rFont val="Tahoma"/>
            <family val="2"/>
          </rPr>
          <t>יניב שפירא:</t>
        </r>
        <r>
          <rPr>
            <sz val="9"/>
            <color indexed="81"/>
            <rFont val="Tahoma"/>
            <family val="2"/>
          </rPr>
          <t xml:space="preserve">
מגזר יהודי בלבד</t>
        </r>
      </text>
    </comment>
    <comment ref="A403" authorId="0" shapeId="0" xr:uid="{828B27F1-C6FD-4266-A42D-B15DAFA6590C}">
      <text>
        <r>
          <rPr>
            <b/>
            <sz val="9"/>
            <color indexed="81"/>
            <rFont val="Tahoma"/>
            <family val="2"/>
          </rPr>
          <t>יניב שפירא:</t>
        </r>
        <r>
          <rPr>
            <sz val="9"/>
            <color indexed="81"/>
            <rFont val="Tahoma"/>
            <family val="2"/>
          </rPr>
          <t xml:space="preserve">
ליהודים בלבד</t>
        </r>
      </text>
    </comment>
    <comment ref="A404" authorId="0" shapeId="0" xr:uid="{2CB37906-2BAE-422B-B298-CAB1C854B1CB}">
      <text>
        <r>
          <rPr>
            <b/>
            <sz val="9"/>
            <color indexed="81"/>
            <rFont val="Tahoma"/>
            <family val="2"/>
          </rPr>
          <t>יניב שפירא:</t>
        </r>
        <r>
          <rPr>
            <sz val="9"/>
            <color indexed="81"/>
            <rFont val="Tahoma"/>
            <family val="2"/>
          </rPr>
          <t xml:space="preserve">
ליהודים בלבד</t>
        </r>
      </text>
    </comment>
    <comment ref="A406" authorId="0" shapeId="0" xr:uid="{921A81FC-F8A6-4AB7-97A8-437A32A66137}">
      <text>
        <r>
          <rPr>
            <b/>
            <sz val="9"/>
            <color indexed="81"/>
            <rFont val="Tahoma"/>
            <family val="2"/>
          </rPr>
          <t>יניב שפירא:</t>
        </r>
        <r>
          <rPr>
            <sz val="9"/>
            <color indexed="81"/>
            <rFont val="Tahoma"/>
            <family val="2"/>
          </rPr>
          <t xml:space="preserve">
ליהודים בלבד</t>
        </r>
      </text>
    </comment>
    <comment ref="A412" authorId="0" shapeId="0" xr:uid="{BE148B21-3702-4033-9AA4-33C501B0C3BE}">
      <text>
        <r>
          <rPr>
            <b/>
            <sz val="9"/>
            <color indexed="81"/>
            <rFont val="Tahoma"/>
            <family val="2"/>
          </rPr>
          <t>יניב שפירא:</t>
        </r>
        <r>
          <rPr>
            <sz val="9"/>
            <color indexed="81"/>
            <rFont val="Tahoma"/>
            <family val="2"/>
          </rPr>
          <t xml:space="preserve">
ליהודים בלבד</t>
        </r>
      </text>
    </comment>
    <comment ref="A413" authorId="0" shapeId="0" xr:uid="{EC610CD1-BD39-4FEC-A7D6-DD2DB6BCE277}">
      <text>
        <r>
          <rPr>
            <b/>
            <sz val="9"/>
            <color indexed="81"/>
            <rFont val="Tahoma"/>
            <family val="2"/>
          </rPr>
          <t>יניב שפירא:</t>
        </r>
        <r>
          <rPr>
            <sz val="9"/>
            <color indexed="81"/>
            <rFont val="Tahoma"/>
            <family val="2"/>
          </rPr>
          <t xml:space="preserve">
ליהודים בלבד</t>
        </r>
      </text>
    </comment>
    <comment ref="A414" authorId="0" shapeId="0" xr:uid="{51BC189E-4F55-42EE-BDA9-81F63469613B}">
      <text>
        <r>
          <rPr>
            <b/>
            <sz val="9"/>
            <color indexed="81"/>
            <rFont val="Tahoma"/>
            <family val="2"/>
          </rPr>
          <t>יניב שפירא:</t>
        </r>
        <r>
          <rPr>
            <sz val="9"/>
            <color indexed="81"/>
            <rFont val="Tahoma"/>
            <family val="2"/>
          </rPr>
          <t xml:space="preserve">
ליהודים בלבד</t>
        </r>
      </text>
    </comment>
    <comment ref="A416" authorId="0" shapeId="0" xr:uid="{AAACCFB4-E3ED-423C-945F-35C42003F02E}">
      <text>
        <r>
          <rPr>
            <b/>
            <sz val="9"/>
            <color indexed="81"/>
            <rFont val="Tahoma"/>
            <family val="2"/>
          </rPr>
          <t>יניב שפירא:</t>
        </r>
        <r>
          <rPr>
            <sz val="9"/>
            <color indexed="81"/>
            <rFont val="Tahoma"/>
            <family val="2"/>
          </rPr>
          <t xml:space="preserve">
לערבים בלבד</t>
        </r>
      </text>
    </comment>
    <comment ref="A417" authorId="0" shapeId="0" xr:uid="{453D925B-E427-4509-AD75-53BC988243F1}">
      <text>
        <r>
          <rPr>
            <b/>
            <sz val="9"/>
            <color indexed="81"/>
            <rFont val="Tahoma"/>
            <family val="2"/>
          </rPr>
          <t>יניב שפירא:</t>
        </r>
        <r>
          <rPr>
            <sz val="9"/>
            <color indexed="81"/>
            <rFont val="Tahoma"/>
            <family val="2"/>
          </rPr>
          <t xml:space="preserve">
לערבים בלבד</t>
        </r>
      </text>
    </comment>
    <comment ref="A418" authorId="0" shapeId="0" xr:uid="{85E1305A-D9E5-482B-9A0C-D56566A5478C}">
      <text>
        <r>
          <rPr>
            <b/>
            <sz val="9"/>
            <color indexed="81"/>
            <rFont val="Tahoma"/>
            <family val="2"/>
          </rPr>
          <t>יניב שפירא:</t>
        </r>
        <r>
          <rPr>
            <sz val="9"/>
            <color indexed="81"/>
            <rFont val="Tahoma"/>
            <family val="2"/>
          </rPr>
          <t xml:space="preserve">
לערבים בלבד</t>
        </r>
      </text>
    </comment>
    <comment ref="A419" authorId="0" shapeId="0" xr:uid="{1FC657D5-B17C-4735-8A89-6087E9C85FEE}">
      <text>
        <r>
          <rPr>
            <b/>
            <sz val="9"/>
            <color indexed="81"/>
            <rFont val="Tahoma"/>
            <family val="2"/>
          </rPr>
          <t>יניב שפירא:</t>
        </r>
        <r>
          <rPr>
            <sz val="9"/>
            <color indexed="81"/>
            <rFont val="Tahoma"/>
            <family val="2"/>
          </rPr>
          <t xml:space="preserve">
לערבים בלבד</t>
        </r>
      </text>
    </comment>
    <comment ref="A420" authorId="0" shapeId="0" xr:uid="{5C42C5AB-2D83-40BE-8308-AE7DB6820B94}">
      <text>
        <r>
          <rPr>
            <b/>
            <sz val="9"/>
            <color indexed="81"/>
            <rFont val="Tahoma"/>
            <family val="2"/>
          </rPr>
          <t>יניב שפירא:</t>
        </r>
        <r>
          <rPr>
            <sz val="9"/>
            <color indexed="81"/>
            <rFont val="Tahoma"/>
            <family val="2"/>
          </rPr>
          <t xml:space="preserve">
לערבים בלבד</t>
        </r>
      </text>
    </comment>
    <comment ref="A421" authorId="0" shapeId="0" xr:uid="{4A456BEC-113F-4A09-98F6-0022E0504AA3}">
      <text>
        <r>
          <rPr>
            <b/>
            <sz val="9"/>
            <color indexed="81"/>
            <rFont val="Tahoma"/>
            <family val="2"/>
          </rPr>
          <t>יניב שפירא:</t>
        </r>
        <r>
          <rPr>
            <sz val="9"/>
            <color indexed="81"/>
            <rFont val="Tahoma"/>
            <family val="2"/>
          </rPr>
          <t xml:space="preserve">
לערבים בלבד</t>
        </r>
      </text>
    </comment>
    <comment ref="A422" authorId="0" shapeId="0" xr:uid="{D4F0509A-8E5B-49DE-92D4-DC764F7DA9B0}">
      <text>
        <r>
          <rPr>
            <b/>
            <sz val="9"/>
            <color indexed="81"/>
            <rFont val="Tahoma"/>
            <family val="2"/>
          </rPr>
          <t>יניב שפירא:</t>
        </r>
        <r>
          <rPr>
            <sz val="9"/>
            <color indexed="81"/>
            <rFont val="Tahoma"/>
            <family val="2"/>
          </rPr>
          <t xml:space="preserve">
לערבים בלבד</t>
        </r>
      </text>
    </comment>
    <comment ref="A423" authorId="0" shapeId="0" xr:uid="{C6CEF127-7A3D-4A48-91E8-68E65EF8A684}">
      <text>
        <r>
          <rPr>
            <b/>
            <sz val="9"/>
            <color indexed="81"/>
            <rFont val="Tahoma"/>
            <family val="2"/>
          </rPr>
          <t>יניב שפירא:</t>
        </r>
        <r>
          <rPr>
            <sz val="9"/>
            <color indexed="81"/>
            <rFont val="Tahoma"/>
            <family val="2"/>
          </rPr>
          <t xml:space="preserve">
לערבים בלבד</t>
        </r>
      </text>
    </comment>
    <comment ref="A424" authorId="0" shapeId="0" xr:uid="{5F381910-3000-4490-BEE1-D7B9A604D198}">
      <text>
        <r>
          <rPr>
            <b/>
            <sz val="9"/>
            <color indexed="81"/>
            <rFont val="Tahoma"/>
            <family val="2"/>
          </rPr>
          <t>יניב שפירא:</t>
        </r>
        <r>
          <rPr>
            <sz val="9"/>
            <color indexed="81"/>
            <rFont val="Tahoma"/>
            <family val="2"/>
          </rPr>
          <t xml:space="preserve">
לערבים בלבד</t>
        </r>
      </text>
    </comment>
    <comment ref="A425" authorId="0" shapeId="0" xr:uid="{852E50E3-E199-4983-9089-A7FCD12B6CA0}">
      <text>
        <r>
          <rPr>
            <b/>
            <sz val="9"/>
            <color indexed="81"/>
            <rFont val="Tahoma"/>
            <family val="2"/>
          </rPr>
          <t>יניב שפירא:</t>
        </r>
        <r>
          <rPr>
            <sz val="9"/>
            <color indexed="81"/>
            <rFont val="Tahoma"/>
            <family val="2"/>
          </rPr>
          <t xml:space="preserve">
לערבים בלבד</t>
        </r>
      </text>
    </comment>
    <comment ref="A428" authorId="25" shapeId="0" xr:uid="{9834B2DB-18A2-4ED1-A3E4-EFE66F6C000F}">
      <text>
        <t>[Threaded comment]
Your version of Excel allows you to read this threaded comment; however, any edits to it will get removed if the file is opened in a newer version of Excel. Learn more: https://go.microsoft.com/fwlink/?linkid=870924
Comment:
    Affect?</t>
      </text>
    </comment>
    <comment ref="A499" authorId="0" shapeId="0" xr:uid="{3B53E0E1-C289-4692-A4D8-175C5291F4D8}">
      <text>
        <r>
          <rPr>
            <b/>
            <sz val="9"/>
            <color indexed="81"/>
            <rFont val="Tahoma"/>
            <charset val="177"/>
          </rPr>
          <t>יניב שפירא:</t>
        </r>
        <r>
          <rPr>
            <sz val="9"/>
            <color indexed="81"/>
            <rFont val="Tahoma"/>
            <charset val="177"/>
          </rPr>
          <t xml:space="preserve">
מי שענה כן בשאלה 10</t>
        </r>
      </text>
    </comment>
    <comment ref="A506" authorId="0" shapeId="0" xr:uid="{E113552C-204C-4CFD-8FFD-FE7E5218FFC5}">
      <text>
        <r>
          <rPr>
            <b/>
            <sz val="9"/>
            <color indexed="81"/>
            <rFont val="Tahoma"/>
            <family val="2"/>
          </rPr>
          <t>יניב שפירא:</t>
        </r>
        <r>
          <rPr>
            <sz val="9"/>
            <color indexed="81"/>
            <rFont val="Tahoma"/>
            <family val="2"/>
          </rPr>
          <t xml:space="preserve">
היו 10 מפלגות.
3 נבחרו להכי קרובות
3 להכי רחוקות
נותרו 6</t>
        </r>
      </text>
    </comment>
    <comment ref="A514" authorId="26" shapeId="0" xr:uid="{BF90CE27-EE04-4255-981E-E1A8CAAEC878}">
      <text>
        <t xml:space="preserve">[Threaded comment]
Your version of Excel allows you to read this threaded comment; however, any edits to it will get removed if the file is opened in a newer version of Excel. Learn more: https://go.microsoft.com/fwlink/?linkid=870924
Comment:
    איחוד עם השאלה </t>
      </text>
    </comment>
    <comment ref="A521" authorId="0" shapeId="0" xr:uid="{17D37F3E-5E19-4BC2-A1F6-88425B10975D}">
      <text>
        <r>
          <rPr>
            <b/>
            <sz val="9"/>
            <color indexed="81"/>
            <rFont val="Tahoma"/>
            <family val="2"/>
          </rPr>
          <t>יניב שפירא:</t>
        </r>
        <r>
          <rPr>
            <sz val="9"/>
            <color indexed="81"/>
            <rFont val="Tahoma"/>
            <family val="2"/>
          </rPr>
          <t xml:space="preserve">
רק למי שענה 1-3 בשאלה הקודמת</t>
        </r>
      </text>
    </comment>
    <comment ref="A523" authorId="0" shapeId="0" xr:uid="{9CF4DE7C-5395-411A-9D08-3B29202F1E40}">
      <text>
        <r>
          <rPr>
            <b/>
            <sz val="9"/>
            <color indexed="81"/>
            <rFont val="Tahoma"/>
            <family val="2"/>
          </rPr>
          <t>יניב שפירא:</t>
        </r>
        <r>
          <rPr>
            <sz val="9"/>
            <color indexed="81"/>
            <rFont val="Tahoma"/>
            <family val="2"/>
          </rPr>
          <t xml:space="preserve">
רק למי שענה 1-3 בשאלה הקודמת</t>
        </r>
      </text>
    </comment>
    <comment ref="A525" authorId="0" shapeId="0" xr:uid="{90C1DA19-1B39-4080-BC9B-A5A0E3EB5F8D}">
      <text>
        <r>
          <rPr>
            <b/>
            <sz val="9"/>
            <color indexed="81"/>
            <rFont val="Tahoma"/>
            <family val="2"/>
          </rPr>
          <t>יניב שפירא:</t>
        </r>
        <r>
          <rPr>
            <sz val="9"/>
            <color indexed="81"/>
            <rFont val="Tahoma"/>
            <family val="2"/>
          </rPr>
          <t xml:space="preserve">
רק למי שענה 1-3 בשאלה הקודמת</t>
        </r>
      </text>
    </comment>
    <comment ref="A527" authorId="0" shapeId="0" xr:uid="{13E861F3-2ABC-44A6-80F5-D07D028F37FD}">
      <text>
        <r>
          <rPr>
            <b/>
            <sz val="9"/>
            <color indexed="81"/>
            <rFont val="Tahoma"/>
            <family val="2"/>
          </rPr>
          <t>יניב שפירא:</t>
        </r>
        <r>
          <rPr>
            <sz val="9"/>
            <color indexed="81"/>
            <rFont val="Tahoma"/>
            <family val="2"/>
          </rPr>
          <t xml:space="preserve">
רק למי שענה 1-3 בשאלה הקודמת</t>
        </r>
      </text>
    </comment>
    <comment ref="A529" authorId="0" shapeId="0" xr:uid="{2256EB39-B26E-456C-A191-EE233861D169}">
      <text>
        <r>
          <rPr>
            <b/>
            <sz val="9"/>
            <color indexed="81"/>
            <rFont val="Tahoma"/>
            <family val="2"/>
          </rPr>
          <t>יניב שפירא:</t>
        </r>
        <r>
          <rPr>
            <sz val="9"/>
            <color indexed="81"/>
            <rFont val="Tahoma"/>
            <family val="2"/>
          </rPr>
          <t xml:space="preserve">
רק למי שענה 1-3 בשאלה הקודמת</t>
        </r>
      </text>
    </comment>
    <comment ref="A531" authorId="0" shapeId="0" xr:uid="{38233924-157F-4390-98AE-4B264EBB49B4}">
      <text>
        <r>
          <rPr>
            <b/>
            <sz val="9"/>
            <color indexed="81"/>
            <rFont val="Tahoma"/>
            <family val="2"/>
          </rPr>
          <t>יניב שפירא:</t>
        </r>
        <r>
          <rPr>
            <sz val="9"/>
            <color indexed="81"/>
            <rFont val="Tahoma"/>
            <family val="2"/>
          </rPr>
          <t xml:space="preserve">
רק למי שענה 1-3 בשאלה הקודמת</t>
        </r>
      </text>
    </comment>
    <comment ref="A533" authorId="0" shapeId="0" xr:uid="{10FFE105-E683-4D73-A458-1C8497DDEED7}">
      <text>
        <r>
          <rPr>
            <b/>
            <sz val="9"/>
            <color indexed="81"/>
            <rFont val="Tahoma"/>
            <family val="2"/>
          </rPr>
          <t>יניב שפירא:</t>
        </r>
        <r>
          <rPr>
            <sz val="9"/>
            <color indexed="81"/>
            <rFont val="Tahoma"/>
            <family val="2"/>
          </rPr>
          <t xml:space="preserve">
רק למי שענה 1-3 בשאלה הקודמת</t>
        </r>
      </text>
    </comment>
    <comment ref="A640" authorId="27" shapeId="0" xr:uid="{172765D8-78E3-4586-8B33-1B3732F215FD}">
      <text>
        <t>[Threaded comment]
Your version of Excel allows you to read this threaded comment; however, any edits to it will get removed if the file is opened in a newer version of Excel. Learn more: https://go.microsoft.com/fwlink/?linkid=870924
Comment:
    אולי נכון לכתוב רווחה אבל אני חושב שלא</t>
      </text>
    </comment>
    <comment ref="A654" authorId="28" shapeId="0" xr:uid="{C153B06A-E793-4F64-B5EA-0DF9014D78CE}">
      <text>
        <t>[Threaded comment]
Your version of Excel allows you to read this threaded comment; however, any edits to it will get removed if the file is opened in a newer version of Excel. Learn more: https://go.microsoft.com/fwlink/?linkid=870924
Comment:
    אולי termlimit</t>
      </text>
    </comment>
    <comment ref="A731" authorId="29" shapeId="0" xr:uid="{34EE59FC-E095-4F97-9AFB-71F870B97EC8}">
      <text>
        <t>[Threaded comment]
Your version of Excel allows you to read this threaded comment; however, any edits to it will get removed if the file is opened in a newer version of Excel. Learn more: https://go.microsoft.com/fwlink/?linkid=870924
Comment:
    אולי מתאים יותר daring</t>
      </text>
    </comment>
    <comment ref="A757" authorId="30" shapeId="0" xr:uid="{0D3E5276-5355-4CF6-B814-9F7C14CB3F0B}">
      <text>
        <t>[Threaded comment]
Your version of Excel allows you to read this threaded comment; however, any edits to it will get removed if the file is opened in a newer version of Excel. Learn more: https://go.microsoft.com/fwlink/?linkid=870924
Comment:
    ב2015 השאלות כלכלה ומדיניות חברתית אוחדו לשאלה הזו, אפשר אולי לאחד פה לפאנל ארוך אבל זאת שאלה איך ואת מי.</t>
      </text>
    </comment>
    <comment ref="A781" authorId="31" shapeId="0" xr:uid="{B31E98B5-3D34-4F79-940A-5634BFAB96F2}">
      <text>
        <t>[Threaded comment]
Your version of Excel allows you to read this threaded comment; however, any edits to it will get removed if the file is opened in a newer version of Excel. Learn more: https://go.microsoft.com/fwlink/?linkid=870924
Comment:
    ב2003 שאלו על 1999 וב2006 שאלו על 2001 אז צריך לפצל את השאלות</t>
      </text>
    </comment>
    <comment ref="A793" authorId="0" shapeId="0" xr:uid="{88C6B9B7-04F3-4F65-817B-EFA94C246029}">
      <text>
        <r>
          <rPr>
            <b/>
            <sz val="9"/>
            <color indexed="81"/>
            <rFont val="Tahoma"/>
            <charset val="177"/>
          </rPr>
          <t>יניב שפירא:</t>
        </r>
        <r>
          <rPr>
            <sz val="9"/>
            <color indexed="81"/>
            <rFont val="Tahoma"/>
            <charset val="177"/>
          </rPr>
          <t xml:space="preserve">
לא למצביעי הליכוד וכחול-לבן</t>
        </r>
      </text>
    </comment>
    <comment ref="A794" authorId="0" shapeId="0" xr:uid="{753A6B59-3683-47C1-B99F-F3A346397F86}">
      <text>
        <r>
          <rPr>
            <b/>
            <sz val="9"/>
            <color indexed="81"/>
            <rFont val="Tahoma"/>
            <charset val="177"/>
          </rPr>
          <t>יניב שפירא:</t>
        </r>
        <r>
          <rPr>
            <sz val="9"/>
            <color indexed="81"/>
            <rFont val="Tahoma"/>
            <charset val="177"/>
          </rPr>
          <t xml:space="preserve">
רק מי שענה 2 בשאלה הקודמת</t>
        </r>
      </text>
    </comment>
    <comment ref="A795" authorId="0" shapeId="0" xr:uid="{38667CFF-CB49-4B06-B40C-585FAB3B5F44}">
      <text>
        <r>
          <rPr>
            <b/>
            <sz val="9"/>
            <color indexed="81"/>
            <rFont val="Tahoma"/>
            <family val="2"/>
          </rPr>
          <t>יניב שפירא:</t>
        </r>
        <r>
          <rPr>
            <sz val="9"/>
            <color indexed="81"/>
            <rFont val="Tahoma"/>
            <family val="2"/>
          </rPr>
          <t xml:space="preserve">
מי שענה 1 בשאלה על אחוז החסימה (2015)</t>
        </r>
      </text>
    </comment>
    <comment ref="A797" authorId="0" shapeId="0" xr:uid="{F3EACF48-17C9-4492-8248-CC1225812DF8}">
      <text>
        <r>
          <rPr>
            <b/>
            <sz val="9"/>
            <color indexed="81"/>
            <rFont val="Tahoma"/>
            <charset val="177"/>
          </rPr>
          <t>יניב שפירא:</t>
        </r>
        <r>
          <rPr>
            <sz val="9"/>
            <color indexed="81"/>
            <rFont val="Tahoma"/>
            <charset val="177"/>
          </rPr>
          <t xml:space="preserve">
למי שענה 1,2,3 בשאלה הקודמת (שאלה 3)</t>
        </r>
      </text>
    </comment>
    <comment ref="A798" authorId="0" shapeId="0" xr:uid="{99631F98-302E-4A79-83F4-2EDB97883769}">
      <text>
        <r>
          <rPr>
            <b/>
            <sz val="9"/>
            <color indexed="81"/>
            <rFont val="Tahoma"/>
            <charset val="177"/>
          </rPr>
          <t>יניב שפירא:</t>
        </r>
        <r>
          <rPr>
            <sz val="9"/>
            <color indexed="81"/>
            <rFont val="Tahoma"/>
            <charset val="177"/>
          </rPr>
          <t xml:space="preserve">
רק מי שענה שלא הצביע/שם פתק לבן</t>
        </r>
      </text>
    </comment>
    <comment ref="A803" authorId="32" shapeId="0" xr:uid="{8FC01AF1-AABE-4E64-A0BC-D34D57FC0D25}">
      <text>
        <t>[Threaded comment]
Your version of Excel allows you to read this threaded comment; however, any edits to it will get removed if the file is opened in a newer version of Excel. Learn more: https://go.microsoft.com/fwlink/?linkid=870924
Comment:
    אפשר לאחד עם "באיזו מידה המודעות בעיתונים משפיעות על החלטתך עבור מי להצביע" לדעתי</t>
      </text>
    </comment>
    <comment ref="A810" authorId="0" shapeId="0" xr:uid="{B535ACC3-354E-4BA0-A323-DD89F0484769}">
      <text>
        <r>
          <rPr>
            <b/>
            <sz val="9"/>
            <color indexed="81"/>
            <rFont val="Tahoma"/>
            <family val="2"/>
          </rPr>
          <t>יניב שפירא:</t>
        </r>
        <r>
          <rPr>
            <sz val="9"/>
            <color indexed="81"/>
            <rFont val="Tahoma"/>
            <family val="2"/>
          </rPr>
          <t xml:space="preserve">
לא למצביעי הליכוד והמחנה הציוני</t>
        </r>
      </text>
    </comment>
    <comment ref="A811" authorId="0" shapeId="0" xr:uid="{36CD4675-58CA-43FD-97B5-83B110452207}">
      <text>
        <r>
          <rPr>
            <b/>
            <sz val="9"/>
            <color indexed="81"/>
            <rFont val="Tahoma"/>
            <family val="2"/>
          </rPr>
          <t>יניב שפירא:</t>
        </r>
        <r>
          <rPr>
            <sz val="9"/>
            <color indexed="81"/>
            <rFont val="Tahoma"/>
            <family val="2"/>
          </rPr>
          <t xml:space="preserve">
למי שענה 1 או 3 בשאלה 93 (2015)</t>
        </r>
      </text>
    </comment>
    <comment ref="A814" authorId="0" shapeId="0" xr:uid="{92DD4245-5A48-48F1-9219-8B54376FDF11}">
      <text>
        <r>
          <rPr>
            <b/>
            <sz val="9"/>
            <color indexed="81"/>
            <rFont val="Tahoma"/>
            <family val="2"/>
          </rPr>
          <t>יניב שפירא:</t>
        </r>
        <r>
          <rPr>
            <sz val="9"/>
            <color indexed="81"/>
            <rFont val="Tahoma"/>
            <family val="2"/>
          </rPr>
          <t xml:space="preserve">
שאלה ב2015, רק עבור אלו שענו שהצביעו בבחירות האחרונות ב2013 לליכוד-ישראל ביתנו</t>
        </r>
      </text>
    </comment>
    <comment ref="A818" authorId="0" shapeId="0" xr:uid="{9684BC73-D7C6-4A98-B704-5575876EC1CE}">
      <text>
        <r>
          <rPr>
            <b/>
            <sz val="9"/>
            <color indexed="81"/>
            <rFont val="Tahoma"/>
            <family val="2"/>
          </rPr>
          <t>יניב שפירא:</t>
        </r>
        <r>
          <rPr>
            <sz val="9"/>
            <color indexed="81"/>
            <rFont val="Tahoma"/>
            <family val="2"/>
          </rPr>
          <t xml:space="preserve">
ליהודים בלבד</t>
        </r>
      </text>
    </comment>
    <comment ref="A820" authorId="0" shapeId="0" xr:uid="{39FF80A5-D887-4080-A939-E3732E15CD44}">
      <text>
        <r>
          <rPr>
            <b/>
            <sz val="9"/>
            <color indexed="81"/>
            <rFont val="Tahoma"/>
            <family val="2"/>
          </rPr>
          <t>יניב שפירא:</t>
        </r>
        <r>
          <rPr>
            <sz val="9"/>
            <color indexed="81"/>
            <rFont val="Tahoma"/>
            <family val="2"/>
          </rPr>
          <t xml:space="preserve">
ליהודים בלבד</t>
        </r>
      </text>
    </comment>
    <comment ref="A838" authorId="33" shapeId="0" xr:uid="{F52918DE-BE5C-4C0A-B75B-2AB7989F98E5}">
      <text>
        <t>[Threaded comment]
Your version of Excel allows you to read this threaded comment; however, any edits to it will get removed if the file is opened in a newer version of Excel. Learn more: https://go.microsoft.com/fwlink/?linkid=870924
Comment:
    אותו איחוד מוכר</t>
      </text>
    </comment>
    <comment ref="A846" authorId="34" shapeId="0" xr:uid="{E42F34A0-6A57-4BBA-8DC1-FC4BF325D14A}">
      <text>
        <t>[Threaded comment]
Your version of Excel allows you to read this threaded comment; however, any edits to it will get removed if the file is opened in a newer version of Excel. Learn more: https://go.microsoft.com/fwlink/?linkid=870924
Comment:
    למעשה זה 4 שאלות ל4 מפלגות לפי סדר</t>
      </text>
    </comment>
    <comment ref="A880" authorId="35" shapeId="0" xr:uid="{984EF24E-083A-4FD5-906F-0FDF337D3840}">
      <text>
        <t>[Threaded comment]
Your version of Excel allows you to read this threaded comment; however, any edits to it will get removed if the file is opened in a newer version of Excel. Learn more: https://go.microsoft.com/fwlink/?linkid=870924
Comment:
    לחזור לזה כשאני עושה ביטחון</t>
      </text>
    </comment>
    <comment ref="A889" authorId="36" shapeId="0" xr:uid="{16669D4F-5581-4F51-8674-5DECA35F3A4C}">
      <text>
        <t>[Threaded comment]
Your version of Excel allows you to read this threaded comment; however, any edits to it will get removed if the file is opened in a newer version of Excel. Learn more: https://go.microsoft.com/fwlink/?linkid=870924
Comment:
    איחוד עם "עד כמה אתה בטוח שתצביע כך"</t>
      </text>
    </comment>
    <comment ref="A897" authorId="0" shapeId="0" xr:uid="{EC3139A0-D784-4AD2-8C5A-D98C69E1C7CB}">
      <text>
        <r>
          <rPr>
            <b/>
            <sz val="9"/>
            <color indexed="81"/>
            <rFont val="Tahoma"/>
            <charset val="177"/>
          </rPr>
          <t>יניב שפירא:</t>
        </r>
        <r>
          <rPr>
            <sz val="9"/>
            <color indexed="81"/>
            <rFont val="Tahoma"/>
            <charset val="177"/>
          </rPr>
          <t xml:space="preserve">
בהמשך לשאלה אחת למעלה</t>
        </r>
      </text>
    </comment>
    <comment ref="A902" authorId="0" shapeId="0" xr:uid="{ED73947A-F373-4AB0-9256-3C01921D4802}">
      <text>
        <r>
          <rPr>
            <b/>
            <sz val="9"/>
            <color indexed="81"/>
            <rFont val="Tahoma"/>
            <family val="2"/>
          </rPr>
          <t>יניב שפירא:</t>
        </r>
        <r>
          <rPr>
            <sz val="9"/>
            <color indexed="81"/>
            <rFont val="Tahoma"/>
            <family val="2"/>
          </rPr>
          <t xml:space="preserve">
בהמשך לשאלה a27
דרך נוספת</t>
        </r>
      </text>
    </comment>
    <comment ref="A904" authorId="0" shapeId="0" xr:uid="{D422AC97-CEB0-4DBF-8588-6BDEA7228A0B}">
      <text>
        <r>
          <rPr>
            <b/>
            <sz val="9"/>
            <color indexed="81"/>
            <rFont val="Tahoma"/>
            <family val="2"/>
          </rPr>
          <t>יניב שפירא:</t>
        </r>
        <r>
          <rPr>
            <sz val="9"/>
            <color indexed="81"/>
            <rFont val="Tahoma"/>
            <family val="2"/>
          </rPr>
          <t xml:space="preserve">
בהמשך לשאלה a29</t>
        </r>
      </text>
    </comment>
    <comment ref="A911" authorId="37" shapeId="0" xr:uid="{4AB42C55-84BC-4CC7-BE2A-5ADDB60B4609}">
      <text>
        <t>[Threaded comment]
Your version of Excel allows you to read this threaded comment; however, any edits to it will get removed if the file is opened in a newer version of Excel. Learn more: https://go.microsoft.com/fwlink/?linkid=870924
Comment:
    שאלה מ77, אותו שם כמו שאלה מ81, אין להן את אותן התשובות אבל שווה לחשוב על לחבר</t>
      </text>
    </comment>
    <comment ref="A929" authorId="38" shapeId="0" xr:uid="{D2023427-0EF0-40AC-812B-D315A4FC9F0E}">
      <text>
        <t>[Threaded comment]
Your version of Excel allows you to read this threaded comment; however, any edits to it will get removed if the file is opened in a newer version of Excel. Learn more: https://go.microsoft.com/fwlink/?linkid=870924
Comment:
    נדמה שבשנה אחת השאלה היא פוסט בחירות ובאחרת לפני בחירות</t>
      </text>
    </comment>
    <comment ref="A933" authorId="0" shapeId="0" xr:uid="{BAC7BB61-5E70-4A9D-95C0-9862ED78A275}">
      <text>
        <r>
          <rPr>
            <b/>
            <sz val="9"/>
            <color indexed="81"/>
            <rFont val="Tahoma"/>
            <charset val="177"/>
          </rPr>
          <t>יניב שפירא:</t>
        </r>
        <r>
          <rPr>
            <sz val="9"/>
            <color indexed="81"/>
            <rFont val="Tahoma"/>
            <charset val="177"/>
          </rPr>
          <t xml:space="preserve">
לנשים בלבד</t>
        </r>
      </text>
    </comment>
    <comment ref="A944" authorId="0" shapeId="0" xr:uid="{60415914-B7D4-4DB3-AC1A-9EB5740B8394}">
      <text>
        <r>
          <rPr>
            <b/>
            <sz val="9"/>
            <color indexed="81"/>
            <rFont val="Tahoma"/>
            <family val="2"/>
          </rPr>
          <t>יניב שפירא:</t>
        </r>
        <r>
          <rPr>
            <sz val="9"/>
            <color indexed="81"/>
            <rFont val="Tahoma"/>
            <family val="2"/>
          </rPr>
          <t xml:space="preserve">
הבעיה שציין ב"ישראל כללי" שורה 4</t>
        </r>
      </text>
    </comment>
    <comment ref="A945" authorId="0" shapeId="0" xr:uid="{C1C8386F-38F5-496B-89E1-2D8F48AEBE7D}">
      <text>
        <r>
          <rPr>
            <b/>
            <sz val="9"/>
            <color indexed="81"/>
            <rFont val="Tahoma"/>
            <family val="2"/>
          </rPr>
          <t>יניב שפירא:</t>
        </r>
        <r>
          <rPr>
            <sz val="9"/>
            <color indexed="81"/>
            <rFont val="Tahoma"/>
            <family val="2"/>
          </rPr>
          <t xml:space="preserve">
הבעייה שציין ב"ישראל כללי"
שורה 5</t>
        </r>
      </text>
    </comment>
    <comment ref="A956" authorId="39" shapeId="0" xr:uid="{CEAFD052-DA3F-4D17-9B7F-55EAC254C25E}">
      <text>
        <t>[Threaded comment]
Your version of Excel allows you to read this threaded comment; however, any edits to it will get removed if the file is opened in a newer version of Excel. Learn more: https://go.microsoft.com/fwlink/?linkid=870924
Comment:
    חיבור עם "איזו מפלגה היית רוצה שתקים את הממשלה הבאה?"</t>
      </text>
    </comment>
    <comment ref="A962" authorId="40" shapeId="0" xr:uid="{562B1360-074E-41E9-B96E-81223E00A91D}">
      <text>
        <t>[Threaded comment]
Your version of Excel allows you to read this threaded comment; however, any edits to it will get removed if the file is opened in a newer version of Excel. Learn more: https://go.microsoft.com/fwlink/?linkid=870924
Comment:
    יש הרבה מפלגות ששינו שם או הרכב עם השנים, איך נכון לקרוא להן? לדוגמא - הבית היהודי ומפד"ל</t>
      </text>
    </comment>
    <comment ref="A1000" authorId="41" shapeId="0" xr:uid="{1591C6E4-ECC2-438C-B8AD-20687E43F257}">
      <text>
        <t>[Threaded comment]
Your version of Excel allows you to read this threaded comment; however, any edits to it will get removed if the file is opened in a newer version of Excel. Learn more: https://go.microsoft.com/fwlink/?linkid=870924
Comment:
    נשאל פעם אחת ב1973-3.
חיבור עם "האם היית רוצה שאחרי הבחירות תקום ממשלת אחדות לאומית?"</t>
      </text>
    </comment>
    <comment ref="A1001" authorId="42" shapeId="0" xr:uid="{83CB1825-2CF0-485C-81B5-A314CB83DB0F}">
      <text>
        <t>[Threaded comment]
Your version of Excel allows you to read this threaded comment; however, any edits to it will get removed if the file is opened in a newer version of Excel. Learn more: https://go.microsoft.com/fwlink/?linkid=870924
Comment:
    אולי יש איך לחבר לפאנל עם השאלות "הסיכויים לקואליציות שונות לאחר הבחירות"</t>
      </text>
    </comment>
    <comment ref="A1002" authorId="43" shapeId="0" xr:uid="{66721245-740A-42F1-8376-22BA65B81B18}">
      <text>
        <t>[Threaded comment]
Your version of Excel allows you to read this threaded comment; however, any edits to it will get removed if the file is opened in a newer version of Excel. Learn more: https://go.microsoft.com/fwlink/?linkid=870924
Comment:
    חיבור עם "בסיכומו של דבר, מבין הקואליציות האלה, איזו קואליציה אתה מעדיף?”</t>
      </text>
    </comment>
    <comment ref="A1003" authorId="44" shapeId="0" xr:uid="{B3C5AF49-6C9B-441F-AA04-AAEBE287E853}">
      <text>
        <t>[Threaded comment]
Your version of Excel allows you to read this threaded comment; however, any edits to it will get removed if the file is opened in a newer version of Excel. Learn more: https://go.microsoft.com/fwlink/?linkid=870924
Comment:
    לאיפה שייך? לבחירות? ימיןשמאל? ציפיות?</t>
      </text>
    </comment>
    <comment ref="A1058" authorId="45" shapeId="0" xr:uid="{FE7D99CA-D961-4A48-BEC0-90A2C4013773}">
      <text>
        <t>[Threaded comment]
Your version of Excel allows you to read this threaded comment; however, any edits to it will get removed if the file is opened in a newer version of Excel. Learn more: https://go.microsoft.com/fwlink/?linkid=870924
Comment:
    למרות שזה שיפוט אני חושב שנכון לשים את זה תחת העדפות</t>
      </text>
    </comment>
    <comment ref="A1078" authorId="0" shapeId="0" xr:uid="{5B329330-4EE3-4EFF-AEF5-52A9C630E8F0}">
      <text>
        <r>
          <rPr>
            <b/>
            <sz val="9"/>
            <color indexed="81"/>
            <rFont val="Tahoma"/>
            <family val="2"/>
          </rPr>
          <t>יניב שפירא:</t>
        </r>
        <r>
          <rPr>
            <sz val="9"/>
            <color indexed="81"/>
            <rFont val="Tahoma"/>
            <family val="2"/>
          </rPr>
          <t xml:space="preserve">
למי שענה 3 או 4 בשאלה הקודמת</t>
        </r>
      </text>
    </comment>
    <comment ref="A1088" authorId="46" shapeId="0" xr:uid="{E2B09CFA-FB94-4332-B8F5-6AD942BA8374}">
      <text>
        <t>[Threaded comment]
Your version of Excel allows you to read this threaded comment; however, any edits to it will get removed if the file is opened in a newer version of Excel. Learn more: https://go.microsoft.com/fwlink/?linkid=870924
Comment:
    לא בטוח שאפשר לאחד את זה עם "שרים מטעם מפלגות ערביות לממשלה?", שאלה לגבי איך מבינים את התשובות האפשריות</t>
      </text>
    </comment>
    <comment ref="A1092" authorId="47" shapeId="0" xr:uid="{DB0CEEDE-CDE9-4DD4-899D-28035D424FD6}">
      <text>
        <t>[Threaded comment]
Your version of Excel allows you to read this threaded comment; however, any edits to it will get removed if the file is opened in a newer version of Excel. Learn more: https://go.microsoft.com/fwlink/?linkid=870924
Comment:
    אפשר לחבר לדעתי, יש כמה שנים של חפיפה ובהן שאלה אחת מתייחסת לאל המפלגות ואחרת רק למערך וליכוד</t>
      </text>
    </comment>
    <comment ref="A1093" authorId="48" shapeId="0" xr:uid="{E26E7E49-5AA1-4AFF-B030-062611EE4F11}">
      <text>
        <t>[Threaded comment]
Your version of Excel allows you to read this threaded comment; however, any edits to it will get removed if the file is opened in a newer version of Excel. Learn more: https://go.microsoft.com/fwlink/?linkid=870924
Comment:
    אותו עניין של כלכלית חברתית, לחבר או לא. בנוסף, בחלק מהשנים התשובות הן מפלגות ובאחרות הן מנהיגים.</t>
      </text>
    </comment>
    <comment ref="A1121" authorId="49" shapeId="0" xr:uid="{FD71CE5E-816D-4379-B63B-453EEBF173CE}">
      <text>
        <t>[Threaded comment]
Your version of Excel allows you to read this threaded comment; however, any edits to it will get removed if the file is opened in a newer version of Excel. Learn more: https://go.microsoft.com/fwlink/?linkid=870924
Comment:
    אולי אפשר לחבר עם השאלה הופכית מסכים לא מסכים "להעביר כספים מתקציב הבטחון לנושאים חברתיים"</t>
      </text>
    </comment>
    <comment ref="A1157" authorId="50" shapeId="0" xr:uid="{39796953-560C-41E9-8314-FC118523F583}">
      <text>
        <t>[Threaded comment]
Your version of Excel allows you to read this threaded comment; however, any edits to it will get removed if the file is opened in a newer version of Excel. Learn more: https://go.microsoft.com/fwlink/?linkid=870924
Comment:
    יש גם socioeconomic_party_similarity</t>
      </text>
    </comment>
    <comment ref="A1165" authorId="51" shapeId="0" xr:uid="{944CAE45-80F1-4A54-9689-47905B84EEBB}">
      <text>
        <t>[Threaded comment]
Your version of Excel allows you to read this threaded comment; however, any edits to it will get removed if the file is opened in a newer version of Excel. Learn more: https://go.microsoft.com/fwlink/?linkid=870924
Comment:
    אולי נכון לחבר עם
perception_satisfaction_economic_condition</t>
      </text>
    </comment>
    <comment ref="A1174" authorId="0" shapeId="0" xr:uid="{B835CE5A-8511-4E7F-951D-5A42D2E412B5}">
      <text>
        <r>
          <rPr>
            <b/>
            <sz val="9"/>
            <color indexed="81"/>
            <rFont val="Tahoma"/>
            <charset val="177"/>
          </rPr>
          <t>יניב שפירא:</t>
        </r>
        <r>
          <rPr>
            <sz val="9"/>
            <color indexed="81"/>
            <rFont val="Tahoma"/>
            <charset val="177"/>
          </rPr>
          <t xml:space="preserve">
רק מי שהצביע בבחירות להסתדרות</t>
        </r>
      </text>
    </comment>
    <comment ref="A1176" authorId="0" shapeId="0" xr:uid="{6A7A70CE-9787-4CD5-B32B-0CB19FF92317}">
      <text>
        <r>
          <rPr>
            <b/>
            <sz val="9"/>
            <color indexed="81"/>
            <rFont val="Tahoma"/>
            <charset val="177"/>
          </rPr>
          <t>יניב שפירא:</t>
        </r>
        <r>
          <rPr>
            <sz val="9"/>
            <color indexed="81"/>
            <rFont val="Tahoma"/>
            <charset val="177"/>
          </rPr>
          <t xml:space="preserve">
רק מי שלא הצביע בבחירות להסתדרות</t>
        </r>
      </text>
    </comment>
    <comment ref="A1179" authorId="52" shapeId="0" xr:uid="{F609C672-A647-4ECE-96E2-66EBEA099072}">
      <text>
        <t>[Threaded comment]
Your version of Excel allows you to read this threaded comment; however, any edits to it will get removed if the file is opened in a newer version of Excel. Learn more: https://go.microsoft.com/fwlink/?linkid=870924
Comment:
    אולי התנהגות ההסתדרות לא נחשבת מדיניות?</t>
      </text>
    </comment>
    <comment ref="A1181" authorId="53" shapeId="0" xr:uid="{DD0AD433-6A0D-496E-B7A5-67B5026678D5}">
      <text>
        <t>[Threaded comment]
Your version of Excel allows you to read this threaded comment; however, any edits to it will get removed if the file is opened in a newer version of Excel. Learn more: https://go.microsoft.com/fwlink/?linkid=870924
Comment:
    איחוד עם שני הקודמים</t>
      </text>
    </comment>
    <comment ref="A1190" authorId="54" shapeId="0" xr:uid="{A0280845-057B-4B2B-A588-65D4371ED020}">
      <text>
        <t>[Threaded comment]
Your version of Excel allows you to read this threaded comment; however, any edits to it will get removed if the file is opened in a newer version of Excel. Learn more: https://go.microsoft.com/fwlink/?linkid=870924
Comment:
    מייל ולא פוסט כדי לא להתבלבל עם "פוסט-בחירות"</t>
      </text>
    </comment>
    <comment ref="A1199" authorId="55" shapeId="0" xr:uid="{36CBA67A-941F-4EDB-BAD7-8E71ED44058A}">
      <text>
        <t>[Threaded comment]
Your version of Excel allows you to read this threaded comment; however, any edits to it will get removed if the file is opened in a newer version of Excel. Learn more: https://go.microsoft.com/fwlink/?linkid=870924
Comment:
    Perception or preference?</t>
      </text>
    </comment>
    <comment ref="A1201" authorId="56" shapeId="0" xr:uid="{3D02CAC9-3074-4B0D-90A5-ACDCB35F92A2}">
      <text>
        <t>[Threaded comment]
Your version of Excel allows you to read this threaded comment; however, any edits to it will get removed if the file is opened in a newer version of Excel. Learn more: https://go.microsoft.com/fwlink/?linkid=870924
Comment:
    על אף שמדובר בחוק ולא במדיניות בחרתי לכלול תחת פוליסי מכיוון שאין הרבה שאלות על חקיקה (חוק הלאום וזה פחות או יותר)</t>
      </text>
    </comment>
    <comment ref="A1202" authorId="57" shapeId="0" xr:uid="{E87D1587-7DC9-4F06-BD2C-E109A6AE4717}">
      <text>
        <t>[Threaded comment]
Your version of Excel allows you to read this threaded comment; however, any edits to it will get removed if the file is opened in a newer version of Excel. Learn more: https://go.microsoft.com/fwlink/?linkid=870924
Comment:
    אולי כדי להכניס את המילה intention איפשהו כאן</t>
      </text>
    </comment>
    <comment ref="A1208" authorId="0" shapeId="0" xr:uid="{C865C955-C9A8-4972-BD26-629155B27447}">
      <text>
        <r>
          <rPr>
            <b/>
            <sz val="9"/>
            <color indexed="81"/>
            <rFont val="Tahoma"/>
            <family val="2"/>
          </rPr>
          <t>יניב שפירא:</t>
        </r>
        <r>
          <rPr>
            <sz val="9"/>
            <color indexed="81"/>
            <rFont val="Tahoma"/>
            <family val="2"/>
          </rPr>
          <t xml:space="preserve">
ליהודים בלבד</t>
        </r>
      </text>
    </comment>
    <comment ref="A1209" authorId="0" shapeId="0" xr:uid="{1A199951-ABD2-4BC0-8E6C-76DBFCE5A9E3}">
      <text>
        <r>
          <rPr>
            <b/>
            <sz val="9"/>
            <color indexed="81"/>
            <rFont val="Tahoma"/>
            <family val="2"/>
          </rPr>
          <t>יניב שפירא:</t>
        </r>
        <r>
          <rPr>
            <sz val="9"/>
            <color indexed="81"/>
            <rFont val="Tahoma"/>
            <family val="2"/>
          </rPr>
          <t xml:space="preserve">
ליהודים בלבד</t>
        </r>
      </text>
    </comment>
    <comment ref="A1214" authorId="58" shapeId="0" xr:uid="{80EEB494-ED82-48FF-932A-7BDFCFE08073}">
      <text>
        <t>[Threaded comment]
Your version of Excel allows you to read this threaded comment; however, any edits to it will get removed if the file is opened in a newer version of Excel. Learn more: https://go.microsoft.com/fwlink/?linkid=870924
Comment:
    בחרתי national כי יש גם משיבים ערבים</t>
      </text>
    </comment>
    <comment ref="A1215" authorId="0" shapeId="0" xr:uid="{7ABBA994-827C-4CC5-98E7-A078A9A8BA96}">
      <text>
        <r>
          <rPr>
            <b/>
            <sz val="9"/>
            <color indexed="81"/>
            <rFont val="Tahoma"/>
            <family val="2"/>
          </rPr>
          <t>יניב שפירא:</t>
        </r>
        <r>
          <rPr>
            <sz val="9"/>
            <color indexed="81"/>
            <rFont val="Tahoma"/>
            <family val="2"/>
          </rPr>
          <t xml:space="preserve">
יהודים בלבד</t>
        </r>
      </text>
    </comment>
    <comment ref="A1236" authorId="59" shapeId="0" xr:uid="{40A32E51-3836-4DEE-9C52-9AC30FD85893}">
      <text>
        <t>[Threaded comment]
Your version of Excel allows you to read this threaded comment; however, any edits to it will get removed if the file is opened in a newer version of Excel. Learn more: https://go.microsoft.com/fwlink/?linkid=870924
Comment:
    אולי עדיף attribute_knowledge</t>
      </text>
    </comment>
    <comment ref="A1240" authorId="60" shapeId="0" xr:uid="{908BE24F-7C4D-478D-A5C8-9813898F71D7}">
      <text>
        <t>[Threaded comment]
Your version of Excel allows you to read this threaded comment; however, any edits to it will get removed if the file is opened in a newer version of Excel. Learn more: https://go.microsoft.com/fwlink/?linkid=870924
Comment:
    אולי אנחנו רוצים לאחד את זה עם השאלות האחרות על יהודית ודמוקרטית?</t>
      </text>
    </comment>
    <comment ref="A1245" authorId="61" shapeId="0" xr:uid="{74B2D708-F198-4B60-B824-E6C4162C6F54}">
      <text>
        <t xml:space="preserve">[Threaded comment]
Your version of Excel allows you to read this threaded comment; however, any edits to it will get removed if the file is opened in a newer version of Excel. Learn more: https://go.microsoft.com/fwlink/?linkid=870924
Comment:
    בחלק מהשנים התשובות הן מפלגות ובאחרות הן מנהיגים.
</t>
      </text>
    </comment>
    <comment ref="A1268" authorId="62" shapeId="0" xr:uid="{0D1BC34D-E3EB-4128-A2F6-999CB689C0DD}">
      <text>
        <t>[Threaded comment]
Your version of Excel allows you to read this threaded comment; however, any edits to it will get removed if the file is opened in a newer version of Excel. Learn more: https://go.microsoft.com/fwlink/?linkid=870924
Comment:
    לא בטוח אם זה אפקט או פרספשן</t>
      </text>
    </comment>
    <comment ref="A1293" authorId="63" shapeId="0" xr:uid="{46DEC515-DE5A-42A6-ADB6-114B4EECAD5A}">
      <text>
        <t>[Threaded comment]
Your version of Excel allows you to read this threaded comment; however, any edits to it will get removed if the file is opened in a newer version of Excel. Learn more: https://go.microsoft.com/fwlink/?linkid=870924
Comment:
    אולי זאת העדפה אבל אני חושב שפרספשן</t>
      </text>
    </comment>
    <comment ref="A1294" authorId="64" shapeId="0" xr:uid="{9751F5A4-4729-4A80-B364-83D21D886BFD}">
      <text>
        <t>[Threaded comment]
Your version of Excel allows you to read this threaded comment; however, any edits to it will get removed if the file is opened in a newer version of Excel. Learn more: https://go.microsoft.com/fwlink/?linkid=870924
Comment:
    אולי זאת העדפה אבל אני חושב שפרספשן</t>
      </text>
    </comment>
    <comment ref="A1302" authorId="65" shapeId="0" xr:uid="{610EEB94-4262-4B17-9E67-D7481205627B}">
      <text>
        <t>[Threaded comment]
Your version of Excel allows you to read this threaded comment; however, any edits to it will get removed if the file is opened in a newer version of Excel. Learn more: https://go.microsoft.com/fwlink/?linkid=870924
Comment:
    אפשר למצוא ניסוח טוב יותר</t>
      </text>
    </comment>
    <comment ref="A1322" authorId="0" shapeId="0" xr:uid="{72FA0607-ECBC-4AEE-B11D-373156AB5D01}">
      <text>
        <r>
          <rPr>
            <b/>
            <sz val="9"/>
            <color indexed="81"/>
            <rFont val="Tahoma"/>
            <family val="2"/>
          </rPr>
          <t>יניב שפירא:</t>
        </r>
        <r>
          <rPr>
            <sz val="9"/>
            <color indexed="81"/>
            <rFont val="Tahoma"/>
            <family val="2"/>
          </rPr>
          <t xml:space="preserve">
רק למי שענה "1" בשאלה v49</t>
        </r>
      </text>
    </comment>
    <comment ref="A1357" authorId="66" shapeId="0" xr:uid="{EE870537-B43F-4F10-8FC4-EA94FF84A896}">
      <text>
        <t>[Threaded comment]
Your version of Excel allows you to read this threaded comment; however, any edits to it will get removed if the file is opened in a newer version of Excel. Learn more: https://go.microsoft.com/fwlink/?linkid=870924
Comment:
    לדעתי זה העדפה</t>
      </text>
    </comment>
    <comment ref="A1384" authorId="67" shapeId="0" xr:uid="{C8175B47-F6C7-4CBB-8F26-51C02F86ED8B}">
      <text>
        <t>[Threaded comment]
Your version of Excel allows you to read this threaded comment; however, any edits to it will get removed if the file is opened in a newer version of Excel. Learn more: https://go.microsoft.com/fwlink/?linkid=870924
Comment:
    אנחנו רוצים לקרוא להם ערבים או פלסטינים?</t>
      </text>
    </comment>
    <comment ref="A1386" authorId="0" shapeId="0" xr:uid="{902F1690-3877-43BF-9BDF-0B6AEC0D62BC}">
      <text>
        <r>
          <rPr>
            <b/>
            <sz val="9"/>
            <color indexed="81"/>
            <rFont val="Tahoma"/>
            <family val="2"/>
          </rPr>
          <t>יניב שפירא:</t>
        </r>
        <r>
          <rPr>
            <sz val="9"/>
            <color indexed="81"/>
            <rFont val="Tahoma"/>
            <family val="2"/>
          </rPr>
          <t xml:space="preserve">
רק יהודים למעט 2022</t>
        </r>
      </text>
    </comment>
    <comment ref="B1386" authorId="68" shapeId="0" xr:uid="{36FF387F-614B-48ED-8E1A-C022C67D3AEB}">
      <text>
        <t>[Threaded comment]
Your version of Excel allows you to read this threaded comment; however, any edits to it will get removed if the file is opened in a newer version of Excel. Learn more: https://go.microsoft.com/fwlink/?linkid=870924
Comment:
    אולי צריכים תת-קטגוריה לפרספשן אמונה</t>
      </text>
    </comment>
    <comment ref="A1387" authorId="69" shapeId="0" xr:uid="{35D3B2C4-C03F-401C-9122-68A559C1E186}">
      <text>
        <t>[Threaded comment]
Your version of Excel allows you to read this threaded comment; however, any edits to it will get removed if the file is opened in a newer version of Excel. Learn more: https://go.microsoft.com/fwlink/?linkid=870924
Comment:
    לחבר עם שאלה בהמשך</t>
      </text>
    </comment>
    <comment ref="A1392" authorId="0" shapeId="0" xr:uid="{53690A39-FC82-4071-AFF8-17BFBFE38116}">
      <text>
        <r>
          <rPr>
            <b/>
            <sz val="9"/>
            <color indexed="81"/>
            <rFont val="Tahoma"/>
            <family val="2"/>
          </rPr>
          <t>יניב שפירא:</t>
        </r>
        <r>
          <rPr>
            <sz val="9"/>
            <color indexed="81"/>
            <rFont val="Tahoma"/>
            <family val="2"/>
          </rPr>
          <t xml:space="preserve">
בערבית נוסח אחר:
"האם אתה תומך בהקמת מדינה..."
התשובות בהתאם: במקום 'מסכים' כתוב 'תומך'</t>
        </r>
      </text>
    </comment>
    <comment ref="A1394" authorId="0" shapeId="0" xr:uid="{6FA54728-2E99-4970-A612-F1EA4ABAD594}">
      <text>
        <r>
          <rPr>
            <b/>
            <sz val="9"/>
            <color indexed="81"/>
            <rFont val="Tahoma"/>
            <family val="2"/>
          </rPr>
          <t>יניב שפירא:</t>
        </r>
        <r>
          <rPr>
            <sz val="9"/>
            <color indexed="81"/>
            <rFont val="Tahoma"/>
            <family val="2"/>
          </rPr>
          <t xml:space="preserve">
יהודים בלבד</t>
        </r>
      </text>
    </comment>
    <comment ref="A1409" authorId="0" shapeId="0" xr:uid="{EF65EDC1-4191-401A-86A8-DE325C96F0C3}">
      <text>
        <r>
          <rPr>
            <b/>
            <sz val="9"/>
            <color indexed="81"/>
            <rFont val="Tahoma"/>
            <family val="2"/>
          </rPr>
          <t>יניב שפירא:</t>
        </r>
        <r>
          <rPr>
            <sz val="9"/>
            <color indexed="81"/>
            <rFont val="Tahoma"/>
            <family val="2"/>
          </rPr>
          <t xml:space="preserve">
ליהודים בלבד</t>
        </r>
      </text>
    </comment>
    <comment ref="A1414" authorId="0" shapeId="0" xr:uid="{BC7F75C6-62F0-4A5E-9CE9-2F36F3AE53E1}">
      <text>
        <r>
          <rPr>
            <b/>
            <sz val="9"/>
            <color indexed="81"/>
            <rFont val="Tahoma"/>
            <family val="2"/>
          </rPr>
          <t>יניב שפירא:</t>
        </r>
        <r>
          <rPr>
            <sz val="9"/>
            <color indexed="81"/>
            <rFont val="Tahoma"/>
            <family val="2"/>
          </rPr>
          <t xml:space="preserve">
ליהודים בלבד</t>
        </r>
      </text>
    </comment>
    <comment ref="A1415" authorId="0" shapeId="0" xr:uid="{468B9258-02F8-4353-9161-8954EBF5A16E}">
      <text>
        <r>
          <rPr>
            <b/>
            <sz val="9"/>
            <color indexed="81"/>
            <rFont val="Tahoma"/>
            <family val="2"/>
          </rPr>
          <t>יניב שפירא:</t>
        </r>
        <r>
          <rPr>
            <sz val="9"/>
            <color indexed="81"/>
            <rFont val="Tahoma"/>
            <family val="2"/>
          </rPr>
          <t xml:space="preserve">
ליהודים בלבד</t>
        </r>
      </text>
    </comment>
    <comment ref="A1418" authorId="70" shapeId="0" xr:uid="{85678B1E-6F6B-44D7-A6A4-B8C2C1FED631}">
      <text>
        <t>[Threaded comment]
Your version of Excel allows you to read this threaded comment; however, any edits to it will get removed if the file is opened in a newer version of Excel. Learn more: https://go.microsoft.com/fwlink/?linkid=870924
Comment:
    איחוד, זה די דומה, בכלל יש פה בשלום דומים</t>
      </text>
    </comment>
    <comment ref="A1449" authorId="71" shapeId="0" xr:uid="{54B27088-F44A-4810-BD3B-97906BCB9459}">
      <text>
        <t>[Threaded comment]
Your version of Excel allows you to read this threaded comment; however, any edits to it will get removed if the file is opened in a newer version of Excel. Learn more: https://go.microsoft.com/fwlink/?linkid=870924
Comment:
    זה מתייחס לגדר ההפרדה? אם כן אולי נכון לאחד עם "באיזו מידה אתה מסכים או לא מסכים: לבנות גדר הפרדה ביננו לבין הפלסטינים"</t>
      </text>
    </comment>
    <comment ref="A1450" authorId="72" shapeId="0" xr:uid="{82515416-DFD8-4A7D-89F0-20B31851101E}">
      <text>
        <t>[Threaded comment]
Your version of Excel allows you to read this threaded comment; however, any edits to it will get removed if the file is opened in a newer version of Excel. Learn more: https://go.microsoft.com/fwlink/?linkid=870924
Comment:
    אולי אנחנו מדברים על ציפיות? או שאולי אשף היא לא קבוצה אלא מפלגה/פוליטיקאי?</t>
      </text>
    </comment>
    <comment ref="A1451" authorId="73" shapeId="0" xr:uid="{A6E19DBB-5BB9-4631-8E4A-985D2E2CF00C}">
      <text>
        <t>[Threaded comment]
Your version of Excel allows you to read this threaded comment; however, any edits to it will get removed if the file is opened in a newer version of Excel. Learn more: https://go.microsoft.com/fwlink/?linkid=870924
Comment:
    איחוד עם שאלה מ2003 על מומ תוך כדי טרור</t>
      </text>
    </comment>
    <comment ref="A1458" authorId="74" shapeId="0" xr:uid="{183F4EF0-A0F4-4B71-AC47-DC930C5C8FA6}">
      <text>
        <t>[Threaded comment]
Your version of Excel allows you to read this threaded comment; however, any edits to it will get removed if the file is opened in a newer version of Excel. Learn more: https://go.microsoft.com/fwlink/?linkid=870924
Comment:
    אולי איחוד עם "האם ישראל צריכה להחזיר לסוריה שטחים ברמת הגולן תמורת חוזה שלום וסידורי בטחון המקובלים על צה"ל?”</t>
      </text>
    </comment>
    <comment ref="A1465" authorId="75" shapeId="0" xr:uid="{9A875F9A-65FA-4030-8E69-E305594B1AE8}">
      <text>
        <t>[Threaded comment]
Your version of Excel allows you to read this threaded comment; however, any edits to it will get removed if the file is opened in a newer version of Excel. Learn more: https://go.microsoft.com/fwlink/?linkid=870924
Comment:
    לא ממש מצאתי באיזו ועידה מדובר, השאלה נשאלה בין 87-92 ככה שזאת לא יכולה להיות ועידת מדריד או לפחות לא רק היא</t>
      </text>
    </comment>
    <comment ref="A1475" authorId="76" shapeId="0" xr:uid="{94687852-29FF-43DA-BC38-C102F9B36D3B}">
      <text>
        <t>[Threaded comment]
Your version of Excel allows you to read this threaded comment; however, any edits to it will get removed if the file is opened in a newer version of Excel. Learn more: https://go.microsoft.com/fwlink/?linkid=870924
Comment:
    נשאל שמונה שנים אחרי, איך נכון להתייחס לזה?</t>
      </text>
    </comment>
    <comment ref="A1501" authorId="77" shapeId="0" xr:uid="{00B7F9A1-15BE-4954-A15E-4BEDB80E9AC5}">
      <text>
        <t>[Threaded comment]
Your version of Excel allows you to read this threaded comment; however, any edits to it will get removed if the file is opened in a newer version of Excel. Learn more: https://go.microsoft.com/fwlink/?linkid=870924
Comment:
    נדמה לי שהם בדקו כאן אותו דבר כמו בשאלה "האם לדעתך ישראל יכולה או לא יכולה להשפיע בהתנהגותה ובמדיניותה על נכונות הערבים לשלום אמת איתה?”</t>
      </text>
    </comment>
    <comment ref="A1507" authorId="78" shapeId="0" xr:uid="{FD5F374A-CF45-4528-98AE-80ADE760447B}">
      <text>
        <t>[Threaded comment]
Your version of Excel allows you to read this threaded comment; however, any edits to it will get removed if the file is opened in a newer version of Excel. Learn more: https://go.microsoft.com/fwlink/?linkid=870924
Comment:
    אולי זה שם טעון מדי</t>
      </text>
    </comment>
    <comment ref="A1513" authorId="0" shapeId="0" xr:uid="{7CD900FC-5F13-4DEF-A0AD-20794B195E5F}">
      <text>
        <r>
          <rPr>
            <b/>
            <sz val="9"/>
            <color indexed="81"/>
            <rFont val="Tahoma"/>
            <family val="2"/>
          </rPr>
          <t>יניב שפירא:</t>
        </r>
        <r>
          <rPr>
            <sz val="9"/>
            <color indexed="81"/>
            <rFont val="Tahoma"/>
            <family val="2"/>
          </rPr>
          <t xml:space="preserve">
שאלות 119-128
לא מקודדות אצלי בstata
גם ב2020 וגם ב2019
* ב2019 השאלה בכחול
* גם ב2021</t>
        </r>
      </text>
    </comment>
    <comment ref="B1513" authorId="79" shapeId="0" xr:uid="{CF6241E2-45E0-400A-AC84-A9840EC6B1F0}">
      <text>
        <t>[Threaded comment]
Your version of Excel allows you to read this threaded comment; however, any edits to it will get removed if the file is opened in a newer version of Excel. Learn more: https://go.microsoft.com/fwlink/?linkid=870924
Comment:
    לא בטוח אם אפקט</t>
      </text>
    </comment>
    <comment ref="A1539" authorId="80" shapeId="0" xr:uid="{807BB094-203E-4801-B18B-9C4F87EDA004}">
      <text>
        <t>[Threaded comment]
Your version of Excel allows you to read this threaded comment; however, any edits to it will get removed if the file is opened in a newer version of Excel. Learn more: https://go.microsoft.com/fwlink/?linkid=870924
Comment:
    אולי העדפה</t>
      </text>
    </comment>
    <comment ref="A1541" authorId="0" shapeId="0" xr:uid="{BB6AA07F-F1F2-4EA3-815A-4768BCA27ED2}">
      <text>
        <r>
          <rPr>
            <b/>
            <sz val="9"/>
            <color indexed="81"/>
            <rFont val="Tahoma"/>
            <family val="2"/>
          </rPr>
          <t>יניב שפירא:</t>
        </r>
        <r>
          <rPr>
            <sz val="9"/>
            <color indexed="81"/>
            <rFont val="Tahoma"/>
            <family val="2"/>
          </rPr>
          <t xml:space="preserve">
יהודים בלבד</t>
        </r>
      </text>
    </comment>
    <comment ref="A1566" authorId="81" shapeId="0" xr:uid="{C97AE472-067A-4CA4-8029-CB89E54FB37C}">
      <text>
        <t>[Threaded comment]
Your version of Excel allows you to read this threaded comment; however, any edits to it will get removed if the file is opened in a newer version of Excel. Learn more: https://go.microsoft.com/fwlink/?linkid=870924
Comment:
    חיברתי עם "המדינה צריכה להבטיח שוויון זכויות חברתי ופוליטי מלא לכל האזרחים ללא הבדל זת גזע ומין" אבל זאת שאלה אם זה אותו דבר</t>
      </text>
    </comment>
    <comment ref="A1569" authorId="82" shapeId="0" xr:uid="{F0220CB2-2A70-4A99-83C0-6AFD08726FBA}">
      <text>
        <t>[Threaded comment]
Your version of Excel allows you to read this threaded comment; however, any edits to it will get removed if the file is opened in a newer version of Excel. Learn more: https://go.microsoft.com/fwlink/?linkid=870924
Comment:
    שאלו בין 81-88, ב87 שאלו על דרך השלילה, אולי כדאי לחבר</t>
      </text>
    </comment>
    <comment ref="A1571" authorId="83" shapeId="0" xr:uid="{CBCEE698-8218-4E61-AB70-D71B44899683}">
      <text>
        <t>[Threaded comment]
Your version of Excel allows you to read this threaded comment; however, any edits to it will get removed if the file is opened in a newer version of Excel. Learn more: https://go.microsoft.com/fwlink/?linkid=870924
Comment:
    אפשר לחשוב על יותר טוב</t>
      </text>
    </comment>
    <comment ref="A1572" authorId="84" shapeId="0" xr:uid="{C7E39A1B-B080-49B0-BC2F-F385FC21AC29}">
      <text>
        <t>[Threaded comment]
Your version of Excel allows you to read this threaded comment; however, any edits to it will get removed if the file is opened in a newer version of Excel. Learn more: https://go.microsoft.com/fwlink/?linkid=870924
Comment:
    נשאל ב73 פעמיים בנוסח "האם אתה חושב שהצבעתך לכנסת משפיעה על תוצאות הבחירות?”</t>
      </text>
    </comment>
    <comment ref="A1592" authorId="85" shapeId="0" xr:uid="{B557FC8D-9871-483A-8C83-F5E62C50DD84}">
      <text>
        <t>[Threaded comment]
Your version of Excel allows you to read this threaded comment; however, any edits to it will get removed if the file is opened in a newer version of Excel. Learn more: https://go.microsoft.com/fwlink/?linkid=870924
Comment:
    מתלבט אם לחבר עם "perception_voting_efficacy”</t>
      </text>
    </comment>
    <comment ref="A1595" authorId="86" shapeId="0" xr:uid="{8F1A5E34-9111-4B7B-9C52-6DCFAB0DEE4A}">
      <text>
        <t>[Threaded comment]
Your version of Excel allows you to read this threaded comment; however, any edits to it will get removed if the file is opened in a newer version of Excel. Learn more: https://go.microsoft.com/fwlink/?linkid=870924
Comment:
    איחוד עם שאלה כמעט זהה תחת "סוגיות"</t>
      </text>
    </comment>
    <comment ref="A1601" authorId="87" shapeId="0" xr:uid="{1239800C-9572-4B5B-BF3D-D87324F97E1C}">
      <text>
        <t>[Threaded comment]
Your version of Excel allows you to read this threaded comment; however, any edits to it will get removed if the file is opened in a newer version of Excel. Learn more: https://go.microsoft.com/fwlink/?linkid=870924
Comment:
    אולי זאת העדפה</t>
      </text>
    </comment>
    <comment ref="A1604" authorId="0" shapeId="0" xr:uid="{15242D63-CB31-427F-8CE6-133BBCD28D70}">
      <text>
        <r>
          <rPr>
            <b/>
            <sz val="9"/>
            <color indexed="81"/>
            <rFont val="Tahoma"/>
            <family val="2"/>
          </rPr>
          <t>יניב שפירא:</t>
        </r>
        <r>
          <rPr>
            <sz val="9"/>
            <color indexed="81"/>
            <rFont val="Tahoma"/>
            <family val="2"/>
          </rPr>
          <t xml:space="preserve">
שאלה 92 לא מקודדת בstata
(ב2019, אין אותה ב2020)</t>
        </r>
      </text>
    </comment>
    <comment ref="A1612" authorId="0" shapeId="0" xr:uid="{FAD4CBC1-6621-4E99-946D-78ADB69C2B5A}">
      <text>
        <r>
          <rPr>
            <b/>
            <sz val="9"/>
            <color indexed="81"/>
            <rFont val="Tahoma"/>
            <family val="2"/>
          </rPr>
          <t>יניב שפירא:</t>
        </r>
        <r>
          <rPr>
            <sz val="9"/>
            <color indexed="81"/>
            <rFont val="Tahoma"/>
            <family val="2"/>
          </rPr>
          <t xml:space="preserve">
שאלות 96-103 לא מקודדת בstata
(ב2019, אין אותה ב2020)</t>
        </r>
      </text>
    </comment>
    <comment ref="B1612" authorId="88" shapeId="0" xr:uid="{A08E788B-A468-481B-88D6-9F109AB8225E}">
      <text>
        <t>[Threaded comment]
Your version of Excel allows you to read this threaded comment; however, any edits to it will get removed if the file is opened in a newer version of Excel. Learn more: https://go.microsoft.com/fwlink/?linkid=870924
Comment:
    יהיה אפשר לחבר אחרי בדיקה של התשובות</t>
      </text>
    </comment>
    <comment ref="A1625" authorId="0" shapeId="0" xr:uid="{013F7444-DBA2-41A8-BD31-89540E3201DA}">
      <text>
        <r>
          <rPr>
            <b/>
            <sz val="9"/>
            <color indexed="81"/>
            <rFont val="Tahoma"/>
            <family val="2"/>
          </rPr>
          <t>יניב שפירא:</t>
        </r>
        <r>
          <rPr>
            <sz val="9"/>
            <color indexed="81"/>
            <rFont val="Tahoma"/>
            <family val="2"/>
          </rPr>
          <t xml:space="preserve">
רק מי שענה 1 בשאלה הקודמת</t>
        </r>
      </text>
    </comment>
    <comment ref="A1635" authorId="89" shapeId="0" xr:uid="{C12D7FD7-48AC-4AED-AFA6-8C101798BDA5}">
      <text>
        <t>[Threaded comment]
Your version of Excel allows you to read this threaded comment; however, any edits to it will get removed if the file is opened in a newer version of Excel. Learn more: https://go.microsoft.com/fwlink/?linkid=870924
Comment:
    יש כאן חזרה על השאלה בצורות שונות וצריך להבין איך מחברים</t>
      </text>
    </comment>
    <comment ref="A1638" authorId="0" shapeId="0" xr:uid="{8039E973-0DF3-4D32-96DA-8A9A25AFD636}">
      <text>
        <r>
          <rPr>
            <b/>
            <sz val="9"/>
            <color indexed="81"/>
            <rFont val="Tahoma"/>
            <charset val="177"/>
          </rPr>
          <t>יניב שפירא:</t>
        </r>
        <r>
          <rPr>
            <sz val="9"/>
            <color indexed="81"/>
            <rFont val="Tahoma"/>
            <charset val="177"/>
          </rPr>
          <t xml:space="preserve">
רק מי שענה 3 או 4 
בשאלה קודמת</t>
        </r>
      </text>
    </comment>
    <comment ref="A1661" authorId="90" shapeId="0" xr:uid="{7BE75116-4A21-4B80-BD40-B7161A877FC6}">
      <text>
        <t>[Threaded comment]
Your version of Excel allows you to read this threaded comment; however, any edits to it will get removed if the file is opened in a newer version of Excel. Learn more: https://go.microsoft.com/fwlink/?linkid=870924
Comment:
    איחדתי עם "האם אתה קורא בדר"כ מודעות בחירות של המפלגות השונות?”
למרות שלא בטוח שנכון לעשות את זה</t>
      </text>
    </comment>
    <comment ref="A1733" authorId="0" shapeId="0" xr:uid="{30DB7C41-FA6D-4C32-A943-9CF879B5811D}">
      <text>
        <r>
          <rPr>
            <b/>
            <sz val="9"/>
            <color indexed="81"/>
            <rFont val="Tahoma"/>
            <family val="2"/>
          </rPr>
          <t>יניב שפירא:</t>
        </r>
        <r>
          <rPr>
            <sz val="9"/>
            <color indexed="81"/>
            <rFont val="Tahoma"/>
            <family val="2"/>
          </rPr>
          <t xml:space="preserve">
שאלות: 31,33,34,36,37,39,40,42,43,44
אין קידוד בstata, האם אבד??
גם ב2020 וגם ב2019
גם ב2021</t>
        </r>
      </text>
    </comment>
    <comment ref="A1743" authorId="0" shapeId="0" xr:uid="{77575217-1B83-44F2-9418-40279C3DFD75}">
      <text>
        <r>
          <rPr>
            <b/>
            <sz val="9"/>
            <color indexed="81"/>
            <rFont val="Tahoma"/>
            <family val="2"/>
          </rPr>
          <t>יניב שפירא:</t>
        </r>
        <r>
          <rPr>
            <sz val="9"/>
            <color indexed="81"/>
            <rFont val="Tahoma"/>
            <family val="2"/>
          </rPr>
          <t xml:space="preserve">
שאלות 109 + 110
לא מקודדות אצלי בstata
גם ב2020 וגם ב2019
גם ב2021</t>
        </r>
      </text>
    </comment>
    <comment ref="A1745" authorId="0" shapeId="0" xr:uid="{E493485B-3F30-4B9B-B999-C0234287B44E}">
      <text>
        <r>
          <rPr>
            <b/>
            <sz val="9"/>
            <color indexed="81"/>
            <rFont val="Tahoma"/>
            <family val="2"/>
          </rPr>
          <t>יניב שפירא:</t>
        </r>
        <r>
          <rPr>
            <sz val="9"/>
            <color indexed="81"/>
            <rFont val="Tahoma"/>
            <family val="2"/>
          </rPr>
          <t xml:space="preserve">
שאלה של אחרי הבחירות.
שאלה E110 לא מקודדת בstata
גם ב2020 וגם ב2019
גם ב2021</t>
        </r>
      </text>
    </comment>
    <comment ref="A1748" authorId="0" shapeId="0" xr:uid="{90B3BF22-4224-43F5-90DF-793E0EC66C06}">
      <text>
        <r>
          <rPr>
            <b/>
            <sz val="9"/>
            <color indexed="81"/>
            <rFont val="Tahoma"/>
            <family val="2"/>
          </rPr>
          <t>יניב שפירא:</t>
        </r>
        <r>
          <rPr>
            <sz val="9"/>
            <color indexed="81"/>
            <rFont val="Tahoma"/>
            <family val="2"/>
          </rPr>
          <t xml:space="preserve">
שאלות 80-85 לא מקודדות בstata
(בשנת 2019, אין אותם ב2020)</t>
        </r>
      </text>
    </comment>
    <comment ref="A1754" authorId="0" shapeId="0" xr:uid="{7E4C7C2B-F95F-4377-AE4A-6634B1D6B7BF}">
      <text>
        <r>
          <rPr>
            <b/>
            <sz val="9"/>
            <color indexed="81"/>
            <rFont val="Tahoma"/>
            <family val="2"/>
          </rPr>
          <t>יניב שפירא:</t>
        </r>
        <r>
          <rPr>
            <sz val="9"/>
            <color indexed="81"/>
            <rFont val="Tahoma"/>
            <family val="2"/>
          </rPr>
          <t xml:space="preserve">
שאלה 91 לא מקודדת בstata
(בשנת 2019, אין אותה ב2020)</t>
        </r>
      </text>
    </comment>
    <comment ref="A1756" authorId="0" shapeId="0" xr:uid="{C56A20F2-8DF1-4E97-8A1F-B04EFF7CC9CA}">
      <text>
        <r>
          <rPr>
            <b/>
            <sz val="9"/>
            <color indexed="81"/>
            <rFont val="Tahoma"/>
            <family val="2"/>
          </rPr>
          <t>יניב שפירא:</t>
        </r>
        <r>
          <rPr>
            <sz val="9"/>
            <color indexed="81"/>
            <rFont val="Tahoma"/>
            <family val="2"/>
          </rPr>
          <t xml:space="preserve">
שאלות 86-90
לא מקודדות אצלי בstata
גם ב2020 וגם ב2019
גם ב2021</t>
        </r>
      </text>
    </comment>
    <comment ref="A1760" authorId="0" shapeId="0" xr:uid="{8FC35208-6E6E-46DE-8E97-33F691AB2327}">
      <text>
        <r>
          <rPr>
            <b/>
            <sz val="9"/>
            <color indexed="81"/>
            <rFont val="Tahoma"/>
            <family val="2"/>
          </rPr>
          <t>יניב שפירא:</t>
        </r>
        <r>
          <rPr>
            <sz val="9"/>
            <color indexed="81"/>
            <rFont val="Tahoma"/>
            <family val="2"/>
          </rPr>
          <t xml:space="preserve">
רק ליהודים</t>
        </r>
      </text>
    </comment>
    <comment ref="A1762" authorId="0" shapeId="0" xr:uid="{6578FDE3-505E-4D1E-8BE1-7EE39FE5F4B5}">
      <text>
        <r>
          <rPr>
            <b/>
            <sz val="9"/>
            <color indexed="81"/>
            <rFont val="Tahoma"/>
            <family val="2"/>
          </rPr>
          <t>יניב שפירא:</t>
        </r>
        <r>
          <rPr>
            <sz val="9"/>
            <color indexed="81"/>
            <rFont val="Tahoma"/>
            <family val="2"/>
          </rPr>
          <t xml:space="preserve">
רק לעולי ברה"מ</t>
        </r>
      </text>
    </comment>
    <comment ref="A1765" authorId="0" shapeId="0" xr:uid="{1B14D7D2-C316-4E0B-AAF0-8725ED52DC89}">
      <text>
        <r>
          <rPr>
            <b/>
            <sz val="9"/>
            <color indexed="81"/>
            <rFont val="Tahoma"/>
            <family val="2"/>
          </rPr>
          <t>יניב שפירא:</t>
        </r>
        <r>
          <rPr>
            <sz val="9"/>
            <color indexed="81"/>
            <rFont val="Tahoma"/>
            <family val="2"/>
          </rPr>
          <t xml:space="preserve">
אין קידוד
2021</t>
        </r>
      </text>
    </comment>
    <comment ref="A1766" authorId="0" shapeId="0" xr:uid="{328D9D9D-D315-4F1F-8B65-628275ABBD93}">
      <text>
        <r>
          <rPr>
            <b/>
            <sz val="9"/>
            <color indexed="81"/>
            <rFont val="Tahoma"/>
            <family val="2"/>
          </rPr>
          <t>יניב שפירא:</t>
        </r>
        <r>
          <rPr>
            <sz val="9"/>
            <color indexed="81"/>
            <rFont val="Tahoma"/>
            <family val="2"/>
          </rPr>
          <t xml:space="preserve">
אין קידוד
2021</t>
        </r>
      </text>
    </comment>
    <comment ref="A1767" authorId="0" shapeId="0" xr:uid="{5CFA6612-46DD-4A7D-92F6-9A48CEDAB665}">
      <text>
        <r>
          <rPr>
            <b/>
            <sz val="9"/>
            <color indexed="81"/>
            <rFont val="Tahoma"/>
            <family val="2"/>
          </rPr>
          <t>יניב שפירא:</t>
        </r>
        <r>
          <rPr>
            <sz val="9"/>
            <color indexed="81"/>
            <rFont val="Tahoma"/>
            <family val="2"/>
          </rPr>
          <t xml:space="preserve">
מי שענה 2/3 בשאלה הקודמת
אין קידוד
2021</t>
        </r>
      </text>
    </comment>
    <comment ref="A1782" authorId="0" shapeId="0" xr:uid="{5FDC1950-5220-4E7A-95B3-9270EEA1DD82}">
      <text>
        <r>
          <rPr>
            <b/>
            <sz val="9"/>
            <color indexed="81"/>
            <rFont val="Tahoma"/>
            <family val="2"/>
          </rPr>
          <t>יניב שפירא:</t>
        </r>
        <r>
          <rPr>
            <sz val="9"/>
            <color indexed="81"/>
            <rFont val="Tahoma"/>
            <family val="2"/>
          </rPr>
          <t xml:space="preserve">
שאלות 12B-14B בפוסט בחירות 2019 לא מקודדות בstata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adi</author>
  </authors>
  <commentList>
    <comment ref="F382" authorId="0" shapeId="0" xr:uid="{80F530AE-118C-491D-AC81-0C6BC621B5A0}">
      <text>
        <r>
          <rPr>
            <b/>
            <sz val="9"/>
            <color indexed="81"/>
            <rFont val="Tahoma"/>
          </rPr>
          <t>adi:</t>
        </r>
        <r>
          <rPr>
            <sz val="9"/>
            <color indexed="81"/>
            <rFont val="Tahoma"/>
          </rPr>
          <t xml:space="preserve">
לזרוק את 06 09 ולאחד 73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X1" authorId="0" shapeId="0" xr:uid="{9F794DF1-4B0A-4938-984E-6857E8AC8D1A}">
      <text>
        <r>
          <rPr>
            <b/>
            <sz val="9"/>
            <color indexed="81"/>
            <rFont val="Tahoma"/>
            <charset val="177"/>
          </rPr>
          <t>יניב שפירא:</t>
        </r>
        <r>
          <rPr>
            <sz val="9"/>
            <color indexed="81"/>
            <rFont val="Tahoma"/>
            <charset val="177"/>
          </rPr>
          <t xml:space="preserve">
post election</t>
        </r>
      </text>
    </comment>
    <comment ref="AB1" authorId="0" shapeId="0" xr:uid="{A5B968F8-8E48-4896-AD2D-22BFFBAA10A2}">
      <text>
        <r>
          <rPr>
            <b/>
            <sz val="9"/>
            <color indexed="81"/>
            <rFont val="Tahoma"/>
            <charset val="177"/>
          </rPr>
          <t>יניב שפירא:</t>
        </r>
        <r>
          <rPr>
            <sz val="9"/>
            <color indexed="81"/>
            <rFont val="Tahoma"/>
            <charset val="177"/>
          </rPr>
          <t xml:space="preserve">
post Kippur + post election</t>
        </r>
      </text>
    </comment>
    <comment ref="AC1" authorId="0" shapeId="0" xr:uid="{9C93A4D5-59BC-469A-85FF-C5DA97428D6F}">
      <text>
        <r>
          <rPr>
            <b/>
            <sz val="9"/>
            <color indexed="81"/>
            <rFont val="Tahoma"/>
            <charset val="177"/>
          </rPr>
          <t>יניב שפירא:</t>
        </r>
        <r>
          <rPr>
            <sz val="9"/>
            <color indexed="81"/>
            <rFont val="Tahoma"/>
            <charset val="177"/>
          </rPr>
          <t xml:space="preserve">
post Kippur</t>
        </r>
      </text>
    </comment>
    <comment ref="AD1" authorId="0" shapeId="0" xr:uid="{30084070-8717-4348-BAB6-CE6E4740E7D0}">
      <text>
        <r>
          <rPr>
            <b/>
            <sz val="9"/>
            <color indexed="81"/>
            <rFont val="Tahoma"/>
            <charset val="177"/>
          </rPr>
          <t>יניב שפירא:</t>
        </r>
        <r>
          <rPr>
            <sz val="9"/>
            <color indexed="81"/>
            <rFont val="Tahoma"/>
            <charset val="177"/>
          </rPr>
          <t xml:space="preserve">
post Kippur</t>
        </r>
      </text>
    </comment>
    <comment ref="AG1" authorId="0" shapeId="0" xr:uid="{342F16C5-B52A-4B12-A000-C308367CDB88}">
      <text>
        <r>
          <rPr>
            <b/>
            <sz val="9"/>
            <color indexed="81"/>
            <rFont val="Tahoma"/>
            <charset val="177"/>
          </rPr>
          <t>יניב שפירא:</t>
        </r>
        <r>
          <rPr>
            <sz val="9"/>
            <color indexed="81"/>
            <rFont val="Tahoma"/>
            <charset val="177"/>
          </rPr>
          <t xml:space="preserve">
pre + post election</t>
        </r>
      </text>
    </comment>
    <comment ref="M3" authorId="0" shapeId="0" xr:uid="{BD0512BB-8A03-4404-961E-6D8FDA7EEB18}">
      <text>
        <r>
          <rPr>
            <b/>
            <sz val="9"/>
            <color indexed="81"/>
            <rFont val="Tahoma"/>
            <family val="2"/>
          </rPr>
          <t>יניב שפירא:</t>
        </r>
        <r>
          <rPr>
            <sz val="9"/>
            <color indexed="81"/>
            <rFont val="Tahoma"/>
            <family val="2"/>
          </rPr>
          <t xml:space="preserve">
1 = ינואר
2 = פברואר</t>
        </r>
      </text>
    </comment>
    <comment ref="A5" authorId="0" shapeId="0" xr:uid="{AF2F546C-C217-4646-BDD9-F96AFEBC8C4C}">
      <text>
        <r>
          <rPr>
            <b/>
            <sz val="9"/>
            <color indexed="81"/>
            <rFont val="Tahoma"/>
            <family val="2"/>
          </rPr>
          <t>יניב שפירא:</t>
        </r>
        <r>
          <rPr>
            <sz val="9"/>
            <color indexed="81"/>
            <rFont val="Tahoma"/>
            <family val="2"/>
          </rPr>
          <t xml:space="preserve">
שאלה 145
אין קידוד בstata
גם ב2020 וגם ב2019
גם ב2021</t>
        </r>
      </text>
    </comment>
    <comment ref="E6" authorId="0" shapeId="0" xr:uid="{F8451A7E-5DB4-40B5-8107-017CE9F7B951}">
      <text>
        <r>
          <rPr>
            <b/>
            <sz val="9"/>
            <color indexed="81"/>
            <rFont val="Tahoma"/>
            <charset val="177"/>
          </rPr>
          <t>יניב שפירא:</t>
        </r>
        <r>
          <rPr>
            <sz val="9"/>
            <color indexed="81"/>
            <rFont val="Tahoma"/>
            <charset val="177"/>
          </rPr>
          <t xml:space="preserve">
1 = יהודי
2 = ערבי</t>
        </r>
      </text>
    </comment>
    <comment ref="G8" authorId="0" shapeId="0" xr:uid="{EF5D0969-2407-45A9-8CEC-BAAA429ADC03}">
      <text>
        <r>
          <rPr>
            <b/>
            <sz val="9"/>
            <color indexed="81"/>
            <rFont val="Tahoma"/>
            <charset val="177"/>
          </rPr>
          <t>יניב שפירא:</t>
        </r>
        <r>
          <rPr>
            <sz val="9"/>
            <color indexed="81"/>
            <rFont val="Tahoma"/>
            <charset val="177"/>
          </rPr>
          <t xml:space="preserve">
1 = גרסה A
2 = גרסה B</t>
        </r>
      </text>
    </comment>
    <comment ref="J8" authorId="0" shapeId="0" xr:uid="{EFFA1C68-EB85-4D8B-B76F-953D3F56661A}">
      <text>
        <r>
          <rPr>
            <b/>
            <sz val="9"/>
            <color indexed="81"/>
            <rFont val="Tahoma"/>
            <charset val="177"/>
          </rPr>
          <t>יניב שפירא:</t>
        </r>
        <r>
          <rPr>
            <sz val="9"/>
            <color indexed="81"/>
            <rFont val="Tahoma"/>
            <charset val="177"/>
          </rPr>
          <t xml:space="preserve">
a , b, c</t>
        </r>
      </text>
    </comment>
    <comment ref="M9" authorId="0" shapeId="0" xr:uid="{8C594D42-BC09-4B47-86E2-CEDC9C09BDF7}">
      <text>
        <r>
          <rPr>
            <b/>
            <sz val="9"/>
            <color indexed="81"/>
            <rFont val="Tahoma"/>
            <family val="2"/>
          </rPr>
          <t>יניב שפירא:</t>
        </r>
        <r>
          <rPr>
            <sz val="9"/>
            <color indexed="81"/>
            <rFont val="Tahoma"/>
            <family val="2"/>
          </rPr>
          <t xml:space="preserve">
1 = עברית
2 = ערבית
3 = רוסית</t>
        </r>
      </text>
    </comment>
    <comment ref="X10" authorId="0" shapeId="0" xr:uid="{89360187-9931-41CB-B2B4-E390BDFA685F}">
      <text>
        <r>
          <rPr>
            <b/>
            <sz val="9"/>
            <color indexed="81"/>
            <rFont val="Tahoma"/>
            <charset val="177"/>
          </rPr>
          <t>יניב שפירא:</t>
        </r>
        <r>
          <rPr>
            <sz val="9"/>
            <color indexed="81"/>
            <rFont val="Tahoma"/>
            <charset val="177"/>
          </rPr>
          <t xml:space="preserve">
1 = 20-25
2 = 25-29
3 = 30-34
4 = 35-39
5 = 40-44
6 = 45-49
7 = 50-54
8 = 55-64
9 = 65+</t>
        </r>
      </text>
    </comment>
    <comment ref="AC10" authorId="0" shapeId="0" xr:uid="{EC521A8F-386F-47A0-BBD6-E3D7DFC5B7DA}">
      <text>
        <r>
          <rPr>
            <b/>
            <sz val="9"/>
            <color indexed="81"/>
            <rFont val="Tahoma"/>
            <charset val="177"/>
          </rPr>
          <t>יניב שפירא:</t>
        </r>
        <r>
          <rPr>
            <sz val="9"/>
            <color indexed="81"/>
            <rFont val="Tahoma"/>
            <charset val="177"/>
          </rPr>
          <t xml:space="preserve">
1 = 20-24
2 = 25-29
3 = 30-34
4 = 35-39
5 = 40-44
6 = 45-49
7 = 50-54
8 = 55-64
9 = 65+</t>
        </r>
      </text>
    </comment>
    <comment ref="AI10" authorId="0" shapeId="0" xr:uid="{F66BBC09-5F8E-4B02-9299-E06B5676AC39}">
      <text>
        <r>
          <rPr>
            <b/>
            <sz val="9"/>
            <color indexed="81"/>
            <rFont val="Tahoma"/>
            <charset val="177"/>
          </rPr>
          <t>יניב שפירא:</t>
        </r>
        <r>
          <rPr>
            <sz val="9"/>
            <color indexed="81"/>
            <rFont val="Tahoma"/>
            <charset val="177"/>
          </rPr>
          <t xml:space="preserve">
1 = 18-24
2 = 25-29
3 = 30-34
4 = 35-39
5 = 40-44
6 = 45-49
7 = 50-54
8 = 55-64
9 = 65+</t>
        </r>
      </text>
    </comment>
    <comment ref="E12" authorId="0" shapeId="0" xr:uid="{1A44DC3A-6F0B-470F-BE02-B5E56990A823}">
      <text>
        <r>
          <rPr>
            <b/>
            <sz val="9"/>
            <color indexed="81"/>
            <rFont val="Tahoma"/>
            <family val="2"/>
          </rPr>
          <t>יניב שפירא:</t>
        </r>
        <r>
          <rPr>
            <sz val="9"/>
            <color indexed="81"/>
            <rFont val="Tahoma"/>
            <family val="2"/>
          </rPr>
          <t xml:space="preserve">
1 = 18-22
2 = 23-29
3 = 30-39
4 = 40-49
5 = 50-59
6 = 60-69
7 = 70-79
8 = 80 ומעלה</t>
        </r>
      </text>
    </comment>
    <comment ref="E13" authorId="0" shapeId="0" xr:uid="{CAB905A7-CF5F-4695-8A5A-A3C8C08E3997}">
      <text>
        <r>
          <rPr>
            <b/>
            <sz val="9"/>
            <color indexed="81"/>
            <rFont val="Tahoma"/>
            <family val="2"/>
          </rPr>
          <t>יניב שפירא:</t>
        </r>
        <r>
          <rPr>
            <sz val="9"/>
            <color indexed="81"/>
            <rFont val="Tahoma"/>
            <family val="2"/>
          </rPr>
          <t xml:space="preserve">
1 = male
2 = female</t>
        </r>
      </text>
    </comment>
    <comment ref="N13" authorId="0" shapeId="0" xr:uid="{1D4FBBA8-1C9E-43B7-9D5D-375E6B51801D}">
      <text>
        <r>
          <rPr>
            <b/>
            <sz val="9"/>
            <color indexed="81"/>
            <rFont val="Tahoma"/>
            <family val="2"/>
          </rPr>
          <t>יניב שפירא:</t>
        </r>
        <r>
          <rPr>
            <sz val="9"/>
            <color indexed="81"/>
            <rFont val="Tahoma"/>
            <family val="2"/>
          </rPr>
          <t xml:space="preserve">
1 = אישה
2 = גבר</t>
        </r>
      </text>
    </comment>
    <comment ref="O13" authorId="0" shapeId="0" xr:uid="{C63AE633-BB8D-47A2-972B-39DF09FADCF9}">
      <text>
        <r>
          <rPr>
            <b/>
            <sz val="9"/>
            <color indexed="81"/>
            <rFont val="Tahoma"/>
            <family val="2"/>
          </rPr>
          <t>יניב שפירא:</t>
        </r>
        <r>
          <rPr>
            <sz val="9"/>
            <color indexed="81"/>
            <rFont val="Tahoma"/>
            <family val="2"/>
          </rPr>
          <t xml:space="preserve">
1 = זכר
2 = נקבה</t>
        </r>
      </text>
    </comment>
    <comment ref="P13" authorId="0" shapeId="0" xr:uid="{56B31E09-F5CD-4A4D-8C42-DAAA49987171}">
      <text>
        <r>
          <rPr>
            <b/>
            <sz val="9"/>
            <color indexed="81"/>
            <rFont val="Tahoma"/>
            <family val="2"/>
          </rPr>
          <t>יניב שפירא:</t>
        </r>
        <r>
          <rPr>
            <sz val="9"/>
            <color indexed="81"/>
            <rFont val="Tahoma"/>
            <family val="2"/>
          </rPr>
          <t xml:space="preserve">
1 = אישה
2 = גבר</t>
        </r>
      </text>
    </comment>
    <comment ref="U13" authorId="0" shapeId="0" xr:uid="{9937028E-8B33-4B14-AD51-5C2342036208}">
      <text>
        <r>
          <rPr>
            <b/>
            <sz val="9"/>
            <color indexed="81"/>
            <rFont val="Tahoma"/>
            <charset val="177"/>
          </rPr>
          <t>יניב שפירא:</t>
        </r>
        <r>
          <rPr>
            <sz val="9"/>
            <color indexed="81"/>
            <rFont val="Tahoma"/>
            <charset val="177"/>
          </rPr>
          <t xml:space="preserve">
1 = גבר
2 = אישה</t>
        </r>
      </text>
    </comment>
    <comment ref="E14" authorId="0" shapeId="0" xr:uid="{B78FA745-7203-41F6-85C9-AF14F6375D45}">
      <text>
        <r>
          <rPr>
            <b/>
            <sz val="9"/>
            <color indexed="81"/>
            <rFont val="Tahoma"/>
            <family val="2"/>
          </rPr>
          <t>יניב שפירא:</t>
        </r>
        <r>
          <rPr>
            <sz val="9"/>
            <color indexed="81"/>
            <rFont val="Tahoma"/>
            <family val="2"/>
          </rPr>
          <t xml:space="preserve">
1 = עממית או פחות
2 = תיכונית חלקית
3 = תיכונית מלאה - ללא בגרות
4 = תיכונית מלאה - עם בגרות
5 = על תיכונית לא אקדמית
6 = תואר אקדמאי חלקי
7 = תואר ראשון
8 = תואר שני ומעלה</t>
        </r>
      </text>
    </comment>
    <comment ref="T15" authorId="0" shapeId="0" xr:uid="{A460F9AB-A7CF-4CF4-965B-DFED6A320FD7}">
      <text>
        <r>
          <rPr>
            <b/>
            <sz val="9"/>
            <color indexed="81"/>
            <rFont val="Tahoma"/>
            <family val="2"/>
          </rPr>
          <t>יניב שפירא:</t>
        </r>
        <r>
          <rPr>
            <sz val="9"/>
            <color indexed="81"/>
            <rFont val="Tahoma"/>
            <family val="2"/>
          </rPr>
          <t xml:space="preserve">
1 = לא למד בכלל
2 = עד 4 שנים
3 = 5-8
4 = 9-10
5 = 11
6 = 12
7 = 13 + (בלי תואר)
8 = בעל תואר</t>
        </r>
      </text>
    </comment>
    <comment ref="E16" authorId="0" shapeId="0" xr:uid="{5677A756-DB6D-465F-8248-D4A32287DF1F}">
      <text>
        <r>
          <rPr>
            <b/>
            <sz val="9"/>
            <color indexed="81"/>
            <rFont val="Tahoma"/>
            <family val="2"/>
          </rPr>
          <t>יניב שפירא:</t>
        </r>
        <r>
          <rPr>
            <sz val="9"/>
            <color indexed="81"/>
            <rFont val="Tahoma"/>
            <family val="2"/>
          </rPr>
          <t xml:space="preserve">
1 = yes
2 = no</t>
        </r>
      </text>
    </comment>
    <comment ref="A17" authorId="0" shapeId="0" xr:uid="{27417990-FDD7-4277-980D-B59C353C693A}">
      <text>
        <r>
          <rPr>
            <b/>
            <sz val="9"/>
            <color indexed="81"/>
            <rFont val="Tahoma"/>
            <charset val="177"/>
          </rPr>
          <t>יניב שפירא:</t>
        </r>
        <r>
          <rPr>
            <sz val="9"/>
            <color indexed="81"/>
            <rFont val="Tahoma"/>
            <charset val="177"/>
          </rPr>
          <t xml:space="preserve">
שאלה פתוחה</t>
        </r>
      </text>
    </comment>
    <comment ref="J17" authorId="0" shapeId="0" xr:uid="{6B4E86E8-CC7D-48F7-9FCB-3E848AC21E48}">
      <text>
        <r>
          <rPr>
            <b/>
            <sz val="9"/>
            <color indexed="81"/>
            <rFont val="Tahoma"/>
            <family val="2"/>
          </rPr>
          <t>יניב שפירא:</t>
        </r>
        <r>
          <rPr>
            <sz val="9"/>
            <color indexed="81"/>
            <rFont val="Tahoma"/>
            <family val="2"/>
          </rPr>
          <t xml:space="preserve">
קידוד לתשובות תחת
</t>
        </r>
        <r>
          <rPr>
            <b/>
            <sz val="9"/>
            <color indexed="81"/>
            <rFont val="Tahoma"/>
            <family val="2"/>
          </rPr>
          <t>nv176</t>
        </r>
      </text>
    </comment>
    <comment ref="AG17" authorId="0" shapeId="0" xr:uid="{6EF0EAEA-FE5A-4D9C-8CBB-299B0A6C08E8}">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18" authorId="0" shapeId="0" xr:uid="{70DCCA11-9967-439F-906D-F7C596B3B03A}">
      <text>
        <r>
          <rPr>
            <b/>
            <sz val="9"/>
            <color indexed="81"/>
            <rFont val="Tahoma"/>
            <family val="2"/>
          </rPr>
          <t>יניב שפירא:</t>
        </r>
        <r>
          <rPr>
            <sz val="9"/>
            <color indexed="81"/>
            <rFont val="Tahoma"/>
            <family val="2"/>
          </rPr>
          <t xml:space="preserve">
יהודים בלבד</t>
        </r>
      </text>
    </comment>
    <comment ref="E18" authorId="0" shapeId="0" xr:uid="{F1831827-976C-47C9-B2F0-AC42AF993715}">
      <text>
        <r>
          <rPr>
            <b/>
            <sz val="9"/>
            <color indexed="81"/>
            <rFont val="Tahoma"/>
            <family val="2"/>
          </rPr>
          <t>יניב שפירא:</t>
        </r>
        <r>
          <rPr>
            <sz val="9"/>
            <color indexed="81"/>
            <rFont val="Tahoma"/>
            <family val="2"/>
          </rPr>
          <t xml:space="preserve">
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r>
      </text>
    </comment>
    <comment ref="G18" authorId="0" shapeId="0" xr:uid="{38E8B46A-66F6-49AD-B4AC-7EBE0B5A1216}">
      <text>
        <r>
          <rPr>
            <b/>
            <sz val="9"/>
            <color indexed="81"/>
            <rFont val="Tahoma"/>
            <family val="2"/>
          </rPr>
          <t>יניב שפירא:</t>
        </r>
        <r>
          <rPr>
            <sz val="9"/>
            <color indexed="81"/>
            <rFont val="Tahoma"/>
            <family val="2"/>
          </rPr>
          <t xml:space="preserve">
1 = ישראל
2 = אסיה או אפריקה
3 = אירופה או אמריקה
4 = בהר"מ/חבר העמים</t>
        </r>
      </text>
    </comment>
    <comment ref="M18" authorId="0" shapeId="0" xr:uid="{B5C4D1AC-0853-4348-8C09-76BCC447B3E5}">
      <text>
        <r>
          <rPr>
            <b/>
            <sz val="9"/>
            <color indexed="81"/>
            <rFont val="Tahoma"/>
            <family val="2"/>
          </rPr>
          <t>יניב שפירא:</t>
        </r>
        <r>
          <rPr>
            <sz val="9"/>
            <color indexed="81"/>
            <rFont val="Tahoma"/>
            <family val="2"/>
          </rPr>
          <t xml:space="preserve">
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r>
      </text>
    </comment>
    <comment ref="U18" authorId="0" shapeId="0" xr:uid="{B692E34B-63DA-47F4-98EA-9B2F55B3DCCD}">
      <text>
        <r>
          <rPr>
            <b/>
            <sz val="9"/>
            <color indexed="81"/>
            <rFont val="Tahoma"/>
            <charset val="177"/>
          </rPr>
          <t>יניב שפירא:</t>
        </r>
        <r>
          <rPr>
            <sz val="9"/>
            <color indexed="81"/>
            <rFont val="Tahoma"/>
            <charset val="177"/>
          </rPr>
          <t xml:space="preserve">
1 = ישראל-ישראל
2 = ישראל- אסיה/אפריקה
3 = ישראל- אירופה/אמריקה
4 = אסיה/אפריקה-אסיה/אפריקה
5 = אירופה/אמריקה- אירופה/אמריקה
6 = כל צירוף אחר</t>
        </r>
      </text>
    </comment>
    <comment ref="AG18" authorId="0" shapeId="0" xr:uid="{41A1AC4D-6D40-49CD-9209-12F889986931}">
      <text>
        <r>
          <rPr>
            <b/>
            <sz val="9"/>
            <color indexed="81"/>
            <rFont val="Tahoma"/>
            <charset val="177"/>
          </rPr>
          <t>יניב שפירא:</t>
        </r>
        <r>
          <rPr>
            <sz val="9"/>
            <color indexed="81"/>
            <rFont val="Tahoma"/>
            <charset val="177"/>
          </rPr>
          <t xml:space="preserve">
1 = אסיה וצפון אפריקה
2 = אירופה ואנגלו-סכסיות
3 = ישראל והאב מאסיה צפון אפריקה
4 = ישראל והאב אירופה או האנגלו-סכסיות
5 = ישראל וגם האב ישראל</t>
        </r>
      </text>
    </comment>
    <comment ref="A19" authorId="0" shapeId="0" xr:uid="{58F50A0F-615A-4D12-B5FC-6752EC7909B3}">
      <text>
        <r>
          <rPr>
            <b/>
            <sz val="9"/>
            <color indexed="81"/>
            <rFont val="Tahoma"/>
            <family val="2"/>
          </rPr>
          <t>יניב שפירא:</t>
        </r>
        <r>
          <rPr>
            <sz val="9"/>
            <color indexed="81"/>
            <rFont val="Tahoma"/>
            <family val="2"/>
          </rPr>
          <t xml:space="preserve">
יהודים בלבד</t>
        </r>
      </text>
    </comment>
    <comment ref="R19" authorId="0" shapeId="0" xr:uid="{93535A76-8848-4AD0-9AE1-AE9105589293}">
      <text>
        <r>
          <rPr>
            <b/>
            <sz val="9"/>
            <color indexed="81"/>
            <rFont val="Tahoma"/>
            <family val="2"/>
          </rPr>
          <t>יניב שפירא:</t>
        </r>
        <r>
          <rPr>
            <sz val="9"/>
            <color indexed="81"/>
            <rFont val="Tahoma"/>
            <family val="2"/>
          </rPr>
          <t xml:space="preserve">
1 = יליד הארץ
2 = לפני 1948
3 = 1948-1954
4 = 1955-1960
5 = 61-66
6 = 67-72
7 = 73-77
8 = 78-83
9 = 1984 ומעלה</t>
        </r>
      </text>
    </comment>
    <comment ref="U19" authorId="0" shapeId="0" xr:uid="{CCF2D386-B62D-4C3F-9DEA-8805A0F58746}">
      <text>
        <r>
          <rPr>
            <b/>
            <sz val="9"/>
            <color indexed="81"/>
            <rFont val="Tahoma"/>
            <charset val="177"/>
          </rPr>
          <t>יניב שפירא:</t>
        </r>
        <r>
          <rPr>
            <sz val="9"/>
            <color indexed="81"/>
            <rFont val="Tahoma"/>
            <charset val="177"/>
          </rPr>
          <t xml:space="preserve">
1 = יליד הארץ
2 = לפני 1948
3 = 1948-1954
4 = 1955-1960
5 = 61-66
6 = 67-72
7 = 73-77
8 = 78-79
9 = 1980 ואלך</t>
        </r>
      </text>
    </comment>
    <comment ref="A20" authorId="0" shapeId="0" xr:uid="{E869B75E-3A1B-4781-A8D9-FBBD9E2F8895}">
      <text>
        <r>
          <rPr>
            <b/>
            <sz val="9"/>
            <color indexed="81"/>
            <rFont val="Tahoma"/>
            <family val="2"/>
          </rPr>
          <t>יניב שפירא:</t>
        </r>
        <r>
          <rPr>
            <sz val="9"/>
            <color indexed="81"/>
            <rFont val="Tahoma"/>
            <family val="2"/>
          </rPr>
          <t xml:space="preserve">
יהודים בלבד</t>
        </r>
      </text>
    </comment>
    <comment ref="C20" authorId="1" shapeId="0" xr:uid="{97E9272A-FE87-401A-B624-1C5263355164}">
      <text>
        <r>
          <rPr>
            <b/>
            <sz val="9"/>
            <color indexed="81"/>
            <rFont val="Tahoma"/>
            <family val="2"/>
          </rPr>
          <t>adi:</t>
        </r>
        <r>
          <rPr>
            <sz val="9"/>
            <color indexed="81"/>
            <rFont val="Tahoma"/>
            <family val="2"/>
          </rPr>
          <t xml:space="preserve">
1 = אשכנזי
2 = ספרדי
3 = מזרחי
4 = אחר (פרט):_____</t>
        </r>
      </text>
    </comment>
    <comment ref="E20" authorId="0" shapeId="0" xr:uid="{8F6156C1-5EFD-4ADE-89A3-B849B07D11A8}">
      <text>
        <r>
          <rPr>
            <b/>
            <sz val="9"/>
            <color indexed="81"/>
            <rFont val="Tahoma"/>
            <family val="2"/>
          </rPr>
          <t>יניב שפירא:</t>
        </r>
        <r>
          <rPr>
            <sz val="9"/>
            <color indexed="81"/>
            <rFont val="Tahoma"/>
            <family val="2"/>
          </rPr>
          <t xml:space="preserve">
1 = אשכנזי
2 = ספרדי
3 = מזרחי
4 = אחר
5 = מעורב
6 = לא זה ולא זה, לא מגדיר את עצמי לפי מוצא עדתי</t>
        </r>
      </text>
    </comment>
    <comment ref="O20" authorId="0" shapeId="0" xr:uid="{F625CBF7-2F0A-42CF-8204-CED969CAA35C}">
      <text>
        <r>
          <rPr>
            <b/>
            <sz val="9"/>
            <color indexed="81"/>
            <rFont val="Tahoma"/>
            <family val="2"/>
          </rPr>
          <t>יניב שפירא:</t>
        </r>
        <r>
          <rPr>
            <sz val="9"/>
            <color indexed="81"/>
            <rFont val="Tahoma"/>
            <family val="2"/>
          </rPr>
          <t xml:space="preserve">
1 = אשכנזי
2 = ספרדי
3 = לא זה ולא זה</t>
        </r>
      </text>
    </comment>
    <comment ref="P20" authorId="0" shapeId="0" xr:uid="{8E5D75EA-39F0-4E47-835B-FA67C81934AF}">
      <text>
        <r>
          <rPr>
            <b/>
            <sz val="9"/>
            <color indexed="81"/>
            <rFont val="Tahoma"/>
            <family val="2"/>
          </rPr>
          <t>יניב שפירא:</t>
        </r>
        <r>
          <rPr>
            <sz val="9"/>
            <color indexed="81"/>
            <rFont val="Tahoma"/>
            <family val="2"/>
          </rPr>
          <t xml:space="preserve">
1 = אשכנזי
2 = ספרדי
3 = לא זה ולא זה
4 = שניהם</t>
        </r>
      </text>
    </comment>
    <comment ref="Q20" authorId="0" shapeId="0" xr:uid="{FA908CA1-AD7C-4AF3-A436-81A563D943E1}">
      <text>
        <r>
          <rPr>
            <b/>
            <sz val="9"/>
            <color indexed="81"/>
            <rFont val="Tahoma"/>
            <charset val="177"/>
          </rPr>
          <t>יניב שפירא:</t>
        </r>
        <r>
          <rPr>
            <sz val="9"/>
            <color indexed="81"/>
            <rFont val="Tahoma"/>
            <charset val="177"/>
          </rPr>
          <t xml:space="preserve">
1 = אשכנזי
2 = ספרדי
3 = לא זה ולא זה</t>
        </r>
      </text>
    </comment>
    <comment ref="R20" authorId="0" shapeId="0" xr:uid="{75678FB8-6E78-4BEE-A5F4-F686AFEBE15F}">
      <text>
        <r>
          <rPr>
            <b/>
            <sz val="9"/>
            <color indexed="81"/>
            <rFont val="Tahoma"/>
            <family val="2"/>
          </rPr>
          <t>יניב שפירא:</t>
        </r>
        <r>
          <rPr>
            <sz val="9"/>
            <color indexed="81"/>
            <rFont val="Tahoma"/>
            <family val="2"/>
          </rPr>
          <t xml:space="preserve">
1 = אשכנזי
2 = ספרדי
3 = לא זה ולא זה
4 = שניהם</t>
        </r>
      </text>
    </comment>
    <comment ref="T20" authorId="0" shapeId="0" xr:uid="{7A8A3180-CD88-4C42-A0FD-6F3092EA9B06}">
      <text>
        <r>
          <rPr>
            <b/>
            <sz val="9"/>
            <color indexed="81"/>
            <rFont val="Tahoma"/>
            <family val="2"/>
          </rPr>
          <t>יניב שפירא:</t>
        </r>
        <r>
          <rPr>
            <sz val="9"/>
            <color indexed="81"/>
            <rFont val="Tahoma"/>
            <family val="2"/>
          </rPr>
          <t xml:space="preserve">
1 = אשכנזי
2 = ספרדי
3 = לא זה ולא זה</t>
        </r>
      </text>
    </comment>
    <comment ref="M21" authorId="0" shapeId="0" xr:uid="{F8D26E99-F312-4B6B-AD56-E06A9164AD9F}">
      <text>
        <r>
          <rPr>
            <b/>
            <sz val="9"/>
            <color indexed="81"/>
            <rFont val="Tahoma"/>
            <family val="2"/>
          </rPr>
          <t>יניב שפירא:</t>
        </r>
        <r>
          <rPr>
            <sz val="9"/>
            <color indexed="81"/>
            <rFont val="Tahoma"/>
            <family val="2"/>
          </rPr>
          <t xml:space="preserve">
1 = כן
2 = לא</t>
        </r>
      </text>
    </comment>
    <comment ref="C22" authorId="1" shapeId="0" xr:uid="{17BAA417-A06E-4A2F-9FE1-F51DF3B52124}">
      <text>
        <r>
          <rPr>
            <b/>
            <sz val="9"/>
            <color indexed="81"/>
            <rFont val="Tahoma"/>
            <family val="2"/>
          </rPr>
          <t>adi:</t>
        </r>
        <r>
          <rPr>
            <sz val="9"/>
            <color indexed="81"/>
            <rFont val="Tahoma"/>
            <family val="2"/>
          </rPr>
          <t xml:space="preserve">
1 = ישראלי
2 = יהודי (לערבים: פלסטיני)
3 = העדה שלי (לערבים: הדת שלי)
4 = החילוניות/דתיות שלי</t>
        </r>
      </text>
    </comment>
    <comment ref="J22" authorId="0" shapeId="0" xr:uid="{DCC0D34D-C31B-4E2A-88F7-0661C8286368}">
      <text>
        <r>
          <rPr>
            <b/>
            <sz val="9"/>
            <color indexed="81"/>
            <rFont val="Tahoma"/>
            <family val="2"/>
          </rPr>
          <t>יניב שפירא:</t>
        </r>
        <r>
          <rPr>
            <sz val="9"/>
            <color indexed="81"/>
            <rFont val="Tahoma"/>
            <family val="2"/>
          </rPr>
          <t xml:space="preserve">
רק יהודים
1 = ישראלי
2 = יהודי
3 = העדה שלי
4 = החילוניות/דתיות שלי</t>
        </r>
      </text>
    </comment>
    <comment ref="M22" authorId="0" shapeId="0" xr:uid="{03610B0E-3052-437B-907D-3AF9AF35D510}">
      <text>
        <r>
          <rPr>
            <b/>
            <sz val="9"/>
            <color indexed="81"/>
            <rFont val="Tahoma"/>
            <family val="2"/>
          </rPr>
          <t>יניב שפירא:</t>
        </r>
        <r>
          <rPr>
            <sz val="9"/>
            <color indexed="81"/>
            <rFont val="Tahoma"/>
            <family val="2"/>
          </rPr>
          <t xml:space="preserve">
1 = ישראלי (ערבי)
2 = פלסטיני
3 = ערבי
4 = הדת שלי (מוסלמי/נוצרי/דרוזי)
5 = ישראלי (יהודי)
6 = יהודי
7 = העדה שלי
8 = החילוניות/דתיות שלי</t>
        </r>
      </text>
    </comment>
    <comment ref="N22" authorId="0" shapeId="0" xr:uid="{9798E079-92A4-499D-8036-426C8AD1373E}">
      <text>
        <r>
          <rPr>
            <b/>
            <sz val="9"/>
            <color indexed="81"/>
            <rFont val="Tahoma"/>
            <family val="2"/>
          </rPr>
          <t>יניב שפירא:</t>
        </r>
        <r>
          <rPr>
            <sz val="9"/>
            <color indexed="81"/>
            <rFont val="Tahoma"/>
            <family val="2"/>
          </rPr>
          <t xml:space="preserve">
1 = ישראלי
2 = יהודי
3 = העדה שלי
4 = חילוניות/דתיות שלי</t>
        </r>
      </text>
    </comment>
    <comment ref="A26" authorId="0" shapeId="0" xr:uid="{7368C4FF-333F-4B57-820C-368C944DA5AC}">
      <text>
        <r>
          <rPr>
            <b/>
            <sz val="9"/>
            <color indexed="81"/>
            <rFont val="Tahoma"/>
            <family val="2"/>
          </rPr>
          <t>יניב שפירא:</t>
        </r>
        <r>
          <rPr>
            <sz val="9"/>
            <color indexed="81"/>
            <rFont val="Tahoma"/>
            <family val="2"/>
          </rPr>
          <t xml:space="preserve">
יהודים בלבד</t>
        </r>
      </text>
    </comment>
    <comment ref="E26" authorId="0" shapeId="0" xr:uid="{2273BC38-3AF7-4699-9B4E-7539B5BA2244}">
      <text>
        <r>
          <rPr>
            <b/>
            <sz val="9"/>
            <color indexed="81"/>
            <rFont val="Tahoma"/>
            <family val="2"/>
          </rPr>
          <t>יניב שפירא:</t>
        </r>
        <r>
          <rPr>
            <sz val="9"/>
            <color indexed="81"/>
            <rFont val="Tahoma"/>
            <family val="2"/>
          </rPr>
          <t xml:space="preserve">
1 = לא למד
2 = למד במסגרת דתית</t>
        </r>
      </text>
    </comment>
    <comment ref="A27" authorId="0" shapeId="0" xr:uid="{838F7A77-0D76-4752-A487-44A988E2C756}">
      <text>
        <r>
          <rPr>
            <b/>
            <sz val="9"/>
            <color indexed="81"/>
            <rFont val="Tahoma"/>
            <family val="2"/>
          </rPr>
          <t>יניב שפירא:</t>
        </r>
        <r>
          <rPr>
            <sz val="9"/>
            <color indexed="81"/>
            <rFont val="Tahoma"/>
            <family val="2"/>
          </rPr>
          <t xml:space="preserve">
ב2022 הוצאה עמדה על 16,000 ₪ 
ב2019 הוצאה עמדה על 15,000 ₪ 
ב2015 ההוצאה עמדה על 14,000 ₪ </t>
        </r>
      </text>
    </comment>
    <comment ref="E27" authorId="0" shapeId="0" xr:uid="{F6741711-D713-4826-8CE0-A42F6212BBAE}">
      <text>
        <r>
          <rPr>
            <b/>
            <sz val="9"/>
            <color indexed="81"/>
            <rFont val="Tahoma"/>
            <family val="2"/>
          </rPr>
          <t>יניב שפירא:</t>
        </r>
        <r>
          <rPr>
            <sz val="9"/>
            <color indexed="81"/>
            <rFont val="Tahoma"/>
            <family val="2"/>
          </rPr>
          <t xml:space="preserve">
1 = הרבה מתחת לממוצע
2 = מעט מתחת לממוצע
3 = כמו הממוצע
4 = מעט מעל הממוצע
5 = הרבה מעל הממוצע</t>
        </r>
      </text>
    </comment>
    <comment ref="J27" authorId="0" shapeId="0" xr:uid="{D91E0D53-18ED-4111-AAD8-87A4466DF405}">
      <text>
        <r>
          <rPr>
            <b/>
            <sz val="9"/>
            <color indexed="81"/>
            <rFont val="Tahoma"/>
            <family val="2"/>
          </rPr>
          <t>יניב שפירא:</t>
        </r>
        <r>
          <rPr>
            <sz val="9"/>
            <color indexed="81"/>
            <rFont val="Tahoma"/>
            <family val="2"/>
          </rPr>
          <t xml:space="preserve">
1 = הרבה מעל הממוצע
2 = מעט מעל הממוצע
3 = כמו הממוצע
4 = מעט מתחת לממוצע
5 = הרבה מתחת לממוצע</t>
        </r>
      </text>
    </comment>
    <comment ref="T27" authorId="0" shapeId="0" xr:uid="{64B67BE4-5C50-4576-879B-A15798F9CB38}">
      <text>
        <r>
          <rPr>
            <b/>
            <sz val="9"/>
            <color indexed="81"/>
            <rFont val="Tahoma"/>
            <family val="2"/>
          </rPr>
          <t>יניב שפירא:</t>
        </r>
        <r>
          <rPr>
            <sz val="9"/>
            <color indexed="81"/>
            <rFont val="Tahoma"/>
            <family val="2"/>
          </rPr>
          <t xml:space="preserve">
1 = הרבה מתחת לממוצע
2 = מעט מתחת לממוצע
3 = כמו הממוצע
4 = מעט מעל הממוצע
5 = הרבה מעל הממוצע</t>
        </r>
      </text>
    </comment>
    <comment ref="U28" authorId="0" shapeId="0" xr:uid="{6BD40CD7-553E-4D67-8EFB-039C50E1485E}">
      <text>
        <r>
          <rPr>
            <b/>
            <sz val="9"/>
            <color indexed="81"/>
            <rFont val="Tahoma"/>
            <charset val="177"/>
          </rPr>
          <t>יניב שפירא:</t>
        </r>
        <r>
          <rPr>
            <sz val="9"/>
            <color indexed="81"/>
            <rFont val="Tahoma"/>
            <charset val="177"/>
          </rPr>
          <t xml:space="preserve">
1 = עד 1,000
2 = 1,001-1,500
3 = 1,501-2,000
4 = 2,001-2,500
5 = 2,501-3,000
6 = 3,001-4,000
7 = 4,001-5,000
8 = 5,001-6,000
9 = 6,001-7,000
10 = 7,001 +</t>
        </r>
      </text>
    </comment>
    <comment ref="U29" authorId="0" shapeId="0" xr:uid="{0F1BB5DF-D09C-4B84-B82B-02B7C33AFF2A}">
      <text>
        <r>
          <rPr>
            <b/>
            <sz val="9"/>
            <color indexed="81"/>
            <rFont val="Tahoma"/>
            <charset val="177"/>
          </rPr>
          <t>יניב שפירא:</t>
        </r>
        <r>
          <rPr>
            <sz val="9"/>
            <color indexed="81"/>
            <rFont val="Tahoma"/>
            <charset val="177"/>
          </rPr>
          <t xml:space="preserve">
1 = חדר אחד
2 = שני חדרים
3 = שלושה חדרים
4 = ארבעה חדרים
5 = חמישה חדרים
6 = שישה חדרים
7 = שבעה חדרים
8 = שמונה חדרים
9 = תשעה חדשים ויותר</t>
        </r>
      </text>
    </comment>
    <comment ref="U30" authorId="0" shapeId="0" xr:uid="{422A99C0-BC4F-4CF2-A7B2-2484782BEC57}">
      <text>
        <r>
          <rPr>
            <b/>
            <sz val="9"/>
            <color indexed="81"/>
            <rFont val="Tahoma"/>
            <charset val="177"/>
          </rPr>
          <t>יניב שפירא:</t>
        </r>
        <r>
          <rPr>
            <sz val="9"/>
            <color indexed="81"/>
            <rFont val="Tahoma"/>
            <charset val="177"/>
          </rPr>
          <t xml:space="preserve">
1 = 1
2 = 2
3 = 3
4 = 4
5 = 5
6 = 6
7 = 7
8 = 8
9 = 9+</t>
        </r>
      </text>
    </comment>
    <comment ref="AG30" authorId="0" shapeId="0" xr:uid="{3DDB672A-A27E-4447-9D2B-A772086C30B7}">
      <text>
        <r>
          <rPr>
            <b/>
            <sz val="9"/>
            <color indexed="81"/>
            <rFont val="Tahoma"/>
            <charset val="177"/>
          </rPr>
          <t>יניב שפירא:</t>
        </r>
        <r>
          <rPr>
            <sz val="9"/>
            <color indexed="81"/>
            <rFont val="Tahoma"/>
            <charset val="177"/>
          </rPr>
          <t xml:space="preserve">
מס' הילדים שגרים בבית</t>
        </r>
      </text>
    </comment>
    <comment ref="T31" authorId="0" shapeId="0" xr:uid="{A89AEB99-F4B9-49D7-94A4-2FB950AA3BC9}">
      <text>
        <r>
          <rPr>
            <b/>
            <sz val="9"/>
            <color indexed="81"/>
            <rFont val="Tahoma"/>
            <family val="2"/>
          </rPr>
          <t>יניב שפירא:</t>
        </r>
        <r>
          <rPr>
            <sz val="9"/>
            <color indexed="81"/>
            <rFont val="Tahoma"/>
            <family val="2"/>
          </rPr>
          <t xml:space="preserve">
צפיפות
מדד אחד לחדרים\נפשות</t>
        </r>
      </text>
    </comment>
    <comment ref="AG31" authorId="0" shapeId="0" xr:uid="{4BC6F649-1795-4525-B1A2-DC28064B9D33}">
      <text>
        <r>
          <rPr>
            <b/>
            <sz val="9"/>
            <color indexed="81"/>
            <rFont val="Tahoma"/>
            <charset val="177"/>
          </rPr>
          <t>יניב שפירא:</t>
        </r>
        <r>
          <rPr>
            <sz val="9"/>
            <color indexed="81"/>
            <rFont val="Tahoma"/>
            <charset val="177"/>
          </rPr>
          <t xml:space="preserve">
1 = עד ולא כולל 1
2 = 1-1.99
2 = 2-2.99
3 = 3-3.99
4 = 4+</t>
        </r>
      </text>
    </comment>
    <comment ref="E32" authorId="0" shapeId="0" xr:uid="{2CE58DD4-CECE-49D9-8482-E9030B825801}">
      <text>
        <r>
          <rPr>
            <b/>
            <sz val="9"/>
            <color indexed="81"/>
            <rFont val="Tahoma"/>
            <family val="2"/>
          </rPr>
          <t>יניב שפירא:</t>
        </r>
        <r>
          <rPr>
            <sz val="9"/>
            <color indexed="81"/>
            <rFont val="Tahoma"/>
            <family val="2"/>
          </rPr>
          <t xml:space="preserve">
1 = יהודי
2 = מוסלמי
3 = נוצרי
4 = דרוזי
5 = אחר</t>
        </r>
      </text>
    </comment>
    <comment ref="L32" authorId="0" shapeId="0" xr:uid="{858DA3F7-329D-4D43-879B-13F98B95C033}">
      <text>
        <r>
          <rPr>
            <b/>
            <sz val="9"/>
            <color indexed="81"/>
            <rFont val="Tahoma"/>
            <charset val="177"/>
          </rPr>
          <t>יניב שפירא:</t>
        </r>
        <r>
          <rPr>
            <sz val="9"/>
            <color indexed="81"/>
            <rFont val="Tahoma"/>
            <charset val="177"/>
          </rPr>
          <t xml:space="preserve">
לא ליהודים
1 = מוסלמי
2 = נוצרי
3 = דרוזי</t>
        </r>
      </text>
    </comment>
    <comment ref="M32" authorId="0" shapeId="0" xr:uid="{891395EF-EFE0-4A7C-BF5D-BB7D08BB08F6}">
      <text>
        <r>
          <rPr>
            <b/>
            <sz val="9"/>
            <color indexed="81"/>
            <rFont val="Tahoma"/>
            <family val="2"/>
          </rPr>
          <t>יניב שפירא:</t>
        </r>
        <r>
          <rPr>
            <sz val="9"/>
            <color indexed="81"/>
            <rFont val="Tahoma"/>
            <family val="2"/>
          </rPr>
          <t xml:space="preserve">
5 = מוסלמי
6 = נוצרי
7 = דרוזי</t>
        </r>
      </text>
    </comment>
    <comment ref="E33" authorId="0" shapeId="0" xr:uid="{C05976AE-7988-480E-91DF-8B950BA17633}">
      <text>
        <r>
          <rPr>
            <b/>
            <sz val="9"/>
            <color indexed="81"/>
            <rFont val="Tahoma"/>
            <family val="2"/>
          </rPr>
          <t>יניב שפירא:</t>
        </r>
        <r>
          <rPr>
            <sz val="9"/>
            <color indexed="81"/>
            <rFont val="Tahoma"/>
            <family val="2"/>
          </rPr>
          <t xml:space="preserve">
1 = דתי מאד, חרדי
2 = דתי
3 = מסורתי דתי
4 = מסורתי לא כ"כ דתי
5 = לא דתי, חילוני</t>
        </r>
      </text>
    </comment>
    <comment ref="I33" authorId="0" shapeId="0" xr:uid="{652CAC45-9029-468B-ADA5-E331B25CC102}">
      <text>
        <r>
          <rPr>
            <b/>
            <sz val="9"/>
            <color indexed="81"/>
            <rFont val="Tahoma"/>
            <family val="2"/>
          </rPr>
          <t>יניב שפירא:</t>
        </r>
        <r>
          <rPr>
            <sz val="9"/>
            <color indexed="81"/>
            <rFont val="Tahoma"/>
            <family val="2"/>
          </rPr>
          <t xml:space="preserve">
1 = חילוני
2 = מסורתי
3 = דתי
4 = חרדי</t>
        </r>
      </text>
    </comment>
    <comment ref="G34" authorId="0" shapeId="0" xr:uid="{695673B3-60DD-4D01-B0AB-53F8A60EC48D}">
      <text>
        <r>
          <rPr>
            <b/>
            <sz val="9"/>
            <color indexed="81"/>
            <rFont val="Tahoma"/>
            <family val="2"/>
          </rPr>
          <t>יניב שפירא:</t>
        </r>
        <r>
          <rPr>
            <sz val="9"/>
            <color indexed="81"/>
            <rFont val="Tahoma"/>
            <family val="2"/>
          </rPr>
          <t xml:space="preserve">
1 = נשוי
2 = חי עם בן\בת זוג קבוע\ה
3 = גרוש
4 = פרוד 
5 = אלמן
6 = רווק, מעולם לא נישא</t>
        </r>
      </text>
    </comment>
    <comment ref="P34" authorId="0" shapeId="0" xr:uid="{2594E82A-E66D-4E1F-B9A8-8C3998B21995}">
      <text>
        <r>
          <rPr>
            <b/>
            <sz val="9"/>
            <color indexed="81"/>
            <rFont val="Tahoma"/>
            <family val="2"/>
          </rPr>
          <t>יניב שפירא:</t>
        </r>
        <r>
          <rPr>
            <sz val="9"/>
            <color indexed="81"/>
            <rFont val="Tahoma"/>
            <family val="2"/>
          </rPr>
          <t xml:space="preserve">
1 = רווק
2 = נשוי
3 = גרוש
4 = אלמן</t>
        </r>
      </text>
    </comment>
    <comment ref="U34" authorId="0" shapeId="0" xr:uid="{EAE2B156-8511-4EAE-8DEA-3D840C071C80}">
      <text>
        <r>
          <rPr>
            <b/>
            <sz val="9"/>
            <color indexed="81"/>
            <rFont val="Tahoma"/>
            <charset val="177"/>
          </rPr>
          <t>יניב שפירא:</t>
        </r>
        <r>
          <rPr>
            <sz val="9"/>
            <color indexed="81"/>
            <rFont val="Tahoma"/>
            <charset val="177"/>
          </rPr>
          <t xml:space="preserve">
1 = רווק
2 = נשוי בלי ילדים
3 = נשוי עם ילד אחד
4 = נשוי עם שני ילדים
5 = נשוי עם שלושה או יותר ילדים
6 = גרוש בלי ילדים
7 = גרוש עם ילדים
8 = אלמן בלי ילדים
9 = אלמן עם ילדים</t>
        </r>
      </text>
    </comment>
    <comment ref="AE34" authorId="0" shapeId="0" xr:uid="{F3E1BEC0-B9E7-41F1-909E-94ACFD3BFEFD}">
      <text>
        <r>
          <rPr>
            <b/>
            <sz val="9"/>
            <color indexed="81"/>
            <rFont val="Tahoma"/>
            <family val="2"/>
          </rPr>
          <t>יניב שפירא:</t>
        </r>
        <r>
          <rPr>
            <sz val="9"/>
            <color indexed="81"/>
            <rFont val="Tahoma"/>
            <family val="2"/>
          </rPr>
          <t xml:space="preserve">
1 = רווק
2 = אלמן/גרוש ללא
3 = נשוי ללא
4 = אלמן/גרוש + 1/2
5 = אלמן/גרוש + 3
6 = אלמן/גרוש + 4
7 = נשוי + 1/2
8 = נשוי + 3
9 = נשוי + 4</t>
        </r>
      </text>
    </comment>
    <comment ref="AG34" authorId="0" shapeId="0" xr:uid="{0B053FEC-CA48-4226-8E49-428A816FC1CC}">
      <text>
        <r>
          <rPr>
            <b/>
            <sz val="9"/>
            <color indexed="81"/>
            <rFont val="Tahoma"/>
            <charset val="177"/>
          </rPr>
          <t>יניב שפירא:</t>
        </r>
        <r>
          <rPr>
            <sz val="9"/>
            <color indexed="81"/>
            <rFont val="Tahoma"/>
            <charset val="177"/>
          </rPr>
          <t xml:space="preserve">
1 = רווק/אלמן/גרוש
2 = נשוי</t>
        </r>
      </text>
    </comment>
    <comment ref="AI34" authorId="0" shapeId="0" xr:uid="{9EDC1832-55DB-4B25-BDC6-0FBFA9A82FA6}">
      <text>
        <r>
          <rPr>
            <b/>
            <sz val="9"/>
            <color indexed="81"/>
            <rFont val="Tahoma"/>
            <charset val="177"/>
          </rPr>
          <t>יניב שפירא:</t>
        </r>
        <r>
          <rPr>
            <sz val="9"/>
            <color indexed="81"/>
            <rFont val="Tahoma"/>
            <charset val="177"/>
          </rPr>
          <t xml:space="preserve">
1 = רווק
2 = נשוי בלי ילדים
3 = נשוי עם ילדים
4 = אלמן/גרוש בלי ילדים
5 = אלמן/גרוש עם ילדים</t>
        </r>
      </text>
    </comment>
    <comment ref="G35" authorId="0" shapeId="0" xr:uid="{7CF45AC0-76C6-4FE2-B6D5-EDD4F526B8F1}">
      <text>
        <r>
          <rPr>
            <b/>
            <sz val="9"/>
            <color indexed="81"/>
            <rFont val="Tahoma"/>
            <family val="2"/>
          </rPr>
          <t>יניב שפירא:</t>
        </r>
        <r>
          <rPr>
            <sz val="9"/>
            <color indexed="81"/>
            <rFont val="Tahoma"/>
            <family val="2"/>
          </rPr>
          <t xml:space="preserve">
1 = אתה כלל לא שומר על המסורת
2 = אתה שומר במקצת על המסורת
3 = אתה שומר במידה רבה על המסורת
4 = אתה שומר על המסורת על כל דקדוקיה</t>
        </r>
      </text>
    </comment>
    <comment ref="N35" authorId="0" shapeId="0" xr:uid="{AB1D15F6-7B18-4C30-829B-9F68A8D42F96}">
      <text>
        <r>
          <rPr>
            <b/>
            <sz val="9"/>
            <color indexed="81"/>
            <rFont val="Tahoma"/>
            <family val="2"/>
          </rPr>
          <t>יניב שפירא:</t>
        </r>
        <r>
          <rPr>
            <sz val="9"/>
            <color indexed="81"/>
            <rFont val="Tahoma"/>
            <family val="2"/>
          </rPr>
          <t xml:space="preserve">
1 = שומר על המסורת על כל דקדוקיה
2 = שומר במידה רבה
3 = שומר במקצת
4 = לא שומר כלל</t>
        </r>
      </text>
    </comment>
    <comment ref="U36" authorId="0" shapeId="0" xr:uid="{8B1D33A9-09FD-4322-BFE6-A5C0284EF254}">
      <text>
        <r>
          <rPr>
            <b/>
            <sz val="9"/>
            <color indexed="81"/>
            <rFont val="Tahoma"/>
            <charset val="177"/>
          </rPr>
          <t>יניב שפירא:</t>
        </r>
        <r>
          <rPr>
            <sz val="9"/>
            <color indexed="81"/>
            <rFont val="Tahoma"/>
            <charset val="177"/>
          </rPr>
          <t xml:space="preserve">
1 = כן
2 = לא</t>
        </r>
      </text>
    </comment>
    <comment ref="U37" authorId="0" shapeId="0" xr:uid="{2B7B84A0-B135-4320-805D-6C95D289E2CE}">
      <text>
        <r>
          <rPr>
            <b/>
            <sz val="9"/>
            <color indexed="81"/>
            <rFont val="Tahoma"/>
            <charset val="177"/>
          </rPr>
          <t>יניב שפירא:</t>
        </r>
        <r>
          <rPr>
            <sz val="9"/>
            <color indexed="81"/>
            <rFont val="Tahoma"/>
            <charset val="177"/>
          </rPr>
          <t xml:space="preserve">
1 = כן 
2 = לא</t>
        </r>
      </text>
    </comment>
    <comment ref="U38" authorId="0" shapeId="0" xr:uid="{5A5D0E59-232C-4916-904D-7AD59FB052B3}">
      <text>
        <r>
          <rPr>
            <b/>
            <sz val="9"/>
            <color indexed="81"/>
            <rFont val="Tahoma"/>
            <charset val="177"/>
          </rPr>
          <t>יניב שפירא:</t>
        </r>
        <r>
          <rPr>
            <sz val="9"/>
            <color indexed="81"/>
            <rFont val="Tahoma"/>
            <charset val="177"/>
          </rPr>
          <t xml:space="preserve">
1 = כל יום
2 = כמעט כל שבת וחג
3 = פעמים אחדות בשנה
4 = רק ביום כיפור
5 = אף פעם</t>
        </r>
      </text>
    </comment>
    <comment ref="G39" authorId="0" shapeId="0" xr:uid="{CF0ABF41-FFB7-4BBA-BCE7-FE7A32CC2DA5}">
      <text>
        <r>
          <rPr>
            <b/>
            <sz val="9"/>
            <color indexed="81"/>
            <rFont val="Tahoma"/>
            <family val="2"/>
          </rPr>
          <t>יניב שפירא:</t>
        </r>
        <r>
          <rPr>
            <sz val="9"/>
            <color indexed="81"/>
            <rFont val="Tahoma"/>
            <family val="2"/>
          </rPr>
          <t xml:space="preserve">
1 = ישראל
2 = אסיה או אפריקה
3 = אירופה או אמריקה
4 = ברה"מ/חבר העמים</t>
        </r>
      </text>
    </comment>
    <comment ref="J39" authorId="0" shapeId="0" xr:uid="{536490B4-5890-462E-8DF5-D49FA7211B6E}">
      <text>
        <r>
          <rPr>
            <b/>
            <sz val="9"/>
            <color indexed="81"/>
            <rFont val="Tahoma"/>
            <family val="2"/>
          </rPr>
          <t>יניב שפירא:</t>
        </r>
        <r>
          <rPr>
            <sz val="9"/>
            <color indexed="81"/>
            <rFont val="Tahoma"/>
            <family val="2"/>
          </rPr>
          <t xml:space="preserve">
שאלה פתוחה
קידוד תחת
nv179</t>
        </r>
      </text>
    </comment>
    <comment ref="K39" authorId="0" shapeId="0" xr:uid="{622FE363-2C05-4BE4-9E54-8CA09E2BDD03}">
      <text>
        <r>
          <rPr>
            <b/>
            <sz val="9"/>
            <color indexed="81"/>
            <rFont val="Tahoma"/>
            <family val="2"/>
          </rPr>
          <t>יניב שפירא:</t>
        </r>
        <r>
          <rPr>
            <sz val="9"/>
            <color indexed="81"/>
            <rFont val="Tahoma"/>
            <family val="2"/>
          </rPr>
          <t xml:space="preserve">
שאלה פתוחה
לא לערבים</t>
        </r>
      </text>
    </comment>
    <comment ref="AG39" authorId="0" shapeId="0" xr:uid="{49EF2277-954F-423F-90F9-0A79809EB269}">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J40" authorId="0" shapeId="0" xr:uid="{FBE0293B-39A9-47F9-A2ED-93E11FD5ECFC}">
      <text>
        <r>
          <rPr>
            <b/>
            <sz val="9"/>
            <color indexed="81"/>
            <rFont val="Tahoma"/>
            <family val="2"/>
          </rPr>
          <t>יניב שפירא:</t>
        </r>
        <r>
          <rPr>
            <sz val="9"/>
            <color indexed="81"/>
            <rFont val="Tahoma"/>
            <family val="2"/>
          </rPr>
          <t xml:space="preserve">
שאלה פתוחה
קידוד תחת
 nv180
</t>
        </r>
      </text>
    </comment>
    <comment ref="K40" authorId="0" shapeId="0" xr:uid="{D98530D4-5210-4E50-A565-CE2921ED192A}">
      <text>
        <r>
          <rPr>
            <b/>
            <sz val="9"/>
            <color indexed="81"/>
            <rFont val="Tahoma"/>
            <family val="2"/>
          </rPr>
          <t>יניב שפירא:</t>
        </r>
        <r>
          <rPr>
            <sz val="9"/>
            <color indexed="81"/>
            <rFont val="Tahoma"/>
            <family val="2"/>
          </rPr>
          <t xml:space="preserve">
שאלה פתוחה
לא לערבים</t>
        </r>
      </text>
    </comment>
    <comment ref="AG40" authorId="0" shapeId="0" xr:uid="{CC2AE3BA-EECD-4249-A235-9D85919BAD85}">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N41" authorId="0" shapeId="0" xr:uid="{754F43A6-AA88-43B8-B7E7-3E424460EDA3}">
      <text>
        <r>
          <rPr>
            <b/>
            <sz val="9"/>
            <color indexed="81"/>
            <rFont val="Tahoma"/>
            <family val="2"/>
          </rPr>
          <t>יניב שפירא:</t>
        </r>
        <r>
          <rPr>
            <sz val="9"/>
            <color indexed="81"/>
            <rFont val="Tahoma"/>
            <family val="2"/>
          </rPr>
          <t xml:space="preserve">
1 = כן
2 = לא</t>
        </r>
      </text>
    </comment>
    <comment ref="H42" authorId="0" shapeId="0" xr:uid="{37A84914-140A-4244-9474-62363FBDAF30}">
      <text>
        <r>
          <rPr>
            <b/>
            <sz val="9"/>
            <color indexed="81"/>
            <rFont val="Tahoma"/>
            <family val="2"/>
          </rPr>
          <t>יניב שפירא:</t>
        </r>
        <r>
          <rPr>
            <sz val="9"/>
            <color indexed="81"/>
            <rFont val="Tahoma"/>
            <family val="2"/>
          </rPr>
          <t xml:space="preserve">
1 = שכיר
2 = עצמאי
3 = פנסיונר
4 = עקרת בית
5 = חייל/תלמיד/סטודנט
6 = מחפש עבודה
7 = אחר</t>
        </r>
      </text>
    </comment>
    <comment ref="N42" authorId="0" shapeId="0" xr:uid="{553C470D-876D-44CA-8DE2-26D1CE5F7C9C}">
      <text>
        <r>
          <rPr>
            <b/>
            <sz val="9"/>
            <color indexed="81"/>
            <rFont val="Tahoma"/>
            <family val="2"/>
          </rPr>
          <t>יניב שפירא:</t>
        </r>
        <r>
          <rPr>
            <sz val="9"/>
            <color indexed="81"/>
            <rFont val="Tahoma"/>
            <family val="2"/>
          </rPr>
          <t xml:space="preserve">
1 = שכיר פועל
2 = שכיר פקיד
3 = שכיר מנהל
4 = עצמאי קטן
5 = עצמאי בעל חברה</t>
        </r>
      </text>
    </comment>
    <comment ref="P42" authorId="0" shapeId="0" xr:uid="{F3A366FD-46DB-45A6-A1E6-C6A1B598A988}">
      <text>
        <r>
          <rPr>
            <b/>
            <sz val="9"/>
            <color indexed="81"/>
            <rFont val="Tahoma"/>
            <family val="2"/>
          </rPr>
          <t>יניב שפירא:</t>
        </r>
        <r>
          <rPr>
            <sz val="9"/>
            <color indexed="81"/>
            <rFont val="Tahoma"/>
            <family val="2"/>
          </rPr>
          <t xml:space="preserve">
1 = שכיר פועל
2 = שכיר פקיד
3 = שכיר מנהל
4 = עצמאי קטן
5 = עצמאי בעל חברה
6 = לא עובד</t>
        </r>
      </text>
    </comment>
    <comment ref="U42" authorId="0" shapeId="0" xr:uid="{A48387EE-0FDF-43B3-A20D-3A4009D50792}">
      <text>
        <r>
          <rPr>
            <b/>
            <sz val="9"/>
            <color indexed="81"/>
            <rFont val="Tahoma"/>
            <charset val="177"/>
          </rPr>
          <t>יניב שפירא:</t>
        </r>
        <r>
          <rPr>
            <sz val="9"/>
            <color indexed="81"/>
            <rFont val="Tahoma"/>
            <charset val="177"/>
          </rPr>
          <t xml:space="preserve">
1 = שכיר
2 = עצמאי
3 = חבר קואופרטיב
4 = פנסיונר
5 = עקרת בית
6 = חייל/תלמיד/סטודנט
7 = אחר שלא מועסק</t>
        </r>
      </text>
    </comment>
    <comment ref="X42" authorId="0" shapeId="0" xr:uid="{77992EBE-3132-499F-ABC5-4599CDE6B699}">
      <text>
        <r>
          <rPr>
            <b/>
            <sz val="9"/>
            <color indexed="81"/>
            <rFont val="Tahoma"/>
            <charset val="177"/>
          </rPr>
          <t>יניב שפירא:</t>
        </r>
        <r>
          <rPr>
            <sz val="9"/>
            <color indexed="81"/>
            <rFont val="Tahoma"/>
            <charset val="177"/>
          </rPr>
          <t xml:space="preserve">
1 = שכיר
2 = עצמאי
3 = לא מועסק</t>
        </r>
      </text>
    </comment>
    <comment ref="AF42" authorId="0" shapeId="0" xr:uid="{3A309A40-7AC9-4E95-A7AD-FB5A1C964F70}">
      <text>
        <r>
          <rPr>
            <b/>
            <sz val="9"/>
            <color indexed="81"/>
            <rFont val="Tahoma"/>
            <family val="2"/>
          </rPr>
          <t>יניב שפירא:</t>
        </r>
        <r>
          <rPr>
            <sz val="9"/>
            <color indexed="81"/>
            <rFont val="Tahoma"/>
            <family val="2"/>
          </rPr>
          <t xml:space="preserve">
1 = שכיר
2 = עצמאי - מעביד
3 = עצמאי - לא מעסיק אחרים
4 = חבר קואופרטיב
5 = אחר
6 = מחפש עבודה
7 = עקרת בית
8 = פנסיונר</t>
        </r>
      </text>
    </comment>
    <comment ref="W43" authorId="0" shapeId="0" xr:uid="{956EBDCD-A784-44D9-8D70-FF8FDF5F08D2}">
      <text>
        <r>
          <rPr>
            <b/>
            <sz val="9"/>
            <color indexed="81"/>
            <rFont val="Tahoma"/>
            <charset val="177"/>
          </rPr>
          <t>יניב שפירא:</t>
        </r>
        <r>
          <rPr>
            <sz val="9"/>
            <color indexed="81"/>
            <rFont val="Tahoma"/>
            <charset val="177"/>
          </rPr>
          <t xml:space="preserve">
1 = שכיר
2 = עצמאי
3 = חבר קואופרטיב
4 = פנסיונר
5 = עקרת בית
6 = חייל/תלמיד/סטודנט
7 = אחר שלא מועסק</t>
        </r>
      </text>
    </comment>
    <comment ref="X43" authorId="0" shapeId="0" xr:uid="{8DCE9152-A1F1-4A55-BC72-644EA0B2CAD8}">
      <text>
        <r>
          <rPr>
            <b/>
            <sz val="9"/>
            <color indexed="81"/>
            <rFont val="Tahoma"/>
            <charset val="177"/>
          </rPr>
          <t>יניב שפירא:</t>
        </r>
        <r>
          <rPr>
            <sz val="9"/>
            <color indexed="81"/>
            <rFont val="Tahoma"/>
            <charset val="177"/>
          </rPr>
          <t xml:space="preserve">
1 = שכיר
2 = עצמאי
3 = לא מועסק
4 = אין בן/בת זוג</t>
        </r>
      </text>
    </comment>
    <comment ref="AG44" authorId="0" shapeId="0" xr:uid="{9A26D285-9904-4C8E-A99E-5F66745E5420}">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G45" authorId="0" shapeId="0" xr:uid="{A95E5B94-60AC-44D7-8D92-82C2FFCEEBB0}">
      <text>
        <r>
          <rPr>
            <b/>
            <sz val="9"/>
            <color indexed="81"/>
            <rFont val="Tahoma"/>
            <charset val="177"/>
          </rPr>
          <t>יניב שפירא:</t>
        </r>
        <r>
          <rPr>
            <sz val="9"/>
            <color indexed="81"/>
            <rFont val="Tahoma"/>
            <charset val="177"/>
          </rPr>
          <t xml:space="preserve">
1 = לא למד כלל
2 = עממי חלקי
3 = סיים עממי
4 = תיכון חלקי
5 = סיים תיכון
6 = גבוהה חלקית
7 = ב.א.
8 = תואר שני ומעלה</t>
        </r>
      </text>
    </comment>
    <comment ref="A46" authorId="0" shapeId="0" xr:uid="{83162F25-CEBB-4C88-9C6E-992A784CD175}">
      <text>
        <r>
          <rPr>
            <b/>
            <sz val="9"/>
            <color indexed="81"/>
            <rFont val="Tahoma"/>
            <family val="2"/>
          </rPr>
          <t>יניב שפירא:</t>
        </r>
        <r>
          <rPr>
            <sz val="9"/>
            <color indexed="81"/>
            <rFont val="Tahoma"/>
            <family val="2"/>
          </rPr>
          <t xml:space="preserve">
רק למי שענה שעובד</t>
        </r>
      </text>
    </comment>
    <comment ref="H46" authorId="0" shapeId="0" xr:uid="{BD252AEA-22B8-4141-9A47-661B728A2633}">
      <text>
        <r>
          <rPr>
            <b/>
            <sz val="9"/>
            <color indexed="81"/>
            <rFont val="Tahoma"/>
            <family val="2"/>
          </rPr>
          <t>יניב שפירא:</t>
        </r>
        <r>
          <rPr>
            <sz val="9"/>
            <color indexed="81"/>
            <rFont val="Tahoma"/>
            <family val="2"/>
          </rPr>
          <t xml:space="preserve">
1 = משרה מלאה
2 = משרה חלקית</t>
        </r>
      </text>
    </comment>
    <comment ref="AB47" authorId="0" shapeId="0" xr:uid="{86B618C8-9C6D-4452-978C-F305DDCD7E5D}">
      <text>
        <r>
          <rPr>
            <b/>
            <sz val="9"/>
            <color indexed="81"/>
            <rFont val="Tahoma"/>
            <charset val="177"/>
          </rPr>
          <t>יניב שפירא:</t>
        </r>
        <r>
          <rPr>
            <sz val="9"/>
            <color indexed="81"/>
            <rFont val="Tahoma"/>
            <charset val="177"/>
          </rPr>
          <t xml:space="preserve">
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r>
      </text>
    </comment>
    <comment ref="AH47" authorId="0" shapeId="0" xr:uid="{6EA30B3F-C781-4B6B-A635-140ACFE9E721}">
      <text>
        <r>
          <rPr>
            <b/>
            <sz val="9"/>
            <color indexed="81"/>
            <rFont val="Tahoma"/>
            <family val="2"/>
          </rPr>
          <t>יניב שפירא:</t>
        </r>
        <r>
          <rPr>
            <sz val="9"/>
            <color indexed="81"/>
            <rFont val="Tahoma"/>
            <family val="2"/>
          </rPr>
          <t xml:space="preserve">
1 = מקצוע חופשי
2 = מנהל/פקיד
3 = סוחר
4 = חקלאי
5 = עובד תחבורה
6 = בנייה
7 = בעל מלאכה
8 = ספורט/בידור
9 = לא עובד</t>
        </r>
      </text>
    </comment>
    <comment ref="H48" authorId="0" shapeId="0" xr:uid="{BD2B8053-9B7D-432E-9DB8-C5A34FABDB9F}">
      <text>
        <r>
          <rPr>
            <b/>
            <sz val="9"/>
            <color indexed="81"/>
            <rFont val="Tahoma"/>
            <family val="2"/>
          </rPr>
          <t>יניב שפירא:</t>
        </r>
        <r>
          <rPr>
            <sz val="9"/>
            <color indexed="81"/>
            <rFont val="Tahoma"/>
            <family val="2"/>
          </rPr>
          <t xml:space="preserve">
1 = מגזר ציבורי
2 = מגזר פרטי/חברה פרטית</t>
        </r>
      </text>
    </comment>
    <comment ref="J49" authorId="0" shapeId="0" xr:uid="{32CEEC66-005F-4AB7-B966-2B3A1FE25B4D}">
      <text>
        <r>
          <rPr>
            <b/>
            <sz val="9"/>
            <color indexed="81"/>
            <rFont val="Tahoma"/>
            <family val="2"/>
          </rPr>
          <t>יניב שפירא:</t>
        </r>
        <r>
          <rPr>
            <sz val="9"/>
            <color indexed="81"/>
            <rFont val="Tahoma"/>
            <family val="2"/>
          </rPr>
          <t xml:space="preserve">
1 = כלל לא מודאג
2 = מודרג במקצת
3 = מודאג מאוד
4 = איבדתי את מקום העבודה שלי לאחרונה ואני מחפש עבודה
5 = אינני עובד ואינני מחפש עבודה</t>
        </r>
      </text>
    </comment>
    <comment ref="G50" authorId="0" shapeId="0" xr:uid="{47142277-BA00-4C75-B891-21C44E7491E5}">
      <text>
        <r>
          <rPr>
            <b/>
            <sz val="9"/>
            <color indexed="81"/>
            <rFont val="Tahoma"/>
            <charset val="177"/>
          </rPr>
          <t>יניב שפירא:</t>
        </r>
        <r>
          <rPr>
            <sz val="9"/>
            <color indexed="81"/>
            <rFont val="Tahoma"/>
            <charset val="177"/>
          </rPr>
          <t xml:space="preserve">
1 = גבוה
2 = בינוני-גבוה
3 = בינוני
4 = נמוך</t>
        </r>
      </text>
    </comment>
    <comment ref="R50" authorId="0" shapeId="0" xr:uid="{AD757007-311E-4FFC-A27A-F73BBFB57DB9}">
      <text>
        <r>
          <rPr>
            <b/>
            <sz val="9"/>
            <color indexed="81"/>
            <rFont val="Tahoma"/>
            <family val="2"/>
          </rPr>
          <t>יניב שפירא:</t>
        </r>
        <r>
          <rPr>
            <sz val="9"/>
            <color indexed="81"/>
            <rFont val="Tahoma"/>
            <family val="2"/>
          </rPr>
          <t xml:space="preserve">
1 = גבוה
2 = בינוני-גבוה
3 = בינוני
4 = נמוך
5 = מעמד הפועלים
6 = לא משויך לשום מעמד</t>
        </r>
      </text>
    </comment>
    <comment ref="T50" authorId="0" shapeId="0" xr:uid="{A575E4AF-C4CD-4E87-AB2C-79CECF7AB555}">
      <text>
        <r>
          <rPr>
            <b/>
            <sz val="9"/>
            <color indexed="81"/>
            <rFont val="Tahoma"/>
            <family val="2"/>
          </rPr>
          <t>יניב שפירא:</t>
        </r>
        <r>
          <rPr>
            <sz val="9"/>
            <color indexed="81"/>
            <rFont val="Tahoma"/>
            <family val="2"/>
          </rPr>
          <t xml:space="preserve">
1 = מעמד גבוה
2 = מעמד בינוני
3 = מעמד פועלים
4 = מעמד נמוך
5 = לא שייף לאף מעמד</t>
        </r>
      </text>
    </comment>
    <comment ref="AG50" authorId="0" shapeId="0" xr:uid="{A64CADE9-CB85-4018-B58C-230BAB46EA47}">
      <text>
        <r>
          <rPr>
            <b/>
            <sz val="9"/>
            <color indexed="81"/>
            <rFont val="Tahoma"/>
            <family val="2"/>
          </rPr>
          <t>יניב שפירא:</t>
        </r>
        <r>
          <rPr>
            <sz val="9"/>
            <color indexed="81"/>
            <rFont val="Tahoma"/>
            <family val="2"/>
          </rPr>
          <t xml:space="preserve">
1 = בינוני-עליון
2 = בינוני
3 = נמוך
4 = עליון
5 = פועלים
6 = אחר
7 = לא מסווג את עצמי לשום מעמד</t>
        </r>
      </text>
    </comment>
    <comment ref="H51" authorId="0" shapeId="0" xr:uid="{99817423-CE2B-4C9E-AE05-C9B75642D1E8}">
      <text>
        <r>
          <rPr>
            <b/>
            <sz val="9"/>
            <color indexed="81"/>
            <rFont val="Tahoma"/>
            <charset val="177"/>
          </rPr>
          <t>יניב שפירא:</t>
        </r>
        <r>
          <rPr>
            <sz val="9"/>
            <color indexed="81"/>
            <rFont val="Tahoma"/>
            <charset val="177"/>
          </rPr>
          <t xml:space="preserve">
0 = לא
1 = כן</t>
        </r>
      </text>
    </comment>
    <comment ref="I51" authorId="0" shapeId="0" xr:uid="{F35F0572-DB33-47FE-81FE-3AA34ADEEF8F}">
      <text>
        <r>
          <rPr>
            <b/>
            <sz val="9"/>
            <color indexed="81"/>
            <rFont val="Tahoma"/>
            <family val="2"/>
          </rPr>
          <t>יניב שפירא:</t>
        </r>
        <r>
          <rPr>
            <sz val="9"/>
            <color indexed="81"/>
            <rFont val="Tahoma"/>
            <family val="2"/>
          </rPr>
          <t xml:space="preserve">
1 = לא
2 = כן</t>
        </r>
      </text>
    </comment>
    <comment ref="Q53" authorId="0" shapeId="0" xr:uid="{98739711-AA56-479A-B9E9-C2E71D85CBFD}">
      <text>
        <r>
          <rPr>
            <b/>
            <sz val="9"/>
            <color indexed="81"/>
            <rFont val="Tahoma"/>
            <family val="2"/>
          </rPr>
          <t>יניב שפירא:</t>
        </r>
        <r>
          <rPr>
            <sz val="9"/>
            <color indexed="81"/>
            <rFont val="Tahoma"/>
            <family val="2"/>
          </rPr>
          <t xml:space="preserve">
1 = אין
2 = יש בן/בנים
3 = יש בת/בנות
4 = יש בן+בת</t>
        </r>
      </text>
    </comment>
    <comment ref="A56" authorId="0" shapeId="0" xr:uid="{A2F17BC4-A048-471A-8103-11D3B0A26767}">
      <text>
        <r>
          <rPr>
            <b/>
            <sz val="9"/>
            <color indexed="81"/>
            <rFont val="Tahoma"/>
            <charset val="177"/>
          </rPr>
          <t>יניב שפירא:</t>
        </r>
        <r>
          <rPr>
            <sz val="9"/>
            <color indexed="81"/>
            <rFont val="Tahoma"/>
            <charset val="177"/>
          </rPr>
          <t xml:space="preserve">
רק למי שענה שיש לו ילדים</t>
        </r>
      </text>
    </comment>
    <comment ref="H56" authorId="0" shapeId="0" xr:uid="{4BEA2FE7-1F72-4BD8-91C4-226D0E0AF42D}">
      <text>
        <r>
          <rPr>
            <b/>
            <sz val="9"/>
            <color indexed="81"/>
            <rFont val="Tahoma"/>
            <charset val="177"/>
          </rPr>
          <t>יניב שפירא:</t>
        </r>
        <r>
          <rPr>
            <sz val="9"/>
            <color indexed="81"/>
            <rFont val="Tahoma"/>
            <charset val="177"/>
          </rPr>
          <t xml:space="preserve">
1 = לא
2 = כן</t>
        </r>
      </text>
    </comment>
    <comment ref="I57" authorId="0" shapeId="0" xr:uid="{EDA882FB-695A-479B-A9A9-E55CDE4FAF65}">
      <text>
        <r>
          <rPr>
            <b/>
            <sz val="9"/>
            <color indexed="81"/>
            <rFont val="Tahoma"/>
            <family val="2"/>
          </rPr>
          <t>יניב שפירא:</t>
        </r>
        <r>
          <rPr>
            <sz val="9"/>
            <color indexed="81"/>
            <rFont val="Tahoma"/>
            <family val="2"/>
          </rPr>
          <t xml:space="preserve">
1 = הכנסה מעבודה
2 = גמלאות
3 = דמי אבטלה, קצבאות או מענקי סעד
4 = הכנסה מהשקעות חסכונות ביטוח או רכוש
5 = הכנסה ממקורות אחרים</t>
        </r>
      </text>
    </comment>
    <comment ref="I58" authorId="0" shapeId="0" xr:uid="{4BBFF61B-4FD5-48F5-A3C3-5B125C99673A}">
      <text>
        <r>
          <rPr>
            <b/>
            <sz val="9"/>
            <color indexed="81"/>
            <rFont val="Tahoma"/>
            <family val="2"/>
          </rPr>
          <t>יניב שפירא:</t>
        </r>
        <r>
          <rPr>
            <sz val="9"/>
            <color indexed="81"/>
            <rFont val="Tahoma"/>
            <family val="2"/>
          </rPr>
          <t xml:space="preserve">
1 = עד 3,000 ₪
2 = 3,001-4,500 ₪
3 = 4,501-6,000 ₪
4 = 6,001-8,000 ₪
5 = 8,001-10,000 ₪
6 = 10,001-12,000 ₪
7 = 12,001-14,000 ₪
8 = 14,001-16,000 ₪
9 = 16,001-20,000 ₪
10 = יותר מ-20,001 ₪ </t>
        </r>
      </text>
    </comment>
    <comment ref="V58" authorId="0" shapeId="0" xr:uid="{8E491F3F-127E-445A-ABC4-D6FCC6997FDE}">
      <text>
        <r>
          <rPr>
            <b/>
            <sz val="9"/>
            <color indexed="81"/>
            <rFont val="Tahoma"/>
            <charset val="177"/>
          </rPr>
          <t>יניב שפירא:</t>
        </r>
        <r>
          <rPr>
            <sz val="9"/>
            <color indexed="81"/>
            <rFont val="Tahoma"/>
            <charset val="177"/>
          </rPr>
          <t xml:space="preserve">
1 = עד 20,000 
2 = 20,001-30,000
3 = 30,001-40,000
4 = 40,001-50,000
5 = 50,001-60,000
6 = 60,001-75,000
7 = 75,001-85,000
8 = 85,001 +</t>
        </r>
      </text>
    </comment>
    <comment ref="I59" authorId="0" shapeId="0" xr:uid="{5B4F6551-A567-44B4-8C4B-3CB7EEFD5A8D}">
      <text>
        <r>
          <rPr>
            <b/>
            <sz val="9"/>
            <color indexed="81"/>
            <rFont val="Tahoma"/>
            <family val="2"/>
          </rPr>
          <t>יניב שפירא:</t>
        </r>
        <r>
          <rPr>
            <sz val="9"/>
            <color indexed="81"/>
            <rFont val="Tahoma"/>
            <family val="2"/>
          </rPr>
          <t xml:space="preserve">
1 = כלום
2 = חלק קטן מאוד
3 = פחות מחצי
4 = בערך חצי
5 = מעל לחצי
6 = חלק גדול מאוד
7 = הכל</t>
        </r>
      </text>
    </comment>
    <comment ref="J61" authorId="0" shapeId="0" xr:uid="{B9A652E0-F248-455D-AE73-A9138920B0D5}">
      <text>
        <r>
          <rPr>
            <b/>
            <sz val="9"/>
            <color indexed="81"/>
            <rFont val="Tahoma"/>
            <family val="2"/>
          </rPr>
          <t>יניב שפירא:</t>
        </r>
        <r>
          <rPr>
            <sz val="9"/>
            <color indexed="81"/>
            <rFont val="Tahoma"/>
            <family val="2"/>
          </rPr>
          <t xml:space="preserve">
1 = כן
2 = לא</t>
        </r>
      </text>
    </comment>
    <comment ref="J62" authorId="0" shapeId="0" xr:uid="{55A5AA0D-9978-4E5E-80CD-A1022F8D75B8}">
      <text>
        <r>
          <rPr>
            <b/>
            <sz val="9"/>
            <color indexed="81"/>
            <rFont val="Tahoma"/>
            <family val="2"/>
          </rPr>
          <t>יניב שפירא:</t>
        </r>
        <r>
          <rPr>
            <sz val="9"/>
            <color indexed="81"/>
            <rFont val="Tahoma"/>
            <family val="2"/>
          </rPr>
          <t xml:space="preserve">
1 = לא למד כלל
2 = ביה"ס יסודי וחטיבת בינים
3 = תיכון
4 = מוסד הנותן קורסים של הכשרה והשתלמות
5 = מוסד על תיכוני
6 = מוסד אקדמי
</t>
        </r>
      </text>
    </comment>
    <comment ref="A63" authorId="0" shapeId="0" xr:uid="{2EB80418-9113-4C76-BE90-EE5AD311E740}">
      <text>
        <r>
          <rPr>
            <b/>
            <sz val="9"/>
            <color indexed="81"/>
            <rFont val="Tahoma"/>
            <family val="2"/>
          </rPr>
          <t>יניב שפירא:</t>
        </r>
        <r>
          <rPr>
            <sz val="9"/>
            <color indexed="81"/>
            <rFont val="Tahoma"/>
            <family val="2"/>
          </rPr>
          <t xml:space="preserve">
רק לעולי ברה"מ</t>
        </r>
      </text>
    </comment>
    <comment ref="A64" authorId="0" shapeId="0" xr:uid="{F0B49095-7820-48BF-9E32-25EC16151F60}">
      <text>
        <r>
          <rPr>
            <b/>
            <sz val="9"/>
            <color indexed="81"/>
            <rFont val="Tahoma"/>
            <family val="2"/>
          </rPr>
          <t>יניב שפירא:</t>
        </r>
        <r>
          <rPr>
            <sz val="9"/>
            <color indexed="81"/>
            <rFont val="Tahoma"/>
            <family val="2"/>
          </rPr>
          <t xml:space="preserve">
רק לעולי ברה"מ</t>
        </r>
      </text>
    </comment>
    <comment ref="A65" authorId="0" shapeId="0" xr:uid="{2120F9FC-D823-4DE6-BC1D-FD54B8453426}">
      <text>
        <r>
          <rPr>
            <b/>
            <sz val="9"/>
            <color indexed="81"/>
            <rFont val="Tahoma"/>
            <family val="2"/>
          </rPr>
          <t>יניב שפירא:</t>
        </r>
        <r>
          <rPr>
            <sz val="9"/>
            <color indexed="81"/>
            <rFont val="Tahoma"/>
            <family val="2"/>
          </rPr>
          <t xml:space="preserve">
רק לעולי ברה"מ</t>
        </r>
      </text>
    </comment>
    <comment ref="K65" authorId="0" shapeId="0" xr:uid="{03C422B7-BD3A-44B4-9793-F4EBE0BA30BE}">
      <text>
        <r>
          <rPr>
            <b/>
            <sz val="9"/>
            <color indexed="81"/>
            <rFont val="Tahoma"/>
            <family val="2"/>
          </rPr>
          <t>יניב שפירא:</t>
        </r>
        <r>
          <rPr>
            <sz val="9"/>
            <color indexed="81"/>
            <rFont val="Tahoma"/>
            <family val="2"/>
          </rPr>
          <t xml:space="preserve">
1 = עולים מברה"מ
2 = ישראלים לא עולים
3 = חצי חצי</t>
        </r>
      </text>
    </comment>
    <comment ref="P66" authorId="0" shapeId="0" xr:uid="{27326860-24EA-4ECB-9783-78D03E1B094B}">
      <text>
        <r>
          <rPr>
            <b/>
            <sz val="9"/>
            <color indexed="81"/>
            <rFont val="Tahoma"/>
            <family val="2"/>
          </rPr>
          <t>יניב שפירא:</t>
        </r>
        <r>
          <rPr>
            <sz val="9"/>
            <color indexed="81"/>
            <rFont val="Tahoma"/>
            <family val="2"/>
          </rPr>
          <t xml:space="preserve">
1 = טרם, אך אשרת בעתיד
2 = כיום בשירות חובה
3 = כיום בשירות קבע
4 = שירתתי בעבר
5 = לא שירתתי כלל</t>
        </r>
      </text>
    </comment>
    <comment ref="AI66" authorId="0" shapeId="0" xr:uid="{A49B5B17-5FCA-48DD-A425-4F60B14527BE}">
      <text>
        <r>
          <rPr>
            <b/>
            <sz val="9"/>
            <color indexed="81"/>
            <rFont val="Tahoma"/>
            <charset val="177"/>
          </rPr>
          <t>יניב שפירא:</t>
        </r>
        <r>
          <rPr>
            <sz val="9"/>
            <color indexed="81"/>
            <rFont val="Tahoma"/>
            <charset val="177"/>
          </rPr>
          <t xml:space="preserve">
1 = לא, דח"ש
2 = לא, שחרור רפואי
3 = לא, סיבות אישיות
4 = לא, עקב נישואין
5 = לא, עלה לארץ בגיל מבוגר
6 = לא, כאשר צה"ל הוקם היה מבוגר מדי
7 = לא, אין פירוט
8 = סיבה אחרת
9 = שירת בצה"ל</t>
        </r>
      </text>
    </comment>
    <comment ref="Q67" authorId="0" shapeId="0" xr:uid="{226B96E7-26EE-4779-BB81-C0EA1A693904}">
      <text>
        <r>
          <rPr>
            <b/>
            <sz val="9"/>
            <color indexed="81"/>
            <rFont val="Tahoma"/>
            <charset val="177"/>
          </rPr>
          <t>יניב שפירא:</t>
        </r>
        <r>
          <rPr>
            <sz val="9"/>
            <color indexed="81"/>
            <rFont val="Tahoma"/>
            <charset val="177"/>
          </rPr>
          <t xml:space="preserve">
1 = כן
2 = לא</t>
        </r>
      </text>
    </comment>
    <comment ref="Q69" authorId="0" shapeId="0" xr:uid="{81ABB87E-0467-4874-8D3C-293F772753E6}">
      <text>
        <r>
          <rPr>
            <b/>
            <sz val="9"/>
            <color indexed="81"/>
            <rFont val="Tahoma"/>
            <charset val="177"/>
          </rPr>
          <t>יניב שפירא:</t>
        </r>
        <r>
          <rPr>
            <sz val="9"/>
            <color indexed="81"/>
            <rFont val="Tahoma"/>
            <charset val="177"/>
          </rPr>
          <t xml:space="preserve">
1 = קרבי
2 = לא קרבי</t>
        </r>
      </text>
    </comment>
    <comment ref="Q70" authorId="0" shapeId="0" xr:uid="{25E63FDA-C38D-4CFC-B02C-1F724F09ADD8}">
      <text>
        <r>
          <rPr>
            <b/>
            <sz val="9"/>
            <color indexed="81"/>
            <rFont val="Tahoma"/>
            <charset val="177"/>
          </rPr>
          <t>יניב שפירא:</t>
        </r>
        <r>
          <rPr>
            <sz val="9"/>
            <color indexed="81"/>
            <rFont val="Tahoma"/>
            <charset val="177"/>
          </rPr>
          <t xml:space="preserve">
1 = עד שנה
2 = שנה-שנה וחצי
3 = שנה וחצי-שנתיים
4 = שנתיים-שנתיים וחצי
5 = שנתיים וחצי-שלוש
6 = 3-6 שנים
7 = 6-15 שנים
8 = מעל 15 שנים</t>
        </r>
      </text>
    </comment>
    <comment ref="Q71" authorId="0" shapeId="0" xr:uid="{134CB311-CE7C-4323-9428-66618C3FF02C}">
      <text>
        <r>
          <rPr>
            <b/>
            <sz val="9"/>
            <color indexed="81"/>
            <rFont val="Tahoma"/>
            <charset val="177"/>
          </rPr>
          <t>יניב שפירא:</t>
        </r>
        <r>
          <rPr>
            <sz val="9"/>
            <color indexed="81"/>
            <rFont val="Tahoma"/>
            <charset val="177"/>
          </rPr>
          <t xml:space="preserve">
1 = קרבי
2 = לא קרבי</t>
        </r>
      </text>
    </comment>
    <comment ref="Q72" authorId="0" shapeId="0" xr:uid="{FF50DC1B-4FAE-4C41-A1F0-D84BAE644109}">
      <text>
        <r>
          <rPr>
            <b/>
            <sz val="9"/>
            <color indexed="81"/>
            <rFont val="Tahoma"/>
            <charset val="177"/>
          </rPr>
          <t>יניב שפירא:</t>
        </r>
        <r>
          <rPr>
            <sz val="9"/>
            <color indexed="81"/>
            <rFont val="Tahoma"/>
            <charset val="177"/>
          </rPr>
          <t xml:space="preserve">
1 = טוראי
2 = טר"ש
3 = רב"ט
4 = סמל
5 = סמ"ר
6 = רס"ל
7 = רס"ר
8 = רס"מ/רס"ב
9 = סג"מ
10 = סגן
11 = סרן
12 = רס"ן
13 = סא"ל
14 = אל"ם
15 = תא"ל
16 = אלוף
17 = רא"ל</t>
        </r>
      </text>
    </comment>
    <comment ref="AF73" authorId="0" shapeId="0" xr:uid="{38A281DC-3063-4DDE-AFD8-72117801A0BB}">
      <text>
        <r>
          <rPr>
            <b/>
            <sz val="9"/>
            <color indexed="81"/>
            <rFont val="Tahoma"/>
            <family val="2"/>
          </rPr>
          <t>יניב שפירא:</t>
        </r>
        <r>
          <rPr>
            <sz val="9"/>
            <color indexed="81"/>
            <rFont val="Tahoma"/>
            <family val="2"/>
          </rPr>
          <t xml:space="preserve">
1 = המרואיין
2 = בעלה של המרואיינת
3 = אביו של המרואיין
4 = בנו של המרואיין
5 = אחר</t>
        </r>
      </text>
    </comment>
    <comment ref="AF74" authorId="0" shapeId="0" xr:uid="{18E6BDA2-7314-4D6E-9B1C-8BC56C1D09CA}">
      <text>
        <r>
          <rPr>
            <b/>
            <sz val="9"/>
            <color indexed="81"/>
            <rFont val="Tahoma"/>
            <family val="2"/>
          </rPr>
          <t>יניב שפירא:</t>
        </r>
        <r>
          <rPr>
            <sz val="9"/>
            <color indexed="81"/>
            <rFont val="Tahoma"/>
            <family val="2"/>
          </rPr>
          <t xml:space="preserve">
1 = לא למד כלל
2 = עד 4 שנים
3 = 5-8 שנים
4 = 9-10 שנים
5 = 11 שנים
6 = 12 שנים
7 = השכלה על תיכונית או אקדמית חלקית
8 = השכלה אקדמית מלאה</t>
        </r>
      </text>
    </comment>
    <comment ref="AG75" authorId="0" shapeId="0" xr:uid="{A77D1558-9A18-4C6D-9C0B-ECE8BC87C0A8}">
      <text>
        <r>
          <rPr>
            <b/>
            <sz val="9"/>
            <color indexed="81"/>
            <rFont val="Tahoma"/>
            <charset val="177"/>
          </rPr>
          <t>יניב שפירא:</t>
        </r>
        <r>
          <rPr>
            <sz val="9"/>
            <color indexed="81"/>
            <rFont val="Tahoma"/>
            <charset val="177"/>
          </rPr>
          <t xml:space="preserve">
1 = לא למד כלל
2 = עד 4 שנים
3 = 5-8 שנים
4 = 9-10 שנים
5 = 11 שנים
6 = 12 שנים
7 = השכלה על תיכונית או אקדמית חלקית
8 = השכלה אקדמית מלאה</t>
        </r>
      </text>
    </comment>
    <comment ref="AF76" authorId="0" shapeId="0" xr:uid="{881696EA-7942-49F2-BE44-3CCF29A1F9A7}">
      <text>
        <r>
          <rPr>
            <b/>
            <sz val="9"/>
            <color indexed="81"/>
            <rFont val="Tahoma"/>
            <family val="2"/>
          </rPr>
          <t>יניב שפירא:</t>
        </r>
        <r>
          <rPr>
            <sz val="9"/>
            <color indexed="81"/>
            <rFont val="Tahoma"/>
            <family val="2"/>
          </rPr>
          <t xml:space="preserve">
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r>
      </text>
    </comment>
    <comment ref="AG76" authorId="0" shapeId="0" xr:uid="{D625DF1F-3613-4A54-945B-CCE8B5656516}">
      <text>
        <r>
          <rPr>
            <b/>
            <sz val="9"/>
            <color indexed="81"/>
            <rFont val="Tahoma"/>
            <charset val="177"/>
          </rPr>
          <t>יניב שפירא:</t>
        </r>
        <r>
          <rPr>
            <sz val="9"/>
            <color indexed="81"/>
            <rFont val="Tahoma"/>
            <charset val="177"/>
          </rPr>
          <t xml:space="preserve">
1 = מקצוע חופשי
2 = מנהל/פקיד
3 = סוחר
4 = חקלאי
5 = עובד תחבורה
6 = בנייה
7 = בעל מלאכה
8 = ספורט/בידור
9 = לא עובד</t>
        </r>
      </text>
    </comment>
    <comment ref="AF77" authorId="0" shapeId="0" xr:uid="{131F96A0-3215-418C-A362-F020FE51B204}">
      <text>
        <r>
          <rPr>
            <b/>
            <sz val="9"/>
            <color indexed="81"/>
            <rFont val="Tahoma"/>
            <family val="2"/>
          </rPr>
          <t>יניב שפירא:</t>
        </r>
        <r>
          <rPr>
            <sz val="9"/>
            <color indexed="81"/>
            <rFont val="Tahoma"/>
            <family val="2"/>
          </rPr>
          <t xml:space="preserve">
1 = שכיר
2 = עצמאי-מעסיק
3 = עצמאי לא מעסיק
4 = חבר קואופרטיב
5 = אחר
6 = מחפש עבודה
7 = עקרת בית
8 = פנסיונר
9 = אחר</t>
        </r>
      </text>
    </comment>
    <comment ref="AF78" authorId="0" shapeId="0" xr:uid="{E8D51452-DE4A-4B2E-8FC7-795312810C90}">
      <text>
        <r>
          <rPr>
            <b/>
            <sz val="9"/>
            <color indexed="81"/>
            <rFont val="Tahoma"/>
            <family val="2"/>
          </rPr>
          <t>יניב שפירא:</t>
        </r>
        <r>
          <rPr>
            <sz val="9"/>
            <color indexed="81"/>
            <rFont val="Tahoma"/>
            <family val="2"/>
          </rPr>
          <t xml:space="preserve">
1 = אתה או ראש המשפחה
2 = בעלים פרטיים
3 = הסתדרות
4 = סקטור ציבורי
5 = אחר
6 = לא עובד</t>
        </r>
      </text>
    </comment>
    <comment ref="AF79" authorId="0" shapeId="0" xr:uid="{BBE74CF2-1D93-4EDA-9E95-9E3762F0E3C8}">
      <text>
        <r>
          <rPr>
            <b/>
            <sz val="9"/>
            <color indexed="81"/>
            <rFont val="Tahoma"/>
            <family val="2"/>
          </rPr>
          <t>יניב שפירא:</t>
        </r>
        <r>
          <rPr>
            <sz val="9"/>
            <color indexed="81"/>
            <rFont val="Tahoma"/>
            <family val="2"/>
          </rPr>
          <t xml:space="preserve">
1 = כן
2 = לא
6 = לא עובד</t>
        </r>
      </text>
    </comment>
    <comment ref="P80" authorId="0" shapeId="0" xr:uid="{66A95824-D818-4C94-8680-485B59B4FF7E}">
      <text>
        <r>
          <rPr>
            <b/>
            <sz val="9"/>
            <color indexed="81"/>
            <rFont val="Tahoma"/>
            <family val="2"/>
          </rPr>
          <t>יניב שפירא:</t>
        </r>
        <r>
          <rPr>
            <sz val="9"/>
            <color indexed="81"/>
            <rFont val="Tahoma"/>
            <family val="2"/>
          </rPr>
          <t xml:space="preserve">
1 = כן
2 = לא</t>
        </r>
      </text>
    </comment>
    <comment ref="AA80" authorId="0" shapeId="0" xr:uid="{46190F1C-381C-4DA1-A71C-9E4517B89C8B}">
      <text>
        <r>
          <rPr>
            <b/>
            <sz val="9"/>
            <color indexed="81"/>
            <rFont val="Tahoma"/>
            <charset val="177"/>
          </rPr>
          <t>יניב שפירא:</t>
        </r>
        <r>
          <rPr>
            <sz val="9"/>
            <color indexed="81"/>
            <rFont val="Tahoma"/>
            <charset val="177"/>
          </rPr>
          <t xml:space="preserve">
1 = כן
2 = לא</t>
        </r>
      </text>
    </comment>
    <comment ref="AF81" authorId="0" shapeId="0" xr:uid="{3C3186B7-C928-4D03-B86A-9DA9EA6F2342}">
      <text>
        <r>
          <rPr>
            <b/>
            <sz val="9"/>
            <color indexed="81"/>
            <rFont val="Tahoma"/>
            <family val="2"/>
          </rPr>
          <t>יניב שפירא:</t>
        </r>
        <r>
          <rPr>
            <sz val="9"/>
            <color indexed="81"/>
            <rFont val="Tahoma"/>
            <family val="2"/>
          </rPr>
          <t xml:space="preserve">
2 = קופ"ח של העובדים הלאומיים
3 = קופ"ח מכבי
4 = קופ" מרכזית
5 = קופ"ח עממית
6 = ביטוח אחר
7 = באמצעות סעד
8 = פרטי
</t>
        </r>
      </text>
    </comment>
    <comment ref="AG82" authorId="0" shapeId="0" xr:uid="{9E537A32-AFEF-4A7E-9657-066908B7AC0F}">
      <text>
        <r>
          <rPr>
            <b/>
            <sz val="9"/>
            <color indexed="81"/>
            <rFont val="Tahoma"/>
            <charset val="177"/>
          </rPr>
          <t>יניב שפירא:</t>
        </r>
        <r>
          <rPr>
            <sz val="9"/>
            <color indexed="81"/>
            <rFont val="Tahoma"/>
            <charset val="177"/>
          </rPr>
          <t xml:space="preserve">
1 = עברית
2 = יידיש
3 = ערבית
4 = שפות מזרח אירופאיות
5 = שפות מערב אירופה
6 = שפות לטיניות ובלקניות
7 = אחר</t>
        </r>
      </text>
    </comment>
    <comment ref="AI83" authorId="0" shapeId="0" xr:uid="{8C5A8004-F1C3-458F-B79A-6355E89FC9B0}">
      <text>
        <r>
          <rPr>
            <b/>
            <sz val="9"/>
            <color indexed="81"/>
            <rFont val="Tahoma"/>
            <charset val="177"/>
          </rPr>
          <t>יניב שפירא:</t>
        </r>
        <r>
          <rPr>
            <sz val="9"/>
            <color indexed="81"/>
            <rFont val="Tahoma"/>
            <charset val="177"/>
          </rPr>
          <t xml:space="preserve">
1 = כן
2 = לא</t>
        </r>
      </text>
    </comment>
    <comment ref="AI84" authorId="0" shapeId="0" xr:uid="{7CA35462-07CB-4B6A-B606-0324FA66D5E0}">
      <text>
        <r>
          <rPr>
            <b/>
            <sz val="9"/>
            <color indexed="81"/>
            <rFont val="Tahoma"/>
            <charset val="177"/>
          </rPr>
          <t>יניב שפירא:</t>
        </r>
        <r>
          <rPr>
            <sz val="9"/>
            <color indexed="81"/>
            <rFont val="Tahoma"/>
            <charset val="177"/>
          </rPr>
          <t xml:space="preserve">
1 = כן
2 = לא</t>
        </r>
      </text>
    </comment>
    <comment ref="AI85" authorId="0" shapeId="0" xr:uid="{AABD5D0D-01EC-4FEF-B7ED-C8BDC6D777E3}">
      <text>
        <r>
          <rPr>
            <b/>
            <sz val="9"/>
            <color indexed="81"/>
            <rFont val="Tahoma"/>
            <charset val="177"/>
          </rPr>
          <t>יניב שפירא:</t>
        </r>
        <r>
          <rPr>
            <sz val="9"/>
            <color indexed="81"/>
            <rFont val="Tahoma"/>
            <charset val="177"/>
          </rPr>
          <t xml:space="preserve">
1 = אותו מקום
2 = מקום אחר</t>
        </r>
      </text>
    </comment>
    <comment ref="AF86" authorId="0" shapeId="0" xr:uid="{4284F6C8-B7D7-41DF-9ADD-CDE0BD136247}">
      <text>
        <r>
          <rPr>
            <b/>
            <sz val="9"/>
            <color indexed="81"/>
            <rFont val="Tahoma"/>
            <charset val="177"/>
          </rPr>
          <t>יניב שפירא:</t>
        </r>
        <r>
          <rPr>
            <sz val="9"/>
            <color indexed="81"/>
            <rFont val="Tahoma"/>
            <charset val="177"/>
          </rPr>
          <t xml:space="preserve">
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r>
      </text>
    </comment>
    <comment ref="AI87" authorId="0" shapeId="0" xr:uid="{063A936A-C866-4908-AD78-14EEF8DBBF77}">
      <text>
        <r>
          <rPr>
            <b/>
            <sz val="9"/>
            <color indexed="81"/>
            <rFont val="Tahoma"/>
            <charset val="177"/>
          </rPr>
          <t>יניב שפירא:</t>
        </r>
        <r>
          <rPr>
            <sz val="9"/>
            <color indexed="81"/>
            <rFont val="Tahoma"/>
            <charset val="177"/>
          </rPr>
          <t xml:space="preserve">
1 = איחוד הקבוצות והקיבוצים
2 = הקיבוץ המאוחד
3 = קיבוצי השמו"צ
4 = הקיבוץ הדתי
5 = הנוער הציוני
6 = הבלתי מצורפים
7 = זרם אחר
8 = לא היה חבר קיבוץ</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X1" authorId="0" shapeId="0" xr:uid="{607B829D-9A43-4808-A7EF-48430A9B40B9}">
      <text>
        <r>
          <rPr>
            <b/>
            <sz val="9"/>
            <color indexed="81"/>
            <rFont val="Tahoma"/>
            <charset val="177"/>
          </rPr>
          <t>יניב שפירא:</t>
        </r>
        <r>
          <rPr>
            <sz val="9"/>
            <color indexed="81"/>
            <rFont val="Tahoma"/>
            <charset val="177"/>
          </rPr>
          <t xml:space="preserve">
post election</t>
        </r>
      </text>
    </comment>
    <comment ref="AB1" authorId="0" shapeId="0" xr:uid="{CB599201-E449-497E-88E4-1BB3C43E5F8E}">
      <text>
        <r>
          <rPr>
            <b/>
            <sz val="9"/>
            <color indexed="81"/>
            <rFont val="Tahoma"/>
            <charset val="177"/>
          </rPr>
          <t>יניב שפירא:</t>
        </r>
        <r>
          <rPr>
            <sz val="9"/>
            <color indexed="81"/>
            <rFont val="Tahoma"/>
            <charset val="177"/>
          </rPr>
          <t xml:space="preserve">
post Kippur + post election</t>
        </r>
      </text>
    </comment>
    <comment ref="AC1" authorId="0" shapeId="0" xr:uid="{85505AF2-0943-4F08-A344-90D42817023E}">
      <text>
        <r>
          <rPr>
            <b/>
            <sz val="9"/>
            <color indexed="81"/>
            <rFont val="Tahoma"/>
            <charset val="177"/>
          </rPr>
          <t>יניב שפירא:</t>
        </r>
        <r>
          <rPr>
            <sz val="9"/>
            <color indexed="81"/>
            <rFont val="Tahoma"/>
            <charset val="177"/>
          </rPr>
          <t xml:space="preserve">
post Kippur</t>
        </r>
      </text>
    </comment>
    <comment ref="AD1" authorId="0" shapeId="0" xr:uid="{19D37D34-3CDA-49DF-93FA-D88BA54E65DA}">
      <text>
        <r>
          <rPr>
            <b/>
            <sz val="9"/>
            <color indexed="81"/>
            <rFont val="Tahoma"/>
            <charset val="177"/>
          </rPr>
          <t>יניב שפירא:</t>
        </r>
        <r>
          <rPr>
            <sz val="9"/>
            <color indexed="81"/>
            <rFont val="Tahoma"/>
            <charset val="177"/>
          </rPr>
          <t xml:space="preserve">
post Kippur</t>
        </r>
      </text>
    </comment>
    <comment ref="AG1" authorId="0" shapeId="0" xr:uid="{606C5549-2579-40A2-9DD4-34644797D351}">
      <text>
        <r>
          <rPr>
            <b/>
            <sz val="9"/>
            <color indexed="81"/>
            <rFont val="Tahoma"/>
            <charset val="177"/>
          </rPr>
          <t>יניב שפירא:</t>
        </r>
        <r>
          <rPr>
            <sz val="9"/>
            <color indexed="81"/>
            <rFont val="Tahoma"/>
            <charset val="177"/>
          </rPr>
          <t xml:space="preserve">
pre + post election</t>
        </r>
      </text>
    </comment>
    <comment ref="E2" authorId="0" shapeId="0" xr:uid="{CD0CBEE0-6DEF-4A53-BF26-13557163A881}">
      <text>
        <r>
          <rPr>
            <b/>
            <sz val="9"/>
            <color indexed="81"/>
            <rFont val="Tahoma"/>
            <charset val="177"/>
          </rPr>
          <t>יניב שפירא:</t>
        </r>
        <r>
          <rPr>
            <sz val="9"/>
            <color indexed="81"/>
            <rFont val="Tahoma"/>
            <charset val="177"/>
          </rPr>
          <t xml:space="preserve">
1 = טוב מאוד
2 = טוב
3 = ככה ככה
4 = לא טוב
5 = רע</t>
        </r>
      </text>
    </comment>
    <comment ref="M2" authorId="0" shapeId="0" xr:uid="{97111619-157A-4D2D-BADF-C66DF284F524}">
      <text>
        <r>
          <rPr>
            <b/>
            <sz val="9"/>
            <color indexed="81"/>
            <rFont val="Tahoma"/>
            <charset val="177"/>
          </rPr>
          <t>יניב שפירא:</t>
        </r>
        <r>
          <rPr>
            <sz val="9"/>
            <color indexed="81"/>
            <rFont val="Tahoma"/>
            <charset val="177"/>
          </rPr>
          <t xml:space="preserve">
1 = רע
2 = לא טוב
3 = ככה ככה
4 = טוב
5 = טוב מאוד</t>
        </r>
      </text>
    </comment>
    <comment ref="N2" authorId="0" shapeId="0" xr:uid="{482303F1-6B15-44C2-ACE9-454FD550094F}">
      <text>
        <r>
          <rPr>
            <b/>
            <sz val="9"/>
            <color indexed="81"/>
            <rFont val="Tahoma"/>
            <charset val="177"/>
          </rPr>
          <t>יניב שפירא:</t>
        </r>
        <r>
          <rPr>
            <sz val="9"/>
            <color indexed="81"/>
            <rFont val="Tahoma"/>
            <charset val="177"/>
          </rPr>
          <t xml:space="preserve">
1 = טוב מאד
2 = טוב
3 = ככה ככה
4 = לא טוב
5 = רע</t>
        </r>
      </text>
    </comment>
    <comment ref="G3" authorId="0" shapeId="0" xr:uid="{AE84D631-CDDF-4A22-BBCB-0A0EA17926A1}">
      <text>
        <r>
          <rPr>
            <b/>
            <sz val="9"/>
            <color indexed="81"/>
            <rFont val="Tahoma"/>
            <charset val="177"/>
          </rPr>
          <t>יניב שפירא:</t>
        </r>
        <r>
          <rPr>
            <sz val="9"/>
            <color indexed="81"/>
            <rFont val="Tahoma"/>
            <charset val="177"/>
          </rPr>
          <t xml:space="preserve">
1 = מטפלת בדרך טובה מאד
2 = מטפלת בדרך טובה
3 = מטפלת בדרך לא כ"כ טובה
4 = מטפלת בדרך לא טובה כלל</t>
        </r>
      </text>
    </comment>
    <comment ref="M3" authorId="0" shapeId="0" xr:uid="{55D44756-1959-4559-A8D5-E3E0A8321FB4}">
      <text>
        <r>
          <rPr>
            <b/>
            <sz val="9"/>
            <color indexed="81"/>
            <rFont val="Tahoma"/>
            <charset val="177"/>
          </rPr>
          <t>יניב שפירא:</t>
        </r>
        <r>
          <rPr>
            <sz val="9"/>
            <color indexed="81"/>
            <rFont val="Tahoma"/>
            <charset val="177"/>
          </rPr>
          <t xml:space="preserve">
1 = לא טובה כלל
2 = בדרך לא כ"כ טובה
3 = בדרך טובה
4 = בדרך טובה מאוד</t>
        </r>
      </text>
    </comment>
    <comment ref="N3" authorId="0" shapeId="0" xr:uid="{8DF8DA0A-C479-4529-B828-9CC02B7BA487}">
      <text>
        <r>
          <rPr>
            <b/>
            <sz val="9"/>
            <color indexed="81"/>
            <rFont val="Tahoma"/>
            <charset val="177"/>
          </rPr>
          <t>יניב שפירא:</t>
        </r>
        <r>
          <rPr>
            <sz val="9"/>
            <color indexed="81"/>
            <rFont val="Tahoma"/>
            <charset val="177"/>
          </rPr>
          <t xml:space="preserve">
1 = בדרך טובה מאד
2 = בדרך טובה
3 = לא כ"כ טובה
4 = לא טובה בכלל</t>
        </r>
      </text>
    </comment>
    <comment ref="C4" authorId="1" shapeId="0" xr:uid="{808B10FF-163F-487C-BE37-20AECDF2A705}">
      <text>
        <r>
          <rPr>
            <b/>
            <sz val="9"/>
            <color indexed="81"/>
            <rFont val="Tahoma"/>
          </rPr>
          <t>adi:</t>
        </r>
        <r>
          <rPr>
            <sz val="9"/>
            <color indexed="81"/>
            <rFont val="Tahoma"/>
          </rPr>
          <t xml:space="preserve">
קידוד 1-103</t>
        </r>
      </text>
    </comment>
    <comment ref="E4" authorId="0" shapeId="0" xr:uid="{15D9341C-FE8E-4C8B-A9D5-D7FD4612F848}">
      <text>
        <r>
          <rPr>
            <b/>
            <sz val="9"/>
            <color indexed="81"/>
            <rFont val="Tahoma"/>
            <charset val="177"/>
          </rPr>
          <t>יניב שפירא:</t>
        </r>
        <r>
          <rPr>
            <sz val="9"/>
            <color indexed="81"/>
            <rFont val="Tahoma"/>
            <charset val="177"/>
          </rPr>
          <t xml:space="preserve">
קידוד
1-72</t>
        </r>
      </text>
    </comment>
    <comment ref="F4" authorId="0" shapeId="0" xr:uid="{A77CA6D3-89F5-4296-B1E8-92ED88B2FCED}">
      <text>
        <r>
          <rPr>
            <b/>
            <sz val="9"/>
            <color indexed="81"/>
            <rFont val="Tahoma"/>
            <family val="2"/>
          </rPr>
          <t>יניב שפירא:</t>
        </r>
        <r>
          <rPr>
            <sz val="9"/>
            <color indexed="81"/>
            <rFont val="Tahoma"/>
            <family val="2"/>
          </rPr>
          <t xml:space="preserve">
אפשר לתת 2 תשובות
c8_code1
c8_code2</t>
        </r>
      </text>
    </comment>
    <comment ref="G4" authorId="0" shapeId="0" xr:uid="{E314C122-CECE-454F-B3D3-95B04B708A24}">
      <text>
        <r>
          <rPr>
            <b/>
            <sz val="9"/>
            <color indexed="81"/>
            <rFont val="Tahoma"/>
            <charset val="177"/>
          </rPr>
          <t>יניב שפירא:</t>
        </r>
        <r>
          <rPr>
            <sz val="9"/>
            <color indexed="81"/>
            <rFont val="Tahoma"/>
            <charset val="177"/>
          </rPr>
          <t xml:space="preserve">
אפשר לתת שתי תשובות
v8_code_1
v8_code_2</t>
        </r>
      </text>
    </comment>
    <comment ref="T4" authorId="0" shapeId="0" xr:uid="{AB802C73-EC77-4CE0-8CFC-9B9A9FC83418}">
      <text>
        <r>
          <rPr>
            <b/>
            <sz val="9"/>
            <color indexed="81"/>
            <rFont val="Tahoma"/>
            <charset val="177"/>
          </rPr>
          <t>יניב שפירא:</t>
        </r>
        <r>
          <rPr>
            <sz val="9"/>
            <color indexed="81"/>
            <rFont val="Tahoma"/>
            <charset val="177"/>
          </rPr>
          <t xml:space="preserve">
1 = בטחון
2 = כלכלה
3 = פער חברתי
4 = שלום
5 = זוגות צעירים
6 = אינפלציה
7 = קליטת עולים
8 = חינוך
9 = חוסר מנהיגות
10 = אחר</t>
        </r>
      </text>
    </comment>
    <comment ref="AA4" authorId="0" shapeId="0" xr:uid="{A29E9761-98EE-49B1-8AFE-FC2A48728639}">
      <text>
        <r>
          <rPr>
            <b/>
            <sz val="9"/>
            <color indexed="81"/>
            <rFont val="Tahoma"/>
            <charset val="177"/>
          </rPr>
          <t>יניב שפירא:</t>
        </r>
        <r>
          <rPr>
            <sz val="9"/>
            <color indexed="81"/>
            <rFont val="Tahoma"/>
            <charset val="177"/>
          </rPr>
          <t xml:space="preserve">
1 = בטחון
2 = כלכלה
3 = פער חברתי
4 = שלום
5 = זוגות צעירים
6 = שינוי שיטת הבחירות
7 = קליטת עליה
8 = חינוך
9 = אחר</t>
        </r>
      </text>
    </comment>
    <comment ref="AC4" authorId="0" shapeId="0" xr:uid="{78F334A4-B43A-48FF-AE47-B44A8E7F7A32}">
      <text>
        <r>
          <rPr>
            <b/>
            <sz val="9"/>
            <color indexed="81"/>
            <rFont val="Tahoma"/>
            <charset val="177"/>
          </rPr>
          <t>יניב שפירא:</t>
        </r>
        <r>
          <rPr>
            <sz val="9"/>
            <color indexed="81"/>
            <rFont val="Tahoma"/>
            <charset val="177"/>
          </rPr>
          <t xml:space="preserve">
1 = בטחון
2 = שלום
3 = כלכלה
4 = עליה וקליטה
5 = חינוך
6 = הפער החברתי
7 = שיכון זוגות צעירים
8 = בעיות פנים</t>
        </r>
      </text>
    </comment>
    <comment ref="AH4" authorId="0" shapeId="0" xr:uid="{274FBC11-3A65-4B3C-8FA0-0E527609490E}">
      <text>
        <r>
          <rPr>
            <b/>
            <sz val="9"/>
            <color indexed="81"/>
            <rFont val="Tahoma"/>
            <family val="2"/>
          </rPr>
          <t>יניב שפירא:</t>
        </r>
        <r>
          <rPr>
            <sz val="9"/>
            <color indexed="81"/>
            <rFont val="Tahoma"/>
            <family val="2"/>
          </rPr>
          <t xml:space="preserve">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r>
      </text>
    </comment>
    <comment ref="AE7" authorId="0" shapeId="0" xr:uid="{C350210D-97DF-45D7-8594-B2349A2E6497}">
      <text>
        <r>
          <rPr>
            <b/>
            <sz val="9"/>
            <color indexed="81"/>
            <rFont val="Tahoma"/>
            <charset val="177"/>
          </rPr>
          <t>יניב שפירא:</t>
        </r>
        <r>
          <rPr>
            <sz val="9"/>
            <color indexed="81"/>
            <rFont val="Tahoma"/>
            <charset val="177"/>
          </rPr>
          <t xml:space="preserve">
1 = תפתור בקרוב את שתיהן
2 = תפתור בקרוב רק את הראשונה
3 = תפתור בקרוב רק את השנייה
4 = לא תפתור שום בעיה בקרוב</t>
        </r>
      </text>
    </comment>
    <comment ref="N8" authorId="0" shapeId="0" xr:uid="{41C427DF-BCB7-4700-B856-D4578AC9FA4F}">
      <text>
        <r>
          <rPr>
            <b/>
            <sz val="9"/>
            <color indexed="81"/>
            <rFont val="Tahoma"/>
            <charset val="177"/>
          </rPr>
          <t>יניב שפירא:</t>
        </r>
        <r>
          <rPr>
            <sz val="9"/>
            <color indexed="81"/>
            <rFont val="Tahoma"/>
            <charset val="177"/>
          </rPr>
          <t xml:space="preserve">
1 = נתניהו
2 = ברק
3 = מרדכי
4 = בגין
5 = בשארה
6 = רפול
7 = אף אחד
8 = אין הבדל</t>
        </r>
      </text>
    </comment>
    <comment ref="O8" authorId="0" shapeId="0" xr:uid="{4FFB7CB0-6D44-4E88-BA7F-EE07F3B4BC1B}">
      <text>
        <r>
          <rPr>
            <b/>
            <sz val="9"/>
            <color indexed="81"/>
            <rFont val="Tahoma"/>
            <charset val="177"/>
          </rPr>
          <t>יניב שפירא:</t>
        </r>
        <r>
          <rPr>
            <sz val="9"/>
            <color indexed="81"/>
            <rFont val="Tahoma"/>
            <charset val="177"/>
          </rPr>
          <t xml:space="preserve">
1 = נתניהו
2 = פרס
3 = אותו דבר
4 = אף אחד</t>
        </r>
      </text>
    </comment>
    <comment ref="U8" authorId="0" shapeId="0" xr:uid="{DBC3B93C-C66C-4665-96B5-AA9D705B776C}">
      <text>
        <r>
          <rPr>
            <b/>
            <sz val="9"/>
            <color indexed="81"/>
            <rFont val="Tahoma"/>
            <charset val="177"/>
          </rPr>
          <t>יניב שפירא:</t>
        </r>
        <r>
          <rPr>
            <sz val="9"/>
            <color indexed="81"/>
            <rFont val="Tahoma"/>
            <charset val="177"/>
          </rPr>
          <t xml:space="preserve">
1 = פרס
2 = בגין</t>
        </r>
      </text>
    </comment>
    <comment ref="T11" authorId="0" shapeId="0" xr:uid="{369E7753-956F-498B-9ACA-CA205ADDF5CA}">
      <text>
        <r>
          <rPr>
            <b/>
            <sz val="9"/>
            <color indexed="81"/>
            <rFont val="Tahoma"/>
            <charset val="177"/>
          </rPr>
          <t>יניב שפירא:</t>
        </r>
        <r>
          <rPr>
            <sz val="9"/>
            <color indexed="81"/>
            <rFont val="Tahoma"/>
            <charset val="177"/>
          </rPr>
          <t xml:space="preserve">
1 = המערך
2 = הליכוד
3 = שניהם אותו דבר
4 = אף אחד מהם</t>
        </r>
      </text>
    </comment>
    <comment ref="A12" authorId="0" shapeId="0" xr:uid="{74582B6E-A16C-4A46-BF1B-F3B7FAB0D8CC}">
      <text>
        <r>
          <rPr>
            <b/>
            <sz val="9"/>
            <color indexed="81"/>
            <rFont val="Tahoma"/>
            <family val="2"/>
          </rPr>
          <t>יניב שפירא:</t>
        </r>
        <r>
          <rPr>
            <sz val="9"/>
            <color indexed="81"/>
            <rFont val="Tahoma"/>
            <family val="2"/>
          </rPr>
          <t xml:space="preserve">
אין קידוד
גם ב2020 וגם ב2021</t>
        </r>
      </text>
    </comment>
    <comment ref="E12" authorId="0" shapeId="0" xr:uid="{09417B47-4D55-4CDE-BE90-29C616FF392E}">
      <text>
        <r>
          <rPr>
            <b/>
            <sz val="9"/>
            <color indexed="81"/>
            <rFont val="Tahoma"/>
            <family val="2"/>
          </rPr>
          <t>יניב שפירא:</t>
        </r>
        <r>
          <rPr>
            <sz val="9"/>
            <color indexed="81"/>
            <rFont val="Tahoma"/>
            <family val="2"/>
          </rPr>
          <t xml:space="preserve">
1 = שחיתות
2 = פוליטיקאים שלא מקיימים הבטחות
3 = גורמים שמתערבים בבחירות כך שהתוצאות לא מייצגות את רצון הבוחר
4 = שיטת הבחירות שמעוותת את רצון הבוחרים</t>
        </r>
      </text>
    </comment>
    <comment ref="E13" authorId="0" shapeId="0" xr:uid="{B98FBBE9-E482-41CC-B920-4D1A490982E6}">
      <text>
        <r>
          <rPr>
            <b/>
            <sz val="9"/>
            <color indexed="81"/>
            <rFont val="Tahoma"/>
            <family val="2"/>
          </rPr>
          <t>יניב שפירא:</t>
        </r>
        <r>
          <rPr>
            <sz val="9"/>
            <color indexed="81"/>
            <rFont val="Tahoma"/>
            <family val="2"/>
          </rPr>
          <t xml:space="preserve">
1-10
1 = כלל לא מרוצה
10 = מרוצה לגמרי</t>
        </r>
      </text>
    </comment>
    <comment ref="A14" authorId="0" shapeId="0" xr:uid="{75163956-48EC-4323-BFF2-FC6AF65A2933}">
      <text>
        <r>
          <rPr>
            <b/>
            <sz val="9"/>
            <color indexed="81"/>
            <rFont val="Tahoma"/>
            <family val="2"/>
          </rPr>
          <t>יניב שפירא:</t>
        </r>
        <r>
          <rPr>
            <sz val="9"/>
            <color indexed="81"/>
            <rFont val="Tahoma"/>
            <family val="2"/>
          </rPr>
          <t xml:space="preserve">
שאלות 12A-14A בפוסט בחירות 2019 לא מקודדות בstata</t>
        </r>
      </text>
    </comment>
    <comment ref="C14" authorId="1" shapeId="0" xr:uid="{760B8CCE-344D-44DB-ACC2-5A203FE27D3E}">
      <text>
        <r>
          <rPr>
            <b/>
            <sz val="9"/>
            <color indexed="81"/>
            <rFont val="Tahoma"/>
            <family val="2"/>
          </rPr>
          <t>adi:</t>
        </r>
        <r>
          <rPr>
            <sz val="9"/>
            <color indexed="81"/>
            <rFont val="Tahoma"/>
            <family val="2"/>
          </rPr>
          <t xml:space="preserve">
שאלות 709-711 לא מקודדות בנתונים</t>
        </r>
      </text>
    </comment>
    <comment ref="C15" authorId="1" shapeId="0" xr:uid="{724D065A-5451-405C-9020-7B8A333A6A55}">
      <text>
        <r>
          <rPr>
            <b/>
            <sz val="9"/>
            <color indexed="81"/>
            <rFont val="Tahoma"/>
            <family val="2"/>
          </rPr>
          <t>adi:</t>
        </r>
        <r>
          <rPr>
            <sz val="9"/>
            <color indexed="81"/>
            <rFont val="Tahoma"/>
            <family val="2"/>
          </rPr>
          <t xml:space="preserve">
שאלות 709-711 לא מקודדות בנתונים</t>
        </r>
      </text>
    </comment>
    <comment ref="C16" authorId="1" shapeId="0" xr:uid="{9FF05446-D8FD-430B-8AF9-0413478B8BF1}">
      <text>
        <r>
          <rPr>
            <b/>
            <sz val="9"/>
            <color indexed="81"/>
            <rFont val="Tahoma"/>
            <family val="2"/>
          </rPr>
          <t>adi:</t>
        </r>
        <r>
          <rPr>
            <sz val="9"/>
            <color indexed="81"/>
            <rFont val="Tahoma"/>
            <family val="2"/>
          </rPr>
          <t xml:space="preserve">
שאלות 709-711 לא מקודדות בנתונים</t>
        </r>
      </text>
    </comment>
    <comment ref="H17" authorId="0" shapeId="0" xr:uid="{AD40D9D2-798F-45A9-8D78-631074A4BE79}">
      <text>
        <r>
          <rPr>
            <b/>
            <sz val="9"/>
            <color indexed="81"/>
            <rFont val="Tahoma"/>
            <family val="2"/>
          </rPr>
          <t>יניב שפירא:</t>
        </r>
        <r>
          <rPr>
            <sz val="9"/>
            <color indexed="81"/>
            <rFont val="Tahoma"/>
            <family val="2"/>
          </rPr>
          <t xml:space="preserve">
1 = בהחלט לא מסכים
2 = לא מסכים
3 = מסכים
4 = מסכים מאד</t>
        </r>
      </text>
    </comment>
    <comment ref="I18" authorId="0" shapeId="0" xr:uid="{2E15B27C-0A39-4AE6-B6A6-4623F0956229}">
      <text>
        <r>
          <rPr>
            <b/>
            <sz val="9"/>
            <color indexed="81"/>
            <rFont val="Tahoma"/>
            <family val="2"/>
          </rPr>
          <t>יניב שפירא:</t>
        </r>
        <r>
          <rPr>
            <sz val="9"/>
            <color indexed="81"/>
            <rFont val="Tahoma"/>
            <family val="2"/>
          </rPr>
          <t xml:space="preserve">
1 = בהחלט לא מסכים
2 = לא מסכים
3 = מסכים
4 = מסכים מאד</t>
        </r>
      </text>
    </comment>
    <comment ref="H19" authorId="0" shapeId="0" xr:uid="{EF61D838-2ACB-411B-BB1A-23097E752D04}">
      <text>
        <r>
          <rPr>
            <b/>
            <sz val="9"/>
            <color indexed="81"/>
            <rFont val="Tahoma"/>
            <charset val="177"/>
          </rPr>
          <t>יניב שפירא:</t>
        </r>
        <r>
          <rPr>
            <sz val="9"/>
            <color indexed="81"/>
            <rFont val="Tahoma"/>
            <charset val="177"/>
          </rPr>
          <t xml:space="preserve">
1 = שמירה על כלכלה יציבה
2 = יצירה של סביבה אנושית יותר, שמדגישה יותר יחסי אנוש
3 = יצירת סביבה בה רעיונות נחשבים יותר מכסף
4 = מלחמה בפשע</t>
        </r>
      </text>
    </comment>
    <comment ref="J21" authorId="0" shapeId="0" xr:uid="{75F0FE1A-125B-4E58-84E4-6EFAD202EAE9}">
      <text>
        <r>
          <rPr>
            <b/>
            <sz val="9"/>
            <color indexed="81"/>
            <rFont val="Tahoma"/>
            <family val="2"/>
          </rPr>
          <t>יניב שפירא:</t>
        </r>
        <r>
          <rPr>
            <sz val="9"/>
            <color indexed="81"/>
            <rFont val="Tahoma"/>
            <family val="2"/>
          </rPr>
          <t xml:space="preserve">
סולם 1-9
1 = מצב גרוע ביותר
9 = מצב טוב ביותר</t>
        </r>
      </text>
    </comment>
    <comment ref="U21" authorId="0" shapeId="0" xr:uid="{C05BABB7-F35D-4237-9862-54ED835BB6E0}">
      <text>
        <r>
          <rPr>
            <b/>
            <sz val="9"/>
            <color indexed="81"/>
            <rFont val="Tahoma"/>
            <family val="2"/>
          </rPr>
          <t>יניב שפירא:</t>
        </r>
        <r>
          <rPr>
            <sz val="9"/>
            <color indexed="81"/>
            <rFont val="Tahoma"/>
            <family val="2"/>
          </rPr>
          <t xml:space="preserve">
ארבע שנים ולא חמש
סולם 1-10
1 = החיים הטובים ביותר
10 = החיים הגרועים ביותר</t>
        </r>
      </text>
    </comment>
    <comment ref="W21" authorId="0" shapeId="0" xr:uid="{A7F4E0BD-9BE9-4B9A-9E97-E972EC730F13}">
      <text>
        <r>
          <rPr>
            <b/>
            <sz val="9"/>
            <color indexed="81"/>
            <rFont val="Tahoma"/>
            <charset val="177"/>
          </rPr>
          <t>יניב שפירא:</t>
        </r>
        <r>
          <rPr>
            <sz val="9"/>
            <color indexed="81"/>
            <rFont val="Tahoma"/>
            <charset val="177"/>
          </rPr>
          <t xml:space="preserve">
ארבע שנים ולא חמש
סולם 1-10
1 = החיים הטובים ביותר
10 = החיים הגרועים ביותר</t>
        </r>
      </text>
    </comment>
    <comment ref="AH21" authorId="0" shapeId="0" xr:uid="{7FA6E3C8-65FC-4E4C-B62D-AE6F6AC19E8B}">
      <text>
        <r>
          <rPr>
            <b/>
            <sz val="9"/>
            <color indexed="81"/>
            <rFont val="Tahoma"/>
            <charset val="177"/>
          </rPr>
          <t>יניב שפירא:</t>
        </r>
        <r>
          <rPr>
            <sz val="9"/>
            <color indexed="81"/>
            <rFont val="Tahoma"/>
            <charset val="177"/>
          </rPr>
          <t xml:space="preserve">
סולם 0-10
0 = המצב הגרוע ביותר
10 = המצב הטוב ביותר</t>
        </r>
      </text>
    </comment>
    <comment ref="AE24" authorId="0" shapeId="0" xr:uid="{BC337B1A-CDF0-4FD5-ABBA-823144447749}">
      <text>
        <r>
          <rPr>
            <b/>
            <sz val="9"/>
            <color indexed="81"/>
            <rFont val="Tahoma"/>
            <charset val="177"/>
          </rPr>
          <t>יניב שפירא:</t>
        </r>
        <r>
          <rPr>
            <sz val="9"/>
            <color indexed="81"/>
            <rFont val="Tahoma"/>
            <charset val="177"/>
          </rPr>
          <t xml:space="preserve">
1 = תשנה את מצבי באופן אישי
2 = תשנה את המצב במדינה ולכן זה ישנה את מצבי
3 = לא תשנה את מצבי</t>
        </r>
      </text>
    </comment>
    <comment ref="C25" authorId="1" shapeId="0" xr:uid="{9B732C11-3445-4C67-8143-FBC9F2C9676C}">
      <text>
        <r>
          <rPr>
            <b/>
            <sz val="9"/>
            <color indexed="81"/>
            <rFont val="Tahoma"/>
          </rPr>
          <t>adi:</t>
        </r>
        <r>
          <rPr>
            <sz val="9"/>
            <color indexed="81"/>
            <rFont val="Tahoma"/>
          </rPr>
          <t xml:space="preserve">
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r>
      </text>
    </comment>
    <comment ref="M25" authorId="0" shapeId="0" xr:uid="{CDDA36A0-EABA-4628-B07B-0235259F00B7}">
      <text>
        <r>
          <rPr>
            <b/>
            <sz val="9"/>
            <color indexed="81"/>
            <rFont val="Tahoma"/>
            <family val="2"/>
          </rPr>
          <t>יניב שפירא:</t>
        </r>
        <r>
          <rPr>
            <sz val="9"/>
            <color indexed="81"/>
            <rFont val="Tahoma"/>
            <family val="2"/>
          </rPr>
          <t xml:space="preserve">
1 = מתנגד מאד
2 = מתנגד במידה מסוימת
3 = תומך במידה מסוימת
4 = תומך מאד</t>
        </r>
      </text>
    </comment>
    <comment ref="N25" authorId="0" shapeId="0" xr:uid="{BF551F37-E7FA-47DD-AA7E-359D22E92093}">
      <text>
        <r>
          <rPr>
            <b/>
            <sz val="9"/>
            <color indexed="81"/>
            <rFont val="Tahoma"/>
            <family val="2"/>
          </rPr>
          <t>יניב שפירא:</t>
        </r>
        <r>
          <rPr>
            <sz val="9"/>
            <color indexed="81"/>
            <rFont val="Tahoma"/>
            <family val="2"/>
          </rPr>
          <t xml:space="preserve">
1 = תומך מאד
2 = תומך במידה מסוימת
3 = מתנגד במידה מסוימת
4 = מתנגד מאד</t>
        </r>
      </text>
    </comment>
    <comment ref="N26" authorId="0" shapeId="0" xr:uid="{F158EAA8-D2E2-47C7-9EBE-44CEAD4B2F63}">
      <text>
        <r>
          <rPr>
            <b/>
            <sz val="9"/>
            <color indexed="81"/>
            <rFont val="Tahoma"/>
            <family val="2"/>
          </rPr>
          <t>יניב שפירא:</t>
        </r>
        <r>
          <rPr>
            <sz val="9"/>
            <color indexed="81"/>
            <rFont val="Tahoma"/>
            <family val="2"/>
          </rPr>
          <t xml:space="preserve">
1 = האינטרסים של המדינה חשובים יותר
2 = באותה מידה
3 = האינטרסים של הפרט חשובים יותר</t>
        </r>
      </text>
    </comment>
    <comment ref="U26" authorId="0" shapeId="0" xr:uid="{E310CB1D-6DBF-4ECC-9696-BCD4FDC79B1A}">
      <text>
        <r>
          <rPr>
            <b/>
            <sz val="9"/>
            <color indexed="81"/>
            <rFont val="Tahoma"/>
            <family val="2"/>
          </rPr>
          <t>יניב שפירא:</t>
        </r>
        <r>
          <rPr>
            <sz val="9"/>
            <color indexed="81"/>
            <rFont val="Tahoma"/>
            <family val="2"/>
          </rPr>
          <t xml:space="preserve">
1 = של המדינה חשובים הרבה יותר
2 = של המדינה חשובים יותר
3 = באותה מידה
4 = של הפרט חשובים יותר
5 = של הפרט חשובים הרבה יותר</t>
        </r>
      </text>
    </comment>
    <comment ref="AH26" authorId="0" shapeId="0" xr:uid="{62946522-CBF6-40DC-A918-DB8E8669E796}">
      <text>
        <r>
          <rPr>
            <b/>
            <sz val="9"/>
            <color indexed="81"/>
            <rFont val="Tahoma"/>
            <family val="2"/>
          </rPr>
          <t>יניב שפירא:</t>
        </r>
        <r>
          <rPr>
            <sz val="9"/>
            <color indexed="81"/>
            <rFont val="Tahoma"/>
            <family val="2"/>
          </rPr>
          <t xml:space="preserve">
1 = אינטרס כללי בהחלט חשוב יותר
2 = אינטרס כללי אולי חשוב יותר
3 = חשובים באותה מידה
4 = אינטרס אישי אולי חשוב יותר
5 = אינטרס אישי בהחלט חשוב יותר</t>
        </r>
      </text>
    </comment>
    <comment ref="O27" authorId="0" shapeId="0" xr:uid="{C0E11A65-3404-418A-A244-AA9F8BFB9373}">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O28" authorId="0" shapeId="0" xr:uid="{62331610-155A-47C5-B803-8F057486A65C}">
      <text>
        <r>
          <rPr>
            <b/>
            <sz val="9"/>
            <color indexed="81"/>
            <rFont val="Tahoma"/>
            <family val="2"/>
          </rPr>
          <t>יניב שפירא:</t>
        </r>
        <r>
          <rPr>
            <sz val="9"/>
            <color indexed="81"/>
            <rFont val="Tahoma"/>
            <family val="2"/>
          </rPr>
          <t xml:space="preserve">
1 = אפשר להשיג הכל בו זמנית
2 = אי אפשר להשיג הכל בו זמנית</t>
        </r>
      </text>
    </comment>
    <comment ref="O29" authorId="0" shapeId="0" xr:uid="{BB4C4F58-764C-498F-A672-88527021FFFA}">
      <text>
        <r>
          <rPr>
            <b/>
            <sz val="9"/>
            <color indexed="81"/>
            <rFont val="Tahoma"/>
            <family val="2"/>
          </rPr>
          <t>יניב שפירא:</t>
        </r>
        <r>
          <rPr>
            <sz val="9"/>
            <color indexed="81"/>
            <rFont val="Tahoma"/>
            <family val="2"/>
          </rPr>
          <t xml:space="preserve">
1 = בכלל לא
2 = במסגרת העבודה בלבד
3 = יש, ידיד אחד או שניים
4 = יש, קשרים רבים</t>
        </r>
      </text>
    </comment>
    <comment ref="P30" authorId="0" shapeId="0" xr:uid="{088FBE51-B3D7-4B4B-BAB2-F18D88B6C1C2}">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P32" authorId="0" shapeId="0" xr:uid="{C56C00D0-0058-4842-A6CF-A53B0A7BF10C}">
      <text>
        <r>
          <rPr>
            <b/>
            <sz val="9"/>
            <color indexed="81"/>
            <rFont val="Tahoma"/>
            <family val="2"/>
          </rPr>
          <t>יניב שפירא:</t>
        </r>
        <r>
          <rPr>
            <sz val="9"/>
            <color indexed="81"/>
            <rFont val="Tahoma"/>
            <family val="2"/>
          </rPr>
          <t xml:space="preserve">
1 = סיכוי גבוה
2 = סיכוי נמוך</t>
        </r>
      </text>
    </comment>
    <comment ref="Q34" authorId="0" shapeId="0" xr:uid="{992F56D3-5785-473F-9E9A-069612D96718}">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Q39" authorId="0" shapeId="0" xr:uid="{F3D57C82-FDC8-4477-A733-7C8205CDDA1B}">
      <text>
        <r>
          <rPr>
            <b/>
            <sz val="9"/>
            <color indexed="81"/>
            <rFont val="Tahoma"/>
            <family val="2"/>
          </rPr>
          <t>יניב שפירא:</t>
        </r>
        <r>
          <rPr>
            <sz val="9"/>
            <color indexed="81"/>
            <rFont val="Tahoma"/>
            <family val="2"/>
          </rPr>
          <t xml:space="preserve">
1 = מאמין בהחלט
2 = מאמין אך לא בטוח
3 = מטיל ספק
4 = בהחלט לא מאמין</t>
        </r>
      </text>
    </comment>
    <comment ref="Q40" authorId="0" shapeId="0" xr:uid="{C5D387E5-16E7-4DBD-AD95-B741B095B9C0}">
      <text>
        <r>
          <rPr>
            <b/>
            <sz val="9"/>
            <color indexed="81"/>
            <rFont val="Tahoma"/>
            <family val="2"/>
          </rPr>
          <t>יניב שפירא:</t>
        </r>
        <r>
          <rPr>
            <sz val="9"/>
            <color indexed="81"/>
            <rFont val="Tahoma"/>
            <family val="2"/>
          </rPr>
          <t xml:space="preserve">
1 = צודק
2 = לא צודק</t>
        </r>
      </text>
    </comment>
    <comment ref="Q41" authorId="0" shapeId="0" xr:uid="{4FC057DA-E9E8-42A1-BFAB-4015394EBDB5}">
      <text>
        <r>
          <rPr>
            <b/>
            <sz val="9"/>
            <color indexed="81"/>
            <rFont val="Tahoma"/>
            <family val="2"/>
          </rPr>
          <t>יניב שפירא:</t>
        </r>
        <r>
          <rPr>
            <sz val="9"/>
            <color indexed="81"/>
            <rFont val="Tahoma"/>
            <family val="2"/>
          </rPr>
          <t xml:space="preserve">
1 = בדר"כ ביעילות
2 = בדר"כ לא ביעילות</t>
        </r>
      </text>
    </comment>
    <comment ref="Q42" authorId="0" shapeId="0" xr:uid="{40AC8108-076C-43B6-BCBC-B20D68E71C60}">
      <text>
        <r>
          <rPr>
            <b/>
            <sz val="9"/>
            <color indexed="81"/>
            <rFont val="Tahoma"/>
            <family val="2"/>
          </rPr>
          <t>יניב שפירא:</t>
        </r>
        <r>
          <rPr>
            <sz val="9"/>
            <color indexed="81"/>
            <rFont val="Tahoma"/>
            <family val="2"/>
          </rPr>
          <t xml:space="preserve">
1 = ארוך מדי
2 = במידה הנכונה
3 = קצר מדי</t>
        </r>
      </text>
    </comment>
    <comment ref="Q43" authorId="0" shapeId="0" xr:uid="{9215409E-1CF8-49F8-9E5F-A82525DE0DF5}">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Q52" authorId="0" shapeId="0" xr:uid="{397B2F57-24C8-4C6F-91D5-9D7E034A3A21}">
      <text>
        <r>
          <rPr>
            <b/>
            <sz val="9"/>
            <color indexed="81"/>
            <rFont val="Tahoma"/>
            <family val="2"/>
          </rPr>
          <t>יניב שפירא:</t>
        </r>
        <r>
          <rPr>
            <sz val="9"/>
            <color indexed="81"/>
            <rFont val="Tahoma"/>
            <family val="2"/>
          </rPr>
          <t xml:space="preserve">
1 = אלוהים
2 = צה"ל
3 = ארה"ב
4 = מדינת ישראל
5 = עם ישראל
6 = כל אחד צריך לשמור על עצמו
7 = אחר</t>
        </r>
      </text>
    </comment>
    <comment ref="Q53" authorId="0" shapeId="0" xr:uid="{BF58CB4F-DA2F-4DE9-B15D-4E2357FF8CD3}">
      <text>
        <r>
          <rPr>
            <b/>
            <sz val="9"/>
            <color indexed="81"/>
            <rFont val="Tahoma"/>
            <family val="2"/>
          </rPr>
          <t>יניב שפירא:</t>
        </r>
        <r>
          <rPr>
            <sz val="9"/>
            <color indexed="81"/>
            <rFont val="Tahoma"/>
            <family val="2"/>
          </rPr>
          <t xml:space="preserve">
1 = למכור לכל המעוניין
2 = למכור לכל מדינה, פרט למדינות עוינות
3 = למכור רק למדינות שהמשטר שלהם נראה לנו
4 = לא למכור נשק כלל</t>
        </r>
      </text>
    </comment>
    <comment ref="Q54" authorId="0" shapeId="0" xr:uid="{B4F2EB66-1BAC-4768-94CE-62DB17E90709}">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Q58" authorId="0" shapeId="0" xr:uid="{FF15A3C5-C829-43E2-B77D-4A9CB4D4A502}">
      <text>
        <r>
          <rPr>
            <b/>
            <sz val="9"/>
            <color indexed="81"/>
            <rFont val="Tahoma"/>
            <family val="2"/>
          </rPr>
          <t>יניב שפירא:</t>
        </r>
        <r>
          <rPr>
            <sz val="9"/>
            <color indexed="81"/>
            <rFont val="Tahoma"/>
            <family val="2"/>
          </rPr>
          <t xml:space="preserve">
1 = אפשר לתת אמון
2 = יש להיות זהירים</t>
        </r>
      </text>
    </comment>
    <comment ref="Q59" authorId="0" shapeId="0" xr:uid="{509767BB-2466-4E07-A293-AF66623FD208}">
      <text>
        <r>
          <rPr>
            <b/>
            <sz val="9"/>
            <color indexed="81"/>
            <rFont val="Tahoma"/>
            <family val="2"/>
          </rPr>
          <t>יניב שפירא:</t>
        </r>
        <r>
          <rPr>
            <sz val="9"/>
            <color indexed="81"/>
            <rFont val="Tahoma"/>
            <family val="2"/>
          </rPr>
          <t xml:space="preserve">
1 = נוטים יותר לעזור
2 = נוטים לדאוג לעצמם</t>
        </r>
      </text>
    </comment>
    <comment ref="Q60" authorId="0" shapeId="0" xr:uid="{B9F3B4F9-10EB-40DD-AA0D-B0D293C9E504}">
      <text>
        <r>
          <rPr>
            <b/>
            <sz val="9"/>
            <color indexed="81"/>
            <rFont val="Tahoma"/>
            <family val="2"/>
          </rPr>
          <t>יניב שפירא:</t>
        </r>
        <r>
          <rPr>
            <sz val="9"/>
            <color indexed="81"/>
            <rFont val="Tahoma"/>
            <family val="2"/>
          </rPr>
          <t xml:space="preserve">
1 = הגשמה עצמית
2 = הערכה עצמית
3 = חיבה, אהבה
4 = ודאות ובטחון בחיים
5 = חיים נוחים</t>
        </r>
      </text>
    </comment>
    <comment ref="Q61" authorId="0" shapeId="0" xr:uid="{B2AF095C-6EA7-4FFF-9B93-A39C6C8337CF}">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Q69" authorId="0" shapeId="0" xr:uid="{0BF54F58-8361-44D8-94E9-12B05B0F70C4}">
      <text>
        <r>
          <rPr>
            <b/>
            <sz val="9"/>
            <color indexed="81"/>
            <rFont val="Tahoma"/>
            <family val="2"/>
          </rPr>
          <t>יניב שפירא:</t>
        </r>
        <r>
          <rPr>
            <sz val="9"/>
            <color indexed="81"/>
            <rFont val="Tahoma"/>
            <family val="2"/>
          </rPr>
          <t xml:space="preserve">
1 = דעה טובה מאד
2 = דעה די טובה
3 = לא טובה ולא רעה
4 = דעה די רעה
5 = דעה רעה מאד</t>
        </r>
      </text>
    </comment>
    <comment ref="A70" authorId="0" shapeId="0" xr:uid="{6D4BD141-9247-4FDE-8F71-299F8830B1B9}">
      <text>
        <r>
          <rPr>
            <b/>
            <sz val="9"/>
            <color indexed="81"/>
            <rFont val="Tahoma"/>
            <family val="2"/>
          </rPr>
          <t>יניב שפירא:</t>
        </r>
        <r>
          <rPr>
            <sz val="9"/>
            <color indexed="81"/>
            <rFont val="Tahoma"/>
            <family val="2"/>
          </rPr>
          <t xml:space="preserve">
מי שענה '3' בשאלה הקודמת (a45)</t>
        </r>
      </text>
    </comment>
    <comment ref="Q70" authorId="0" shapeId="0" xr:uid="{47FB9118-3EC4-4F77-830D-AFBF709CA5B2}">
      <text>
        <r>
          <rPr>
            <b/>
            <sz val="9"/>
            <color indexed="81"/>
            <rFont val="Tahoma"/>
            <family val="2"/>
          </rPr>
          <t>יניב שפירא:</t>
        </r>
        <r>
          <rPr>
            <sz val="9"/>
            <color indexed="81"/>
            <rFont val="Tahoma"/>
            <family val="2"/>
          </rPr>
          <t xml:space="preserve">
1 = לכיוון הדעה הטובה
2 = לכיוון הדעה הרעה</t>
        </r>
      </text>
    </comment>
    <comment ref="Q71" authorId="0" shapeId="0" xr:uid="{2640339E-A35A-4EFE-82F5-FA17E1109E70}">
      <text>
        <r>
          <rPr>
            <b/>
            <sz val="9"/>
            <color indexed="81"/>
            <rFont val="Tahoma"/>
            <family val="2"/>
          </rPr>
          <t>יניב שפירא:</t>
        </r>
        <r>
          <rPr>
            <sz val="9"/>
            <color indexed="81"/>
            <rFont val="Tahoma"/>
            <family val="2"/>
          </rPr>
          <t xml:space="preserve">
1 = מרוצה מאד
2 = די מרוצה
3 = לא כ"כ מרוצה
4 = כלל לא מרוצה</t>
        </r>
      </text>
    </comment>
    <comment ref="Q72" authorId="0" shapeId="0" xr:uid="{D42665D1-A005-4C5C-9B98-B6123E536446}">
      <text>
        <r>
          <rPr>
            <b/>
            <sz val="9"/>
            <color indexed="81"/>
            <rFont val="Tahoma"/>
            <charset val="177"/>
          </rPr>
          <t>יניב שפירא:</t>
        </r>
        <r>
          <rPr>
            <sz val="9"/>
            <color indexed="81"/>
            <rFont val="Tahoma"/>
            <charset val="177"/>
          </rPr>
          <t xml:space="preserve">
1 = לעתים קרובות
2 = לפעמים
3 = לעתים רחוקות
4 = אף פעם לא</t>
        </r>
      </text>
    </comment>
    <comment ref="Q73" authorId="0" shapeId="0" xr:uid="{C324BF9F-DB78-427A-8A13-CDF3D902C1DF}">
      <text>
        <r>
          <rPr>
            <b/>
            <sz val="9"/>
            <color indexed="81"/>
            <rFont val="Tahoma"/>
            <charset val="177"/>
          </rPr>
          <t>יניב שפירא:</t>
        </r>
        <r>
          <rPr>
            <sz val="9"/>
            <color indexed="81"/>
            <rFont val="Tahoma"/>
            <charset val="177"/>
          </rPr>
          <t xml:space="preserve">
1 = משוכנע שרוצה
2 = רוצה אך לא משוכנע
3 = יש לי ספיקות
4 = משוכנע שלא רוצה</t>
        </r>
      </text>
    </comment>
    <comment ref="Q74" authorId="0" shapeId="0" xr:uid="{EC95CEE3-D70B-450D-B50C-2379C9D26503}">
      <text>
        <r>
          <rPr>
            <b/>
            <sz val="9"/>
            <color indexed="81"/>
            <rFont val="Tahoma"/>
            <charset val="177"/>
          </rPr>
          <t>יניב שפירא:</t>
        </r>
        <r>
          <rPr>
            <sz val="9"/>
            <color indexed="81"/>
            <rFont val="Tahoma"/>
            <charset val="177"/>
          </rPr>
          <t xml:space="preserve">
1 = המצב הבטחוני
2 = המצב הכלכלי
3 = המצב החברתי
4 = עליות נטיות אנטי דמוקרטיות
5 = מעמד הדת במדינה</t>
        </r>
      </text>
    </comment>
    <comment ref="Q75" authorId="0" shapeId="0" xr:uid="{F75CFF42-E82A-4E79-912F-9DDBAAEAFFAC}">
      <text>
        <r>
          <rPr>
            <b/>
            <sz val="9"/>
            <color indexed="81"/>
            <rFont val="Tahoma"/>
            <charset val="177"/>
          </rPr>
          <t>יניב שפירא:</t>
        </r>
        <r>
          <rPr>
            <sz val="9"/>
            <color indexed="81"/>
            <rFont val="Tahoma"/>
            <charset val="177"/>
          </rPr>
          <t xml:space="preserve">
1 = מאושר מאד
2 = די מאושר
3 = לא כ"כ מאושר</t>
        </r>
      </text>
    </comment>
    <comment ref="Q76" authorId="0" shapeId="0" xr:uid="{F023FCC7-D067-4D46-8830-C3CF8D166542}">
      <text>
        <r>
          <rPr>
            <b/>
            <sz val="9"/>
            <color indexed="81"/>
            <rFont val="Tahoma"/>
            <charset val="177"/>
          </rPr>
          <t>יניב שפירא:</t>
        </r>
        <r>
          <rPr>
            <sz val="9"/>
            <color indexed="81"/>
            <rFont val="Tahoma"/>
            <charset val="177"/>
          </rPr>
          <t xml:space="preserve">
1 = מרוצה מאד
2 = מרוצה
3 = אין דעה
4 = לא מרוצה
5 = כלל לא מרוצה</t>
        </r>
      </text>
    </comment>
    <comment ref="Q77" authorId="0" shapeId="0" xr:uid="{BB213C96-2F64-47FA-82CD-74047D5C0560}">
      <text>
        <r>
          <rPr>
            <b/>
            <sz val="9"/>
            <color indexed="81"/>
            <rFont val="Tahoma"/>
            <charset val="177"/>
          </rPr>
          <t>יניב שפירא:</t>
        </r>
        <r>
          <rPr>
            <sz val="9"/>
            <color indexed="81"/>
            <rFont val="Tahoma"/>
            <charset val="177"/>
          </rPr>
          <t xml:space="preserve">
1 = טרם הגיע מועד הגיוס שלי
2 = אני בעתודה אקדמית
3 = עולה חדש
4 = אינני אזרח המדינה
5 = מסיבות דתיות
6 = מסיבות מצפוניות
7 = אחר</t>
        </r>
      </text>
    </comment>
    <comment ref="Q78" authorId="0" shapeId="0" xr:uid="{062FF621-F7EC-448D-8892-9373049B9938}">
      <text>
        <r>
          <rPr>
            <b/>
            <sz val="9"/>
            <color indexed="81"/>
            <rFont val="Tahoma"/>
            <charset val="177"/>
          </rPr>
          <t>יניב שפירא:</t>
        </r>
        <r>
          <rPr>
            <sz val="9"/>
            <color indexed="81"/>
            <rFont val="Tahoma"/>
            <charset val="177"/>
          </rPr>
          <t xml:space="preserve">
1 = כן
2 = לא</t>
        </r>
      </text>
    </comment>
    <comment ref="Q79" authorId="0" shapeId="0" xr:uid="{AC388466-D5B9-4A0A-9872-C9AB0CE0D6C8}">
      <text>
        <r>
          <rPr>
            <b/>
            <sz val="9"/>
            <color indexed="81"/>
            <rFont val="Tahoma"/>
            <family val="2"/>
          </rPr>
          <t>יניב שפירא:</t>
        </r>
        <r>
          <rPr>
            <sz val="9"/>
            <color indexed="81"/>
            <rFont val="Tahoma"/>
            <family val="2"/>
          </rPr>
          <t xml:space="preserve">
1 = אני נפצעתי קשה
2 = אני נפצעתי, אך לא קשה
3 = מישהו מבני משפחתי נפצע קשה
4 = מישהו מבני משפחתי נפצע, אף ךא קשה</t>
        </r>
      </text>
    </comment>
    <comment ref="Q80" authorId="0" shapeId="0" xr:uid="{9D66F95F-7A61-4420-B4E3-C405730FAD10}">
      <text>
        <r>
          <rPr>
            <b/>
            <sz val="9"/>
            <color indexed="81"/>
            <rFont val="Tahoma"/>
            <family val="2"/>
          </rPr>
          <t>יניב שפירא:</t>
        </r>
        <r>
          <rPr>
            <sz val="9"/>
            <color indexed="81"/>
            <rFont val="Tahoma"/>
            <family val="2"/>
          </rPr>
          <t xml:space="preserve">
1 = כן
2 = לא</t>
        </r>
      </text>
    </comment>
    <comment ref="Q81" authorId="0" shapeId="0" xr:uid="{D841C8F3-31D9-4337-883F-561DDABD4460}">
      <text>
        <r>
          <rPr>
            <b/>
            <sz val="9"/>
            <color indexed="81"/>
            <rFont val="Tahoma"/>
            <family val="2"/>
          </rPr>
          <t>יניב שפירא:</t>
        </r>
        <r>
          <rPr>
            <sz val="9"/>
            <color indexed="81"/>
            <rFont val="Tahoma"/>
            <family val="2"/>
          </rPr>
          <t xml:space="preserve">
1 = לעתים קרובות
2 = לפעמים
3 = לעתים רחוקות
4 = אף פעם לא</t>
        </r>
      </text>
    </comment>
    <comment ref="Q82" authorId="0" shapeId="0" xr:uid="{7B8BA57E-8D46-42E5-AD40-F0251FC368A3}">
      <text>
        <r>
          <rPr>
            <b/>
            <sz val="9"/>
            <color indexed="81"/>
            <rFont val="Tahoma"/>
            <family val="2"/>
          </rPr>
          <t>יניב שפירא:</t>
        </r>
        <r>
          <rPr>
            <sz val="9"/>
            <color indexed="81"/>
            <rFont val="Tahoma"/>
            <family val="2"/>
          </rPr>
          <t xml:space="preserve">
1 = כן
2 = לא</t>
        </r>
      </text>
    </comment>
    <comment ref="Q83" authorId="0" shapeId="0" xr:uid="{4504AE1D-E464-4809-B84A-B009BC344DBE}">
      <text>
        <r>
          <rPr>
            <b/>
            <sz val="9"/>
            <color indexed="81"/>
            <rFont val="Tahoma"/>
            <family val="2"/>
          </rPr>
          <t>יניב שפירא:</t>
        </r>
        <r>
          <rPr>
            <sz val="9"/>
            <color indexed="81"/>
            <rFont val="Tahoma"/>
            <family val="2"/>
          </rPr>
          <t xml:space="preserve">
1 = כן
2 - לא</t>
        </r>
      </text>
    </comment>
    <comment ref="Q84" authorId="0" shapeId="0" xr:uid="{A4011425-4934-49B9-A2D0-8BADB113A80E}">
      <text>
        <r>
          <rPr>
            <b/>
            <sz val="9"/>
            <color indexed="81"/>
            <rFont val="Tahoma"/>
            <family val="2"/>
          </rPr>
          <t>יניב שפירא:</t>
        </r>
        <r>
          <rPr>
            <sz val="9"/>
            <color indexed="81"/>
            <rFont val="Tahoma"/>
            <family val="2"/>
          </rPr>
          <t xml:space="preserve">
1 = כן
2 = לא</t>
        </r>
      </text>
    </comment>
    <comment ref="V85" authorId="0" shapeId="0" xr:uid="{E3FB6B67-CAF3-4730-802A-84740DB36297}">
      <text>
        <r>
          <rPr>
            <b/>
            <sz val="9"/>
            <color indexed="81"/>
            <rFont val="Tahoma"/>
            <family val="2"/>
          </rPr>
          <t>יניב שפירא:</t>
        </r>
        <r>
          <rPr>
            <sz val="9"/>
            <color indexed="81"/>
            <rFont val="Tahoma"/>
            <family val="2"/>
          </rPr>
          <t xml:space="preserve">
1 = מתאים מאד
2 = מתאים
3 = לא בטוח
4 = לא מתאים
5 = כלל לא מתאים</t>
        </r>
      </text>
    </comment>
    <comment ref="AB92" authorId="0" shapeId="0" xr:uid="{1B3AC77F-4731-4F1C-AF91-52BC597FE4F2}">
      <text>
        <r>
          <rPr>
            <b/>
            <sz val="9"/>
            <color indexed="81"/>
            <rFont val="Tahoma"/>
            <charset val="177"/>
          </rPr>
          <t>יניב שפירא:</t>
        </r>
        <r>
          <rPr>
            <sz val="9"/>
            <color indexed="81"/>
            <rFont val="Tahoma"/>
            <charset val="177"/>
          </rPr>
          <t xml:space="preserve">
1 = מאמין במידה רבה
2 = מאמין במידה מסוימת
3 = מאמין במידה מועטה
4 = לא מאמין כלל</t>
        </r>
      </text>
    </comment>
    <comment ref="AB93" authorId="0" shapeId="0" xr:uid="{4A2B1430-77B2-483F-8464-34146EA50450}">
      <text>
        <r>
          <rPr>
            <b/>
            <sz val="9"/>
            <color indexed="81"/>
            <rFont val="Tahoma"/>
            <charset val="177"/>
          </rPr>
          <t>יניב שפירא:</t>
        </r>
        <r>
          <rPr>
            <sz val="9"/>
            <color indexed="81"/>
            <rFont val="Tahoma"/>
            <charset val="177"/>
          </rPr>
          <t xml:space="preserve">
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r>
      </text>
    </comment>
    <comment ref="AC94" authorId="0" shapeId="0" xr:uid="{C561208A-CD26-4869-8D66-D5E340B069A8}">
      <text>
        <r>
          <rPr>
            <b/>
            <sz val="9"/>
            <color indexed="81"/>
            <rFont val="Tahoma"/>
            <charset val="177"/>
          </rPr>
          <t>יניב שפירא:</t>
        </r>
        <r>
          <rPr>
            <sz val="9"/>
            <color indexed="81"/>
            <rFont val="Tahoma"/>
            <charset val="177"/>
          </rPr>
          <t xml:space="preserve">
1 = מרוצה מאוד
2 = מרוצה
3 = לא כ"כ מרוצה
4 = לא מרוצה כלל</t>
        </r>
      </text>
    </comment>
    <comment ref="AE94" authorId="0" shapeId="0" xr:uid="{78384AEA-0C97-4CA2-8E75-020EC6D3E591}">
      <text>
        <r>
          <rPr>
            <b/>
            <sz val="9"/>
            <color indexed="81"/>
            <rFont val="Tahoma"/>
            <family val="2"/>
          </rPr>
          <t>יניב שפירא:</t>
        </r>
        <r>
          <rPr>
            <sz val="9"/>
            <color indexed="81"/>
            <rFont val="Tahoma"/>
            <family val="2"/>
          </rPr>
          <t xml:space="preserve">
1 = מאד מרוצה
2 = מרוצה
3 = לא כ"כ מרוצה
4 = כלל לא מרוצה</t>
        </r>
      </text>
    </comment>
    <comment ref="AE96" authorId="0" shapeId="0" xr:uid="{83AA6B39-D2DE-4A1E-AC4A-A7EF59E5D858}">
      <text>
        <r>
          <rPr>
            <b/>
            <sz val="9"/>
            <color indexed="81"/>
            <rFont val="Tahoma"/>
            <family val="2"/>
          </rPr>
          <t>יניב שפירא:</t>
        </r>
        <r>
          <rPr>
            <sz val="9"/>
            <color indexed="81"/>
            <rFont val="Tahoma"/>
            <family val="2"/>
          </rPr>
          <t xml:space="preserve">
1 = במידה רבה
2 = במידה מסוימת
3 = במדה מועטה
4 = כלל לא
9 = לא פעיל</t>
        </r>
      </text>
    </comment>
    <comment ref="AE97" authorId="0" shapeId="0" xr:uid="{7F77E3C3-7B75-498A-82A8-1780C965B8B4}">
      <text>
        <r>
          <rPr>
            <b/>
            <sz val="9"/>
            <color indexed="81"/>
            <rFont val="Tahoma"/>
            <family val="2"/>
          </rPr>
          <t>יניב שפירא:</t>
        </r>
        <r>
          <rPr>
            <sz val="9"/>
            <color indexed="81"/>
            <rFont val="Tahoma"/>
            <family val="2"/>
          </rPr>
          <t xml:space="preserve">
1 = במידה רבה
2 = במידה מסוימת
3 = במדה מועטה
4 = כלל לא
9 = לא פעיל</t>
        </r>
      </text>
    </comment>
    <comment ref="A98" authorId="0" shapeId="0" xr:uid="{2D7B1005-A683-4AB2-ABF1-869B616CABA2}">
      <text>
        <r>
          <rPr>
            <b/>
            <sz val="9"/>
            <color indexed="81"/>
            <rFont val="Tahoma"/>
            <charset val="177"/>
          </rPr>
          <t>יניב שפירא:</t>
        </r>
        <r>
          <rPr>
            <sz val="9"/>
            <color indexed="81"/>
            <rFont val="Tahoma"/>
            <charset val="177"/>
          </rPr>
          <t xml:space="preserve">
לנשים בלבד</t>
        </r>
      </text>
    </comment>
    <comment ref="AC98" authorId="0" shapeId="0" xr:uid="{C877C6D2-4C6A-453B-AEBC-14B97C606AC3}">
      <text>
        <r>
          <rPr>
            <b/>
            <sz val="9"/>
            <color indexed="81"/>
            <rFont val="Tahoma"/>
            <charset val="177"/>
          </rPr>
          <t>יניב שפירא:</t>
        </r>
        <r>
          <rPr>
            <sz val="9"/>
            <color indexed="81"/>
            <rFont val="Tahoma"/>
            <charset val="177"/>
          </rPr>
          <t xml:space="preserve">
1 = מזה חודשיים
2 = מזה חודש
3 = מזה שבועיים
4 = פחות משבועיים
5 = לא מגוייס
6 = אין לי בעל</t>
        </r>
      </text>
    </comment>
    <comment ref="AD99" authorId="0" shapeId="0" xr:uid="{D9D43374-FEAC-4B95-B32F-F2D49CDA0CDC}">
      <text>
        <r>
          <rPr>
            <b/>
            <sz val="9"/>
            <color indexed="81"/>
            <rFont val="Tahoma"/>
            <charset val="177"/>
          </rPr>
          <t>יניב שפירא:</t>
        </r>
        <r>
          <rPr>
            <sz val="9"/>
            <color indexed="81"/>
            <rFont val="Tahoma"/>
            <charset val="177"/>
          </rPr>
          <t xml:space="preserve">
1 = הוטב במידה רבה
2 = הוטב במידה מסוימת
3 = לא חל שינוי
4 = הורע במידה מסוימת
5 = הוקע במידה רבה</t>
        </r>
      </text>
    </comment>
    <comment ref="AD100" authorId="0" shapeId="0" xr:uid="{B5582F91-41B6-4BEC-AA9D-8903B74CC2EC}">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04" authorId="0" shapeId="0" xr:uid="{A5E6D345-34D7-47ED-A93A-D278C4C9D82A}">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105" authorId="0" shapeId="0" xr:uid="{6B4644D0-9FBD-473D-92C5-D627C18EC084}">
      <text>
        <r>
          <rPr>
            <b/>
            <sz val="9"/>
            <color indexed="81"/>
            <rFont val="Tahoma"/>
            <family val="2"/>
          </rPr>
          <t>יניב שפירא:</t>
        </r>
        <r>
          <rPr>
            <sz val="9"/>
            <color indexed="81"/>
            <rFont val="Tahoma"/>
            <family val="2"/>
          </rPr>
          <t xml:space="preserve">
1 = באופן חיובי ביותר
2 = באופן חיובי
3 = באופן שלילי
4 = באופן שלילי ביותר</t>
        </r>
      </text>
    </comment>
    <comment ref="AE106" authorId="0" shapeId="0" xr:uid="{4FD1D6F2-4FAB-4048-A841-965E9932368E}">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E107" authorId="0" shapeId="0" xr:uid="{D0E68A10-C1CC-4DB3-9240-64D52A93FBF8}">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108" authorId="0" shapeId="0" xr:uid="{E654C7FA-04E2-4253-88D9-8D87B8B0EAB4}">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E109" authorId="0" shapeId="0" xr:uid="{897377EC-95F4-49D9-B5EB-3E8803AA8794}">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110" authorId="0" shapeId="0" xr:uid="{B472622F-D4A9-4783-A43A-00CE9B36953A}">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E111" authorId="0" shapeId="0" xr:uid="{65FF07CA-011C-4353-8FAA-593CD003B4C6}">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112" authorId="0" shapeId="0" xr:uid="{5B813C2C-4E78-45C5-8C2A-61562681FEB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I113" authorId="0" shapeId="0" xr:uid="{82B82C17-7A69-4028-8FA4-FE9D848AD799}">
      <text>
        <r>
          <rPr>
            <b/>
            <sz val="9"/>
            <color indexed="81"/>
            <rFont val="Tahoma"/>
            <family val="2"/>
          </rPr>
          <t>יניב שפירא:</t>
        </r>
        <r>
          <rPr>
            <sz val="9"/>
            <color indexed="81"/>
            <rFont val="Tahoma"/>
            <family val="2"/>
          </rPr>
          <t xml:space="preserve">
1 = דרך טובה מאוד
2 = דרך טובה
3 = דרך לא כ"כ טובה
4 = דרך גרועה
5 = דרך גרועה מאוד</t>
        </r>
      </text>
    </comment>
    <comment ref="AE114" authorId="0" shapeId="0" xr:uid="{D804E01A-0662-4A1A-ABB9-B5037512C63A}">
      <text>
        <r>
          <rPr>
            <b/>
            <sz val="9"/>
            <color indexed="81"/>
            <rFont val="Tahoma"/>
            <family val="2"/>
          </rPr>
          <t>יניב שפירא:</t>
        </r>
        <r>
          <rPr>
            <sz val="9"/>
            <color indexed="81"/>
            <rFont val="Tahoma"/>
            <family val="2"/>
          </rPr>
          <t xml:space="preserve">
1 = לשפר את השירותים
2 = לפתח את העיר
3 = לדאוג לפרנסה
4 = אחר</t>
        </r>
      </text>
    </comment>
    <comment ref="AI115" authorId="0" shapeId="0" xr:uid="{5AF228E2-73D3-4722-A0DC-D5B1CF748D62}">
      <text>
        <r>
          <rPr>
            <b/>
            <sz val="9"/>
            <color indexed="81"/>
            <rFont val="Tahoma"/>
            <family val="2"/>
          </rPr>
          <t>יניב שפירא:</t>
        </r>
        <r>
          <rPr>
            <sz val="9"/>
            <color indexed="81"/>
            <rFont val="Tahoma"/>
            <family val="2"/>
          </rPr>
          <t xml:space="preserve">
1 = מאוד ברור
2 = ברור
3 = לא כ"כ ברור
4 = לא ברור כלל</t>
        </r>
      </text>
    </comment>
    <comment ref="AE117" authorId="0" shapeId="0" xr:uid="{872A5896-9FA9-4393-904F-712903C2377D}">
      <text>
        <r>
          <rPr>
            <b/>
            <sz val="9"/>
            <color indexed="81"/>
            <rFont val="Tahoma"/>
            <family val="2"/>
          </rPr>
          <t>יניב שפירא:</t>
        </r>
        <r>
          <rPr>
            <sz val="9"/>
            <color indexed="81"/>
            <rFont val="Tahoma"/>
            <family val="2"/>
          </rPr>
          <t xml:space="preserve">
1 = במידה רבה מאוד
2 = במידה רבה
3 = במידה מועטה
4 = כלל לא</t>
        </r>
      </text>
    </comment>
    <comment ref="AE118" authorId="0" shapeId="0" xr:uid="{74883D7A-BEE1-4BC6-A4A2-97334E634E9B}">
      <text>
        <r>
          <rPr>
            <b/>
            <sz val="9"/>
            <color indexed="81"/>
            <rFont val="Tahoma"/>
            <family val="2"/>
          </rPr>
          <t>יניב שפירא:</t>
        </r>
        <r>
          <rPr>
            <sz val="9"/>
            <color indexed="81"/>
            <rFont val="Tahoma"/>
            <family val="2"/>
          </rPr>
          <t xml:space="preserve">
1 = מאוד רצוי
2 = רצוי
3 = לא כ"כ רצוי
4 = כלל לא רצוי</t>
        </r>
      </text>
    </comment>
    <comment ref="AI119" authorId="0" shapeId="0" xr:uid="{32D6497C-7B07-47D9-A708-4F6763B8B833}">
      <text>
        <r>
          <rPr>
            <b/>
            <sz val="9"/>
            <color indexed="81"/>
            <rFont val="Tahoma"/>
            <family val="2"/>
          </rPr>
          <t>יניב שפירא:</t>
        </r>
        <r>
          <rPr>
            <sz val="9"/>
            <color indexed="81"/>
            <rFont val="Tahoma"/>
            <family val="2"/>
          </rPr>
          <t xml:space="preserve">
1 = בהחלט בחירות ישירות
2 = בחירות אישיות
3 = רשימות מפלגתיות
4 = בהחלט רשימות מפלגתיות
5 = אין דעה</t>
        </r>
      </text>
    </comment>
    <comment ref="AF120" authorId="0" shapeId="0" xr:uid="{67B85DC4-9A55-4E9F-B2B4-32CA1CB755B3}">
      <text>
        <r>
          <rPr>
            <b/>
            <sz val="9"/>
            <color indexed="81"/>
            <rFont val="Tahoma"/>
            <charset val="177"/>
          </rPr>
          <t>יניב שפירא:</t>
        </r>
        <r>
          <rPr>
            <sz val="9"/>
            <color indexed="81"/>
            <rFont val="Tahoma"/>
            <charset val="177"/>
          </rPr>
          <t xml:space="preserve">
1 = כן
2 = לא
3 = לא חבר תנועת נוער</t>
        </r>
      </text>
    </comment>
    <comment ref="AH121" authorId="0" shapeId="0" xr:uid="{F87AC63D-AE22-49CB-9D6B-24B9E1786F0B}">
      <text>
        <r>
          <rPr>
            <b/>
            <sz val="9"/>
            <color indexed="81"/>
            <rFont val="Tahoma"/>
            <family val="2"/>
          </rPr>
          <t>יניב שפירא:</t>
        </r>
        <r>
          <rPr>
            <sz val="9"/>
            <color indexed="81"/>
            <rFont val="Tahoma"/>
            <family val="2"/>
          </rPr>
          <t xml:space="preserve">
1 = בהחלט ברור
2 = ברור
3 = לא כ"כ ברור
4 = כלל לא ברור</t>
        </r>
      </text>
    </comment>
    <comment ref="AI122" authorId="0" shapeId="0" xr:uid="{5E78EA96-4903-47D2-9004-7C9933D26D16}">
      <text>
        <r>
          <rPr>
            <b/>
            <sz val="9"/>
            <color indexed="81"/>
            <rFont val="Tahoma"/>
            <family val="2"/>
          </rPr>
          <t>יניב שפירא:</t>
        </r>
        <r>
          <rPr>
            <sz val="9"/>
            <color indexed="81"/>
            <rFont val="Tahoma"/>
            <family val="2"/>
          </rPr>
          <t xml:space="preserve">
1 = בהחלט ברור
2 = ברור
3 = לא כ"כ ברור
4 = כלל לא ברור</t>
        </r>
      </text>
    </comment>
    <comment ref="AH123" authorId="0" shapeId="0" xr:uid="{2A61D354-68F2-4CF8-B65B-ABF0ADCDCAF9}">
      <text>
        <r>
          <rPr>
            <b/>
            <sz val="9"/>
            <color indexed="81"/>
            <rFont val="Tahoma"/>
            <family val="2"/>
          </rPr>
          <t>יניב שפירא:</t>
        </r>
        <r>
          <rPr>
            <sz val="9"/>
            <color indexed="81"/>
            <rFont val="Tahoma"/>
            <family val="2"/>
          </rPr>
          <t xml:space="preserve">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r>
      </text>
    </comment>
    <comment ref="AH124" authorId="0" shapeId="0" xr:uid="{8DF34514-358E-418B-BBCD-7AC481D11C65}">
      <text>
        <r>
          <rPr>
            <b/>
            <sz val="9"/>
            <color indexed="81"/>
            <rFont val="Tahoma"/>
            <family val="2"/>
          </rPr>
          <t>יניב שפירא:</t>
        </r>
        <r>
          <rPr>
            <sz val="9"/>
            <color indexed="81"/>
            <rFont val="Tahoma"/>
            <family val="2"/>
          </rPr>
          <t xml:space="preserve">
1 = צעירים
2 = מבוגרים
3 = אין קבוצת גיל מיוחדת</t>
        </r>
      </text>
    </comment>
    <comment ref="AH125" authorId="0" shapeId="0" xr:uid="{0A6F25BD-2D6E-42EB-823A-5030DE6237E5}">
      <text>
        <r>
          <rPr>
            <b/>
            <sz val="9"/>
            <color indexed="81"/>
            <rFont val="Tahoma"/>
            <family val="2"/>
          </rPr>
          <t>יניב שפירא:</t>
        </r>
        <r>
          <rPr>
            <sz val="9"/>
            <color indexed="81"/>
            <rFont val="Tahoma"/>
            <family val="2"/>
          </rPr>
          <t xml:space="preserve">
1 = צפון אפריקה + מזרח תיכון
2 = אירופה
3 = אין קבוצת מוצא מיוחדת</t>
        </r>
      </text>
    </comment>
    <comment ref="AH126" authorId="0" shapeId="0" xr:uid="{3C32AD26-BE5A-400D-BF2C-350A1B61EF1F}">
      <text>
        <r>
          <rPr>
            <b/>
            <sz val="9"/>
            <color indexed="81"/>
            <rFont val="Tahoma"/>
            <family val="2"/>
          </rPr>
          <t>יניב שפירא:</t>
        </r>
        <r>
          <rPr>
            <sz val="9"/>
            <color indexed="81"/>
            <rFont val="Tahoma"/>
            <family val="2"/>
          </rPr>
          <t xml:space="preserve">
1 = פועלים
2 = סוחרים
3 = אנשי רוח
4 = אין קבוצת מקצוע מיוחדת</t>
        </r>
      </text>
    </comment>
    <comment ref="AH127" authorId="0" shapeId="0" xr:uid="{379B8C63-D40A-4414-90F9-EB614695A9A0}">
      <text>
        <r>
          <rPr>
            <b/>
            <sz val="9"/>
            <color indexed="81"/>
            <rFont val="Tahoma"/>
            <family val="2"/>
          </rPr>
          <t>יניב שפירא:</t>
        </r>
        <r>
          <rPr>
            <sz val="9"/>
            <color indexed="81"/>
            <rFont val="Tahoma"/>
            <family val="2"/>
          </rPr>
          <t xml:space="preserve">
1 = צעירים
2 = מבוגרים
3 = אין קבוצת גיל מיוחדת</t>
        </r>
      </text>
    </comment>
    <comment ref="AH128" authorId="0" shapeId="0" xr:uid="{67333E92-B268-4299-80B0-88F622F1CA66}">
      <text>
        <r>
          <rPr>
            <b/>
            <sz val="9"/>
            <color indexed="81"/>
            <rFont val="Tahoma"/>
            <family val="2"/>
          </rPr>
          <t>יניב שפירא:</t>
        </r>
        <r>
          <rPr>
            <sz val="9"/>
            <color indexed="81"/>
            <rFont val="Tahoma"/>
            <family val="2"/>
          </rPr>
          <t xml:space="preserve">
1 = צפון אפריקה + מזרח תיכון
2 = אירופה
3 = אין קבוצת מוצא מיוחדת</t>
        </r>
      </text>
    </comment>
    <comment ref="AH129" authorId="0" shapeId="0" xr:uid="{09997FB5-3C42-4C5E-A6E1-7E3408779B2E}">
      <text>
        <r>
          <rPr>
            <b/>
            <sz val="9"/>
            <color indexed="81"/>
            <rFont val="Tahoma"/>
            <family val="2"/>
          </rPr>
          <t>יניב שפירא:</t>
        </r>
        <r>
          <rPr>
            <sz val="9"/>
            <color indexed="81"/>
            <rFont val="Tahoma"/>
            <family val="2"/>
          </rPr>
          <t xml:space="preserve">
1 = פועלים
2 = סוחרים
3 = אנשי רוח
4 = אין קבוצת מקצוע מיוחדת</t>
        </r>
      </text>
    </comment>
    <comment ref="AH130" authorId="0" shapeId="0" xr:uid="{5D8DE209-7101-4611-9AF9-F2E26A6179BF}">
      <text>
        <r>
          <rPr>
            <b/>
            <sz val="9"/>
            <color indexed="81"/>
            <rFont val="Tahoma"/>
            <family val="2"/>
          </rPr>
          <t>יניב שפירא:</t>
        </r>
        <r>
          <rPr>
            <sz val="9"/>
            <color indexed="81"/>
            <rFont val="Tahoma"/>
            <family val="2"/>
          </rPr>
          <t xml:space="preserve">
1 = צעירים
2 = מבוגרים
3 = אין קבוצת גיל מיוחדת</t>
        </r>
      </text>
    </comment>
    <comment ref="AH131" authorId="0" shapeId="0" xr:uid="{6282D79B-35F0-4D7A-A58D-732CEED96E8E}">
      <text>
        <r>
          <rPr>
            <b/>
            <sz val="9"/>
            <color indexed="81"/>
            <rFont val="Tahoma"/>
            <family val="2"/>
          </rPr>
          <t>יניב שפירא:</t>
        </r>
        <r>
          <rPr>
            <sz val="9"/>
            <color indexed="81"/>
            <rFont val="Tahoma"/>
            <family val="2"/>
          </rPr>
          <t xml:space="preserve">
1 = צפון אפריקה + מזרח תיכון
2 = אירופה
3 = אין קבוצת מוצא מיוחדת</t>
        </r>
      </text>
    </comment>
    <comment ref="AH132" authorId="0" shapeId="0" xr:uid="{65295A0D-FC24-4894-AC84-1FD5CB30508A}">
      <text>
        <r>
          <rPr>
            <b/>
            <sz val="9"/>
            <color indexed="81"/>
            <rFont val="Tahoma"/>
            <family val="2"/>
          </rPr>
          <t>יניב שפירא:</t>
        </r>
        <r>
          <rPr>
            <sz val="9"/>
            <color indexed="81"/>
            <rFont val="Tahoma"/>
            <family val="2"/>
          </rPr>
          <t xml:space="preserve">
1 = פועלים
2 = סוחרים
3 = אנשי רוח
4 = אין קבוצת מקצוע מיוחדת</t>
        </r>
      </text>
    </comment>
    <comment ref="AH133" authorId="0" shapeId="0" xr:uid="{BAFE3EF0-DCC8-4579-8D8F-18BDA6D52227}">
      <text>
        <r>
          <rPr>
            <b/>
            <sz val="9"/>
            <color indexed="81"/>
            <rFont val="Tahoma"/>
            <family val="2"/>
          </rPr>
          <t>יניב שפירא:</t>
        </r>
        <r>
          <rPr>
            <sz val="9"/>
            <color indexed="81"/>
            <rFont val="Tahoma"/>
            <family val="2"/>
          </rPr>
          <t xml:space="preserve">
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r>
      </text>
    </comment>
    <comment ref="AH141" authorId="0" shapeId="0" xr:uid="{34CC317B-9B61-4928-9C1B-F33AEC0C52FF}">
      <text>
        <r>
          <rPr>
            <b/>
            <sz val="9"/>
            <color indexed="81"/>
            <rFont val="Tahoma"/>
            <family val="2"/>
          </rPr>
          <t>יניב שפירא:</t>
        </r>
        <r>
          <rPr>
            <sz val="9"/>
            <color indexed="81"/>
            <rFont val="Tahoma"/>
            <family val="2"/>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H142" authorId="0" shapeId="0" xr:uid="{52A290DB-C075-43CE-9D2D-9B9D11F044DA}">
      <text>
        <r>
          <rPr>
            <b/>
            <sz val="9"/>
            <color indexed="81"/>
            <rFont val="Tahoma"/>
            <family val="2"/>
          </rPr>
          <t>יניב שפירא:</t>
        </r>
        <r>
          <rPr>
            <sz val="9"/>
            <color indexed="81"/>
            <rFont val="Tahoma"/>
            <family val="2"/>
          </rPr>
          <t xml:space="preserve">
1 = מקצוע חופשי
2 = מנהל/פקיד
3 = סוחר
4 = חקלאי
5 = עובד תחבורה
6 = בנייה
7 = בעל מלאכה
8 = ספורט/בידור
9 = לא עובד</t>
        </r>
      </text>
    </comment>
    <comment ref="AH143" authorId="0" shapeId="0" xr:uid="{96BDB4CA-7A47-4782-9799-F655D4585379}">
      <text>
        <r>
          <rPr>
            <b/>
            <sz val="9"/>
            <color indexed="81"/>
            <rFont val="Tahoma"/>
            <family val="2"/>
          </rPr>
          <t>יניב שפירא:</t>
        </r>
        <r>
          <rPr>
            <sz val="9"/>
            <color indexed="81"/>
            <rFont val="Tahoma"/>
            <family val="2"/>
          </rPr>
          <t xml:space="preserve">
0 = 18-20
1 = 21-24
2 = 25-29
3 = 30-34
4 = 35-39
5 = 40-44
6 = 45-49
7 = 50-54
8 = 55-64
9 = 65+
</t>
        </r>
      </text>
    </comment>
    <comment ref="AH144" authorId="0" shapeId="0" xr:uid="{D541110B-4CD0-489A-AF24-950ADE31F062}">
      <text>
        <r>
          <rPr>
            <b/>
            <sz val="9"/>
            <color indexed="81"/>
            <rFont val="Tahoma"/>
            <family val="2"/>
          </rPr>
          <t>יניב שפירא:</t>
        </r>
        <r>
          <rPr>
            <sz val="9"/>
            <color indexed="81"/>
            <rFont val="Tahoma"/>
            <family val="2"/>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H145" authorId="0" shapeId="0" xr:uid="{91E379AC-B7D0-4E43-B589-53A7CD8AB484}">
      <text>
        <r>
          <rPr>
            <b/>
            <sz val="9"/>
            <color indexed="81"/>
            <rFont val="Tahoma"/>
            <family val="2"/>
          </rPr>
          <t>יניב שפירא:</t>
        </r>
        <r>
          <rPr>
            <sz val="9"/>
            <color indexed="81"/>
            <rFont val="Tahoma"/>
            <family val="2"/>
          </rPr>
          <t xml:space="preserve">
1 = מקצוע חופשי
2 = מנהל/פקיד
3 = סוחר
4 = חקלאי
5 = עובד תחבורה
6 = בנייה
7 = בעל מלאכה
8 = ספורט/בידור
9 = לא עובד</t>
        </r>
      </text>
    </comment>
    <comment ref="AH146" authorId="0" shapeId="0" xr:uid="{59DE50E0-899F-46FB-9747-30B5B4D622F3}">
      <text>
        <r>
          <rPr>
            <b/>
            <sz val="9"/>
            <color indexed="81"/>
            <rFont val="Tahoma"/>
            <family val="2"/>
          </rPr>
          <t>יניב שפירא:</t>
        </r>
        <r>
          <rPr>
            <sz val="9"/>
            <color indexed="81"/>
            <rFont val="Tahoma"/>
            <family val="2"/>
          </rPr>
          <t xml:space="preserve">
0 = 18-20
1 = 21-24
2 = 25-29
3 = 30-34
4 = 35-39
5 = 40-44
6 = 45-49
7 = 50-54
8 = 55-64
9 = 65+</t>
        </r>
      </text>
    </comment>
    <comment ref="AI147" authorId="0" shapeId="0" xr:uid="{CC02263E-5151-4B3E-BE9F-3303E0F49C4A}">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I148" authorId="0" shapeId="0" xr:uid="{4C1E74D3-6BA6-41E8-A837-EC8669637049}">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I149" authorId="0" shapeId="0" xr:uid="{2EA5D3E2-3576-4A19-AED8-53F845D80985}">
      <text>
        <r>
          <rPr>
            <b/>
            <sz val="9"/>
            <color indexed="81"/>
            <rFont val="Tahoma"/>
            <family val="2"/>
          </rPr>
          <t>יניב שפירא:</t>
        </r>
        <r>
          <rPr>
            <sz val="9"/>
            <color indexed="81"/>
            <rFont val="Tahoma"/>
            <family val="2"/>
          </rPr>
          <t xml:space="preserve">
1 = בהחלט מסכים
2 = מסכים במידה מסוימת
3 = מסתייג
4 = בהחלט לא מסכים
5 = אין לי דעה</t>
        </r>
      </text>
    </comment>
    <comment ref="D150" authorId="0" shapeId="0" xr:uid="{CC250CEB-32B9-4137-A380-C35BEBAC5E11}">
      <text>
        <r>
          <rPr>
            <b/>
            <sz val="9"/>
            <color indexed="81"/>
            <rFont val="Tahoma"/>
            <charset val="177"/>
          </rPr>
          <t>יניב שפירא:</t>
        </r>
        <r>
          <rPr>
            <sz val="9"/>
            <color indexed="81"/>
            <rFont val="Tahoma"/>
            <charset val="177"/>
          </rPr>
          <t xml:space="preserve">
1 = מודאג מאד
2 = מודאג
3 = לא מודאג
4 = בכלל לא מודאג</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X1" authorId="0" shapeId="0" xr:uid="{2F33B218-7E22-4A43-BB3D-9D28D013424C}">
      <text>
        <r>
          <rPr>
            <b/>
            <sz val="9"/>
            <color indexed="81"/>
            <rFont val="Tahoma"/>
            <charset val="177"/>
          </rPr>
          <t>יניב שפירא:</t>
        </r>
        <r>
          <rPr>
            <sz val="9"/>
            <color indexed="81"/>
            <rFont val="Tahoma"/>
            <charset val="177"/>
          </rPr>
          <t xml:space="preserve">
post election</t>
        </r>
      </text>
    </comment>
    <comment ref="AB1" authorId="0" shapeId="0" xr:uid="{65CC2090-7490-4CB8-A4BA-39F2687CB9BF}">
      <text>
        <r>
          <rPr>
            <b/>
            <sz val="9"/>
            <color indexed="81"/>
            <rFont val="Tahoma"/>
            <charset val="177"/>
          </rPr>
          <t>יניב שפירא:</t>
        </r>
        <r>
          <rPr>
            <sz val="9"/>
            <color indexed="81"/>
            <rFont val="Tahoma"/>
            <charset val="177"/>
          </rPr>
          <t xml:space="preserve">
post Kippur + post election</t>
        </r>
      </text>
    </comment>
    <comment ref="AC1" authorId="0" shapeId="0" xr:uid="{F3088D63-1AD9-4858-8047-61AA176B6FE1}">
      <text>
        <r>
          <rPr>
            <b/>
            <sz val="9"/>
            <color indexed="81"/>
            <rFont val="Tahoma"/>
            <charset val="177"/>
          </rPr>
          <t>יניב שפירא:</t>
        </r>
        <r>
          <rPr>
            <sz val="9"/>
            <color indexed="81"/>
            <rFont val="Tahoma"/>
            <charset val="177"/>
          </rPr>
          <t xml:space="preserve">
post Kippur</t>
        </r>
      </text>
    </comment>
    <comment ref="AD1" authorId="0" shapeId="0" xr:uid="{E9DE48A8-5B28-4F3C-B5AB-F7EA0EA6783F}">
      <text>
        <r>
          <rPr>
            <b/>
            <sz val="9"/>
            <color indexed="81"/>
            <rFont val="Tahoma"/>
            <charset val="177"/>
          </rPr>
          <t>יניב שפירא:</t>
        </r>
        <r>
          <rPr>
            <sz val="9"/>
            <color indexed="81"/>
            <rFont val="Tahoma"/>
            <charset val="177"/>
          </rPr>
          <t xml:space="preserve">
post Kippur</t>
        </r>
      </text>
    </comment>
    <comment ref="AG1" authorId="0" shapeId="0" xr:uid="{CAE8D0B1-AC5D-4F31-9267-37E2F29454CD}">
      <text>
        <r>
          <rPr>
            <b/>
            <sz val="9"/>
            <color indexed="81"/>
            <rFont val="Tahoma"/>
            <charset val="177"/>
          </rPr>
          <t>יניב שפירא:</t>
        </r>
        <r>
          <rPr>
            <sz val="9"/>
            <color indexed="81"/>
            <rFont val="Tahoma"/>
            <charset val="177"/>
          </rPr>
          <t xml:space="preserve">
pre + post election</t>
        </r>
      </text>
    </comment>
    <comment ref="E2" authorId="0" shapeId="0" xr:uid="{EEFF2BD0-A8AE-482D-81A9-5EA329ED22A1}">
      <text>
        <r>
          <rPr>
            <b/>
            <sz val="9"/>
            <color indexed="81"/>
            <rFont val="Tahoma"/>
            <charset val="177"/>
          </rPr>
          <t>יניב שפירא:</t>
        </r>
        <r>
          <rPr>
            <sz val="9"/>
            <color indexed="81"/>
            <rFont val="Tahoma"/>
            <charset val="177"/>
          </rPr>
          <t xml:space="preserve">
1 = במידה רבה
2 = במידה מסוימת
3 = במידה מועטה
4 = בכלל לא</t>
        </r>
      </text>
    </comment>
    <comment ref="M2" authorId="0" shapeId="0" xr:uid="{49638D06-524A-477B-9E7B-FBB6C4F7F264}">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N2" authorId="0" shapeId="0" xr:uid="{6773C50E-9E93-4B8A-9002-4C881A8F5661}">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Q2" authorId="0" shapeId="0" xr:uid="{062B7E8D-8015-4690-B01A-41F13F63F910}">
      <text>
        <r>
          <rPr>
            <b/>
            <sz val="9"/>
            <color indexed="81"/>
            <rFont val="Tahoma"/>
            <family val="2"/>
          </rPr>
          <t>יניב שפירא:</t>
        </r>
        <r>
          <rPr>
            <sz val="9"/>
            <color indexed="81"/>
            <rFont val="Tahoma"/>
            <family val="2"/>
          </rPr>
          <t xml:space="preserve">
הניסוח הוא:
"החלטות בעניינים בטחוניים"</t>
        </r>
      </text>
    </comment>
    <comment ref="AA2" authorId="0" shapeId="0" xr:uid="{E420C972-8640-4E61-A5D5-E6CAED77387F}">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E3" authorId="0" shapeId="0" xr:uid="{4DD182BE-1FCD-4D72-8374-B4F8A97D9097}">
      <text>
        <r>
          <rPr>
            <b/>
            <sz val="9"/>
            <color indexed="81"/>
            <rFont val="Tahoma"/>
            <charset val="177"/>
          </rPr>
          <t>יניב שפירא:</t>
        </r>
        <r>
          <rPr>
            <sz val="9"/>
            <color indexed="81"/>
            <rFont val="Tahoma"/>
            <charset val="177"/>
          </rPr>
          <t xml:space="preserve">
1 = במידה רבה
2 = במידה מסוימת
3 = במידה מועטה
4 = בכלל לא</t>
        </r>
      </text>
    </comment>
    <comment ref="M3" authorId="0" shapeId="0" xr:uid="{A677D31F-3945-4984-A2FE-59E1EE983205}">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N3" authorId="0" shapeId="0" xr:uid="{AB150ADA-1EE2-48AB-9B44-B16508352E07}">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Q3" authorId="0" shapeId="0" xr:uid="{0A635F58-FE5E-4C3F-99DA-6AAA8630FECE}">
      <text>
        <r>
          <rPr>
            <b/>
            <sz val="9"/>
            <color indexed="81"/>
            <rFont val="Tahoma"/>
            <charset val="177"/>
          </rPr>
          <t>יניב שפירא:</t>
        </r>
        <r>
          <rPr>
            <sz val="9"/>
            <color indexed="81"/>
            <rFont val="Tahoma"/>
            <charset val="177"/>
          </rPr>
          <t xml:space="preserve">
1 = כמעט כל יום
2 = פעם/פעמיים בשבוע
3 = לעיתים רחוקות
4 = כלל לא</t>
        </r>
      </text>
    </comment>
    <comment ref="V3" authorId="0" shapeId="0" xr:uid="{D7D88F45-267D-4FC8-B6A6-7E52F2BE3AB6}">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AF3" authorId="0" shapeId="0" xr:uid="{805CD9B0-6D96-432D-80C9-C18C361C4A28}">
      <text>
        <r>
          <rPr>
            <b/>
            <sz val="9"/>
            <color indexed="81"/>
            <rFont val="Tahoma"/>
            <charset val="177"/>
          </rPr>
          <t>יניב שפירא:</t>
        </r>
        <r>
          <rPr>
            <sz val="9"/>
            <color indexed="81"/>
            <rFont val="Tahoma"/>
            <charset val="177"/>
          </rPr>
          <t xml:space="preserve">
v8 = חברים
v11 = משפחה</t>
        </r>
      </text>
    </comment>
    <comment ref="Q4" authorId="0" shapeId="0" xr:uid="{ADE6DADD-F77C-4BDE-B2AF-13FE432A6ED9}">
      <text>
        <r>
          <rPr>
            <b/>
            <sz val="9"/>
            <color indexed="81"/>
            <rFont val="Tahoma"/>
            <family val="2"/>
          </rPr>
          <t>יניב שפירא:</t>
        </r>
        <r>
          <rPr>
            <sz val="9"/>
            <color indexed="81"/>
            <rFont val="Tahoma"/>
            <family val="2"/>
          </rPr>
          <t xml:space="preserve">
1 = לעתים קרובות
2 = לפעמים
3 = לעתים רחוקות
4 = אף פעם לא</t>
        </r>
      </text>
    </comment>
    <comment ref="R4" authorId="0" shapeId="0" xr:uid="{840CE71D-B165-4A72-98CB-01B2400B2441}">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Q5" authorId="0" shapeId="0" xr:uid="{421C2C30-3166-47B7-A00D-53E0E75FF967}">
      <text>
        <r>
          <rPr>
            <b/>
            <sz val="9"/>
            <color indexed="81"/>
            <rFont val="Tahoma"/>
            <family val="2"/>
          </rPr>
          <t>יניב שפירא:</t>
        </r>
        <r>
          <rPr>
            <sz val="9"/>
            <color indexed="81"/>
            <rFont val="Tahoma"/>
            <family val="2"/>
          </rPr>
          <t xml:space="preserve">
1 = לעיתים קרובות
2 = לפעמים
3 = לעיתים רחוקות
4 = אף פעם לא</t>
        </r>
      </text>
    </comment>
    <comment ref="AE6" authorId="0" shapeId="0" xr:uid="{78D1A82F-54E9-4316-A6F3-2637786B933E}">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E7" authorId="0" shapeId="0" xr:uid="{A718CB74-25E2-433A-8EF7-2725EF37F75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R8" authorId="0" shapeId="0" xr:uid="{8ACE190C-20F1-4F93-87C5-53D3256AB157}">
      <text>
        <r>
          <rPr>
            <b/>
            <sz val="9"/>
            <color indexed="81"/>
            <rFont val="Tahoma"/>
            <family val="2"/>
          </rPr>
          <t>יניב שפירא:</t>
        </r>
        <r>
          <rPr>
            <sz val="9"/>
            <color indexed="81"/>
            <rFont val="Tahoma"/>
            <family val="2"/>
          </rPr>
          <t xml:space="preserve">
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r>
      </text>
    </comment>
    <comment ref="Q9" authorId="0" shapeId="0" xr:uid="{38C6EB77-FC72-4E5F-A5F5-1616DE6DE8FA}">
      <text>
        <r>
          <rPr>
            <b/>
            <sz val="9"/>
            <color indexed="81"/>
            <rFont val="Tahoma"/>
            <charset val="177"/>
          </rPr>
          <t>יניב שפירא:</t>
        </r>
        <r>
          <rPr>
            <sz val="9"/>
            <color indexed="81"/>
            <rFont val="Tahoma"/>
            <charset val="177"/>
          </rPr>
          <t xml:space="preserve">
1 = אבא
2 = אמא
3 = אח/אחות
4 = בן/בת זוג
5 = ילדי
6 = אחר
7 = שני ההורים במידה שווה
8 = כל בני המשפחה במידה שווה
9 = אף אחד מהם</t>
        </r>
      </text>
    </comment>
    <comment ref="Q10" authorId="0" shapeId="0" xr:uid="{87EE659E-CCEB-4167-8644-D4DBE6C99E11}">
      <text>
        <r>
          <rPr>
            <b/>
            <sz val="9"/>
            <color indexed="81"/>
            <rFont val="Tahoma"/>
            <charset val="177"/>
          </rPr>
          <t>יניב שפירא:</t>
        </r>
        <r>
          <rPr>
            <sz val="9"/>
            <color indexed="81"/>
            <rFont val="Tahoma"/>
            <charset val="177"/>
          </rPr>
          <t xml:space="preserve">
1 = אבא
2 = אמא
3 = אח/אחות
4 = אחר
5 = שני ההורים במידה שווה
6 = כל בני הבית במידה שווה
7 = אף אחד מהם
8 = אני עדיין מתגורר בבית הורי</t>
        </r>
      </text>
    </comment>
    <comment ref="AF11" authorId="0" shapeId="0" xr:uid="{1E48E5BA-E3DE-4CBA-9BE5-BFCEF40775E7}">
      <text>
        <r>
          <rPr>
            <b/>
            <sz val="9"/>
            <color indexed="81"/>
            <rFont val="Tahoma"/>
            <charset val="177"/>
          </rPr>
          <t>יניב שפירא:</t>
        </r>
        <r>
          <rPr>
            <sz val="9"/>
            <color indexed="81"/>
            <rFont val="Tahoma"/>
            <charset val="177"/>
          </rPr>
          <t xml:space="preserve">
1 = במידה רבה
2 = במידה מסוימת
3 = במידה מועטה
4 = כלל לא
5 = אב נפטר/לא חי איתו</t>
        </r>
      </text>
    </comment>
    <comment ref="H12" authorId="0" shapeId="0" xr:uid="{DF8B41A3-7493-4A88-8CE2-ED848D742C18}">
      <text>
        <r>
          <rPr>
            <b/>
            <sz val="9"/>
            <color indexed="81"/>
            <rFont val="Tahoma"/>
            <family val="2"/>
          </rPr>
          <t>יניב שפירא:</t>
        </r>
        <r>
          <rPr>
            <sz val="9"/>
            <color indexed="81"/>
            <rFont val="Tahoma"/>
            <family val="2"/>
          </rPr>
          <t xml:space="preserve">
1 = לא אוהד ולא פעיל בשום מפלגה
2 = אוהד של מפלגה אך לא חבר בה
3 = חבר במפלגה
4 = חבר פעיל במפלגה
5 = חבר ובעל תפקיד במפלגה</t>
        </r>
      </text>
    </comment>
    <comment ref="U12" authorId="0" shapeId="0" xr:uid="{CB156378-2816-42C4-A21A-1EFDE04541CF}">
      <text>
        <r>
          <rPr>
            <b/>
            <sz val="9"/>
            <color indexed="81"/>
            <rFont val="Tahoma"/>
            <charset val="177"/>
          </rPr>
          <t>יניב שפירא:</t>
        </r>
        <r>
          <rPr>
            <sz val="9"/>
            <color indexed="81"/>
            <rFont val="Tahoma"/>
            <charset val="177"/>
          </rPr>
          <t xml:space="preserve">
1 = חבר ובעל תפקיד בשכר
2 = חבר ובעל תפקיד לא בשכר
3 = חבר ללא תפקיד
4 = אוהד אבל לא חבר
5 = לא אוהד במיוחד אף מפלגה</t>
        </r>
      </text>
    </comment>
    <comment ref="W13" authorId="0" shapeId="0" xr:uid="{5D2ED047-E757-4868-BE33-5E7C528F1FF1}">
      <text>
        <r>
          <rPr>
            <b/>
            <sz val="9"/>
            <color indexed="81"/>
            <rFont val="Tahoma"/>
            <charset val="177"/>
          </rPr>
          <t>יניב שפירא:</t>
        </r>
        <r>
          <rPr>
            <sz val="9"/>
            <color indexed="81"/>
            <rFont val="Tahoma"/>
            <charset val="177"/>
          </rPr>
          <t xml:space="preserve">
1 = כן, לעיתים קרובות
2 = כן, לעיתים רחוקות
3 = אף פעם לא</t>
        </r>
      </text>
    </comment>
    <comment ref="AF13" authorId="0" shapeId="0" xr:uid="{22058A80-359B-434A-97A5-23B8D78B1ECC}">
      <text>
        <r>
          <rPr>
            <b/>
            <sz val="9"/>
            <color indexed="81"/>
            <rFont val="Tahoma"/>
            <charset val="177"/>
          </rPr>
          <t>יניב שפירא:</t>
        </r>
        <r>
          <rPr>
            <sz val="9"/>
            <color indexed="81"/>
            <rFont val="Tahoma"/>
            <charset val="177"/>
          </rPr>
          <t xml:space="preserve">
1 = לעתים קרובות
2 = לעתים רחוקות
3 = אף פעם
4 = עדיין לא הצביע</t>
        </r>
      </text>
    </comment>
    <comment ref="W14" authorId="0" shapeId="0" xr:uid="{B4208401-E01C-441A-BEE9-8C484C1FF0F0}">
      <text>
        <r>
          <rPr>
            <b/>
            <sz val="9"/>
            <color indexed="81"/>
            <rFont val="Tahoma"/>
            <charset val="177"/>
          </rPr>
          <t>יניב שפירא:</t>
        </r>
        <r>
          <rPr>
            <sz val="9"/>
            <color indexed="81"/>
            <rFont val="Tahoma"/>
            <charset val="177"/>
          </rPr>
          <t xml:space="preserve">
1 = כן, לעיתים קרובות
2 = כן, לעיתים רחוקות
3 = אף פעם לא</t>
        </r>
      </text>
    </comment>
    <comment ref="AE14" authorId="0" shapeId="0" xr:uid="{0BFCBFD4-BD45-4BC9-A50E-38796A9E880A}">
      <text>
        <r>
          <rPr>
            <b/>
            <sz val="9"/>
            <color indexed="81"/>
            <rFont val="Tahoma"/>
            <family val="2"/>
          </rPr>
          <t>יניב שפירא:</t>
        </r>
        <r>
          <rPr>
            <sz val="9"/>
            <color indexed="81"/>
            <rFont val="Tahoma"/>
            <family val="2"/>
          </rPr>
          <t xml:space="preserve">
1 = כן
2 = לא</t>
        </r>
      </text>
    </comment>
    <comment ref="AI14" authorId="0" shapeId="0" xr:uid="{7841925E-B9A4-48F7-B48C-87C430E4B974}">
      <text>
        <r>
          <rPr>
            <b/>
            <sz val="9"/>
            <color indexed="81"/>
            <rFont val="Tahoma"/>
            <charset val="177"/>
          </rPr>
          <t>יניב שפירא:</t>
        </r>
        <r>
          <rPr>
            <sz val="9"/>
            <color indexed="81"/>
            <rFont val="Tahoma"/>
            <charset val="177"/>
          </rPr>
          <t xml:space="preserve">
1 = לעיתים קרובות
2 = לעיתים רחוקות
3 = אף פעם לא</t>
        </r>
      </text>
    </comment>
    <comment ref="AI15" authorId="0" shapeId="0" xr:uid="{7A4FC32E-DD08-4412-BA26-7BA159F1D37F}">
      <text>
        <r>
          <rPr>
            <b/>
            <sz val="9"/>
            <color indexed="81"/>
            <rFont val="Tahoma"/>
            <charset val="177"/>
          </rPr>
          <t>יניב שפירא:</t>
        </r>
        <r>
          <rPr>
            <sz val="9"/>
            <color indexed="81"/>
            <rFont val="Tahoma"/>
            <charset val="177"/>
          </rPr>
          <t xml:space="preserve">
1 = לעיתים קרובות
2 = לעיתים רחוקות
3 = אף פעם לא</t>
        </r>
      </text>
    </comment>
    <comment ref="AC16" authorId="0" shapeId="0" xr:uid="{59DD4FBB-AAF6-4A79-BE37-74F31E4F1EC6}">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C17" authorId="0" shapeId="0" xr:uid="{657B2BBD-2971-4CE8-9C6B-1F02F553B832}">
      <text>
        <r>
          <rPr>
            <b/>
            <sz val="9"/>
            <color indexed="81"/>
            <rFont val="Tahoma"/>
            <charset val="177"/>
          </rPr>
          <t>יניב שפירא:</t>
        </r>
        <r>
          <rPr>
            <sz val="9"/>
            <color indexed="81"/>
            <rFont val="Tahoma"/>
            <charset val="177"/>
          </rPr>
          <t xml:space="preserve">
1 = מאוד פעיל
2 = פעיל 
3 = לא כ"כ פעיל
4 = בכלל לא פעיל</t>
        </r>
      </text>
    </comment>
    <comment ref="AE18" authorId="0" shapeId="0" xr:uid="{B05C2C0B-4B00-4F5A-8960-41C0F586F2A1}">
      <text>
        <r>
          <rPr>
            <b/>
            <sz val="9"/>
            <color indexed="81"/>
            <rFont val="Tahoma"/>
            <charset val="177"/>
          </rPr>
          <t>יניב שפירא:</t>
        </r>
        <r>
          <rPr>
            <sz val="9"/>
            <color indexed="81"/>
            <rFont val="Tahoma"/>
            <charset val="177"/>
          </rPr>
          <t xml:space="preserve">
1 = הרבה יותר
2 = יותר
3 = פחות
4 = הרבה פחות</t>
        </r>
      </text>
    </comment>
    <comment ref="AE19" authorId="0" shapeId="0" xr:uid="{A99D8E1A-0086-4A52-84E5-F6E21FA5B1B1}">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AE22" authorId="0" shapeId="0" xr:uid="{E9E53DE0-4B95-4748-B793-6E00CE52415C}">
      <text>
        <r>
          <rPr>
            <b/>
            <sz val="9"/>
            <color indexed="81"/>
            <rFont val="Tahoma"/>
            <family val="2"/>
          </rPr>
          <t>יניב שפירא:</t>
        </r>
        <r>
          <rPr>
            <sz val="9"/>
            <color indexed="81"/>
            <rFont val="Tahoma"/>
            <family val="2"/>
          </rPr>
          <t xml:space="preserve">
שאלה פתוחה</t>
        </r>
      </text>
    </comment>
    <comment ref="AE23" authorId="0" shapeId="0" xr:uid="{97163D4E-7BB6-4B49-9E8C-C1575977DAE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F24" authorId="0" shapeId="0" xr:uid="{2BC3E810-D252-44EE-A26B-10CE2E34CFB3}">
      <text>
        <r>
          <rPr>
            <b/>
            <sz val="9"/>
            <color indexed="81"/>
            <rFont val="Tahoma"/>
            <charset val="177"/>
          </rPr>
          <t>יניב שפירא:</t>
        </r>
        <r>
          <rPr>
            <sz val="9"/>
            <color indexed="81"/>
            <rFont val="Tahoma"/>
            <charset val="177"/>
          </rPr>
          <t xml:space="preserve">
1 = לעיתים קרובות
2 = לעיתים רחוקות
3 = אף פעם</t>
        </r>
      </text>
    </comment>
    <comment ref="AE25" authorId="0" shapeId="0" xr:uid="{31A35519-845B-4746-87DA-A89AEDAE6182}">
      <text>
        <r>
          <rPr>
            <b/>
            <sz val="9"/>
            <color indexed="81"/>
            <rFont val="Tahoma"/>
            <charset val="177"/>
          </rPr>
          <t>יניב שפירא:</t>
        </r>
        <r>
          <rPr>
            <sz val="9"/>
            <color indexed="81"/>
            <rFont val="Tahoma"/>
            <charset val="177"/>
          </rPr>
          <t xml:space="preserve">
1 = פעיל מאוד
2 = פעיל
3 = לא כ"כ פעיל
4 = לא פעיל כלל</t>
        </r>
      </text>
    </comment>
    <comment ref="AE27" authorId="0" shapeId="0" xr:uid="{9A2507C1-2FCC-4578-8342-32A00694EF5C}">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C28" authorId="0" shapeId="0" xr:uid="{C601B954-C04B-400E-8023-E65FC49E4092}">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E29" authorId="0" shapeId="0" xr:uid="{7641D9C9-2713-49A9-8A85-C4AE2B385DF3}">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F30" authorId="0" shapeId="0" xr:uid="{367EA91C-7EC4-4864-AFA8-976EF764D4BC}">
      <text>
        <r>
          <rPr>
            <b/>
            <sz val="9"/>
            <color indexed="81"/>
            <rFont val="Tahoma"/>
            <charset val="177"/>
          </rPr>
          <t>יניב שפירא:</t>
        </r>
        <r>
          <rPr>
            <sz val="9"/>
            <color indexed="81"/>
            <rFont val="Tahoma"/>
            <charset val="177"/>
          </rPr>
          <t xml:space="preserve">
1 = במידה רבה
2 = במידה מסוימת
3 = במידה מועטה
4 = לא התעניין
5 = אב נפטר/לא חי איתו</t>
        </r>
      </text>
    </comment>
    <comment ref="AF31" authorId="0" shapeId="0" xr:uid="{30FE423A-7A1A-48F8-8E28-174EB8D267B6}">
      <text>
        <r>
          <rPr>
            <b/>
            <sz val="9"/>
            <color indexed="81"/>
            <rFont val="Tahoma"/>
            <family val="2"/>
          </rPr>
          <t>יניב שפירא:</t>
        </r>
        <r>
          <rPr>
            <sz val="9"/>
            <color indexed="81"/>
            <rFont val="Tahoma"/>
            <family val="2"/>
          </rPr>
          <t xml:space="preserve">
1 = מאוד מתעניין
2 = מתעניין
3 = לא כ"כ מתעניין
4 = כלל לא מתעניין</t>
        </r>
      </text>
    </comment>
    <comment ref="AH32" authorId="0" shapeId="0" xr:uid="{6D2CB389-EE0D-4101-AF06-6B9A51AD2B18}">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AF33" authorId="0" shapeId="0" xr:uid="{56A74F3A-447A-45AA-93F2-A783A2971286}">
      <text>
        <r>
          <rPr>
            <b/>
            <sz val="9"/>
            <color indexed="81"/>
            <rFont val="Tahoma"/>
            <family val="2"/>
          </rPr>
          <t>יניב שפירא:</t>
        </r>
        <r>
          <rPr>
            <sz val="9"/>
            <color indexed="81"/>
            <rFont val="Tahoma"/>
            <family val="2"/>
          </rPr>
          <t xml:space="preserve">
1 = מאד מתעניין
2 = מתעניין
3 = לא כ"כ מתעניין
4 = בכלל לא מתעניין</t>
        </r>
      </text>
    </comment>
    <comment ref="AI33" authorId="0" shapeId="0" xr:uid="{FC7B629F-209B-4658-91EB-08A06607282D}">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G34" authorId="0" shapeId="0" xr:uid="{518FFAD6-B6B3-49C6-A480-7C88C5DAEC0B}">
      <text>
        <r>
          <rPr>
            <b/>
            <sz val="9"/>
            <color indexed="81"/>
            <rFont val="Tahoma"/>
            <family val="2"/>
          </rPr>
          <t>יניב שפירא:</t>
        </r>
        <r>
          <rPr>
            <sz val="9"/>
            <color indexed="81"/>
            <rFont val="Tahoma"/>
            <family val="2"/>
          </rPr>
          <t xml:space="preserve">
1 = מאוד מתעניין
2 = מתעניין
3 = לא כ"כ מתעניין
4 = לא מתעניין כלל</t>
        </r>
      </text>
    </comment>
    <comment ref="AH35" authorId="0" shapeId="0" xr:uid="{AC908FF2-5CD1-49A6-9441-CF9404064695}">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I36" authorId="0" shapeId="0" xr:uid="{06266765-AF68-47F3-BFF5-62119B6A1273}">
      <text>
        <r>
          <rPr>
            <b/>
            <sz val="9"/>
            <color indexed="81"/>
            <rFont val="Tahoma"/>
            <family val="2"/>
          </rPr>
          <t>יניב שפירא:</t>
        </r>
        <r>
          <rPr>
            <sz val="9"/>
            <color indexed="81"/>
            <rFont val="Tahoma"/>
            <family val="2"/>
          </rPr>
          <t xml:space="preserve">
1 = צריך במידה רבה
2 = צריך במידה מסוימת
3 = צריך במידה מועטה
4 = לא צריך כלל</t>
        </r>
      </text>
    </comment>
    <comment ref="AI37" authorId="0" shapeId="0" xr:uid="{5E00D23F-0B46-413E-A643-BE38B60328DB}">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I38" authorId="0" shapeId="0" xr:uid="{E45B17CB-1D1D-484F-BFAB-E19AFD1F6AD8}">
      <text>
        <r>
          <rPr>
            <b/>
            <sz val="9"/>
            <color indexed="81"/>
            <rFont val="Tahoma"/>
            <family val="2"/>
          </rPr>
          <t>יניב שפירא:</t>
        </r>
        <r>
          <rPr>
            <sz val="9"/>
            <color indexed="81"/>
            <rFont val="Tahoma"/>
            <family val="2"/>
          </rPr>
          <t xml:space="preserve">
1 = צריך במידה רבה
2 = צריך במידה מסוימת
3 = צריך במידה מועטה
4 = לא צריך כלל</t>
        </r>
      </text>
    </comment>
    <comment ref="AI39" authorId="0" shapeId="0" xr:uid="{454DA8A6-141F-4209-8370-50482CF4462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I40" authorId="0" shapeId="0" xr:uid="{2F9652A0-FAA8-4009-AD28-E7F71CF22C05}">
      <text>
        <r>
          <rPr>
            <b/>
            <sz val="9"/>
            <color indexed="81"/>
            <rFont val="Tahoma"/>
            <family val="2"/>
          </rPr>
          <t>יניב שפירא:</t>
        </r>
        <r>
          <rPr>
            <sz val="9"/>
            <color indexed="81"/>
            <rFont val="Tahoma"/>
            <family val="2"/>
          </rPr>
          <t xml:space="preserve">
1 = צריך במידה רבה
2 = צריך במידה מסוימת
3 = צריך במידה מועטה
4 = לא צריך כלל</t>
        </r>
      </text>
    </comment>
    <comment ref="AI41" authorId="0" shapeId="0" xr:uid="{E967F718-DEEF-429D-9DF7-853F2E5AB4A6}">
      <text>
        <r>
          <rPr>
            <b/>
            <sz val="9"/>
            <color indexed="81"/>
            <rFont val="Tahoma"/>
            <family val="2"/>
          </rPr>
          <t>יניב שפירא:</t>
        </r>
        <r>
          <rPr>
            <sz val="9"/>
            <color indexed="81"/>
            <rFont val="Tahoma"/>
            <family val="2"/>
          </rPr>
          <t xml:space="preserve">
1 = לעיתים קרובות מאוד
2 = לפעמים
3 = לעיתים רחוקות
4 = לא משוחח כלל</t>
        </r>
      </text>
    </comment>
    <comment ref="AI44" authorId="0" shapeId="0" xr:uid="{763C1EED-F7A6-4273-A2EB-5A359213E9A6}">
      <text>
        <r>
          <rPr>
            <b/>
            <sz val="9"/>
            <color indexed="81"/>
            <rFont val="Tahoma"/>
            <family val="2"/>
          </rPr>
          <t>יניב שפירא:</t>
        </r>
        <r>
          <rPr>
            <sz val="9"/>
            <color indexed="81"/>
            <rFont val="Tahoma"/>
            <family val="2"/>
          </rPr>
          <t xml:space="preserve">
1 = בדר"כ כן
2 = לפעמים כן לפעמים לא
3 = בדר"כ לא
4 = לא מקבל אינפורמציה</t>
        </r>
      </text>
    </comment>
    <comment ref="O45" authorId="0" shapeId="0" xr:uid="{D7B639F6-00FC-426E-9D65-FE818D3090CA}">
      <text>
        <r>
          <rPr>
            <b/>
            <sz val="9"/>
            <color indexed="81"/>
            <rFont val="Tahoma"/>
            <family val="2"/>
          </rPr>
          <t>יניב שפירא:</t>
        </r>
        <r>
          <rPr>
            <sz val="9"/>
            <color indexed="81"/>
            <rFont val="Tahoma"/>
            <family val="2"/>
          </rPr>
          <t xml:space="preserve">
1 = אף פעם
2 = פעם או פעמיים
3 = שלוש פעמים או יותר</t>
        </r>
      </text>
    </comment>
    <comment ref="O46" authorId="0" shapeId="0" xr:uid="{DE421C4E-D716-4B11-80EF-5EE92962CEF9}">
      <text>
        <r>
          <rPr>
            <b/>
            <sz val="9"/>
            <color indexed="81"/>
            <rFont val="Tahoma"/>
            <family val="2"/>
          </rPr>
          <t>יניב שפירא:</t>
        </r>
        <r>
          <rPr>
            <sz val="9"/>
            <color indexed="81"/>
            <rFont val="Tahoma"/>
            <family val="2"/>
          </rPr>
          <t xml:space="preserve">
1 = אף פעם
2 = פעם או פעמיים
3 = שלוש פעמים או יותר</t>
        </r>
      </text>
    </comment>
    <comment ref="D47" authorId="0" shapeId="0" xr:uid="{0F580746-41F3-4952-B3B2-F2AF8CB3B2C3}">
      <text>
        <r>
          <rPr>
            <b/>
            <sz val="9"/>
            <color indexed="81"/>
            <rFont val="Tahoma"/>
            <charset val="177"/>
          </rPr>
          <t>יניב שפירא:</t>
        </r>
        <r>
          <rPr>
            <sz val="9"/>
            <color indexed="81"/>
            <rFont val="Tahoma"/>
            <charset val="177"/>
          </rPr>
          <t xml:space="preserve">
1 = לא השתתף
2 = השתתף פעם אחת
3 = 2-3 פעמים
4 = פעם בחודש
5 = פעם בשבוע או יותר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X1" authorId="0" shapeId="0" xr:uid="{4C70ECBB-3985-4413-9179-AE2C6595E2F3}">
      <text>
        <r>
          <rPr>
            <b/>
            <sz val="9"/>
            <color indexed="81"/>
            <rFont val="Tahoma"/>
            <charset val="177"/>
          </rPr>
          <t>יניב שפירא:</t>
        </r>
        <r>
          <rPr>
            <sz val="9"/>
            <color indexed="81"/>
            <rFont val="Tahoma"/>
            <charset val="177"/>
          </rPr>
          <t xml:space="preserve">
post election</t>
        </r>
      </text>
    </comment>
    <comment ref="AB1" authorId="0" shapeId="0" xr:uid="{3C2B686F-50E4-4EA9-B2A8-2F120E27640D}">
      <text>
        <r>
          <rPr>
            <b/>
            <sz val="9"/>
            <color indexed="81"/>
            <rFont val="Tahoma"/>
            <charset val="177"/>
          </rPr>
          <t>יניב שפירא:</t>
        </r>
        <r>
          <rPr>
            <sz val="9"/>
            <color indexed="81"/>
            <rFont val="Tahoma"/>
            <charset val="177"/>
          </rPr>
          <t xml:space="preserve">
post Kippur + post election</t>
        </r>
      </text>
    </comment>
    <comment ref="AC1" authorId="0" shapeId="0" xr:uid="{DC1255D1-2D65-44AA-AB42-5CA0B403D0E4}">
      <text>
        <r>
          <rPr>
            <b/>
            <sz val="9"/>
            <color indexed="81"/>
            <rFont val="Tahoma"/>
            <charset val="177"/>
          </rPr>
          <t>יניב שפירא:</t>
        </r>
        <r>
          <rPr>
            <sz val="9"/>
            <color indexed="81"/>
            <rFont val="Tahoma"/>
            <charset val="177"/>
          </rPr>
          <t xml:space="preserve">
post Kippur</t>
        </r>
      </text>
    </comment>
    <comment ref="AD1" authorId="0" shapeId="0" xr:uid="{A7B0D828-C6A2-407E-9A63-9D64C792C6A4}">
      <text>
        <r>
          <rPr>
            <b/>
            <sz val="9"/>
            <color indexed="81"/>
            <rFont val="Tahoma"/>
            <charset val="177"/>
          </rPr>
          <t>יניב שפירא:</t>
        </r>
        <r>
          <rPr>
            <sz val="9"/>
            <color indexed="81"/>
            <rFont val="Tahoma"/>
            <charset val="177"/>
          </rPr>
          <t xml:space="preserve">
post Kippur</t>
        </r>
      </text>
    </comment>
    <comment ref="AG1" authorId="0" shapeId="0" xr:uid="{7896F30C-423A-47A6-BBE8-92103F5D1F7A}">
      <text>
        <r>
          <rPr>
            <b/>
            <sz val="9"/>
            <color indexed="81"/>
            <rFont val="Tahoma"/>
            <charset val="177"/>
          </rPr>
          <t>יניב שפירא:</t>
        </r>
        <r>
          <rPr>
            <sz val="9"/>
            <color indexed="81"/>
            <rFont val="Tahoma"/>
            <charset val="177"/>
          </rPr>
          <t xml:space="preserve">
pre + post election</t>
        </r>
      </text>
    </comment>
    <comment ref="E2" authorId="0" shapeId="0" xr:uid="{CEA6A5B9-6EDC-443B-B33E-7F1C1B6CBF04}">
      <text>
        <r>
          <rPr>
            <b/>
            <sz val="9"/>
            <color indexed="81"/>
            <rFont val="Tahoma"/>
            <family val="2"/>
          </rPr>
          <t>יניב שפירא:</t>
        </r>
        <r>
          <rPr>
            <sz val="9"/>
            <color indexed="81"/>
            <rFont val="Tahoma"/>
            <family val="2"/>
          </rPr>
          <t xml:space="preserve">
שאלה פתוחה, יש עד 3 תשובות לכל נבדק:
E8A_after_~1
E8A_after_~2
E8A_after_~3</t>
        </r>
      </text>
    </comment>
    <comment ref="H2" authorId="0" shapeId="0" xr:uid="{C7E352EE-A439-47D4-957F-A1344E1B9617}">
      <text>
        <r>
          <rPr>
            <b/>
            <sz val="9"/>
            <color indexed="81"/>
            <rFont val="Tahoma"/>
            <family val="2"/>
          </rPr>
          <t>יניב שפירא:</t>
        </r>
        <r>
          <rPr>
            <sz val="9"/>
            <color indexed="81"/>
            <rFont val="Tahoma"/>
            <family val="2"/>
          </rPr>
          <t xml:space="preserve">
שלוש תשובות מקודדות:
after_v13b_1_1
after_v13b_1_2
after_v13b_1_3</t>
        </r>
      </text>
    </comment>
    <comment ref="E3" authorId="0" shapeId="0" xr:uid="{D54AEF7A-BA30-445C-8778-A695056F8DF6}">
      <text>
        <r>
          <rPr>
            <b/>
            <sz val="9"/>
            <color indexed="81"/>
            <rFont val="Tahoma"/>
            <family val="2"/>
          </rPr>
          <t>יניב שפירא:</t>
        </r>
        <r>
          <rPr>
            <sz val="9"/>
            <color indexed="81"/>
            <rFont val="Tahoma"/>
            <family val="2"/>
          </rPr>
          <t xml:space="preserve">
שאלה פתוחה, יש עד 3 תשובות לכל נבדק:
E8B_after_~1
E8B_after_~2
E8B_after_~3</t>
        </r>
      </text>
    </comment>
    <comment ref="H3" authorId="0" shapeId="0" xr:uid="{E3EAD699-5C6E-4463-9234-70E647E434BB}">
      <text>
        <r>
          <rPr>
            <b/>
            <sz val="9"/>
            <color indexed="81"/>
            <rFont val="Tahoma"/>
            <family val="2"/>
          </rPr>
          <t>יניב שפירא:</t>
        </r>
        <r>
          <rPr>
            <sz val="9"/>
            <color indexed="81"/>
            <rFont val="Tahoma"/>
            <family val="2"/>
          </rPr>
          <t xml:space="preserve">
שלוש תשובות מקודדות:
after_v13b_2_1
after_v13b_2_2
after_v13b_2_3</t>
        </r>
      </text>
    </comment>
    <comment ref="C4" authorId="1" shapeId="0" xr:uid="{D5640BD5-C4CE-449B-B2D3-6BE55DE480D7}">
      <text>
        <r>
          <rPr>
            <b/>
            <sz val="9"/>
            <color indexed="81"/>
            <rFont val="Tahoma"/>
            <family val="2"/>
          </rPr>
          <t>adi:</t>
        </r>
        <r>
          <rPr>
            <sz val="9"/>
            <color indexed="81"/>
            <rFont val="Tahoma"/>
            <family val="2"/>
          </rPr>
          <t xml:space="preserve">
1 = שמאל
2 = שמאל מתון
3 = מרכז
4 = ימין מתון
5 = ימין</t>
        </r>
      </text>
    </comment>
    <comment ref="G4" authorId="0" shapeId="0" xr:uid="{C560C3D8-F04B-402F-B571-29B76EA8418E}">
      <text>
        <r>
          <rPr>
            <b/>
            <sz val="9"/>
            <color indexed="81"/>
            <rFont val="Tahoma"/>
            <family val="2"/>
          </rPr>
          <t>יניב שפירא:</t>
        </r>
        <r>
          <rPr>
            <sz val="9"/>
            <color indexed="81"/>
            <rFont val="Tahoma"/>
            <family val="2"/>
          </rPr>
          <t xml:space="preserve">
1 = שמאל
2 = שמאל מתון
3 = מרכז
4 = ימין מתון
5 = ימין
6 = הזרם הדתי
7 = לא מזדהה עם אף גורם</t>
        </r>
      </text>
    </comment>
    <comment ref="V4" authorId="0" shapeId="0" xr:uid="{B64B2523-DEAD-402A-9BEC-D8B7F83595AA}">
      <text>
        <r>
          <rPr>
            <b/>
            <sz val="9"/>
            <color indexed="81"/>
            <rFont val="Tahoma"/>
            <charset val="177"/>
          </rPr>
          <t>יניב שפירא:</t>
        </r>
        <r>
          <rPr>
            <sz val="9"/>
            <color indexed="81"/>
            <rFont val="Tahoma"/>
            <charset val="177"/>
          </rPr>
          <t xml:space="preserve">
1 = שמאל
2 = שמאל מתון
3 = מרכז
4 = ימין מתון
5 = הזרם הדתי
6 = אף זרם</t>
        </r>
      </text>
    </comment>
    <comment ref="E5" authorId="0" shapeId="0" xr:uid="{DAEBE63D-E4FE-41C0-9DBE-536061D2A99A}">
      <text>
        <r>
          <rPr>
            <b/>
            <sz val="9"/>
            <color indexed="81"/>
            <rFont val="Tahoma"/>
            <family val="2"/>
          </rPr>
          <t>יניב שפירא:</t>
        </r>
        <r>
          <rPr>
            <sz val="9"/>
            <color indexed="81"/>
            <rFont val="Tahoma"/>
            <family val="2"/>
          </rPr>
          <t xml:space="preserve">
1-7
1 = ימין מלא
7 = שמאל מלא</t>
        </r>
      </text>
    </comment>
    <comment ref="A6" authorId="0" shapeId="0" xr:uid="{088DEF8B-2A0C-4713-B21F-EB15B6585B75}">
      <text>
        <r>
          <rPr>
            <b/>
            <sz val="9"/>
            <color indexed="81"/>
            <rFont val="Tahoma"/>
            <charset val="177"/>
          </rPr>
          <t>יניב שפירא:</t>
        </r>
        <r>
          <rPr>
            <sz val="9"/>
            <color indexed="81"/>
            <rFont val="Tahoma"/>
            <charset val="177"/>
          </rPr>
          <t xml:space="preserve">
מי שדירג עצמו "4"
בשאלה של ימין-שמאל</t>
        </r>
      </text>
    </comment>
    <comment ref="N6" authorId="0" shapeId="0" xr:uid="{9B3A014F-B701-4C1E-93A5-9C59DE0B944D}">
      <text>
        <r>
          <rPr>
            <b/>
            <sz val="9"/>
            <color indexed="81"/>
            <rFont val="Tahoma"/>
            <charset val="177"/>
          </rPr>
          <t>יניב שפירא:</t>
        </r>
        <r>
          <rPr>
            <sz val="9"/>
            <color indexed="81"/>
            <rFont val="Tahoma"/>
            <charset val="177"/>
          </rPr>
          <t xml:space="preserve">
1 = למחנה הימין
2 = למחנה השמאל
3 = לכל כיוון
4 = לא עובר</t>
        </r>
      </text>
    </comment>
    <comment ref="A7" authorId="0" shapeId="0" xr:uid="{ACB81CE1-AD0F-45BE-BDB4-E14BE3BA6283}">
      <text>
        <r>
          <rPr>
            <b/>
            <sz val="9"/>
            <color indexed="81"/>
            <rFont val="Tahoma"/>
            <charset val="177"/>
          </rPr>
          <t>יניב שפירא:</t>
        </r>
        <r>
          <rPr>
            <sz val="9"/>
            <color indexed="81"/>
            <rFont val="Tahoma"/>
            <charset val="177"/>
          </rPr>
          <t xml:space="preserve">
כל מי שלא דירג עצמו "4" בשאלה של ימין-שמאל</t>
        </r>
      </text>
    </comment>
    <comment ref="N7" authorId="0" shapeId="0" xr:uid="{8DB48925-F6B7-4E06-83AF-4E188683E9E3}">
      <text>
        <r>
          <rPr>
            <b/>
            <sz val="9"/>
            <color indexed="81"/>
            <rFont val="Tahoma"/>
            <charset val="177"/>
          </rPr>
          <t>יניב שפירא:</t>
        </r>
        <r>
          <rPr>
            <sz val="9"/>
            <color indexed="81"/>
            <rFont val="Tahoma"/>
            <charset val="177"/>
          </rPr>
          <t xml:space="preserve">
1 = כן בקלות
2 = חושב שכן
3 = חושב שלא
4 = בשום אופן לא</t>
        </r>
      </text>
    </comment>
    <comment ref="J8" authorId="0" shapeId="0" xr:uid="{DF3A3266-F0C3-4D4E-85F1-647760EEF2E6}">
      <text>
        <r>
          <rPr>
            <b/>
            <sz val="9"/>
            <color indexed="81"/>
            <rFont val="Tahoma"/>
            <family val="2"/>
          </rPr>
          <t>יניב שפירא:</t>
        </r>
        <r>
          <rPr>
            <sz val="9"/>
            <color indexed="81"/>
            <rFont val="Tahoma"/>
            <family val="2"/>
          </rPr>
          <t xml:space="preserve">
סולם 0-10
0 = שמאל מלא
10 = ימין מלא</t>
        </r>
      </text>
    </comment>
    <comment ref="I9" authorId="0" shapeId="0" xr:uid="{509661DA-62D1-4B48-ADE4-5BBF6915B26B}">
      <text>
        <r>
          <rPr>
            <b/>
            <sz val="9"/>
            <color indexed="81"/>
            <rFont val="Tahoma"/>
            <family val="2"/>
          </rPr>
          <t>יניב שפירא:</t>
        </r>
        <r>
          <rPr>
            <sz val="9"/>
            <color indexed="81"/>
            <rFont val="Tahoma"/>
            <family val="2"/>
          </rPr>
          <t xml:space="preserve">
סולם 0-10
0 = שמאלי (יוני)
10 = ימני (נצי)</t>
        </r>
      </text>
    </comment>
    <comment ref="Q9" authorId="0" shapeId="0" xr:uid="{F2E8BC61-CECE-48F2-9289-D031962F05F3}">
      <text>
        <r>
          <rPr>
            <b/>
            <sz val="9"/>
            <color indexed="81"/>
            <rFont val="Tahoma"/>
            <family val="2"/>
          </rPr>
          <t>יניב שפירא:</t>
        </r>
        <r>
          <rPr>
            <sz val="9"/>
            <color indexed="81"/>
            <rFont val="Tahoma"/>
            <family val="2"/>
          </rPr>
          <t xml:space="preserve">
סולם 1-7
1 = נץ
7 = יונה</t>
        </r>
      </text>
    </comment>
    <comment ref="T10" authorId="0" shapeId="0" xr:uid="{193FA0EF-6512-4CE3-A6F4-3DDDE9CD7DE6}">
      <text>
        <r>
          <rPr>
            <b/>
            <sz val="9"/>
            <color indexed="81"/>
            <rFont val="Tahoma"/>
            <family val="2"/>
          </rPr>
          <t xml:space="preserve">יניב שפירא:
</t>
        </r>
        <r>
          <rPr>
            <sz val="9"/>
            <color indexed="81"/>
            <rFont val="Tahoma"/>
            <family val="2"/>
          </rPr>
          <t>סולם 1-7
1 = ימין
7 = שמאל</t>
        </r>
      </text>
    </comment>
    <comment ref="G12" authorId="0" shapeId="0" xr:uid="{6F353B0B-D08A-4DDE-A512-CE28FC80635A}">
      <text>
        <r>
          <rPr>
            <b/>
            <sz val="9"/>
            <color indexed="81"/>
            <rFont val="Tahoma"/>
            <family val="2"/>
          </rPr>
          <t>יניב שפירא:</t>
        </r>
        <r>
          <rPr>
            <sz val="9"/>
            <color indexed="81"/>
            <rFont val="Tahoma"/>
            <family val="2"/>
          </rPr>
          <t xml:space="preserve">
1 = מאד חשובה
2 = די חשובה
3 = לא כ"כ חשובה
4 = כלל לא חשובה</t>
        </r>
      </text>
    </comment>
    <comment ref="G13" authorId="0" shapeId="0" xr:uid="{6DA3438C-7F46-48B9-8E7D-DBE46BE89DBF}">
      <text>
        <r>
          <rPr>
            <b/>
            <sz val="9"/>
            <color indexed="81"/>
            <rFont val="Tahoma"/>
            <family val="2"/>
          </rPr>
          <t>יניב שפירא:</t>
        </r>
        <r>
          <rPr>
            <sz val="9"/>
            <color indexed="81"/>
            <rFont val="Tahoma"/>
            <family val="2"/>
          </rPr>
          <t xml:space="preserve">
1 = כלל לא מסכים
2 = לא כ"כ מסכים
3 = די מסכים
4 = מסכים מאד</t>
        </r>
      </text>
    </comment>
    <comment ref="H16" authorId="0" shapeId="0" xr:uid="{48706EEA-8DA2-4CF4-BBAD-1EADE96193E4}">
      <text>
        <r>
          <rPr>
            <b/>
            <sz val="9"/>
            <color indexed="81"/>
            <rFont val="Tahoma"/>
            <family val="2"/>
          </rPr>
          <t>יניב שפירא:</t>
        </r>
        <r>
          <rPr>
            <sz val="9"/>
            <color indexed="81"/>
            <rFont val="Tahoma"/>
            <family val="2"/>
          </rPr>
          <t xml:space="preserve">
שלוש תשובות מקודדות:
after_v13a_1
after_v13a_2
after_v13a_3</t>
        </r>
      </text>
    </comment>
    <comment ref="T17" authorId="0" shapeId="0" xr:uid="{F861FCAA-5D10-488C-8554-B6FDBA1E97D3}">
      <text>
        <r>
          <rPr>
            <b/>
            <sz val="9"/>
            <color indexed="81"/>
            <rFont val="Tahoma"/>
            <charset val="177"/>
          </rPr>
          <t>יניב שפירא:</t>
        </r>
        <r>
          <rPr>
            <sz val="9"/>
            <color indexed="81"/>
            <rFont val="Tahoma"/>
            <charset val="177"/>
          </rPr>
          <t xml:space="preserve">
1 = הבדלים גדולים מאד
2 = הבדלים גדולים
3 = הבדלים מסוימים
4 = הבדלים קטנים
5 = הבדלים קטנים מאד
6 = אין הבדלים</t>
        </r>
      </text>
    </comment>
    <comment ref="AE17" authorId="0" shapeId="0" xr:uid="{F9C5C234-53EB-4100-A974-03FAFA1B3838}">
      <text>
        <r>
          <rPr>
            <b/>
            <sz val="9"/>
            <color indexed="81"/>
            <rFont val="Tahoma"/>
            <charset val="177"/>
          </rPr>
          <t xml:space="preserve">יניב שפירא:
</t>
        </r>
        <r>
          <rPr>
            <sz val="9"/>
            <color indexed="81"/>
            <rFont val="Tahoma"/>
            <family val="2"/>
          </rPr>
          <t>c54  = בעיה ראשונה
c55 = בעיה שנייה</t>
        </r>
      </text>
    </comment>
    <comment ref="AF17" authorId="0" shapeId="0" xr:uid="{CEF2E9D8-948D-43A8-9EEF-F4242D267D2D}">
      <text>
        <r>
          <rPr>
            <b/>
            <sz val="9"/>
            <color indexed="81"/>
            <rFont val="Tahoma"/>
            <charset val="177"/>
          </rPr>
          <t>יניב שפירא:</t>
        </r>
        <r>
          <rPr>
            <sz val="9"/>
            <color indexed="81"/>
            <rFont val="Tahoma"/>
            <charset val="177"/>
          </rPr>
          <t xml:space="preserve">
v30 בעיה ראשונה
v31 בעיה שנייה</t>
        </r>
      </text>
    </comment>
    <comment ref="AA18" authorId="0" shapeId="0" xr:uid="{43D73212-3206-4BA6-B67C-1D75352A8B4E}">
      <text>
        <r>
          <rPr>
            <b/>
            <sz val="9"/>
            <color indexed="81"/>
            <rFont val="Tahoma"/>
            <charset val="177"/>
          </rPr>
          <t>יניב שפירא:</t>
        </r>
        <r>
          <rPr>
            <sz val="9"/>
            <color indexed="81"/>
            <rFont val="Tahoma"/>
            <charset val="177"/>
          </rPr>
          <t xml:space="preserve">
1 = ברור מאד
2 = ברור
3 = לא כ"כ ברור
4 = כלל לא ברור</t>
        </r>
      </text>
    </comment>
    <comment ref="C19" authorId="1" shapeId="0" xr:uid="{E7D9E126-69C4-455F-9BC9-16830DC45021}">
      <text>
        <r>
          <rPr>
            <b/>
            <sz val="9"/>
            <color indexed="81"/>
            <rFont val="Tahoma"/>
            <family val="2"/>
          </rPr>
          <t>adi:</t>
        </r>
        <r>
          <rPr>
            <sz val="9"/>
            <color indexed="81"/>
            <rFont val="Tahoma"/>
            <family val="2"/>
          </rPr>
          <t xml:space="preserve">
יהודים בלבד</t>
        </r>
      </text>
    </comment>
    <comment ref="G19" authorId="0" shapeId="0" xr:uid="{C1F32055-1385-4D91-AAB1-9818B4D040D2}">
      <text>
        <r>
          <rPr>
            <b/>
            <sz val="9"/>
            <color indexed="81"/>
            <rFont val="Tahoma"/>
            <family val="2"/>
          </rPr>
          <t>יניב שפירא:</t>
        </r>
        <r>
          <rPr>
            <sz val="9"/>
            <color indexed="81"/>
            <rFont val="Tahoma"/>
            <family val="2"/>
          </rPr>
          <t xml:space="preserve">
1 = כמעט ואין הבדלים
2 = הבדלים קטנים
3 = הבדלים מסוימים
4 = הבדלים גדולים
5 = הבדלים גדולים מאד</t>
        </r>
      </text>
    </comment>
    <comment ref="I20" authorId="0" shapeId="0" xr:uid="{47388AD6-9F75-42EF-A448-356C080B4875}">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M20" authorId="0" shapeId="0" xr:uid="{618C95BC-E932-49BB-A646-676DFE31F671}">
      <text>
        <r>
          <rPr>
            <b/>
            <sz val="9"/>
            <color indexed="81"/>
            <rFont val="Tahoma"/>
            <family val="2"/>
          </rPr>
          <t>יניב שפירא:</t>
        </r>
        <r>
          <rPr>
            <sz val="9"/>
            <color indexed="81"/>
            <rFont val="Tahoma"/>
            <family val="2"/>
          </rPr>
          <t xml:space="preserve">
1 = כמעט ואין הבדלים
2 = הבדלים קטנים
3 = הבדלים מסויימים
4 = הבדלים גדולים
5 = הבדלים גדולים מאד</t>
        </r>
      </text>
    </comment>
    <comment ref="O20" authorId="0" shapeId="0" xr:uid="{E204F9FF-B5FE-4886-B8D1-286CFB8120AD}">
      <text>
        <r>
          <rPr>
            <b/>
            <sz val="9"/>
            <color indexed="81"/>
            <rFont val="Tahoma"/>
            <family val="2"/>
          </rPr>
          <t>יניב שפירא:</t>
        </r>
        <r>
          <rPr>
            <sz val="9"/>
            <color indexed="81"/>
            <rFont val="Tahoma"/>
            <family val="2"/>
          </rPr>
          <t xml:space="preserve">
1 = הבדלים גדולים מאד
2 = הבדלים גדולים
3 = הבדלים מסויימים
4 = הבדלים קטנים
5 = כמעט ואין הבדלים</t>
        </r>
      </text>
    </comment>
    <comment ref="W20" authorId="0" shapeId="0" xr:uid="{43AB78BB-DB79-4612-9061-FF357FDFE6A0}">
      <text>
        <r>
          <rPr>
            <b/>
            <sz val="9"/>
            <color indexed="81"/>
            <rFont val="Tahoma"/>
            <charset val="177"/>
          </rPr>
          <t>יניב שפירא:</t>
        </r>
        <r>
          <rPr>
            <sz val="9"/>
            <color indexed="81"/>
            <rFont val="Tahoma"/>
            <charset val="177"/>
          </rPr>
          <t xml:space="preserve">
1 = הבדלים גדולים מאד
2 = הבדלים קטנים
3 = הבדלים מסויימים
4 = הבדלים קטנים
5 = הבדלים קטנים מאד
6 = אין הבדל</t>
        </r>
      </text>
    </comment>
    <comment ref="I21" authorId="0" shapeId="0" xr:uid="{0DB423AB-7670-4EF7-8A73-C0472E2E09B4}">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C22" authorId="1" shapeId="0" xr:uid="{24DCE818-7168-4AB7-86B5-4395C6235388}">
      <text>
        <r>
          <rPr>
            <b/>
            <sz val="9"/>
            <color indexed="81"/>
            <rFont val="Tahoma"/>
            <family val="2"/>
          </rPr>
          <t>adi:</t>
        </r>
        <r>
          <rPr>
            <sz val="9"/>
            <color indexed="81"/>
            <rFont val="Tahoma"/>
            <family val="2"/>
          </rPr>
          <t xml:space="preserve">
יהודים בלבד</t>
        </r>
      </text>
    </comment>
    <comment ref="I22" authorId="0" shapeId="0" xr:uid="{C61D6E78-8FFF-4774-8C84-C599746C44E2}">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C23" authorId="1" shapeId="0" xr:uid="{5F7E81F3-1BE8-4B6C-981A-7ED5C46A4334}">
      <text>
        <r>
          <rPr>
            <b/>
            <sz val="9"/>
            <color indexed="81"/>
            <rFont val="Tahoma"/>
            <family val="2"/>
          </rPr>
          <t>adi:</t>
        </r>
        <r>
          <rPr>
            <sz val="9"/>
            <color indexed="81"/>
            <rFont val="Tahoma"/>
            <family val="2"/>
          </rPr>
          <t xml:space="preserve">
יהודים בלבד</t>
        </r>
      </text>
    </comment>
    <comment ref="M23" authorId="0" shapeId="0" xr:uid="{7863DD2C-39BA-47A1-854E-73DC8F141996}">
      <text>
        <r>
          <rPr>
            <b/>
            <sz val="9"/>
            <color indexed="81"/>
            <rFont val="Tahoma"/>
            <family val="2"/>
          </rPr>
          <t>יניב שפירא:</t>
        </r>
        <r>
          <rPr>
            <sz val="9"/>
            <color indexed="81"/>
            <rFont val="Tahoma"/>
            <family val="2"/>
          </rPr>
          <t xml:space="preserve">
הניסוח הוא:
"הסכם עם הפלסטינים"</t>
        </r>
      </text>
    </comment>
    <comment ref="T23" authorId="0" shapeId="0" xr:uid="{A006B4CA-9009-468A-93FD-F7F452A4FD76}">
      <text>
        <r>
          <rPr>
            <b/>
            <sz val="9"/>
            <color indexed="81"/>
            <rFont val="Tahoma"/>
            <charset val="177"/>
          </rPr>
          <t>יניב שפירא:</t>
        </r>
        <r>
          <rPr>
            <sz val="9"/>
            <color indexed="81"/>
            <rFont val="Tahoma"/>
            <charset val="177"/>
          </rPr>
          <t xml:space="preserve">
1 = הבדלים גדולים מאד
2 = הבדלים גדולים
3 = הבדלים מסויימים
4 = הבדלים קטנים
5 = כמעט ואין הבדלים</t>
        </r>
      </text>
    </comment>
    <comment ref="W23" authorId="0" shapeId="0" xr:uid="{972E474D-C6ED-4EC2-9663-CB1F9AA12224}">
      <text>
        <r>
          <rPr>
            <b/>
            <sz val="9"/>
            <color indexed="81"/>
            <rFont val="Tahoma"/>
            <charset val="177"/>
          </rPr>
          <t>יניב שפירא:</t>
        </r>
        <r>
          <rPr>
            <sz val="9"/>
            <color indexed="81"/>
            <rFont val="Tahoma"/>
            <charset val="177"/>
          </rPr>
          <t xml:space="preserve">
1 = הבדלים גדולים מאד
2 = הבדלים קטנים
3 = הבדלים מסויימים
4 = הבדלים קטנים
5 = הבדלים קטנים מאד
6 = אין הבדל</t>
        </r>
      </text>
    </comment>
    <comment ref="AF23" authorId="0" shapeId="0" xr:uid="{664B90A1-BB07-4611-916B-B4638C2A5E3B}">
      <text>
        <r>
          <rPr>
            <b/>
            <sz val="9"/>
            <color indexed="81"/>
            <rFont val="Tahoma"/>
            <family val="2"/>
          </rPr>
          <t>יניב שפירא:</t>
        </r>
        <r>
          <rPr>
            <sz val="9"/>
            <color indexed="81"/>
            <rFont val="Tahoma"/>
            <family val="2"/>
          </rPr>
          <t xml:space="preserve">
1 = בהחלט קיימים
2 = קיימים
3 = אולי קיימים
4 = לא קיימים</t>
        </r>
      </text>
    </comment>
    <comment ref="C24" authorId="1" shapeId="0" xr:uid="{A8437994-A5F7-46DA-A81F-815E2F3A632D}">
      <text>
        <r>
          <rPr>
            <b/>
            <sz val="9"/>
            <color indexed="81"/>
            <rFont val="Tahoma"/>
            <family val="2"/>
          </rPr>
          <t>adi:</t>
        </r>
        <r>
          <rPr>
            <sz val="9"/>
            <color indexed="81"/>
            <rFont val="Tahoma"/>
            <family val="2"/>
          </rPr>
          <t xml:space="preserve">
יהודים בלבד</t>
        </r>
      </text>
    </comment>
    <comment ref="Q24" authorId="0" shapeId="0" xr:uid="{8517AAA0-4310-4248-8086-912EB38A51B6}">
      <text>
        <r>
          <rPr>
            <b/>
            <sz val="9"/>
            <color indexed="81"/>
            <rFont val="Tahoma"/>
            <family val="2"/>
          </rPr>
          <t>יניב שפירא:</t>
        </r>
        <r>
          <rPr>
            <sz val="9"/>
            <color indexed="81"/>
            <rFont val="Tahoma"/>
            <family val="2"/>
          </rPr>
          <t xml:space="preserve">
1 = רחוקות במידה רבה מאד
2 = רחוקות במידה רבה
3 = בחלקן קרובות ובחלקן רחוקות
4 = העמדות למעדה קרובות
5 = העמדות קרובות מאד</t>
        </r>
      </text>
    </comment>
    <comment ref="U24" authorId="0" shapeId="0" xr:uid="{4B75F0D2-4E31-4343-BB32-B19D31E02174}">
      <text>
        <r>
          <rPr>
            <b/>
            <sz val="9"/>
            <color indexed="81"/>
            <rFont val="Tahoma"/>
            <charset val="177"/>
          </rPr>
          <t>יניב שפירא:</t>
        </r>
        <r>
          <rPr>
            <sz val="9"/>
            <color indexed="81"/>
            <rFont val="Tahoma"/>
            <charset val="177"/>
          </rPr>
          <t xml:space="preserve">
1 = הבדלים גדולים מאד
2 = הבדלים גדולים
3 = הבדלים מסויימים
4 = הבדלים קטנים
5 = כמעט ואין הבדלים</t>
        </r>
      </text>
    </comment>
    <comment ref="AC24" authorId="0" shapeId="0" xr:uid="{A1CB3F66-B632-4048-AA0C-FDCF46A38C2C}">
      <text>
        <r>
          <rPr>
            <b/>
            <sz val="9"/>
            <color indexed="81"/>
            <rFont val="Tahoma"/>
            <charset val="177"/>
          </rPr>
          <t>יניב שפירא:</t>
        </r>
        <r>
          <rPr>
            <sz val="9"/>
            <color indexed="81"/>
            <rFont val="Tahoma"/>
            <charset val="177"/>
          </rPr>
          <t xml:space="preserve">
1 = הבדל גדול מאוד
2 = הבדל גדול
3 = הבדל קטן
4 = אין הבדל כלל</t>
        </r>
      </text>
    </comment>
    <comment ref="C25" authorId="1" shapeId="0" xr:uid="{AA00C895-F721-41B1-8A19-67319B00F4D5}">
      <text>
        <r>
          <rPr>
            <b/>
            <sz val="9"/>
            <color indexed="81"/>
            <rFont val="Tahoma"/>
            <family val="2"/>
          </rPr>
          <t>adi:</t>
        </r>
        <r>
          <rPr>
            <sz val="9"/>
            <color indexed="81"/>
            <rFont val="Tahoma"/>
            <family val="2"/>
          </rPr>
          <t xml:space="preserve">
יהודים בלבד</t>
        </r>
      </text>
    </comment>
    <comment ref="I26" authorId="0" shapeId="0" xr:uid="{3577A090-5351-494A-A3DE-8C9C9B61C742}">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J27" authorId="0" shapeId="0" xr:uid="{EDB529EB-267B-4CB9-AA08-1D48C4BB1D20}">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AE29" authorId="0" shapeId="0" xr:uid="{DE280C4E-5E39-42F9-A7B2-F230FE2708E0}">
      <text>
        <r>
          <rPr>
            <b/>
            <sz val="9"/>
            <color indexed="81"/>
            <rFont val="Tahoma"/>
            <family val="2"/>
          </rPr>
          <t>יניב שפירא:</t>
        </r>
        <r>
          <rPr>
            <sz val="9"/>
            <color indexed="81"/>
            <rFont val="Tahoma"/>
            <family val="2"/>
          </rPr>
          <t xml:space="preserve">
1 = בהחלט קיימים
2 = קיימים
3 = אולי קיימים
4 = לא קיימים</t>
        </r>
      </text>
    </comment>
    <comment ref="J30" authorId="0" shapeId="0" xr:uid="{A0A8B6FE-E1FE-4ABD-BE79-9AF2A23AE23D}">
      <text>
        <r>
          <rPr>
            <b/>
            <sz val="9"/>
            <color indexed="81"/>
            <rFont val="Tahoma"/>
            <family val="2"/>
          </rPr>
          <t>יניב שפירא:</t>
        </r>
        <r>
          <rPr>
            <sz val="9"/>
            <color indexed="81"/>
            <rFont val="Tahoma"/>
            <family val="2"/>
          </rPr>
          <t xml:space="preserve">
סולם 0-10
0 = שמאל מלא
10 = ימין מלא</t>
        </r>
      </text>
    </comment>
    <comment ref="D34" authorId="0" shapeId="0" xr:uid="{F00FF6F6-AF79-41D8-927C-25D6189DEC3E}">
      <text>
        <r>
          <rPr>
            <b/>
            <sz val="9"/>
            <color indexed="81"/>
            <rFont val="Tahoma"/>
            <family val="2"/>
          </rPr>
          <t>יניב שפירא:</t>
        </r>
        <r>
          <rPr>
            <sz val="9"/>
            <color indexed="81"/>
            <rFont val="Tahoma"/>
            <family val="2"/>
          </rPr>
          <t xml:space="preserve">
הציונות הדתית</t>
        </r>
      </text>
    </comment>
    <comment ref="K34" authorId="0" shapeId="0" xr:uid="{B3D9FB71-9E94-4022-AD52-2FA0A3B8D562}">
      <text>
        <r>
          <rPr>
            <b/>
            <sz val="9"/>
            <color indexed="81"/>
            <rFont val="Tahoma"/>
            <family val="2"/>
          </rPr>
          <t>יניב שפירא:</t>
        </r>
        <r>
          <rPr>
            <sz val="9"/>
            <color indexed="81"/>
            <rFont val="Tahoma"/>
            <family val="2"/>
          </rPr>
          <t xml:space="preserve">
המפד"ל-האיחוד הלאומי</t>
        </r>
      </text>
    </comment>
    <comment ref="C37" authorId="1" shapeId="0" xr:uid="{313393DA-BACA-47C3-855F-426BAA449F08}">
      <text>
        <r>
          <rPr>
            <b/>
            <sz val="9"/>
            <color indexed="81"/>
            <rFont val="Tahoma"/>
            <family val="2"/>
          </rPr>
          <t>adi:</t>
        </r>
        <r>
          <rPr>
            <sz val="9"/>
            <color indexed="81"/>
            <rFont val="Tahoma"/>
            <family val="2"/>
          </rPr>
          <t xml:space="preserve">
המחנה הממלכתי, איחוד עם תקווה חדשה</t>
        </r>
      </text>
    </comment>
    <comment ref="C42" authorId="1" shapeId="0" xr:uid="{4A5928B9-98AF-4FA6-92E8-83D63F385DE9}">
      <text>
        <r>
          <rPr>
            <b/>
            <sz val="9"/>
            <color indexed="81"/>
            <rFont val="Tahoma"/>
            <family val="2"/>
          </rPr>
          <t>adi:</t>
        </r>
        <r>
          <rPr>
            <sz val="9"/>
            <color indexed="81"/>
            <rFont val="Tahoma"/>
            <family val="2"/>
          </rPr>
          <t xml:space="preserve">
חד"ש תע"ל</t>
        </r>
      </text>
    </comment>
    <comment ref="N44" authorId="0" shapeId="0" xr:uid="{772FAFAA-9F6F-4868-8FCF-7BF3BC0ACF65}">
      <text>
        <r>
          <rPr>
            <b/>
            <sz val="9"/>
            <color indexed="81"/>
            <rFont val="Tahoma"/>
            <charset val="177"/>
          </rPr>
          <t>יניב שפירא:</t>
        </r>
        <r>
          <rPr>
            <sz val="9"/>
            <color indexed="81"/>
            <rFont val="Tahoma"/>
            <charset val="177"/>
          </rPr>
          <t xml:space="preserve">
1 = בטוח שכן
2 = חושב שכן
3 = חושב שלא
4 = בטוח שלא</t>
        </r>
      </text>
    </comment>
    <comment ref="U45" authorId="0" shapeId="0" xr:uid="{C53A0CDC-B214-453C-BF8E-FD1A81F93F44}">
      <text>
        <r>
          <rPr>
            <b/>
            <sz val="9"/>
            <color indexed="81"/>
            <rFont val="Tahoma"/>
            <charset val="177"/>
          </rPr>
          <t>יניב שפירא:</t>
        </r>
        <r>
          <rPr>
            <sz val="9"/>
            <color indexed="81"/>
            <rFont val="Tahoma"/>
            <charset val="177"/>
          </rPr>
          <t xml:space="preserve">
1 = ההבדלים הם "במה שהם אומרים"
2 = ההבדלים הם "במה שהם עושים"
3 = ההבדלים הם בשניהם
4 = אין הבדלים</t>
        </r>
      </text>
    </comment>
    <comment ref="AE45" authorId="0" shapeId="0" xr:uid="{058587C3-24BA-40BC-97E8-C45B3E51D4EE}">
      <text>
        <r>
          <rPr>
            <b/>
            <sz val="9"/>
            <color indexed="81"/>
            <rFont val="Tahoma"/>
            <charset val="177"/>
          </rPr>
          <t>יניב שפירא:</t>
        </r>
        <r>
          <rPr>
            <sz val="9"/>
            <color indexed="81"/>
            <rFont val="Tahoma"/>
            <charset val="177"/>
          </rPr>
          <t xml:space="preserve">
1 = ההבדלים בעיקר בדיבורים ולא במעשים
2 = ההבדלים בעיקר במעשים ולא בדיבורים
3 = יש הבדלים גם בדיבורים וגם במעשים
9 = אין הבדלים כלל</t>
        </r>
      </text>
    </comment>
    <comment ref="U46" authorId="0" shapeId="0" xr:uid="{C5D72439-5E4B-41D2-B423-B7404185E9A2}">
      <text>
        <r>
          <rPr>
            <b/>
            <sz val="9"/>
            <color indexed="81"/>
            <rFont val="Tahoma"/>
            <charset val="177"/>
          </rPr>
          <t>יניב שפירא:</t>
        </r>
        <r>
          <rPr>
            <sz val="9"/>
            <color indexed="81"/>
            <rFont val="Tahoma"/>
            <charset val="177"/>
          </rPr>
          <t xml:space="preserve">
1 = ניצית במידה רבה
2 = ניצית
3 = לא ניצית ולא יונית
4 = יונית
5 = יונית במידה רבה</t>
        </r>
      </text>
    </comment>
    <comment ref="U48" authorId="0" shapeId="0" xr:uid="{B3A56DD6-2828-4939-8A09-E14CD1FCB5B8}">
      <text>
        <r>
          <rPr>
            <b/>
            <sz val="9"/>
            <color indexed="81"/>
            <rFont val="Tahoma"/>
            <family val="2"/>
          </rPr>
          <t>יניב שפירא:</t>
        </r>
        <r>
          <rPr>
            <sz val="9"/>
            <color indexed="81"/>
            <rFont val="Tahoma"/>
            <family val="2"/>
          </rPr>
          <t xml:space="preserve">
1 = כן בהחלט
2 = חושב שכן
3 = ככה ככה
4 = חושב שלא
5 = בהחלט לא</t>
        </r>
      </text>
    </comment>
    <comment ref="AA49" authorId="0" shapeId="0" xr:uid="{61A7D124-6867-426C-A043-D71FE301D386}">
      <text>
        <r>
          <rPr>
            <b/>
            <sz val="9"/>
            <color indexed="81"/>
            <rFont val="Tahoma"/>
            <charset val="177"/>
          </rPr>
          <t>יניב שפירא:</t>
        </r>
        <r>
          <rPr>
            <sz val="9"/>
            <color indexed="81"/>
            <rFont val="Tahoma"/>
            <charset val="177"/>
          </rPr>
          <t xml:space="preserve">
1 = ברור מאוד
2 = ברור
3 = לא כ"כ ברור
4 = לא ברור כלל</t>
        </r>
      </text>
    </comment>
    <comment ref="AH49" authorId="0" shapeId="0" xr:uid="{D3B76C76-CCA2-4FE2-B866-8410E7096792}">
      <text>
        <r>
          <rPr>
            <b/>
            <sz val="9"/>
            <color indexed="81"/>
            <rFont val="Tahoma"/>
            <family val="2"/>
          </rPr>
          <t>יניב שפירא:</t>
        </r>
        <r>
          <rPr>
            <sz val="9"/>
            <color indexed="81"/>
            <rFont val="Tahoma"/>
            <family val="2"/>
          </rPr>
          <t xml:space="preserve">
1 = ברור מאוד
2 = ברור
3 = לא כ"כ ברור
4 = לא ברור כללי
5 = אין הבדל
6 = אין תשובה</t>
        </r>
      </text>
    </comment>
    <comment ref="AC52" authorId="0" shapeId="0" xr:uid="{6D909884-EABC-4B88-9005-657520768235}">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E53" authorId="0" shapeId="0" xr:uid="{2E46858E-B1FD-40A7-9A58-D3EF07B11410}">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E54" authorId="0" shapeId="0" xr:uid="{95E77ED1-7727-49C9-84A0-62ABB7E80F9E}">
      <text>
        <r>
          <rPr>
            <b/>
            <sz val="9"/>
            <color indexed="81"/>
            <rFont val="Tahoma"/>
            <charset val="177"/>
          </rPr>
          <t>יניב שפירא:</t>
        </r>
        <r>
          <rPr>
            <sz val="9"/>
            <color indexed="81"/>
            <rFont val="Tahoma"/>
            <charset val="177"/>
          </rPr>
          <t xml:space="preserve">
1 = הבדלים גדולים מאד
2 = הבדלים גדולים
3 = הבדלים קטנים
4 = הבדלים קטנים מאד
5 = אין הבדלים כלל</t>
        </r>
      </text>
    </comment>
    <comment ref="AE55" authorId="0" shapeId="0" xr:uid="{713799C7-FDF0-49A9-A893-EF481AE6AB65}">
      <text>
        <r>
          <rPr>
            <b/>
            <sz val="9"/>
            <color indexed="81"/>
            <rFont val="Tahoma"/>
            <charset val="177"/>
          </rPr>
          <t>יניב שפירא:</t>
        </r>
        <r>
          <rPr>
            <sz val="9"/>
            <color indexed="81"/>
            <rFont val="Tahoma"/>
            <charset val="177"/>
          </rPr>
          <t xml:space="preserve">
1 = שמאלי
2 = ימני
3 = מרכזי
4 = לא הבין את השאלה</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X1" authorId="0" shapeId="0" xr:uid="{B966039E-D128-42EE-8DD9-1A39989E17AC}">
      <text>
        <r>
          <rPr>
            <b/>
            <sz val="9"/>
            <color indexed="81"/>
            <rFont val="Tahoma"/>
            <charset val="177"/>
          </rPr>
          <t>יניב שפירא:</t>
        </r>
        <r>
          <rPr>
            <sz val="9"/>
            <color indexed="81"/>
            <rFont val="Tahoma"/>
            <charset val="177"/>
          </rPr>
          <t xml:space="preserve">
post election</t>
        </r>
      </text>
    </comment>
    <comment ref="AB1" authorId="0" shapeId="0" xr:uid="{FD2CCD62-FF49-40F1-B76A-DC70E6C86C92}">
      <text>
        <r>
          <rPr>
            <b/>
            <sz val="9"/>
            <color indexed="81"/>
            <rFont val="Tahoma"/>
            <charset val="177"/>
          </rPr>
          <t>יניב שפירא:</t>
        </r>
        <r>
          <rPr>
            <sz val="9"/>
            <color indexed="81"/>
            <rFont val="Tahoma"/>
            <charset val="177"/>
          </rPr>
          <t xml:space="preserve">
post Kippur + post election</t>
        </r>
      </text>
    </comment>
    <comment ref="AC1" authorId="0" shapeId="0" xr:uid="{F9EBDE58-2BB3-48F6-B4AC-EBD3E58B2C3E}">
      <text>
        <r>
          <rPr>
            <b/>
            <sz val="9"/>
            <color indexed="81"/>
            <rFont val="Tahoma"/>
            <charset val="177"/>
          </rPr>
          <t>יניב שפירא:</t>
        </r>
        <r>
          <rPr>
            <sz val="9"/>
            <color indexed="81"/>
            <rFont val="Tahoma"/>
            <charset val="177"/>
          </rPr>
          <t xml:space="preserve">
post Kippur</t>
        </r>
      </text>
    </comment>
    <comment ref="AD1" authorId="0" shapeId="0" xr:uid="{F6A08DEE-920B-48F6-BD1F-EF68D243AFCD}">
      <text>
        <r>
          <rPr>
            <b/>
            <sz val="9"/>
            <color indexed="81"/>
            <rFont val="Tahoma"/>
            <charset val="177"/>
          </rPr>
          <t>יניב שפירא:</t>
        </r>
        <r>
          <rPr>
            <sz val="9"/>
            <color indexed="81"/>
            <rFont val="Tahoma"/>
            <charset val="177"/>
          </rPr>
          <t xml:space="preserve">
post Kippur</t>
        </r>
      </text>
    </comment>
    <comment ref="AG1" authorId="0" shapeId="0" xr:uid="{8CC1E07D-12E0-4E51-BE67-38101652E047}">
      <text>
        <r>
          <rPr>
            <b/>
            <sz val="9"/>
            <color indexed="81"/>
            <rFont val="Tahoma"/>
            <charset val="177"/>
          </rPr>
          <t>יניב שפירא:</t>
        </r>
        <r>
          <rPr>
            <sz val="9"/>
            <color indexed="81"/>
            <rFont val="Tahoma"/>
            <charset val="177"/>
          </rPr>
          <t xml:space="preserve">
pre + post election</t>
        </r>
      </text>
    </comment>
    <comment ref="E2" authorId="0" shapeId="0" xr:uid="{35F92B62-A385-4F34-A449-B813F98E3964}">
      <text>
        <r>
          <rPr>
            <b/>
            <sz val="9"/>
            <color indexed="81"/>
            <rFont val="Tahoma"/>
            <family val="2"/>
          </rPr>
          <t>יניב שפירא:</t>
        </r>
        <r>
          <rPr>
            <sz val="9"/>
            <color indexed="81"/>
            <rFont val="Tahoma"/>
            <family val="2"/>
          </rPr>
          <t xml:space="preserve">
0-10
0 = דחייה/שנאה
10 = תמיכה/אהדה</t>
        </r>
      </text>
    </comment>
    <comment ref="I2" authorId="0" shapeId="0" xr:uid="{0940385E-9723-42F7-B2DB-4EC3683EFF3E}">
      <text>
        <r>
          <rPr>
            <b/>
            <sz val="9"/>
            <color indexed="81"/>
            <rFont val="Tahoma"/>
            <family val="2"/>
          </rPr>
          <t>יניב שפירא:</t>
        </r>
        <r>
          <rPr>
            <sz val="9"/>
            <color indexed="81"/>
            <rFont val="Tahoma"/>
            <family val="2"/>
          </rPr>
          <t xml:space="preserve">
בבחירות האלו - 
הליכוד-ישראל ביתנו</t>
        </r>
      </text>
    </comment>
    <comment ref="L2" authorId="0" shapeId="0" xr:uid="{5CE4DA27-C7B4-4CEF-81F1-31154DC261C6}">
      <text>
        <r>
          <rPr>
            <b/>
            <sz val="9"/>
            <color indexed="81"/>
            <rFont val="Tahoma"/>
            <family val="2"/>
          </rPr>
          <t>יניב שפירא:</t>
        </r>
        <r>
          <rPr>
            <sz val="9"/>
            <color indexed="81"/>
            <rFont val="Tahoma"/>
            <family val="2"/>
          </rPr>
          <t xml:space="preserve">
סולם 1-10</t>
        </r>
      </text>
    </comment>
    <comment ref="P2" authorId="0" shapeId="0" xr:uid="{4684C94D-325F-40F1-A97E-1D2356ED9DFB}">
      <text>
        <r>
          <rPr>
            <b/>
            <sz val="9"/>
            <color indexed="81"/>
            <rFont val="Tahoma"/>
            <charset val="177"/>
          </rPr>
          <t>יניב שפירא:</t>
        </r>
        <r>
          <rPr>
            <sz val="9"/>
            <color indexed="81"/>
            <rFont val="Tahoma"/>
            <charset val="177"/>
          </rPr>
          <t xml:space="preserve">
סולם 1-10
1 = שנאה
10 = אהדה</t>
        </r>
      </text>
    </comment>
    <comment ref="A4" authorId="0" shapeId="0" xr:uid="{D7276714-07C9-48E3-9F91-76A49A92F962}">
      <text>
        <r>
          <rPr>
            <b/>
            <sz val="9"/>
            <color indexed="81"/>
            <rFont val="Tahoma"/>
            <family val="2"/>
          </rPr>
          <t>יניב שפירא:</t>
        </r>
        <r>
          <rPr>
            <sz val="9"/>
            <color indexed="81"/>
            <rFont val="Tahoma"/>
            <family val="2"/>
          </rPr>
          <t xml:space="preserve">
רק מגזר יהודי</t>
        </r>
      </text>
    </comment>
    <comment ref="E7" authorId="0" shapeId="0" xr:uid="{D40A4BB0-DFCF-4E1A-8B8C-01259E5537E0}">
      <text>
        <r>
          <rPr>
            <b/>
            <sz val="9"/>
            <color indexed="81"/>
            <rFont val="Tahoma"/>
            <family val="2"/>
          </rPr>
          <t>יניב שפירא:</t>
        </r>
        <r>
          <rPr>
            <sz val="9"/>
            <color indexed="81"/>
            <rFont val="Tahoma"/>
            <family val="2"/>
          </rPr>
          <t xml:space="preserve">
העבודה-גשר-מרצ</t>
        </r>
      </text>
    </comment>
    <comment ref="F7" authorId="0" shapeId="0" xr:uid="{819A3F1D-312E-49D0-9195-613DD8E4D516}">
      <text>
        <r>
          <rPr>
            <b/>
            <sz val="9"/>
            <color indexed="81"/>
            <rFont val="Tahoma"/>
            <family val="2"/>
          </rPr>
          <t>יניב שפירא:</t>
        </r>
        <r>
          <rPr>
            <sz val="9"/>
            <color indexed="81"/>
            <rFont val="Tahoma"/>
            <family val="2"/>
          </rPr>
          <t xml:space="preserve">
העבודה-גשר</t>
        </r>
      </text>
    </comment>
    <comment ref="H7" authorId="0" shapeId="0" xr:uid="{AE6EC02B-C6AD-4534-9DE1-4EB226B913D4}">
      <text>
        <r>
          <rPr>
            <b/>
            <sz val="9"/>
            <color indexed="81"/>
            <rFont val="Tahoma"/>
            <family val="2"/>
          </rPr>
          <t>יניב שפירא:</t>
        </r>
        <r>
          <rPr>
            <sz val="9"/>
            <color indexed="81"/>
            <rFont val="Tahoma"/>
            <family val="2"/>
          </rPr>
          <t xml:space="preserve">
בבחירות האלו
המחנה הציוני</t>
        </r>
      </text>
    </comment>
    <comment ref="A10" authorId="0" shapeId="0" xr:uid="{E2855596-A43A-487D-A7DA-6F2A15200A27}">
      <text>
        <r>
          <rPr>
            <b/>
            <sz val="9"/>
            <color indexed="81"/>
            <rFont val="Tahoma"/>
            <family val="2"/>
          </rPr>
          <t>יניב שפירא:</t>
        </r>
        <r>
          <rPr>
            <sz val="9"/>
            <color indexed="81"/>
            <rFont val="Tahoma"/>
            <family val="2"/>
          </rPr>
          <t xml:space="preserve">
בבחירות 2015 התאחדו עם העבודה ויצרו את
"המחנה הציוני"</t>
        </r>
      </text>
    </comment>
    <comment ref="F11" authorId="0" shapeId="0" xr:uid="{C574ED2E-7405-47CE-A946-0D5840D5F2FD}">
      <text>
        <r>
          <rPr>
            <b/>
            <sz val="9"/>
            <color indexed="81"/>
            <rFont val="Tahoma"/>
            <family val="2"/>
          </rPr>
          <t>יניב שפירא:</t>
        </r>
        <r>
          <rPr>
            <sz val="9"/>
            <color indexed="81"/>
            <rFont val="Tahoma"/>
            <family val="2"/>
          </rPr>
          <t xml:space="preserve">
המחנה הדמוקרטי
(עם שפיר וברק)</t>
        </r>
      </text>
    </comment>
    <comment ref="A12" authorId="0" shapeId="0" xr:uid="{787234FE-4A8E-493F-8298-63753919CB79}">
      <text>
        <r>
          <rPr>
            <b/>
            <sz val="9"/>
            <color indexed="81"/>
            <rFont val="Tahoma"/>
            <family val="2"/>
          </rPr>
          <t>יניב שפירא:</t>
        </r>
        <r>
          <rPr>
            <sz val="9"/>
            <color indexed="81"/>
            <rFont val="Tahoma"/>
            <family val="2"/>
          </rPr>
          <t xml:space="preserve">
רק מגזר יהודי!</t>
        </r>
      </text>
    </comment>
    <comment ref="A13" authorId="0" shapeId="0" xr:uid="{DD5D45DE-0811-4F51-9A79-049839D2A932}">
      <text>
        <r>
          <rPr>
            <b/>
            <sz val="9"/>
            <color indexed="81"/>
            <rFont val="Tahoma"/>
            <family val="2"/>
          </rPr>
          <t>יניב שפירא:</t>
        </r>
        <r>
          <rPr>
            <sz val="9"/>
            <color indexed="81"/>
            <rFont val="Tahoma"/>
            <family val="2"/>
          </rPr>
          <t xml:space="preserve">
רק מגזר יהודי</t>
        </r>
      </text>
    </comment>
    <comment ref="A14" authorId="0" shapeId="0" xr:uid="{FB6165E6-A5C4-4241-B68C-EA486267C354}">
      <text>
        <r>
          <rPr>
            <b/>
            <sz val="9"/>
            <color indexed="81"/>
            <rFont val="Tahoma"/>
            <family val="2"/>
          </rPr>
          <t>יניב שפירא:</t>
        </r>
        <r>
          <rPr>
            <sz val="9"/>
            <color indexed="81"/>
            <rFont val="Tahoma"/>
            <family val="2"/>
          </rPr>
          <t xml:space="preserve">
רק מגזר יהודי</t>
        </r>
      </text>
    </comment>
    <comment ref="C14" authorId="1" shapeId="0" xr:uid="{6766C00B-6E5A-4048-95E8-FDCBA400E51C}">
      <text>
        <r>
          <rPr>
            <b/>
            <sz val="9"/>
            <color indexed="81"/>
            <rFont val="Tahoma"/>
            <family val="2"/>
          </rPr>
          <t>adi:</t>
        </r>
        <r>
          <rPr>
            <sz val="9"/>
            <color indexed="81"/>
            <rFont val="Tahoma"/>
            <family val="2"/>
          </rPr>
          <t xml:space="preserve">
יחס עם עוצמה יהודית</t>
        </r>
      </text>
    </comment>
    <comment ref="D14" authorId="0" shapeId="0" xr:uid="{9EBD2A85-D0FE-4D0C-B10A-22FC0C089CD2}">
      <text>
        <r>
          <rPr>
            <b/>
            <sz val="9"/>
            <color indexed="81"/>
            <rFont val="Tahoma"/>
            <family val="2"/>
          </rPr>
          <t>יניב שפירא:</t>
        </r>
        <r>
          <rPr>
            <sz val="9"/>
            <color indexed="81"/>
            <rFont val="Tahoma"/>
            <family val="2"/>
          </rPr>
          <t xml:space="preserve">
הציונות הדתית</t>
        </r>
      </text>
    </comment>
    <comment ref="K14" authorId="0" shapeId="0" xr:uid="{1389067F-10AE-4F86-BAAC-FC2D9B33FBF5}">
      <text>
        <r>
          <rPr>
            <b/>
            <sz val="9"/>
            <color indexed="81"/>
            <rFont val="Tahoma"/>
            <family val="2"/>
          </rPr>
          <t>יניב שפירא:</t>
        </r>
        <r>
          <rPr>
            <sz val="9"/>
            <color indexed="81"/>
            <rFont val="Tahoma"/>
            <family val="2"/>
          </rPr>
          <t xml:space="preserve">
מפד"ל-האיחוד הלאומי</t>
        </r>
      </text>
    </comment>
    <comment ref="A15" authorId="0" shapeId="0" xr:uid="{2D998F1A-660F-401F-8578-7B8925009E69}">
      <text>
        <r>
          <rPr>
            <b/>
            <sz val="9"/>
            <color indexed="81"/>
            <rFont val="Tahoma"/>
            <family val="2"/>
          </rPr>
          <t>יניב שפירא:</t>
        </r>
        <r>
          <rPr>
            <sz val="9"/>
            <color indexed="81"/>
            <rFont val="Tahoma"/>
            <family val="2"/>
          </rPr>
          <t xml:space="preserve">
רק מגזר יהודי!
בחירות 2013 רצו עם הליכוד</t>
        </r>
      </text>
    </comment>
    <comment ref="L15" authorId="0" shapeId="0" xr:uid="{A57E2FFD-551A-45EB-9609-55E81FB05BEE}">
      <text>
        <r>
          <rPr>
            <b/>
            <sz val="9"/>
            <color indexed="81"/>
            <rFont val="Tahoma"/>
            <family val="2"/>
          </rPr>
          <t>יניב שפירא:</t>
        </r>
        <r>
          <rPr>
            <sz val="9"/>
            <color indexed="81"/>
            <rFont val="Tahoma"/>
            <family val="2"/>
          </rPr>
          <t xml:space="preserve">
האיחוד הלאומי</t>
        </r>
      </text>
    </comment>
    <comment ref="A16" authorId="0" shapeId="0" xr:uid="{87958ECF-9AA0-4F22-862B-A822BAE0B2B3}">
      <text>
        <r>
          <rPr>
            <b/>
            <sz val="9"/>
            <color indexed="81"/>
            <rFont val="Tahoma"/>
            <family val="2"/>
          </rPr>
          <t>יניב שפירא:</t>
        </r>
        <r>
          <rPr>
            <sz val="9"/>
            <color indexed="81"/>
            <rFont val="Tahoma"/>
            <family val="2"/>
          </rPr>
          <t xml:space="preserve">
רק מגזר יהודי!</t>
        </r>
      </text>
    </comment>
    <comment ref="A18" authorId="0" shapeId="0" xr:uid="{63E2AEF7-8C95-4A4F-9559-ED9CEEDBEC46}">
      <text>
        <r>
          <rPr>
            <b/>
            <sz val="9"/>
            <color indexed="81"/>
            <rFont val="Tahoma"/>
            <family val="2"/>
          </rPr>
          <t>יניב שפירא:</t>
        </r>
        <r>
          <rPr>
            <sz val="9"/>
            <color indexed="81"/>
            <rFont val="Tahoma"/>
            <family val="2"/>
          </rPr>
          <t xml:space="preserve">
רק מגזר יהודי!</t>
        </r>
      </text>
    </comment>
    <comment ref="A19" authorId="0" shapeId="0" xr:uid="{8F376210-0364-47EF-9F58-C26A83643C51}">
      <text>
        <r>
          <rPr>
            <b/>
            <sz val="9"/>
            <color indexed="81"/>
            <rFont val="Tahoma"/>
            <family val="2"/>
          </rPr>
          <t>יניב שפירא:</t>
        </r>
        <r>
          <rPr>
            <sz val="9"/>
            <color indexed="81"/>
            <rFont val="Tahoma"/>
            <family val="2"/>
          </rPr>
          <t xml:space="preserve">
רק מגזר יהודי!</t>
        </r>
      </text>
    </comment>
    <comment ref="C21" authorId="1" shapeId="0" xr:uid="{71723413-F2B0-4865-9B58-0E7F30792E70}">
      <text>
        <r>
          <rPr>
            <b/>
            <sz val="9"/>
            <color indexed="81"/>
            <rFont val="Tahoma"/>
            <family val="2"/>
          </rPr>
          <t>adi:</t>
        </r>
        <r>
          <rPr>
            <sz val="9"/>
            <color indexed="81"/>
            <rFont val="Tahoma"/>
            <family val="2"/>
          </rPr>
          <t xml:space="preserve">
חד"ש תע"ל
</t>
        </r>
      </text>
    </comment>
    <comment ref="G21" authorId="0" shapeId="0" xr:uid="{4B55B5B0-44E2-404B-9317-ED5B6E07B2EA}">
      <text>
        <r>
          <rPr>
            <b/>
            <sz val="9"/>
            <color indexed="81"/>
            <rFont val="Tahoma"/>
            <family val="2"/>
          </rPr>
          <t>יניב שפירא:</t>
        </r>
        <r>
          <rPr>
            <sz val="9"/>
            <color indexed="81"/>
            <rFont val="Tahoma"/>
            <family val="2"/>
          </rPr>
          <t xml:space="preserve">
רק חד"ש-תע"ל</t>
        </r>
      </text>
    </comment>
    <comment ref="A22" authorId="0" shapeId="0" xr:uid="{52969B08-6A41-47E4-97BE-51865D11C20B}">
      <text>
        <r>
          <rPr>
            <b/>
            <sz val="9"/>
            <color indexed="81"/>
            <rFont val="Tahoma"/>
            <family val="2"/>
          </rPr>
          <t>יניב שפירא:</t>
        </r>
        <r>
          <rPr>
            <sz val="9"/>
            <color indexed="81"/>
            <rFont val="Tahoma"/>
            <family val="2"/>
          </rPr>
          <t xml:space="preserve">
רק ערבים</t>
        </r>
      </text>
    </comment>
    <comment ref="A23" authorId="0" shapeId="0" xr:uid="{B613894A-1E21-40CF-BFDE-AF298E213B72}">
      <text>
        <r>
          <rPr>
            <b/>
            <sz val="9"/>
            <color indexed="81"/>
            <rFont val="Tahoma"/>
            <family val="2"/>
          </rPr>
          <t>יניב שפירא:</t>
        </r>
        <r>
          <rPr>
            <sz val="9"/>
            <color indexed="81"/>
            <rFont val="Tahoma"/>
            <family val="2"/>
          </rPr>
          <t xml:space="preserve">
רק ערבים</t>
        </r>
      </text>
    </comment>
    <comment ref="A24" authorId="0" shapeId="0" xr:uid="{A060E2AA-5EC3-4E8A-BBFB-90D5A607E48B}">
      <text>
        <r>
          <rPr>
            <b/>
            <sz val="9"/>
            <color indexed="81"/>
            <rFont val="Tahoma"/>
            <family val="2"/>
          </rPr>
          <t>יניב שפירא:</t>
        </r>
        <r>
          <rPr>
            <sz val="9"/>
            <color indexed="81"/>
            <rFont val="Tahoma"/>
            <family val="2"/>
          </rPr>
          <t xml:space="preserve">
ערבים בלבד</t>
        </r>
      </text>
    </comment>
    <comment ref="A25" authorId="0" shapeId="0" xr:uid="{3F1489AE-BB72-4102-9ECD-69360E517BF5}">
      <text>
        <r>
          <rPr>
            <b/>
            <sz val="9"/>
            <color indexed="81"/>
            <rFont val="Tahoma"/>
            <family val="2"/>
          </rPr>
          <t>יניב שפירא:</t>
        </r>
        <r>
          <rPr>
            <sz val="9"/>
            <color indexed="81"/>
            <rFont val="Tahoma"/>
            <family val="2"/>
          </rPr>
          <t xml:space="preserve">
ערבים בלבד</t>
        </r>
      </text>
    </comment>
    <comment ref="A26" authorId="0" shapeId="0" xr:uid="{6ED6A080-5515-4C3B-B128-F06E55AA120D}">
      <text>
        <r>
          <rPr>
            <b/>
            <sz val="9"/>
            <color indexed="81"/>
            <rFont val="Tahoma"/>
            <family val="2"/>
          </rPr>
          <t>יניב שפירא:</t>
        </r>
        <r>
          <rPr>
            <sz val="9"/>
            <color indexed="81"/>
            <rFont val="Tahoma"/>
            <family val="2"/>
          </rPr>
          <t xml:space="preserve">
ערבים בלבד</t>
        </r>
      </text>
    </comment>
    <comment ref="A27" authorId="0" shapeId="0" xr:uid="{6680B47D-F44E-45BF-8033-DE00FC3E191D}">
      <text>
        <r>
          <rPr>
            <b/>
            <sz val="9"/>
            <color indexed="81"/>
            <rFont val="Tahoma"/>
            <family val="2"/>
          </rPr>
          <t>יניב שפירא:</t>
        </r>
        <r>
          <rPr>
            <sz val="9"/>
            <color indexed="81"/>
            <rFont val="Tahoma"/>
            <family val="2"/>
          </rPr>
          <t xml:space="preserve">
ערבים בלבד</t>
        </r>
      </text>
    </comment>
    <comment ref="D28" authorId="0" shapeId="0" xr:uid="{AE4B7807-C6AA-4C99-8C42-75EB35DDAAF1}">
      <text>
        <r>
          <rPr>
            <b/>
            <sz val="9"/>
            <color indexed="81"/>
            <rFont val="Tahoma"/>
            <family val="2"/>
          </rPr>
          <t>יניב שפירא:</t>
        </r>
        <r>
          <rPr>
            <sz val="9"/>
            <color indexed="81"/>
            <rFont val="Tahoma"/>
            <family val="2"/>
          </rPr>
          <t xml:space="preserve">
סולם 0-10
0 = שנאה
10 = אהדה</t>
        </r>
      </text>
    </comment>
    <comment ref="E33" authorId="0" shapeId="0" xr:uid="{ADF2A09A-29BB-421E-997F-9AFC154C28FC}">
      <text>
        <r>
          <rPr>
            <b/>
            <sz val="9"/>
            <color indexed="81"/>
            <rFont val="Tahoma"/>
            <family val="2"/>
          </rPr>
          <t>יניב שפירא:</t>
        </r>
        <r>
          <rPr>
            <sz val="9"/>
            <color indexed="81"/>
            <rFont val="Tahoma"/>
            <family val="2"/>
          </rPr>
          <t xml:space="preserve">
0-10
0 = דחייה ושנאה
10 = תמיכה ואהדה
95 = לא יכול להכליל</t>
        </r>
      </text>
    </comment>
    <comment ref="D35" authorId="0" shapeId="0" xr:uid="{0BD50238-93AD-4D49-B0E9-7F283030275D}">
      <text>
        <r>
          <rPr>
            <b/>
            <sz val="9"/>
            <color indexed="81"/>
            <rFont val="Tahoma"/>
            <family val="2"/>
          </rPr>
          <t>יניב שפירא:</t>
        </r>
        <r>
          <rPr>
            <sz val="9"/>
            <color indexed="81"/>
            <rFont val="Tahoma"/>
            <family val="2"/>
          </rPr>
          <t xml:space="preserve">
רק ליהודים</t>
        </r>
      </text>
    </comment>
    <comment ref="L35" authorId="0" shapeId="0" xr:uid="{A88EB1FE-DC96-4D9F-9043-86183ED308AC}">
      <text>
        <r>
          <rPr>
            <b/>
            <sz val="9"/>
            <color indexed="81"/>
            <rFont val="Tahoma"/>
            <family val="2"/>
          </rPr>
          <t>יניב שפירא:</t>
        </r>
        <r>
          <rPr>
            <sz val="9"/>
            <color indexed="81"/>
            <rFont val="Tahoma"/>
            <family val="2"/>
          </rPr>
          <t xml:space="preserve">
סולם 1-10
1 = שנאה
10 = אהדה</t>
        </r>
      </text>
    </comment>
    <comment ref="M36" authorId="0" shapeId="0" xr:uid="{74104881-6F46-4CD2-968B-C20894981DF7}">
      <text>
        <r>
          <rPr>
            <b/>
            <sz val="9"/>
            <color indexed="81"/>
            <rFont val="Tahoma"/>
            <family val="2"/>
          </rPr>
          <t>יניב שפירא:</t>
        </r>
        <r>
          <rPr>
            <sz val="9"/>
            <color indexed="81"/>
            <rFont val="Tahoma"/>
            <family val="2"/>
          </rPr>
          <t xml:space="preserve">
סולם 1-10
1 = סלידה
10 = אהדה</t>
        </r>
      </text>
    </comment>
    <comment ref="E46" authorId="0" shapeId="0" xr:uid="{2AD9F78F-4AC9-4E69-9B04-E5D950151EAD}">
      <text>
        <r>
          <rPr>
            <b/>
            <sz val="9"/>
            <color indexed="81"/>
            <rFont val="Tahoma"/>
            <family val="2"/>
          </rPr>
          <t>יניב שפירא:</t>
        </r>
        <r>
          <rPr>
            <sz val="9"/>
            <color indexed="81"/>
            <rFont val="Tahoma"/>
            <family val="2"/>
          </rPr>
          <t xml:space="preserve">
0-10
0 = דחייה ושנאה
10 = תמיכה ואהדה</t>
        </r>
      </text>
    </comment>
    <comment ref="A56" authorId="0" shapeId="0" xr:uid="{992E08F3-EDD5-4F3D-AD57-516732080A6C}">
      <text>
        <r>
          <rPr>
            <b/>
            <sz val="9"/>
            <color indexed="81"/>
            <rFont val="Tahoma"/>
            <family val="2"/>
          </rPr>
          <t>יניב שפירא:</t>
        </r>
        <r>
          <rPr>
            <sz val="9"/>
            <color indexed="81"/>
            <rFont val="Tahoma"/>
            <family val="2"/>
          </rPr>
          <t xml:space="preserve">
ליהודים בלבד</t>
        </r>
      </text>
    </comment>
    <comment ref="A68" authorId="0" shapeId="0" xr:uid="{C14BF794-BCC4-44A3-A3D9-6336DBE8C4D8}">
      <text>
        <r>
          <rPr>
            <b/>
            <sz val="9"/>
            <color indexed="81"/>
            <rFont val="Tahoma"/>
            <family val="2"/>
          </rPr>
          <t>יניב שפירא:</t>
        </r>
        <r>
          <rPr>
            <sz val="9"/>
            <color indexed="81"/>
            <rFont val="Tahoma"/>
            <family val="2"/>
          </rPr>
          <t xml:space="preserve">
מגזר יהודי בלבד</t>
        </r>
      </text>
    </comment>
    <comment ref="A69" authorId="0" shapeId="0" xr:uid="{B02D9156-F820-42BD-8657-597943B6D3C7}">
      <text>
        <r>
          <rPr>
            <b/>
            <sz val="9"/>
            <color indexed="81"/>
            <rFont val="Tahoma"/>
            <family val="2"/>
          </rPr>
          <t>יניב שפירא:</t>
        </r>
        <r>
          <rPr>
            <sz val="9"/>
            <color indexed="81"/>
            <rFont val="Tahoma"/>
            <family val="2"/>
          </rPr>
          <t xml:space="preserve">
ליהודים בלבד</t>
        </r>
      </text>
    </comment>
    <comment ref="A70" authorId="0" shapeId="0" xr:uid="{84F5A5A8-39EF-46E2-A37F-EC5C2962F37B}">
      <text>
        <r>
          <rPr>
            <b/>
            <sz val="9"/>
            <color indexed="81"/>
            <rFont val="Tahoma"/>
            <family val="2"/>
          </rPr>
          <t>יניב שפירא:</t>
        </r>
        <r>
          <rPr>
            <sz val="9"/>
            <color indexed="81"/>
            <rFont val="Tahoma"/>
            <family val="2"/>
          </rPr>
          <t xml:space="preserve">
ליהודים בלבד</t>
        </r>
      </text>
    </comment>
    <comment ref="A72" authorId="0" shapeId="0" xr:uid="{7B4BAC0A-4283-41EA-A80A-BABE09F1A527}">
      <text>
        <r>
          <rPr>
            <b/>
            <sz val="9"/>
            <color indexed="81"/>
            <rFont val="Tahoma"/>
            <family val="2"/>
          </rPr>
          <t>יניב שפירא:</t>
        </r>
        <r>
          <rPr>
            <sz val="9"/>
            <color indexed="81"/>
            <rFont val="Tahoma"/>
            <family val="2"/>
          </rPr>
          <t xml:space="preserve">
ליהודים בלבד</t>
        </r>
      </text>
    </comment>
    <comment ref="A78" authorId="0" shapeId="0" xr:uid="{3453C1FD-7027-471D-B852-5349C9180842}">
      <text>
        <r>
          <rPr>
            <b/>
            <sz val="9"/>
            <color indexed="81"/>
            <rFont val="Tahoma"/>
            <family val="2"/>
          </rPr>
          <t>יניב שפירא:</t>
        </r>
        <r>
          <rPr>
            <sz val="9"/>
            <color indexed="81"/>
            <rFont val="Tahoma"/>
            <family val="2"/>
          </rPr>
          <t xml:space="preserve">
ליהודים בלבד</t>
        </r>
      </text>
    </comment>
    <comment ref="A79" authorId="0" shapeId="0" xr:uid="{F9682C70-C57C-4A49-AE7D-33F97C2FE7D8}">
      <text>
        <r>
          <rPr>
            <b/>
            <sz val="9"/>
            <color indexed="81"/>
            <rFont val="Tahoma"/>
            <family val="2"/>
          </rPr>
          <t>יניב שפירא:</t>
        </r>
        <r>
          <rPr>
            <sz val="9"/>
            <color indexed="81"/>
            <rFont val="Tahoma"/>
            <family val="2"/>
          </rPr>
          <t xml:space="preserve">
ליהודים בלבד</t>
        </r>
      </text>
    </comment>
    <comment ref="A80" authorId="0" shapeId="0" xr:uid="{EC1993BA-5390-41BF-9859-DB3BD36FAB1B}">
      <text>
        <r>
          <rPr>
            <b/>
            <sz val="9"/>
            <color indexed="81"/>
            <rFont val="Tahoma"/>
            <family val="2"/>
          </rPr>
          <t>יניב שפירא:</t>
        </r>
        <r>
          <rPr>
            <sz val="9"/>
            <color indexed="81"/>
            <rFont val="Tahoma"/>
            <family val="2"/>
          </rPr>
          <t xml:space="preserve">
ליהודים בלבד</t>
        </r>
      </text>
    </comment>
    <comment ref="A82" authorId="0" shapeId="0" xr:uid="{DE4E5A22-2496-4F5E-9D21-56BBF9CE0C56}">
      <text>
        <r>
          <rPr>
            <b/>
            <sz val="9"/>
            <color indexed="81"/>
            <rFont val="Tahoma"/>
            <family val="2"/>
          </rPr>
          <t>יניב שפירא:</t>
        </r>
        <r>
          <rPr>
            <sz val="9"/>
            <color indexed="81"/>
            <rFont val="Tahoma"/>
            <family val="2"/>
          </rPr>
          <t xml:space="preserve">
לערבים בלבד</t>
        </r>
      </text>
    </comment>
    <comment ref="A83" authorId="0" shapeId="0" xr:uid="{4F2BEED8-6CF5-4754-B6ED-47461D57C1FF}">
      <text>
        <r>
          <rPr>
            <b/>
            <sz val="9"/>
            <color indexed="81"/>
            <rFont val="Tahoma"/>
            <family val="2"/>
          </rPr>
          <t>יניב שפירא:</t>
        </r>
        <r>
          <rPr>
            <sz val="9"/>
            <color indexed="81"/>
            <rFont val="Tahoma"/>
            <family val="2"/>
          </rPr>
          <t xml:space="preserve">
לערבים בלבד</t>
        </r>
      </text>
    </comment>
    <comment ref="A84" authorId="0" shapeId="0" xr:uid="{8C4FDE29-F551-4A52-A282-26F5EDA4E6C0}">
      <text>
        <r>
          <rPr>
            <b/>
            <sz val="9"/>
            <color indexed="81"/>
            <rFont val="Tahoma"/>
            <family val="2"/>
          </rPr>
          <t>יניב שפירא:</t>
        </r>
        <r>
          <rPr>
            <sz val="9"/>
            <color indexed="81"/>
            <rFont val="Tahoma"/>
            <family val="2"/>
          </rPr>
          <t xml:space="preserve">
לערבים בלבד</t>
        </r>
      </text>
    </comment>
    <comment ref="A85" authorId="0" shapeId="0" xr:uid="{F035AC87-310C-419D-929A-6AC4CE13CD43}">
      <text>
        <r>
          <rPr>
            <b/>
            <sz val="9"/>
            <color indexed="81"/>
            <rFont val="Tahoma"/>
            <family val="2"/>
          </rPr>
          <t>יניב שפירא:</t>
        </r>
        <r>
          <rPr>
            <sz val="9"/>
            <color indexed="81"/>
            <rFont val="Tahoma"/>
            <family val="2"/>
          </rPr>
          <t xml:space="preserve">
לערבים בלבד</t>
        </r>
      </text>
    </comment>
    <comment ref="A86" authorId="0" shapeId="0" xr:uid="{AA98F5F5-F3C2-412B-A73B-EDDA01F75728}">
      <text>
        <r>
          <rPr>
            <b/>
            <sz val="9"/>
            <color indexed="81"/>
            <rFont val="Tahoma"/>
            <family val="2"/>
          </rPr>
          <t>יניב שפירא:</t>
        </r>
        <r>
          <rPr>
            <sz val="9"/>
            <color indexed="81"/>
            <rFont val="Tahoma"/>
            <family val="2"/>
          </rPr>
          <t xml:space="preserve">
לערבים בלבד</t>
        </r>
      </text>
    </comment>
    <comment ref="A87" authorId="0" shapeId="0" xr:uid="{68B40473-9C3E-4C0C-B9CE-64449CB34DE1}">
      <text>
        <r>
          <rPr>
            <b/>
            <sz val="9"/>
            <color indexed="81"/>
            <rFont val="Tahoma"/>
            <family val="2"/>
          </rPr>
          <t>יניב שפירא:</t>
        </r>
        <r>
          <rPr>
            <sz val="9"/>
            <color indexed="81"/>
            <rFont val="Tahoma"/>
            <family val="2"/>
          </rPr>
          <t xml:space="preserve">
לערבים בלבד</t>
        </r>
      </text>
    </comment>
    <comment ref="A88" authorId="0" shapeId="0" xr:uid="{26301F5D-233C-48F6-B06F-B6200B1D03A4}">
      <text>
        <r>
          <rPr>
            <b/>
            <sz val="9"/>
            <color indexed="81"/>
            <rFont val="Tahoma"/>
            <family val="2"/>
          </rPr>
          <t>יניב שפירא:</t>
        </r>
        <r>
          <rPr>
            <sz val="9"/>
            <color indexed="81"/>
            <rFont val="Tahoma"/>
            <family val="2"/>
          </rPr>
          <t xml:space="preserve">
לערבים בלבד</t>
        </r>
      </text>
    </comment>
    <comment ref="A89" authorId="0" shapeId="0" xr:uid="{4457BA17-45F4-4D35-B81E-D93A91386D5D}">
      <text>
        <r>
          <rPr>
            <b/>
            <sz val="9"/>
            <color indexed="81"/>
            <rFont val="Tahoma"/>
            <family val="2"/>
          </rPr>
          <t>יניב שפירא:</t>
        </r>
        <r>
          <rPr>
            <sz val="9"/>
            <color indexed="81"/>
            <rFont val="Tahoma"/>
            <family val="2"/>
          </rPr>
          <t xml:space="preserve">
לערבים בלבד</t>
        </r>
      </text>
    </comment>
    <comment ref="A90" authorId="0" shapeId="0" xr:uid="{9101B6E6-3CEC-40B3-A2CB-CA240FB102F3}">
      <text>
        <r>
          <rPr>
            <b/>
            <sz val="9"/>
            <color indexed="81"/>
            <rFont val="Tahoma"/>
            <family val="2"/>
          </rPr>
          <t>יניב שפירא:</t>
        </r>
        <r>
          <rPr>
            <sz val="9"/>
            <color indexed="81"/>
            <rFont val="Tahoma"/>
            <family val="2"/>
          </rPr>
          <t xml:space="preserve">
לערבים בלבד</t>
        </r>
      </text>
    </comment>
    <comment ref="A91" authorId="0" shapeId="0" xr:uid="{598E7DDD-CDF2-4B1F-B252-EB77CAA5C66C}">
      <text>
        <r>
          <rPr>
            <b/>
            <sz val="9"/>
            <color indexed="81"/>
            <rFont val="Tahoma"/>
            <family val="2"/>
          </rPr>
          <t>יניב שפירא:</t>
        </r>
        <r>
          <rPr>
            <sz val="9"/>
            <color indexed="81"/>
            <rFont val="Tahoma"/>
            <family val="2"/>
          </rPr>
          <t xml:space="preserve">
לערבים בלבד</t>
        </r>
      </text>
    </comment>
    <comment ref="M93" authorId="0" shapeId="0" xr:uid="{617DA325-6644-474F-B8C8-ADE8D37955E0}">
      <text>
        <r>
          <rPr>
            <b/>
            <sz val="9"/>
            <color indexed="81"/>
            <rFont val="Tahoma"/>
            <family val="2"/>
          </rPr>
          <t>יניב שפירא:</t>
        </r>
        <r>
          <rPr>
            <sz val="9"/>
            <color indexed="81"/>
            <rFont val="Tahoma"/>
            <family val="2"/>
          </rPr>
          <t xml:space="preserve">
סולם 1-10
1 = סלידה
10 = אהדה</t>
        </r>
      </text>
    </comment>
    <comment ref="G94" authorId="0" shapeId="0" xr:uid="{C414B434-B557-4D29-9920-B43CEB68E815}">
      <text>
        <r>
          <rPr>
            <b/>
            <sz val="9"/>
            <color indexed="81"/>
            <rFont val="Tahoma"/>
            <family val="2"/>
          </rPr>
          <t>יניב שפירא:</t>
        </r>
        <r>
          <rPr>
            <sz val="9"/>
            <color indexed="81"/>
            <rFont val="Tahoma"/>
            <family val="2"/>
          </rPr>
          <t xml:space="preserve">
1 = כלל לא חשובה
2 = לא כ"כ חשובה
3 = די חשובה
4 = חשובה מאד</t>
        </r>
      </text>
    </comment>
    <comment ref="G95" authorId="0" shapeId="0" xr:uid="{E36F6100-ADD8-44A2-8FB9-E1DD24B8699F}">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G98" authorId="0" shapeId="0" xr:uid="{B61D9E61-02D9-4706-9EA2-B166FE67ED11}">
      <text>
        <r>
          <rPr>
            <b/>
            <sz val="9"/>
            <color indexed="81"/>
            <rFont val="Tahoma"/>
            <family val="2"/>
          </rPr>
          <t>יניב שפירא:</t>
        </r>
        <r>
          <rPr>
            <sz val="9"/>
            <color indexed="81"/>
            <rFont val="Tahoma"/>
            <family val="2"/>
          </rPr>
          <t xml:space="preserve">
1 = בכלל לא גאה
2 = לא גאה
3 = גאה
4 = גאה מאד</t>
        </r>
      </text>
    </comment>
    <comment ref="H99" authorId="0" shapeId="0" xr:uid="{85C29AF6-C500-4158-A848-7D746BAE9FA6}">
      <text>
        <r>
          <rPr>
            <b/>
            <sz val="9"/>
            <color indexed="81"/>
            <rFont val="Tahoma"/>
            <family val="2"/>
          </rPr>
          <t>יניב שפירא:</t>
        </r>
        <r>
          <rPr>
            <sz val="9"/>
            <color indexed="81"/>
            <rFont val="Tahoma"/>
            <family val="2"/>
          </rPr>
          <t xml:space="preserve">
1 = בכלל לא חשוב
2 = חשוב במידה מועטה
3 = די חשוב
4 = חשוב מאד</t>
        </r>
      </text>
    </comment>
    <comment ref="H100" authorId="0" shapeId="0" xr:uid="{5F5CA28F-784C-443D-9A51-25854DFF6E7B}">
      <text>
        <r>
          <rPr>
            <b/>
            <sz val="9"/>
            <color indexed="81"/>
            <rFont val="Tahoma"/>
            <family val="2"/>
          </rPr>
          <t>יניב שפירא:</t>
        </r>
        <r>
          <rPr>
            <sz val="9"/>
            <color indexed="81"/>
            <rFont val="Tahoma"/>
            <family val="2"/>
          </rPr>
          <t xml:space="preserve">
1 = בהחלט לא נכון
2 = לא נכון
3 = נכון
4 = נכון בהחלט</t>
        </r>
      </text>
    </comment>
    <comment ref="F106" authorId="0" shapeId="0" xr:uid="{8E0E17BB-4186-4492-9BD7-719F81645F06}">
      <text>
        <r>
          <rPr>
            <b/>
            <sz val="9"/>
            <color indexed="81"/>
            <rFont val="Tahoma"/>
            <family val="2"/>
          </rPr>
          <t>יניב שפירא:</t>
        </r>
        <r>
          <rPr>
            <sz val="9"/>
            <color indexed="81"/>
            <rFont val="Tahoma"/>
            <family val="2"/>
          </rPr>
          <t xml:space="preserve">
1 = בהחלט לא ראוי
2 = לא ראוי
3 = ככה-ככה
4 = ראוי
5 = בהחלט ראוי</t>
        </r>
      </text>
    </comment>
    <comment ref="F111" authorId="0" shapeId="0" xr:uid="{64448421-D085-4234-BEBE-F363DAA4BCCB}">
      <text>
        <r>
          <rPr>
            <b/>
            <sz val="9"/>
            <color indexed="81"/>
            <rFont val="Tahoma"/>
            <family val="2"/>
          </rPr>
          <t>יניב שפירא:</t>
        </r>
        <r>
          <rPr>
            <sz val="9"/>
            <color indexed="81"/>
            <rFont val="Tahoma"/>
            <family val="2"/>
          </rPr>
          <t xml:space="preserve">
1 = בכלל לא
2 = במידה מועטה
3 = במידה בינונית
4 = במידה רבה
5 = במידה רבה מאוד</t>
        </r>
      </text>
    </comment>
    <comment ref="M115" authorId="0" shapeId="0" xr:uid="{2AA49062-8CE6-48B1-A1C2-A4A3E8E3ADA3}">
      <text>
        <r>
          <rPr>
            <b/>
            <sz val="9"/>
            <color indexed="81"/>
            <rFont val="Tahoma"/>
            <family val="2"/>
          </rPr>
          <t>יניב שפירא:</t>
        </r>
        <r>
          <rPr>
            <sz val="9"/>
            <color indexed="81"/>
            <rFont val="Tahoma"/>
            <family val="2"/>
          </rPr>
          <t xml:space="preserve">
1 = כן
2 = לא</t>
        </r>
      </text>
    </comment>
    <comment ref="R141" authorId="0" shapeId="0" xr:uid="{B63A84B4-E415-4127-8943-F0F50E0CB37F}">
      <text>
        <r>
          <rPr>
            <b/>
            <sz val="9"/>
            <color indexed="81"/>
            <rFont val="Tahoma"/>
            <family val="2"/>
          </rPr>
          <t>יניב שפירא:</t>
        </r>
        <r>
          <rPr>
            <sz val="9"/>
            <color indexed="81"/>
            <rFont val="Tahoma"/>
            <family val="2"/>
          </rPr>
          <t xml:space="preserve">
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r>
      </text>
    </comment>
    <comment ref="W142" authorId="0" shapeId="0" xr:uid="{CF77E0F4-7FC4-44FB-85A3-0F0BDD6D5CB0}">
      <text>
        <r>
          <rPr>
            <b/>
            <sz val="9"/>
            <color indexed="81"/>
            <rFont val="Tahoma"/>
            <charset val="177"/>
          </rPr>
          <t>יניב שפירא:</t>
        </r>
        <r>
          <rPr>
            <sz val="9"/>
            <color indexed="81"/>
            <rFont val="Tahoma"/>
            <charset val="177"/>
          </rPr>
          <t xml:space="preserve">
1 = מפלגה חזקה מושכת אותי ביותר
2 = מפלגה חזקה מושכת אותי פחות או יותר
3 = מפלגה שמזהירה מושכת אותי פחות או יותר
4 = מפלגה שמזהירה מושכת אותי ביותר</t>
        </r>
      </text>
    </comment>
    <comment ref="AB143" authorId="0" shapeId="0" xr:uid="{D30B94E4-361C-4A64-9A17-EAF52737DA64}">
      <text>
        <r>
          <rPr>
            <b/>
            <sz val="9"/>
            <color indexed="81"/>
            <rFont val="Tahoma"/>
            <family val="2"/>
          </rPr>
          <t>יניב שפירא:</t>
        </r>
        <r>
          <rPr>
            <sz val="9"/>
            <color indexed="81"/>
            <rFont val="Tahoma"/>
            <family val="2"/>
          </rPr>
          <t xml:space="preserve">
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r>
      </text>
    </comment>
    <comment ref="AD149" authorId="0" shapeId="0" xr:uid="{F7DFD737-77D5-4537-BEB2-DA69FECE7B53}">
      <text>
        <r>
          <rPr>
            <b/>
            <sz val="9"/>
            <color indexed="81"/>
            <rFont val="Tahoma"/>
            <family val="2"/>
          </rPr>
          <t>יניב שפירא:</t>
        </r>
        <r>
          <rPr>
            <sz val="9"/>
            <color indexed="81"/>
            <rFont val="Tahoma"/>
            <family val="2"/>
          </rPr>
          <t xml:space="preserve">
1 = דעתי הייתה חיובית ונשארה חיובית
2 = דעתי הייתה שלילית ונשארה שלילית
3 = דעתי הייתה חיובית והפכה שלילית
4 = דעתי הייתה שלילית והפכה חיובית</t>
        </r>
      </text>
    </comment>
    <comment ref="AE157" authorId="0" shapeId="0" xr:uid="{E1307663-796B-44AF-838A-93D0845ED852}">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E158" authorId="0" shapeId="0" xr:uid="{2A5DA704-5C61-4CD2-ABDB-00B07CB70F5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159" authorId="0" shapeId="0" xr:uid="{8F601902-864C-4257-A2E2-8BE596CC1773}">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E160" authorId="0" shapeId="0" xr:uid="{E654E566-F686-4415-9FB5-6CD6B666F737}">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162" authorId="0" shapeId="0" xr:uid="{4AA14269-9A0C-4EF7-98CF-2DAC3EDBEA56}">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H163" authorId="0" shapeId="0" xr:uid="{4E530F21-16B5-4B21-BAEB-051DB614CBF2}">
      <text>
        <r>
          <rPr>
            <b/>
            <sz val="9"/>
            <color indexed="81"/>
            <rFont val="Tahoma"/>
            <charset val="177"/>
          </rPr>
          <t>יניב שפירא:</t>
        </r>
        <r>
          <rPr>
            <sz val="9"/>
            <color indexed="81"/>
            <rFont val="Tahoma"/>
            <charset val="177"/>
          </rPr>
          <t xml:space="preserve">
1 = כן
2 = לא</t>
        </r>
      </text>
    </comment>
    <comment ref="A164" authorId="0" shapeId="0" xr:uid="{E3ABC70E-A18A-4F79-BA03-188C8C811DB0}">
      <text>
        <r>
          <rPr>
            <b/>
            <sz val="9"/>
            <color indexed="81"/>
            <rFont val="Tahoma"/>
            <charset val="177"/>
          </rPr>
          <t>יניב שפירא:</t>
        </r>
        <r>
          <rPr>
            <sz val="9"/>
            <color indexed="81"/>
            <rFont val="Tahoma"/>
            <charset val="177"/>
          </rPr>
          <t xml:space="preserve">
מי שענה כן בשאלה 10</t>
        </r>
      </text>
    </comment>
    <comment ref="J164" authorId="0" shapeId="0" xr:uid="{8BA7E657-9DB4-4F7F-A32F-B6388368EE02}">
      <text>
        <r>
          <rPr>
            <b/>
            <sz val="9"/>
            <color indexed="81"/>
            <rFont val="Tahoma"/>
            <family val="2"/>
          </rPr>
          <t>יניב שפירא:</t>
        </r>
        <r>
          <rPr>
            <sz val="9"/>
            <color indexed="81"/>
            <rFont val="Tahoma"/>
            <family val="2"/>
          </rPr>
          <t xml:space="preserve">
הניסוח הוא:
"איזו מפלגה אתה הכי אוהד"</t>
        </r>
      </text>
    </comment>
    <comment ref="H165" authorId="0" shapeId="0" xr:uid="{44E84DF8-6DF0-467C-84D0-FC4D54519B78}">
      <text>
        <r>
          <rPr>
            <b/>
            <sz val="9"/>
            <color indexed="81"/>
            <rFont val="Tahoma"/>
            <charset val="177"/>
          </rPr>
          <t>יניב שפירא:</t>
        </r>
        <r>
          <rPr>
            <sz val="9"/>
            <color indexed="81"/>
            <rFont val="Tahoma"/>
            <charset val="177"/>
          </rPr>
          <t xml:space="preserve">
1 = קרוב מאוד
2 = די קרוב
3 = לא מאוד קרוב</t>
        </r>
      </text>
    </comment>
    <comment ref="A171" authorId="0" shapeId="0" xr:uid="{3027552F-2B1D-424B-861E-793FA2F98BF8}">
      <text>
        <r>
          <rPr>
            <b/>
            <sz val="9"/>
            <color indexed="81"/>
            <rFont val="Tahoma"/>
            <family val="2"/>
          </rPr>
          <t>יניב שפירא:</t>
        </r>
        <r>
          <rPr>
            <sz val="9"/>
            <color indexed="81"/>
            <rFont val="Tahoma"/>
            <family val="2"/>
          </rPr>
          <t xml:space="preserve">
היו 10 מפלגות.
3 נבחרו להכי קרובות
3 להכי רחוקות
נותרו 6</t>
        </r>
      </text>
    </comment>
    <comment ref="AF175" authorId="0" shapeId="0" xr:uid="{70DB2367-71C0-4681-82FC-9484D0AAF7DC}">
      <text>
        <r>
          <rPr>
            <b/>
            <sz val="9"/>
            <color indexed="81"/>
            <rFont val="Tahoma"/>
            <family val="2"/>
          </rPr>
          <t>יניב שפירא:</t>
        </r>
        <r>
          <rPr>
            <sz val="9"/>
            <color indexed="81"/>
            <rFont val="Tahoma"/>
            <family val="2"/>
          </rPr>
          <t xml:space="preserve">
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r>
      </text>
    </comment>
    <comment ref="AH178" authorId="0" shapeId="0" xr:uid="{693FC018-5FAC-4573-A981-C9F89C286510}">
      <text>
        <r>
          <rPr>
            <b/>
            <sz val="9"/>
            <color indexed="81"/>
            <rFont val="Tahoma"/>
            <family val="2"/>
          </rPr>
          <t>יניב שפירא:</t>
        </r>
        <r>
          <rPr>
            <sz val="9"/>
            <color indexed="81"/>
            <rFont val="Tahoma"/>
            <family val="2"/>
          </rPr>
          <t xml:space="preserve">
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CF764D23-C669-4476-A563-F0BDB61D00BE}">
      <text>
        <r>
          <rPr>
            <b/>
            <sz val="9"/>
            <color indexed="81"/>
            <rFont val="Tahoma"/>
            <charset val="177"/>
          </rPr>
          <t>יניב שפירא:</t>
        </r>
        <r>
          <rPr>
            <sz val="9"/>
            <color indexed="81"/>
            <rFont val="Tahoma"/>
            <charset val="177"/>
          </rPr>
          <t xml:space="preserve">
post election</t>
        </r>
      </text>
    </comment>
    <comment ref="AA1" authorId="0" shapeId="0" xr:uid="{7C93E28E-1F07-475D-96A2-D388D84D71FF}">
      <text>
        <r>
          <rPr>
            <b/>
            <sz val="9"/>
            <color indexed="81"/>
            <rFont val="Tahoma"/>
            <charset val="177"/>
          </rPr>
          <t>יניב שפירא:</t>
        </r>
        <r>
          <rPr>
            <sz val="9"/>
            <color indexed="81"/>
            <rFont val="Tahoma"/>
            <charset val="177"/>
          </rPr>
          <t xml:space="preserve">
post Kippur + post election</t>
        </r>
      </text>
    </comment>
    <comment ref="AB1" authorId="0" shapeId="0" xr:uid="{3FE70F2E-1015-4B1B-966B-16A54C533424}">
      <text>
        <r>
          <rPr>
            <b/>
            <sz val="9"/>
            <color indexed="81"/>
            <rFont val="Tahoma"/>
            <charset val="177"/>
          </rPr>
          <t>יניב שפירא:</t>
        </r>
        <r>
          <rPr>
            <sz val="9"/>
            <color indexed="81"/>
            <rFont val="Tahoma"/>
            <charset val="177"/>
          </rPr>
          <t xml:space="preserve">
post Kippur</t>
        </r>
      </text>
    </comment>
    <comment ref="AC1" authorId="0" shapeId="0" xr:uid="{25C5738E-05DC-4A1D-9A22-43776CE98783}">
      <text>
        <r>
          <rPr>
            <b/>
            <sz val="9"/>
            <color indexed="81"/>
            <rFont val="Tahoma"/>
            <charset val="177"/>
          </rPr>
          <t>יניב שפירא:</t>
        </r>
        <r>
          <rPr>
            <sz val="9"/>
            <color indexed="81"/>
            <rFont val="Tahoma"/>
            <charset val="177"/>
          </rPr>
          <t xml:space="preserve">
post Kippur</t>
        </r>
      </text>
    </comment>
    <comment ref="AF1" authorId="0" shapeId="0" xr:uid="{E8F8C734-3F5A-4C9F-82DF-07EF8610680B}">
      <text>
        <r>
          <rPr>
            <b/>
            <sz val="9"/>
            <color indexed="81"/>
            <rFont val="Tahoma"/>
            <charset val="177"/>
          </rPr>
          <t>יניב שפירא:</t>
        </r>
        <r>
          <rPr>
            <sz val="9"/>
            <color indexed="81"/>
            <rFont val="Tahoma"/>
            <charset val="177"/>
          </rPr>
          <t xml:space="preserve">
pre + post election</t>
        </r>
      </text>
    </comment>
    <comment ref="I2" authorId="0" shapeId="0" xr:uid="{0C0A49CD-2F08-4C5A-ADEC-08A073F43159}">
      <text>
        <r>
          <rPr>
            <b/>
            <sz val="9"/>
            <color indexed="81"/>
            <rFont val="Tahoma"/>
            <family val="2"/>
          </rPr>
          <t>יניב שפירא:</t>
        </r>
        <r>
          <rPr>
            <sz val="9"/>
            <color indexed="81"/>
            <rFont val="Tahoma"/>
            <family val="2"/>
          </rPr>
          <t xml:space="preserve">
1 = קדימה
2 = ליכוד
3 = עבודה
4 = לכולם באותה מידה
5 = לאף אחת לא מתאים</t>
        </r>
      </text>
    </comment>
    <comment ref="K2" authorId="0" shapeId="0" xr:uid="{9FE3750F-E740-4560-A8B6-38C5B89DC1C8}">
      <text>
        <r>
          <rPr>
            <b/>
            <sz val="9"/>
            <color indexed="81"/>
            <rFont val="Tahoma"/>
            <family val="2"/>
          </rPr>
          <t>יניב שפירא:</t>
        </r>
        <r>
          <rPr>
            <sz val="9"/>
            <color indexed="81"/>
            <rFont val="Tahoma"/>
            <family val="2"/>
          </rPr>
          <t xml:space="preserve">
1 = לעבודה
2 = לליכוד
3 = שתיהן באותה מידה
4 = אף אחת מהן</t>
        </r>
      </text>
    </comment>
    <comment ref="L2" authorId="0" shapeId="0" xr:uid="{367BEC37-2D17-4933-9702-A6D139576FEE}">
      <text>
        <r>
          <rPr>
            <b/>
            <sz val="9"/>
            <color indexed="81"/>
            <rFont val="Tahoma"/>
            <family val="2"/>
          </rPr>
          <t>יניב שפירא:</t>
        </r>
        <r>
          <rPr>
            <sz val="9"/>
            <color indexed="81"/>
            <rFont val="Tahoma"/>
            <family val="2"/>
          </rPr>
          <t xml:space="preserve">
מועמד ולא מפלגה
1 = ברק
2 = שרון
3 = שניהם
4 = אף אחד</t>
        </r>
      </text>
    </comment>
    <comment ref="M2" authorId="0" shapeId="0" xr:uid="{3FBD925C-86D0-4AC4-BAB6-0BF38EF24F73}">
      <text>
        <r>
          <rPr>
            <b/>
            <sz val="9"/>
            <color indexed="81"/>
            <rFont val="Tahoma"/>
            <family val="2"/>
          </rPr>
          <t>יניב שפירא:</t>
        </r>
        <r>
          <rPr>
            <sz val="9"/>
            <color indexed="81"/>
            <rFont val="Tahoma"/>
            <family val="2"/>
          </rPr>
          <t xml:space="preserve">
1 = העבודה
2 = הליכוד
3 = מידה שווה
4 = אף אחת מהן</t>
        </r>
      </text>
    </comment>
    <comment ref="A3" authorId="0" shapeId="0" xr:uid="{D3056A17-4F55-45F5-8BB4-FD53B44DB6F6}">
      <text>
        <r>
          <rPr>
            <b/>
            <sz val="9"/>
            <color indexed="81"/>
            <rFont val="Tahoma"/>
            <family val="2"/>
          </rPr>
          <t>יניב שפירא:</t>
        </r>
        <r>
          <rPr>
            <sz val="9"/>
            <color indexed="81"/>
            <rFont val="Tahoma"/>
            <family val="2"/>
          </rPr>
          <t xml:space="preserve">
רק למי שענה 1-3 בשאלה הקודמת</t>
        </r>
      </text>
    </comment>
    <comment ref="I3" authorId="0" shapeId="0" xr:uid="{FDAA190A-47CA-46AA-8D89-23382603D8AE}">
      <text>
        <r>
          <rPr>
            <b/>
            <sz val="9"/>
            <color indexed="81"/>
            <rFont val="Tahoma"/>
            <family val="2"/>
          </rPr>
          <t>יניב שפירא:</t>
        </r>
        <r>
          <rPr>
            <sz val="9"/>
            <color indexed="81"/>
            <rFont val="Tahoma"/>
            <family val="2"/>
          </rPr>
          <t xml:space="preserve">
1 = קדימה
2 = ליכוד
3 = עבודה</t>
        </r>
      </text>
    </comment>
    <comment ref="A5" authorId="0" shapeId="0" xr:uid="{EEFBC51D-6C09-4518-9654-55777BDC0926}">
      <text>
        <r>
          <rPr>
            <b/>
            <sz val="9"/>
            <color indexed="81"/>
            <rFont val="Tahoma"/>
            <family val="2"/>
          </rPr>
          <t>יניב שפירא:</t>
        </r>
        <r>
          <rPr>
            <sz val="9"/>
            <color indexed="81"/>
            <rFont val="Tahoma"/>
            <family val="2"/>
          </rPr>
          <t xml:space="preserve">
רק למי שענה 1-3 בשאלה הקודמת</t>
        </r>
      </text>
    </comment>
    <comment ref="A7" authorId="0" shapeId="0" xr:uid="{FA093870-F12C-49BA-A84D-1F941B091944}">
      <text>
        <r>
          <rPr>
            <b/>
            <sz val="9"/>
            <color indexed="81"/>
            <rFont val="Tahoma"/>
            <family val="2"/>
          </rPr>
          <t>יניב שפירא:</t>
        </r>
        <r>
          <rPr>
            <sz val="9"/>
            <color indexed="81"/>
            <rFont val="Tahoma"/>
            <family val="2"/>
          </rPr>
          <t xml:space="preserve">
רק למי שענה 1-3 בשאלה הקודמת</t>
        </r>
      </text>
    </comment>
    <comment ref="O8" authorId="0" shapeId="0" xr:uid="{07C2FC3C-8792-4DE0-A759-D54FE6232C05}">
      <text>
        <r>
          <rPr>
            <b/>
            <sz val="9"/>
            <color indexed="81"/>
            <rFont val="Tahoma"/>
            <charset val="177"/>
          </rPr>
          <t>יניב שפירא:</t>
        </r>
        <r>
          <rPr>
            <sz val="9"/>
            <color indexed="81"/>
            <rFont val="Tahoma"/>
            <charset val="177"/>
          </rPr>
          <t xml:space="preserve">
הניסוח:
"שתחזיר את השקט והסדר לשטחים</t>
        </r>
      </text>
    </comment>
    <comment ref="A9" authorId="0" shapeId="0" xr:uid="{58C487C5-543D-4941-BFB5-C23BB611F76C}">
      <text>
        <r>
          <rPr>
            <b/>
            <sz val="9"/>
            <color indexed="81"/>
            <rFont val="Tahoma"/>
            <family val="2"/>
          </rPr>
          <t>יניב שפירא:</t>
        </r>
        <r>
          <rPr>
            <sz val="9"/>
            <color indexed="81"/>
            <rFont val="Tahoma"/>
            <family val="2"/>
          </rPr>
          <t xml:space="preserve">
רק למי שענה 1-3 בשאלה הקודמת</t>
        </r>
      </text>
    </comment>
    <comment ref="T10" authorId="0" shapeId="0" xr:uid="{009E0C4D-61FB-409D-BB5A-013FADF2CE28}">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A11" authorId="0" shapeId="0" xr:uid="{671D7543-5C35-4552-9E2C-49A9563F3AAA}">
      <text>
        <r>
          <rPr>
            <b/>
            <sz val="9"/>
            <color indexed="81"/>
            <rFont val="Tahoma"/>
            <family val="2"/>
          </rPr>
          <t>יניב שפירא:</t>
        </r>
        <r>
          <rPr>
            <sz val="9"/>
            <color indexed="81"/>
            <rFont val="Tahoma"/>
            <family val="2"/>
          </rPr>
          <t xml:space="preserve">
רק למי שענה 1-3 בשאלה הקודמת</t>
        </r>
      </text>
    </comment>
    <comment ref="A13" authorId="0" shapeId="0" xr:uid="{9E1EF8A3-6CDC-4BAB-9F14-828A351B212A}">
      <text>
        <r>
          <rPr>
            <b/>
            <sz val="9"/>
            <color indexed="81"/>
            <rFont val="Tahoma"/>
            <family val="2"/>
          </rPr>
          <t>יניב שפירא:</t>
        </r>
        <r>
          <rPr>
            <sz val="9"/>
            <color indexed="81"/>
            <rFont val="Tahoma"/>
            <family val="2"/>
          </rPr>
          <t xml:space="preserve">
רק למי שענה 1-3 בשאלה הקודמת</t>
        </r>
      </text>
    </comment>
    <comment ref="A15" authorId="0" shapeId="0" xr:uid="{09BC5836-0D48-438F-8989-AE70A26C3C80}">
      <text>
        <r>
          <rPr>
            <b/>
            <sz val="9"/>
            <color indexed="81"/>
            <rFont val="Tahoma"/>
            <family val="2"/>
          </rPr>
          <t>יניב שפירא:</t>
        </r>
        <r>
          <rPr>
            <sz val="9"/>
            <color indexed="81"/>
            <rFont val="Tahoma"/>
            <family val="2"/>
          </rPr>
          <t xml:space="preserve">
רק למי שענה 1-3 בשאלה הקודמת</t>
        </r>
      </text>
    </comment>
    <comment ref="O21" authorId="0" shapeId="0" xr:uid="{5B9D8B48-4E0E-4BCE-8394-2597B33CF0D3}">
      <text>
        <r>
          <rPr>
            <b/>
            <sz val="9"/>
            <color indexed="81"/>
            <rFont val="Tahoma"/>
            <charset val="177"/>
          </rPr>
          <t>יניב שפירא:</t>
        </r>
        <r>
          <rPr>
            <sz val="9"/>
            <color indexed="81"/>
            <rFont val="Tahoma"/>
            <charset val="177"/>
          </rPr>
          <t xml:space="preserve">
1 = עבודה
2 = ליכוד
3 = מידה שווה
4 = אף אחת מהן</t>
        </r>
      </text>
    </comment>
    <comment ref="T21" authorId="0" shapeId="0" xr:uid="{4CB88D47-43A0-4E83-BD78-12D6668B7978}">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T23" authorId="0" shapeId="0" xr:uid="{DB9AEB84-C06D-424A-80B3-D68E149D18FF}">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T27" authorId="0" shapeId="0" xr:uid="{7EFF85E4-5983-46D5-872B-3CBACAE29618}">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T35" authorId="0" shapeId="0" xr:uid="{6E92232D-A539-4CBE-B2E3-AD29B29E9AEA}">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F43" authorId="0" shapeId="0" xr:uid="{7699524E-FF87-454D-968E-16193A89401C}">
      <text>
        <r>
          <rPr>
            <b/>
            <sz val="9"/>
            <color indexed="81"/>
            <rFont val="Tahoma"/>
            <family val="2"/>
          </rPr>
          <t>יניב שפירא:</t>
        </r>
        <r>
          <rPr>
            <sz val="9"/>
            <color indexed="81"/>
            <rFont val="Tahoma"/>
            <family val="2"/>
          </rPr>
          <t xml:space="preserve">
1 = בני גנץ
2 = בנימין נתניהו
3 = שניהם
4 = אף אחד מהם</t>
        </r>
      </text>
    </comment>
    <comment ref="G43" authorId="0" shapeId="0" xr:uid="{6A24012A-A915-4AB2-8194-DB5FD8DDC6AC}">
      <text>
        <r>
          <rPr>
            <b/>
            <sz val="9"/>
            <color indexed="81"/>
            <rFont val="Tahoma"/>
            <family val="2"/>
          </rPr>
          <t>יניב שפירא:</t>
        </r>
        <r>
          <rPr>
            <sz val="9"/>
            <color indexed="81"/>
            <rFont val="Tahoma"/>
            <family val="2"/>
          </rPr>
          <t xml:space="preserve">
1 = יצחק הרצוג
2 = בנימין נתניהו
3 = שניהם
4 = אף אחד מהם</t>
        </r>
      </text>
    </comment>
    <comment ref="H43" authorId="0" shapeId="0" xr:uid="{224B8D91-920B-43E9-BAB3-E6CD598A6373}">
      <text>
        <r>
          <rPr>
            <b/>
            <sz val="9"/>
            <color indexed="81"/>
            <rFont val="Tahoma"/>
            <family val="2"/>
          </rPr>
          <t>יניב שפירא:</t>
        </r>
        <r>
          <rPr>
            <sz val="9"/>
            <color indexed="81"/>
            <rFont val="Tahoma"/>
            <family val="2"/>
          </rPr>
          <t xml:space="preserve">
1 = בנימין נתניהו
2 = ציפי לבני
3 = שלי יחימוביץ
4 = כולם
5 = אף אחד מהם</t>
        </r>
      </text>
    </comment>
    <comment ref="I43" authorId="0" shapeId="0" xr:uid="{F4209B81-3301-4E5E-8E88-2DAB2BC8276C}">
      <text>
        <r>
          <rPr>
            <b/>
            <sz val="9"/>
            <color indexed="81"/>
            <rFont val="Tahoma"/>
            <family val="2"/>
          </rPr>
          <t>יניב שפירא:</t>
        </r>
        <r>
          <rPr>
            <sz val="9"/>
            <color indexed="81"/>
            <rFont val="Tahoma"/>
            <family val="2"/>
          </rPr>
          <t xml:space="preserve">
1 = ציפי לבני
2 = בנימין נתניהו
3 = אהוד ברק
4 = כולם
5 = אף אחד</t>
        </r>
      </text>
    </comment>
    <comment ref="J43" authorId="0" shapeId="0" xr:uid="{C6D3DC0B-4CBB-4402-8337-386132D6D260}">
      <text>
        <r>
          <rPr>
            <b/>
            <sz val="9"/>
            <color indexed="81"/>
            <rFont val="Tahoma"/>
            <family val="2"/>
          </rPr>
          <t>יניב שפירא:</t>
        </r>
        <r>
          <rPr>
            <sz val="9"/>
            <color indexed="81"/>
            <rFont val="Tahoma"/>
            <family val="2"/>
          </rPr>
          <t xml:space="preserve">
1 = אהוד אולמרט
2 = בנימין נתניהו
3 = עמיר פרץ
4 = לכולם
5 = אף אחד מהם</t>
        </r>
      </text>
    </comment>
    <comment ref="K43" authorId="0" shapeId="0" xr:uid="{252903FE-F14F-4052-BC07-4D8A9F85D9FA}">
      <text>
        <r>
          <rPr>
            <b/>
            <sz val="9"/>
            <color indexed="81"/>
            <rFont val="Tahoma"/>
            <family val="2"/>
          </rPr>
          <t>יניב שפירא:</t>
        </r>
        <r>
          <rPr>
            <sz val="9"/>
            <color indexed="81"/>
            <rFont val="Tahoma"/>
            <family val="2"/>
          </rPr>
          <t xml:space="preserve">
1 = שרון
2 = מצנע
3 = שניהם
4 = אף אחד מהם</t>
        </r>
      </text>
    </comment>
    <comment ref="M43" authorId="0" shapeId="0" xr:uid="{89F1130B-E932-4257-AEB6-E81E425C61F9}">
      <text>
        <r>
          <rPr>
            <b/>
            <sz val="9"/>
            <color indexed="81"/>
            <rFont val="Tahoma"/>
            <family val="2"/>
          </rPr>
          <t>יניב שפירא:</t>
        </r>
        <r>
          <rPr>
            <sz val="9"/>
            <color indexed="81"/>
            <rFont val="Tahoma"/>
            <family val="2"/>
          </rPr>
          <t xml:space="preserve">
1 = נתניהו
2 = ברק
3 = מדרכי
4 = שלושתם
5 = אף אחד מהם</t>
        </r>
      </text>
    </comment>
    <comment ref="N43" authorId="0" shapeId="0" xr:uid="{67F8D5C6-5811-4802-92DA-0437542F8955}">
      <text>
        <r>
          <rPr>
            <b/>
            <sz val="9"/>
            <color indexed="81"/>
            <rFont val="Tahoma"/>
            <family val="2"/>
          </rPr>
          <t>יניב שפירא:</t>
        </r>
        <r>
          <rPr>
            <sz val="9"/>
            <color indexed="81"/>
            <rFont val="Tahoma"/>
            <family val="2"/>
          </rPr>
          <t xml:space="preserve">
1 = פרס
2 = נתניהו
3 = במידה שווה
4 = אף אחד</t>
        </r>
      </text>
    </comment>
    <comment ref="O43" authorId="0" shapeId="0" xr:uid="{EEF22594-7210-4A16-8B71-27B48F46B96E}">
      <text>
        <r>
          <rPr>
            <b/>
            <sz val="9"/>
            <color indexed="81"/>
            <rFont val="Tahoma"/>
            <family val="2"/>
          </rPr>
          <t>יניב שפירא:</t>
        </r>
        <r>
          <rPr>
            <sz val="9"/>
            <color indexed="81"/>
            <rFont val="Tahoma"/>
            <family val="2"/>
          </rPr>
          <t xml:space="preserve">
1 = שמיר
2 = רבין
3 = שניהם באותה מידה
4 = אף אחד מהם</t>
        </r>
      </text>
    </comment>
    <comment ref="F45" authorId="0" shapeId="0" xr:uid="{C0755F85-2358-47A9-9E49-0D7E69A9A9B5}">
      <text>
        <r>
          <rPr>
            <b/>
            <sz val="9"/>
            <color indexed="81"/>
            <rFont val="Tahoma"/>
            <charset val="177"/>
          </rPr>
          <t>יניב שפירא:</t>
        </r>
        <r>
          <rPr>
            <sz val="9"/>
            <color indexed="81"/>
            <rFont val="Tahoma"/>
            <charset val="177"/>
          </rPr>
          <t xml:space="preserve">
1 = בני גנץ
2 = בנימין נתניהו
3 = שניהם
4 = אף אחד מהם</t>
        </r>
      </text>
    </comment>
    <comment ref="G45" authorId="0" shapeId="0" xr:uid="{4A750A7B-17E1-470F-ABD5-1F98D31D36C7}">
      <text>
        <r>
          <rPr>
            <b/>
            <sz val="9"/>
            <color indexed="81"/>
            <rFont val="Tahoma"/>
            <family val="2"/>
          </rPr>
          <t>יניב שפירא:</t>
        </r>
        <r>
          <rPr>
            <sz val="9"/>
            <color indexed="81"/>
            <rFont val="Tahoma"/>
            <family val="2"/>
          </rPr>
          <t xml:space="preserve">
1 = יצחק הרצוג
2 = בנימין נתניהו
3 = שניהם
4 = אף אחד מהם</t>
        </r>
      </text>
    </comment>
    <comment ref="H45" authorId="0" shapeId="0" xr:uid="{A0204A6F-6838-49CF-92F2-C4C04E96D7A9}">
      <text>
        <r>
          <rPr>
            <b/>
            <sz val="9"/>
            <color indexed="81"/>
            <rFont val="Tahoma"/>
            <family val="2"/>
          </rPr>
          <t>יניב שפירא:</t>
        </r>
        <r>
          <rPr>
            <sz val="9"/>
            <color indexed="81"/>
            <rFont val="Tahoma"/>
            <family val="2"/>
          </rPr>
          <t xml:space="preserve">
1 = בנימין נתניהו
2 = ציפי לבני
3 = שלי יחימוביץ
4 = כולם
5 = אף אחד מהם</t>
        </r>
      </text>
    </comment>
    <comment ref="F46" authorId="0" shapeId="0" xr:uid="{0ED456AD-41B0-4998-B2BC-95B968F5507B}">
      <text>
        <r>
          <rPr>
            <b/>
            <sz val="9"/>
            <color indexed="81"/>
            <rFont val="Tahoma"/>
            <charset val="177"/>
          </rPr>
          <t>יניב שפירא:</t>
        </r>
        <r>
          <rPr>
            <sz val="9"/>
            <color indexed="81"/>
            <rFont val="Tahoma"/>
            <charset val="177"/>
          </rPr>
          <t xml:space="preserve">
1 = בני גנץ
2 = בנימין נתניהו
3 = שניהם
4 = אף אחד מהם</t>
        </r>
      </text>
    </comment>
    <comment ref="G46" authorId="0" shapeId="0" xr:uid="{EC4C11D8-CB3C-49C4-93A2-7A8B1BA7DE02}">
      <text>
        <r>
          <rPr>
            <b/>
            <sz val="9"/>
            <color indexed="81"/>
            <rFont val="Tahoma"/>
            <family val="2"/>
          </rPr>
          <t>יניב שפירא:</t>
        </r>
        <r>
          <rPr>
            <sz val="9"/>
            <color indexed="81"/>
            <rFont val="Tahoma"/>
            <family val="2"/>
          </rPr>
          <t xml:space="preserve">
1 = יצחק הרצוג
2 = בנימין נתניהו
3 = שניהם
4 = אף אחד מהם</t>
        </r>
      </text>
    </comment>
    <comment ref="H46" authorId="0" shapeId="0" xr:uid="{B57B1661-B0CC-44C9-A82E-3243BA1B4CA2}">
      <text>
        <r>
          <rPr>
            <b/>
            <sz val="9"/>
            <color indexed="81"/>
            <rFont val="Tahoma"/>
            <family val="2"/>
          </rPr>
          <t>יניב שפירא:</t>
        </r>
        <r>
          <rPr>
            <sz val="9"/>
            <color indexed="81"/>
            <rFont val="Tahoma"/>
            <family val="2"/>
          </rPr>
          <t xml:space="preserve">
1 = בנימין נתניהו
2 = ציפי לבני
3 = שלי יחימוביץ
4 = כולם
5 = אף אחד מהם</t>
        </r>
      </text>
    </comment>
    <comment ref="L47" authorId="0" shapeId="0" xr:uid="{8B9DBD48-FBD5-484A-887A-EC4659B6CE43}">
      <text>
        <r>
          <rPr>
            <b/>
            <sz val="9"/>
            <color indexed="81"/>
            <rFont val="Tahoma"/>
            <family val="2"/>
          </rPr>
          <t>יניב שפירא:</t>
        </r>
        <r>
          <rPr>
            <sz val="9"/>
            <color indexed="81"/>
            <rFont val="Tahoma"/>
            <family val="2"/>
          </rPr>
          <t xml:space="preserve">
1 = ברק
2 = שרון
3 = לשניהם
4 = לאף אחד מהם</t>
        </r>
      </text>
    </comment>
    <comment ref="S68" authorId="0" shapeId="0" xr:uid="{4637831F-9DDF-40C3-A35C-B8AA169ACC2C}">
      <text>
        <r>
          <rPr>
            <b/>
            <sz val="9"/>
            <color indexed="81"/>
            <rFont val="Tahoma"/>
            <family val="2"/>
          </rPr>
          <t>יניב שפירא:</t>
        </r>
        <r>
          <rPr>
            <sz val="9"/>
            <color indexed="81"/>
            <rFont val="Tahoma"/>
            <family val="2"/>
          </rPr>
          <t xml:space="preserve">
1 = צעירה
7 = זקנה</t>
        </r>
      </text>
    </comment>
    <comment ref="S69" authorId="0" shapeId="0" xr:uid="{08E7BC9A-7314-48E0-B6C8-D4965A7DF9DA}">
      <text>
        <r>
          <rPr>
            <b/>
            <sz val="9"/>
            <color indexed="81"/>
            <rFont val="Tahoma"/>
            <family val="2"/>
          </rPr>
          <t>יניב שפירא:</t>
        </r>
        <r>
          <rPr>
            <sz val="9"/>
            <color indexed="81"/>
            <rFont val="Tahoma"/>
            <family val="2"/>
          </rPr>
          <t xml:space="preserve">
1 = חזקה
7 = חלשה</t>
        </r>
      </text>
    </comment>
    <comment ref="AE69" authorId="0" shapeId="0" xr:uid="{3E8C5637-E938-43A9-AEDA-0A4DD567D71B}">
      <text>
        <r>
          <rPr>
            <b/>
            <sz val="9"/>
            <color indexed="81"/>
            <rFont val="Tahoma"/>
            <charset val="177"/>
          </rPr>
          <t>יניב שפירא:</t>
        </r>
        <r>
          <rPr>
            <sz val="9"/>
            <color indexed="81"/>
            <rFont val="Tahoma"/>
            <charset val="177"/>
          </rPr>
          <t xml:space="preserve">
1 = חזקה
7 = חלשה</t>
        </r>
      </text>
    </comment>
    <comment ref="S70" authorId="0" shapeId="0" xr:uid="{CEEA0919-60E4-4F8E-BAA9-161AD910A6AD}">
      <text>
        <r>
          <rPr>
            <b/>
            <sz val="9"/>
            <color indexed="81"/>
            <rFont val="Tahoma"/>
            <family val="2"/>
          </rPr>
          <t>יניב שפירא:</t>
        </r>
        <r>
          <rPr>
            <sz val="9"/>
            <color indexed="81"/>
            <rFont val="Tahoma"/>
            <family val="2"/>
          </rPr>
          <t xml:space="preserve">
1 = ימנית
7 = שמאלית</t>
        </r>
      </text>
    </comment>
    <comment ref="AE70" authorId="0" shapeId="0" xr:uid="{0F1D7337-19AF-47AA-BB80-C2D3728B4D0F}">
      <text>
        <r>
          <rPr>
            <b/>
            <sz val="9"/>
            <color indexed="81"/>
            <rFont val="Tahoma"/>
            <charset val="177"/>
          </rPr>
          <t>יניב שפירא:</t>
        </r>
        <r>
          <rPr>
            <sz val="9"/>
            <color indexed="81"/>
            <rFont val="Tahoma"/>
            <charset val="177"/>
          </rPr>
          <t xml:space="preserve">
1 = ימנית
7 = שמאלית</t>
        </r>
      </text>
    </comment>
    <comment ref="S71" authorId="0" shapeId="0" xr:uid="{3C1AB299-95C5-424A-88B0-B1531D2248CC}">
      <text>
        <r>
          <rPr>
            <b/>
            <sz val="9"/>
            <color indexed="81"/>
            <rFont val="Tahoma"/>
            <family val="2"/>
          </rPr>
          <t>יניב שפירא:</t>
        </r>
        <r>
          <rPr>
            <sz val="9"/>
            <color indexed="81"/>
            <rFont val="Tahoma"/>
            <family val="2"/>
          </rPr>
          <t xml:space="preserve">
1 = מיושנת
7 = חדשנית</t>
        </r>
      </text>
    </comment>
    <comment ref="AE71" authorId="0" shapeId="0" xr:uid="{FFF3A306-86B7-45A7-B9E8-2104CA4D6835}">
      <text>
        <r>
          <rPr>
            <b/>
            <sz val="9"/>
            <color indexed="81"/>
            <rFont val="Tahoma"/>
            <charset val="177"/>
          </rPr>
          <t>יניב שפירא:</t>
        </r>
        <r>
          <rPr>
            <sz val="9"/>
            <color indexed="81"/>
            <rFont val="Tahoma"/>
            <charset val="177"/>
          </rPr>
          <t xml:space="preserve">
1 = מיושנת
7 = חדשנית</t>
        </r>
      </text>
    </comment>
    <comment ref="S72" authorId="0" shapeId="0" xr:uid="{22AF6809-3763-407A-A894-894650F9424D}">
      <text>
        <r>
          <rPr>
            <b/>
            <sz val="9"/>
            <color indexed="81"/>
            <rFont val="Tahoma"/>
            <family val="2"/>
          </rPr>
          <t>יניב שפירא:</t>
        </r>
        <r>
          <rPr>
            <sz val="9"/>
            <color indexed="81"/>
            <rFont val="Tahoma"/>
            <family val="2"/>
          </rPr>
          <t xml:space="preserve">
1 = מעמד בינוני
2 = מעמד פועלים</t>
        </r>
      </text>
    </comment>
    <comment ref="AE72" authorId="0" shapeId="0" xr:uid="{45600E92-4AF2-49A5-8645-0382C20C2362}">
      <text>
        <r>
          <rPr>
            <b/>
            <sz val="9"/>
            <color indexed="81"/>
            <rFont val="Tahoma"/>
            <charset val="177"/>
          </rPr>
          <t>יניב שפירא:</t>
        </r>
        <r>
          <rPr>
            <sz val="9"/>
            <color indexed="81"/>
            <rFont val="Tahoma"/>
            <charset val="177"/>
          </rPr>
          <t xml:space="preserve">
1 = מעמד בינוני
7 = מעמד פועלים</t>
        </r>
      </text>
    </comment>
    <comment ref="S73" authorId="0" shapeId="0" xr:uid="{9A4C01E2-FA07-43A6-9FA1-FF00DD242396}">
      <text>
        <r>
          <rPr>
            <b/>
            <sz val="9"/>
            <color indexed="81"/>
            <rFont val="Tahoma"/>
            <family val="2"/>
          </rPr>
          <t>יניב שפירא:</t>
        </r>
        <r>
          <rPr>
            <sz val="9"/>
            <color indexed="81"/>
            <rFont val="Tahoma"/>
            <family val="2"/>
          </rPr>
          <t xml:space="preserve">
1 = ספרדית
7 = אשכנזית</t>
        </r>
      </text>
    </comment>
    <comment ref="S74" authorId="0" shapeId="0" xr:uid="{9192C18E-B9FF-4400-9813-003E3851C3F2}">
      <text>
        <r>
          <rPr>
            <b/>
            <sz val="9"/>
            <color indexed="81"/>
            <rFont val="Tahoma"/>
            <family val="2"/>
          </rPr>
          <t>יניב שפירא:</t>
        </r>
        <r>
          <rPr>
            <sz val="9"/>
            <color indexed="81"/>
            <rFont val="Tahoma"/>
            <family val="2"/>
          </rPr>
          <t xml:space="preserve">
1 = דואגת בעיקר לעצמה
7 = דואגת בעיקר לאזרחים</t>
        </r>
      </text>
    </comment>
    <comment ref="S75" authorId="0" shapeId="0" xr:uid="{806C0710-CD76-4174-9374-B8472FB65C36}">
      <text>
        <r>
          <rPr>
            <b/>
            <sz val="9"/>
            <color indexed="81"/>
            <rFont val="Tahoma"/>
            <family val="2"/>
          </rPr>
          <t>יניב שפירא:</t>
        </r>
        <r>
          <rPr>
            <sz val="9"/>
            <color indexed="81"/>
            <rFont val="Tahoma"/>
            <family val="2"/>
          </rPr>
          <t xml:space="preserve">
1 = חסרת ניסיון
7 = בעלת ניסיון</t>
        </r>
      </text>
    </comment>
    <comment ref="AE75" authorId="0" shapeId="0" xr:uid="{039009E7-C706-47CE-9CBD-3D1C4A02A733}">
      <text>
        <r>
          <rPr>
            <b/>
            <sz val="9"/>
            <color indexed="81"/>
            <rFont val="Tahoma"/>
            <charset val="177"/>
          </rPr>
          <t>יניב שפירא:</t>
        </r>
        <r>
          <rPr>
            <sz val="9"/>
            <color indexed="81"/>
            <rFont val="Tahoma"/>
            <charset val="177"/>
          </rPr>
          <t xml:space="preserve">
1 = חסרת ניסיון
7 = בעלת ניסיון</t>
        </r>
      </text>
    </comment>
    <comment ref="S76" authorId="0" shapeId="0" xr:uid="{AA6C75B9-85AD-4E25-9883-335AECDD5A12}">
      <text>
        <r>
          <rPr>
            <b/>
            <sz val="9"/>
            <color indexed="81"/>
            <rFont val="Tahoma"/>
            <family val="2"/>
          </rPr>
          <t>יניב שפירא:</t>
        </r>
        <r>
          <rPr>
            <sz val="9"/>
            <color indexed="81"/>
            <rFont val="Tahoma"/>
            <family val="2"/>
          </rPr>
          <t xml:space="preserve">
1 = יונית
7 = ניצית</t>
        </r>
      </text>
    </comment>
    <comment ref="S77" authorId="0" shapeId="0" xr:uid="{30179F6E-83F9-4BC0-9F86-551E36C66D05}">
      <text>
        <r>
          <rPr>
            <b/>
            <sz val="9"/>
            <color indexed="81"/>
            <rFont val="Tahoma"/>
            <family val="2"/>
          </rPr>
          <t>יניב שפירא:</t>
        </r>
        <r>
          <rPr>
            <sz val="9"/>
            <color indexed="81"/>
            <rFont val="Tahoma"/>
            <family val="2"/>
          </rPr>
          <t xml:space="preserve">
1 = צעירה
7 = זקנה</t>
        </r>
      </text>
    </comment>
    <comment ref="S78" authorId="0" shapeId="0" xr:uid="{24F86689-E340-4B62-98D7-C83884D877CC}">
      <text>
        <r>
          <rPr>
            <b/>
            <sz val="9"/>
            <color indexed="81"/>
            <rFont val="Tahoma"/>
            <family val="2"/>
          </rPr>
          <t>יניב שפירא:</t>
        </r>
        <r>
          <rPr>
            <sz val="9"/>
            <color indexed="81"/>
            <rFont val="Tahoma"/>
            <family val="2"/>
          </rPr>
          <t xml:space="preserve">
1 = חזקה
7 = חלשה</t>
        </r>
      </text>
    </comment>
    <comment ref="S79" authorId="0" shapeId="0" xr:uid="{A58C7902-6A96-43C7-92D5-39BD07EA109B}">
      <text>
        <r>
          <rPr>
            <b/>
            <sz val="9"/>
            <color indexed="81"/>
            <rFont val="Tahoma"/>
            <family val="2"/>
          </rPr>
          <t>יניב שפירא:</t>
        </r>
        <r>
          <rPr>
            <sz val="9"/>
            <color indexed="81"/>
            <rFont val="Tahoma"/>
            <family val="2"/>
          </rPr>
          <t xml:space="preserve">
1 = ימנית
7 = שמאלית</t>
        </r>
      </text>
    </comment>
    <comment ref="S80" authorId="0" shapeId="0" xr:uid="{65890BA4-7602-4D8B-A756-0BBD81E00CFE}">
      <text>
        <r>
          <rPr>
            <b/>
            <sz val="9"/>
            <color indexed="81"/>
            <rFont val="Tahoma"/>
            <family val="2"/>
          </rPr>
          <t>יניב שפירא:</t>
        </r>
        <r>
          <rPr>
            <sz val="9"/>
            <color indexed="81"/>
            <rFont val="Tahoma"/>
            <family val="2"/>
          </rPr>
          <t xml:space="preserve">
1 = מיושנת
7 = חדשנית</t>
        </r>
      </text>
    </comment>
    <comment ref="S81" authorId="0" shapeId="0" xr:uid="{CF4D000A-4EF2-475F-99C9-F674ACFB3714}">
      <text>
        <r>
          <rPr>
            <b/>
            <sz val="9"/>
            <color indexed="81"/>
            <rFont val="Tahoma"/>
            <family val="2"/>
          </rPr>
          <t>יניב שפירא:</t>
        </r>
        <r>
          <rPr>
            <sz val="9"/>
            <color indexed="81"/>
            <rFont val="Tahoma"/>
            <family val="2"/>
          </rPr>
          <t xml:space="preserve">
1 = מעמד ביניים
7 = מעמד פועלים</t>
        </r>
      </text>
    </comment>
    <comment ref="S82" authorId="0" shapeId="0" xr:uid="{921D7C6D-A169-41B1-A5CE-EC3B06532E05}">
      <text>
        <r>
          <rPr>
            <b/>
            <sz val="9"/>
            <color indexed="81"/>
            <rFont val="Tahoma"/>
            <family val="2"/>
          </rPr>
          <t>יניב שפירא:</t>
        </r>
        <r>
          <rPr>
            <sz val="9"/>
            <color indexed="81"/>
            <rFont val="Tahoma"/>
            <family val="2"/>
          </rPr>
          <t xml:space="preserve">
1 = ספרדית
7 = אשכנזית</t>
        </r>
      </text>
    </comment>
    <comment ref="S83" authorId="0" shapeId="0" xr:uid="{CDEE028F-026F-4AA0-A48D-6883661B7E77}">
      <text>
        <r>
          <rPr>
            <b/>
            <sz val="9"/>
            <color indexed="81"/>
            <rFont val="Tahoma"/>
            <family val="2"/>
          </rPr>
          <t>יניב שפירא:</t>
        </r>
        <r>
          <rPr>
            <sz val="9"/>
            <color indexed="81"/>
            <rFont val="Tahoma"/>
            <family val="2"/>
          </rPr>
          <t xml:space="preserve">
1 = דואגת בעיקר לעצמה
7 = דואגת בעיקר לאזרח</t>
        </r>
      </text>
    </comment>
    <comment ref="S84" authorId="0" shapeId="0" xr:uid="{FACB785C-0716-44FA-AAE8-09E2E81FE6ED}">
      <text>
        <r>
          <rPr>
            <b/>
            <sz val="9"/>
            <color indexed="81"/>
            <rFont val="Tahoma"/>
            <family val="2"/>
          </rPr>
          <t>יניב שפירא:</t>
        </r>
        <r>
          <rPr>
            <sz val="9"/>
            <color indexed="81"/>
            <rFont val="Tahoma"/>
            <family val="2"/>
          </rPr>
          <t xml:space="preserve">
1 = ישרה
7 = מושחתת</t>
        </r>
      </text>
    </comment>
    <comment ref="S85" authorId="0" shapeId="0" xr:uid="{D9EAC101-0395-4313-ADB9-11B58E4E7F14}">
      <text>
        <r>
          <rPr>
            <b/>
            <sz val="9"/>
            <color indexed="81"/>
            <rFont val="Tahoma"/>
            <family val="2"/>
          </rPr>
          <t>יניב שפירא:</t>
        </r>
        <r>
          <rPr>
            <sz val="9"/>
            <color indexed="81"/>
            <rFont val="Tahoma"/>
            <family val="2"/>
          </rPr>
          <t xml:space="preserve">
1 = חסרת ניסיון
7 = בעלת ניסיון</t>
        </r>
      </text>
    </comment>
    <comment ref="S86" authorId="0" shapeId="0" xr:uid="{7DAE47D1-38AB-4980-A2F9-B527431D539D}">
      <text>
        <r>
          <rPr>
            <b/>
            <sz val="9"/>
            <color indexed="81"/>
            <rFont val="Tahoma"/>
            <family val="2"/>
          </rPr>
          <t>יניב שפירא:</t>
        </r>
        <r>
          <rPr>
            <sz val="9"/>
            <color indexed="81"/>
            <rFont val="Tahoma"/>
            <family val="2"/>
          </rPr>
          <t xml:space="preserve">
1 = בלתי אמינה
7 = אמינה</t>
        </r>
      </text>
    </comment>
    <comment ref="S87" authorId="0" shapeId="0" xr:uid="{530DA277-27DD-4995-94DD-A62B480A399C}">
      <text>
        <r>
          <rPr>
            <b/>
            <sz val="9"/>
            <color indexed="81"/>
            <rFont val="Tahoma"/>
            <family val="2"/>
          </rPr>
          <t>יניב שפירא:</t>
        </r>
        <r>
          <rPr>
            <sz val="9"/>
            <color indexed="81"/>
            <rFont val="Tahoma"/>
            <family val="2"/>
          </rPr>
          <t xml:space="preserve">
1 = יונית
7 = ניצית</t>
        </r>
      </text>
    </comment>
    <comment ref="T99" authorId="0" shapeId="0" xr:uid="{E0199E1E-046A-480A-BB43-2B04396D8488}">
      <text>
        <r>
          <rPr>
            <b/>
            <sz val="9"/>
            <color indexed="81"/>
            <rFont val="Tahoma"/>
            <family val="2"/>
          </rPr>
          <t>יניב שפירא:</t>
        </r>
        <r>
          <rPr>
            <sz val="9"/>
            <color indexed="81"/>
            <rFont val="Tahoma"/>
            <family val="2"/>
          </rPr>
          <t xml:space="preserve">
סולם 1-7
1 = חיובית
7 = שלילית</t>
        </r>
      </text>
    </comment>
    <comment ref="T100" authorId="0" shapeId="0" xr:uid="{0CCD6D0A-0FE6-439E-B09E-AB0DA311355C}">
      <text>
        <r>
          <rPr>
            <b/>
            <sz val="9"/>
            <color indexed="81"/>
            <rFont val="Tahoma"/>
            <family val="2"/>
          </rPr>
          <t>יניב שפירא:</t>
        </r>
        <r>
          <rPr>
            <sz val="9"/>
            <color indexed="81"/>
            <rFont val="Tahoma"/>
            <family val="2"/>
          </rPr>
          <t xml:space="preserve">
סולם 1-7
1 = קצרה
7 = ארוכה</t>
        </r>
      </text>
    </comment>
    <comment ref="T101" authorId="0" shapeId="0" xr:uid="{4638BEA0-2418-450B-B7A2-649E8BE23C5F}">
      <text>
        <r>
          <rPr>
            <b/>
            <sz val="9"/>
            <color indexed="81"/>
            <rFont val="Tahoma"/>
            <family val="2"/>
          </rPr>
          <t>יניב שפירא:</t>
        </r>
        <r>
          <rPr>
            <sz val="9"/>
            <color indexed="81"/>
            <rFont val="Tahoma"/>
            <family val="2"/>
          </rPr>
          <t xml:space="preserve">
סולם 1-7
1 = חינוכית
7 = בלתי חינוגית</t>
        </r>
      </text>
    </comment>
    <comment ref="T102" authorId="0" shapeId="0" xr:uid="{5C88FD7A-C1A2-46F8-B1EE-51D0F002D676}">
      <text>
        <r>
          <rPr>
            <b/>
            <sz val="9"/>
            <color indexed="81"/>
            <rFont val="Tahoma"/>
            <family val="2"/>
          </rPr>
          <t>יניב שפירא:</t>
        </r>
        <r>
          <rPr>
            <sz val="9"/>
            <color indexed="81"/>
            <rFont val="Tahoma"/>
            <family val="2"/>
          </rPr>
          <t xml:space="preserve">
סולם 1-7
1 = עוזרת להחליט
7 = לא עוזרת להחליט</t>
        </r>
      </text>
    </comment>
    <comment ref="T103" authorId="0" shapeId="0" xr:uid="{3ED7DC07-E89E-4E8A-BF00-67A335328B7F}">
      <text>
        <r>
          <rPr>
            <b/>
            <sz val="9"/>
            <color indexed="81"/>
            <rFont val="Tahoma"/>
            <family val="2"/>
          </rPr>
          <t>יניב שפירא:</t>
        </r>
        <r>
          <rPr>
            <sz val="9"/>
            <color indexed="81"/>
            <rFont val="Tahoma"/>
            <family val="2"/>
          </rPr>
          <t xml:space="preserve">
סולם 1-7
1 = עוזרת להבין
7 = לא עוזר להבין</t>
        </r>
      </text>
    </comment>
    <comment ref="T104" authorId="0" shapeId="0" xr:uid="{CD80DBCF-17AF-4232-A7B4-397440FC64FF}">
      <text>
        <r>
          <rPr>
            <b/>
            <sz val="9"/>
            <color indexed="81"/>
            <rFont val="Tahoma"/>
            <family val="2"/>
          </rPr>
          <t>יניב שפירא:</t>
        </r>
        <r>
          <rPr>
            <sz val="9"/>
            <color indexed="81"/>
            <rFont val="Tahoma"/>
            <family val="2"/>
          </rPr>
          <t xml:space="preserve">
סולם 1-7
1 = עוזרת להכיר
7 = לא עוזרת להכיר</t>
        </r>
      </text>
    </comment>
    <comment ref="T105" authorId="0" shapeId="0" xr:uid="{8A377525-1122-490A-AF33-B1A18D8D36EF}">
      <text>
        <r>
          <rPr>
            <b/>
            <sz val="9"/>
            <color indexed="81"/>
            <rFont val="Tahoma"/>
            <family val="2"/>
          </rPr>
          <t>יניב שפירא:</t>
        </r>
        <r>
          <rPr>
            <sz val="9"/>
            <color indexed="81"/>
            <rFont val="Tahoma"/>
            <family val="2"/>
          </rPr>
          <t xml:space="preserve">
סולם 1-7
1 = מאחדת
7 = מפוררת</t>
        </r>
      </text>
    </comment>
    <comment ref="T106" authorId="0" shapeId="0" xr:uid="{012609C8-6128-4EC8-8A46-58E24347087A}">
      <text>
        <r>
          <rPr>
            <b/>
            <sz val="9"/>
            <color indexed="81"/>
            <rFont val="Tahoma"/>
            <family val="2"/>
          </rPr>
          <t>יניב שפירא:</t>
        </r>
        <r>
          <rPr>
            <sz val="9"/>
            <color indexed="81"/>
            <rFont val="Tahoma"/>
            <family val="2"/>
          </rPr>
          <t xml:space="preserve">
סולם 1-7
1 = עוזרת להכיר
7 = לא עוזרת להכיר</t>
        </r>
      </text>
    </comment>
    <comment ref="T107" authorId="0" shapeId="0" xr:uid="{58B0AB86-35B1-4B30-B88E-9EF5688B9291}">
      <text>
        <r>
          <rPr>
            <b/>
            <sz val="9"/>
            <color indexed="81"/>
            <rFont val="Tahoma"/>
            <family val="2"/>
          </rPr>
          <t>יניב שפירא:</t>
        </r>
        <r>
          <rPr>
            <sz val="9"/>
            <color indexed="81"/>
            <rFont val="Tahoma"/>
            <family val="2"/>
          </rPr>
          <t xml:space="preserve">
סולם 1-7
1 = נותנת תחושת שייכות
7 = לא נותנת</t>
        </r>
      </text>
    </comment>
    <comment ref="T108" authorId="0" shapeId="0" xr:uid="{189C70DF-9BB1-4D16-8976-B893E59CB225}">
      <text>
        <r>
          <rPr>
            <b/>
            <sz val="9"/>
            <color indexed="81"/>
            <rFont val="Tahoma"/>
            <family val="2"/>
          </rPr>
          <t>יניב שפירא:</t>
        </r>
        <r>
          <rPr>
            <sz val="9"/>
            <color indexed="81"/>
            <rFont val="Tahoma"/>
            <family val="2"/>
          </rPr>
          <t xml:space="preserve">
סולם 1-7
1 = בזבזנית
7 = שווה את ההשקעה</t>
        </r>
      </text>
    </comment>
    <comment ref="T109" authorId="0" shapeId="0" xr:uid="{8F90AF09-E9A6-40F1-A0DF-17CA212D3175}">
      <text>
        <r>
          <rPr>
            <b/>
            <sz val="9"/>
            <color indexed="81"/>
            <rFont val="Tahoma"/>
            <family val="2"/>
          </rPr>
          <t>יניב שפירא:</t>
        </r>
        <r>
          <rPr>
            <sz val="9"/>
            <color indexed="81"/>
            <rFont val="Tahoma"/>
            <family val="2"/>
          </rPr>
          <t xml:space="preserve">
סולם 1-7
1 = גורלית
7 = לא משנה הרבה</t>
        </r>
      </text>
    </comment>
    <comment ref="T110" authorId="0" shapeId="0" xr:uid="{AC205E1F-8EBE-473B-BBE9-49DF5BAB08D7}">
      <text>
        <r>
          <rPr>
            <b/>
            <sz val="9"/>
            <color indexed="81"/>
            <rFont val="Tahoma"/>
            <family val="2"/>
          </rPr>
          <t>יניב שפירא:</t>
        </r>
        <r>
          <rPr>
            <sz val="9"/>
            <color indexed="81"/>
            <rFont val="Tahoma"/>
            <family val="2"/>
          </rPr>
          <t xml:space="preserve">
סולם 1-7
1 = חשובה
7 = לא חשובה</t>
        </r>
      </text>
    </comment>
    <comment ref="T111" authorId="0" shapeId="0" xr:uid="{DC97D42A-41E0-42F0-9F01-D2A376C4464F}">
      <text>
        <r>
          <rPr>
            <b/>
            <sz val="9"/>
            <color indexed="81"/>
            <rFont val="Tahoma"/>
            <charset val="177"/>
          </rPr>
          <t>יניב שפירא:</t>
        </r>
        <r>
          <rPr>
            <sz val="9"/>
            <color indexed="81"/>
            <rFont val="Tahoma"/>
            <charset val="177"/>
          </rPr>
          <t xml:space="preserve">
סולם 1-7
1 = חזקה
7 = חלשה</t>
        </r>
      </text>
    </comment>
    <comment ref="T112" authorId="0" shapeId="0" xr:uid="{345DE675-F56E-4D62-8E69-166C2DD506D6}">
      <text>
        <r>
          <rPr>
            <b/>
            <sz val="9"/>
            <color indexed="81"/>
            <rFont val="Tahoma"/>
            <charset val="177"/>
          </rPr>
          <t>יניב שפירא:</t>
        </r>
        <r>
          <rPr>
            <sz val="9"/>
            <color indexed="81"/>
            <rFont val="Tahoma"/>
            <charset val="177"/>
          </rPr>
          <t xml:space="preserve">
סולם 1-7
1 = נותנת תקווה
7 = נותנת ייאוש</t>
        </r>
      </text>
    </comment>
    <comment ref="T113" authorId="0" shapeId="0" xr:uid="{66A94BC7-8695-4ABE-B330-3B5AB50FCD90}">
      <text>
        <r>
          <rPr>
            <b/>
            <sz val="9"/>
            <color indexed="81"/>
            <rFont val="Tahoma"/>
            <charset val="177"/>
          </rPr>
          <t>יניב שפירא:</t>
        </r>
        <r>
          <rPr>
            <sz val="9"/>
            <color indexed="81"/>
            <rFont val="Tahoma"/>
            <charset val="177"/>
          </rPr>
          <t xml:space="preserve">
סולם 1-7
1 = צודקת
7 = לא צודקת</t>
        </r>
      </text>
    </comment>
    <comment ref="T114" authorId="0" shapeId="0" xr:uid="{1513BD05-40E7-4AB3-BBFA-B21BBADC650E}">
      <text>
        <r>
          <rPr>
            <b/>
            <sz val="9"/>
            <color indexed="81"/>
            <rFont val="Tahoma"/>
            <charset val="177"/>
          </rPr>
          <t>יניב שפירא:</t>
        </r>
        <r>
          <rPr>
            <sz val="9"/>
            <color indexed="81"/>
            <rFont val="Tahoma"/>
            <charset val="177"/>
          </rPr>
          <t xml:space="preserve">
סולם 1-7
1 = רוצה לחיות
7 = לא רוצה לחיות בו</t>
        </r>
      </text>
    </comment>
    <comment ref="T115" authorId="0" shapeId="0" xr:uid="{5B57F0AE-A5C7-4FF7-BC9A-CFD1F0977304}">
      <text>
        <r>
          <rPr>
            <b/>
            <sz val="9"/>
            <color indexed="81"/>
            <rFont val="Tahoma"/>
            <charset val="177"/>
          </rPr>
          <t>יניב שפירא:</t>
        </r>
        <r>
          <rPr>
            <sz val="9"/>
            <color indexed="81"/>
            <rFont val="Tahoma"/>
            <charset val="177"/>
          </rPr>
          <t xml:space="preserve">
סולם 1-7
1 = חייבים לעלות
7 = לא חייבים לעלות</t>
        </r>
      </text>
    </comment>
    <comment ref="T116" authorId="0" shapeId="0" xr:uid="{1EF09D3B-ECF5-4E30-BBD9-C37C3E09D5FA}">
      <text>
        <r>
          <rPr>
            <b/>
            <sz val="9"/>
            <color indexed="81"/>
            <rFont val="Tahoma"/>
            <charset val="177"/>
          </rPr>
          <t>יניב שפירא:</t>
        </r>
        <r>
          <rPr>
            <sz val="9"/>
            <color indexed="81"/>
            <rFont val="Tahoma"/>
            <charset val="177"/>
          </rPr>
          <t xml:space="preserve">
סולם 1-7
1 = דמוקרטית
7 = לא דמוקרטית</t>
        </r>
      </text>
    </comment>
    <comment ref="T117" authorId="0" shapeId="0" xr:uid="{EBDA8B2B-BE94-45A2-BA43-65D518CDB119}">
      <text>
        <r>
          <rPr>
            <b/>
            <sz val="9"/>
            <color indexed="81"/>
            <rFont val="Tahoma"/>
            <charset val="177"/>
          </rPr>
          <t>יניב שפירא:</t>
        </r>
        <r>
          <rPr>
            <sz val="9"/>
            <color indexed="81"/>
            <rFont val="Tahoma"/>
            <charset val="177"/>
          </rPr>
          <t xml:space="preserve">
סולם 1-7
1 = יש בה צדק חברתי
7 = אין בה צדק חברתי</t>
        </r>
      </text>
    </comment>
    <comment ref="T118" authorId="0" shapeId="0" xr:uid="{C287978C-A45D-45EC-BFC7-BA0C58D5BA61}">
      <text>
        <r>
          <rPr>
            <b/>
            <sz val="9"/>
            <color indexed="81"/>
            <rFont val="Tahoma"/>
            <charset val="177"/>
          </rPr>
          <t>יניב שפירא:</t>
        </r>
        <r>
          <rPr>
            <sz val="9"/>
            <color indexed="81"/>
            <rFont val="Tahoma"/>
            <charset val="177"/>
          </rPr>
          <t xml:space="preserve">
סולם 1-7
1 = מוכנה לחיות בשכנות
7 = לא מוכנה לחיות בשכנות</t>
        </r>
      </text>
    </comment>
    <comment ref="T119" authorId="0" shapeId="0" xr:uid="{35275601-705E-4389-A371-8B85B8388C95}">
      <text>
        <r>
          <rPr>
            <b/>
            <sz val="9"/>
            <color indexed="81"/>
            <rFont val="Tahoma"/>
            <charset val="177"/>
          </rPr>
          <t>יניב שפירא:</t>
        </r>
        <r>
          <rPr>
            <sz val="9"/>
            <color indexed="81"/>
            <rFont val="Tahoma"/>
            <charset val="177"/>
          </rPr>
          <t xml:space="preserve">
סולם 1-7
1 = שלום
7 = מלחמה</t>
        </r>
      </text>
    </comment>
    <comment ref="T120" authorId="0" shapeId="0" xr:uid="{23DB451A-4EF1-4B94-8343-BC61492F29A6}">
      <text>
        <r>
          <rPr>
            <b/>
            <sz val="9"/>
            <color indexed="81"/>
            <rFont val="Tahoma"/>
            <charset val="177"/>
          </rPr>
          <t>יניב שפירא:</t>
        </r>
        <r>
          <rPr>
            <sz val="9"/>
            <color indexed="81"/>
            <rFont val="Tahoma"/>
            <charset val="177"/>
          </rPr>
          <t xml:space="preserve">
סולם 1-7
1 = התגשמות החלום
7 = לא התגשמות החלום</t>
        </r>
      </text>
    </comment>
    <comment ref="U121" authorId="0" shapeId="0" xr:uid="{54EC5495-147B-48F6-9766-94842D0A8BCF}">
      <text>
        <r>
          <rPr>
            <b/>
            <sz val="9"/>
            <color indexed="81"/>
            <rFont val="Tahoma"/>
            <family val="2"/>
          </rPr>
          <t>יניב שפירא:</t>
        </r>
        <r>
          <rPr>
            <sz val="9"/>
            <color indexed="81"/>
            <rFont val="Tahoma"/>
            <family val="2"/>
          </rPr>
          <t xml:space="preserve">
1 = משכנע במידה רבה
2 = במידה מסויימת
3 = במידה מועטה
4 = כלל לא משכנע</t>
        </r>
      </text>
    </comment>
    <comment ref="V128" authorId="0" shapeId="0" xr:uid="{DF48D2F1-0CD5-4AC6-B1CD-1477DD64F2ED}">
      <text>
        <r>
          <rPr>
            <b/>
            <sz val="9"/>
            <color indexed="81"/>
            <rFont val="Tahoma"/>
            <charset val="177"/>
          </rPr>
          <t>יניב שפירא:</t>
        </r>
        <r>
          <rPr>
            <sz val="9"/>
            <color indexed="81"/>
            <rFont val="Tahoma"/>
            <charset val="177"/>
          </rPr>
          <t xml:space="preserve">
1 = משכנע במידה רבה
2 = במידה מסויימת
3 = במידה מועטה
4 = כלל לא משכנע</t>
        </r>
      </text>
    </comment>
    <comment ref="Z134" authorId="0" shapeId="0" xr:uid="{59ABC0B4-EC4B-4772-A998-DEC046459817}">
      <text>
        <r>
          <rPr>
            <b/>
            <sz val="9"/>
            <color indexed="81"/>
            <rFont val="Tahoma"/>
            <family val="2"/>
          </rPr>
          <t>יניב שפירא:</t>
        </r>
        <r>
          <rPr>
            <sz val="9"/>
            <color indexed="81"/>
            <rFont val="Tahoma"/>
            <family val="2"/>
          </rPr>
          <t xml:space="preserve">
במקום דיין, מפלגת ד"ש (יגאל ידין)</t>
        </r>
      </text>
    </comment>
    <comment ref="AA143" authorId="0" shapeId="0" xr:uid="{A9660AFB-7EA1-4479-815A-4D93715A7063}">
      <text>
        <r>
          <rPr>
            <b/>
            <sz val="9"/>
            <color indexed="81"/>
            <rFont val="Tahoma"/>
            <charset val="177"/>
          </rPr>
          <t>יניב שפירא:</t>
        </r>
        <r>
          <rPr>
            <sz val="9"/>
            <color indexed="81"/>
            <rFont val="Tahoma"/>
            <charset val="177"/>
          </rPr>
          <t xml:space="preserve">
1 = מקום ראשון
2 = מקום שני
3 = מקום שלישי
5 = לא הוזכר
7 = מקום לפני אחרון
8 = מקום אחרון</t>
        </r>
      </text>
    </comment>
    <comment ref="Z189" authorId="0" shapeId="0" xr:uid="{F3DF116A-B16F-4C8F-91E6-5D537E706CF6}">
      <text>
        <r>
          <rPr>
            <b/>
            <sz val="9"/>
            <color indexed="81"/>
            <rFont val="Tahoma"/>
            <family val="2"/>
          </rPr>
          <t>יניב שפירא:</t>
        </r>
        <r>
          <rPr>
            <sz val="9"/>
            <color indexed="81"/>
            <rFont val="Tahoma"/>
            <family val="2"/>
          </rPr>
          <t xml:space="preserve">
1 = משכנע במידה רבה
2 = במידה מסויימת
3 = במידה מועטה
4 = לא משכנע כלל</t>
        </r>
      </text>
    </comment>
    <comment ref="T205" authorId="0" shapeId="0" xr:uid="{4B386EB9-3729-4745-9EBB-D984BB88F3EB}">
      <text>
        <r>
          <rPr>
            <b/>
            <sz val="9"/>
            <color indexed="81"/>
            <rFont val="Tahoma"/>
            <family val="2"/>
          </rPr>
          <t>יניב שפירא:</t>
        </r>
        <r>
          <rPr>
            <sz val="9"/>
            <color indexed="81"/>
            <rFont val="Tahoma"/>
            <family val="2"/>
          </rPr>
          <t xml:space="preserve">
סולם 1-7
1 = תועלת
7 = נזק</t>
        </r>
      </text>
    </comment>
    <comment ref="T206" authorId="0" shapeId="0" xr:uid="{CA5348D7-52D5-41F1-9532-2C69A2426245}">
      <text>
        <r>
          <rPr>
            <b/>
            <sz val="9"/>
            <color indexed="81"/>
            <rFont val="Tahoma"/>
            <family val="2"/>
          </rPr>
          <t>יניב שפירא:</t>
        </r>
        <r>
          <rPr>
            <sz val="9"/>
            <color indexed="81"/>
            <rFont val="Tahoma"/>
            <family val="2"/>
          </rPr>
          <t xml:space="preserve">
סולם 1-7
1 = שקול
7 = לא שקול</t>
        </r>
      </text>
    </comment>
    <comment ref="T207" authorId="0" shapeId="0" xr:uid="{069314C2-F972-4707-90E7-AD25C857DDB5}">
      <text>
        <r>
          <rPr>
            <b/>
            <sz val="9"/>
            <color indexed="81"/>
            <rFont val="Tahoma"/>
            <family val="2"/>
          </rPr>
          <t>יניב שפירא:</t>
        </r>
        <r>
          <rPr>
            <sz val="9"/>
            <color indexed="81"/>
            <rFont val="Tahoma"/>
            <family val="2"/>
          </rPr>
          <t xml:space="preserve">
סולם 1-7
1 = יציב
7 = לא יציב</t>
        </r>
      </text>
    </comment>
    <comment ref="T208" authorId="0" shapeId="0" xr:uid="{84DF0C0A-44F9-4F96-B820-F884BDC9DD21}">
      <text>
        <r>
          <rPr>
            <b/>
            <sz val="9"/>
            <color indexed="81"/>
            <rFont val="Tahoma"/>
            <family val="2"/>
          </rPr>
          <t>יניב שפירא:</t>
        </r>
        <r>
          <rPr>
            <sz val="9"/>
            <color indexed="81"/>
            <rFont val="Tahoma"/>
            <family val="2"/>
          </rPr>
          <t xml:space="preserve">
סולם 1-7
1 = עבר זמנו
7 = לא עבר זמנו</t>
        </r>
      </text>
    </comment>
    <comment ref="T209" authorId="0" shapeId="0" xr:uid="{771B9F34-80B1-4E06-916E-42B2D56A52D6}">
      <text>
        <r>
          <rPr>
            <b/>
            <sz val="9"/>
            <color indexed="81"/>
            <rFont val="Tahoma"/>
            <family val="2"/>
          </rPr>
          <t>יניב שפירא:</t>
        </r>
        <r>
          <rPr>
            <sz val="9"/>
            <color indexed="81"/>
            <rFont val="Tahoma"/>
            <family val="2"/>
          </rPr>
          <t xml:space="preserve">
סולם 1-7
1 = גרוע
7 = מצוין</t>
        </r>
      </text>
    </comment>
    <comment ref="T210" authorId="0" shapeId="0" xr:uid="{1D4E7C28-385E-4297-9EF8-4E31095F77C7}">
      <text>
        <r>
          <rPr>
            <b/>
            <sz val="9"/>
            <color indexed="81"/>
            <rFont val="Tahoma"/>
            <family val="2"/>
          </rPr>
          <t>יניב שפירא:</t>
        </r>
        <r>
          <rPr>
            <sz val="9"/>
            <color indexed="81"/>
            <rFont val="Tahoma"/>
            <family val="2"/>
          </rPr>
          <t xml:space="preserve">
סולם 1-7
1 = גרוע
7 = מצוין</t>
        </r>
      </text>
    </comment>
    <comment ref="T211" authorId="0" shapeId="0" xr:uid="{567CD0BE-85ED-44BC-82A6-F57BFCFAF962}">
      <text>
        <r>
          <rPr>
            <b/>
            <sz val="9"/>
            <color indexed="81"/>
            <rFont val="Tahoma"/>
            <family val="2"/>
          </rPr>
          <t>יניב שפירא:</t>
        </r>
        <r>
          <rPr>
            <sz val="9"/>
            <color indexed="81"/>
            <rFont val="Tahoma"/>
            <family val="2"/>
          </rPr>
          <t xml:space="preserve">
סולם 1-7
1 = נתון
7 = לא נתון</t>
        </r>
      </text>
    </comment>
    <comment ref="T212" authorId="0" shapeId="0" xr:uid="{9370D468-9549-4417-9528-245D6D261D69}">
      <text>
        <r>
          <rPr>
            <b/>
            <sz val="9"/>
            <color indexed="81"/>
            <rFont val="Tahoma"/>
            <family val="2"/>
          </rPr>
          <t>יניב שפירא:</t>
        </r>
        <r>
          <rPr>
            <sz val="9"/>
            <color indexed="81"/>
            <rFont val="Tahoma"/>
            <family val="2"/>
          </rPr>
          <t xml:space="preserve">
סולם 1-7
1 = אינה מאפשרת
7 = מאפשרת</t>
        </r>
      </text>
    </comment>
    <comment ref="T213" authorId="0" shapeId="0" xr:uid="{C6FBB481-DDFE-4FD8-89C8-6756CF5BEB3B}">
      <text>
        <r>
          <rPr>
            <b/>
            <sz val="9"/>
            <color indexed="81"/>
            <rFont val="Tahoma"/>
            <family val="2"/>
          </rPr>
          <t>יניב שפירא:</t>
        </r>
        <r>
          <rPr>
            <sz val="9"/>
            <color indexed="81"/>
            <rFont val="Tahoma"/>
            <family val="2"/>
          </rPr>
          <t xml:space="preserve">
סולם 1-7
1 = הרפתקן
7 = שקול ונבון</t>
        </r>
      </text>
    </comment>
    <comment ref="T214" authorId="0" shapeId="0" xr:uid="{71A2B81D-BC92-43CE-80D7-F54E2CC1FE27}">
      <text>
        <r>
          <rPr>
            <b/>
            <sz val="9"/>
            <color indexed="81"/>
            <rFont val="Tahoma"/>
            <family val="2"/>
          </rPr>
          <t>יניב שפירא:</t>
        </r>
        <r>
          <rPr>
            <sz val="9"/>
            <color indexed="81"/>
            <rFont val="Tahoma"/>
            <family val="2"/>
          </rPr>
          <t xml:space="preserve">
סולם 1-7
1 = אופוזיציה
7 = שלטון</t>
        </r>
      </text>
    </comment>
    <comment ref="U215" authorId="0" shapeId="0" xr:uid="{A324064A-DE70-47D6-B7EA-4D7C7A56EE55}">
      <text>
        <r>
          <rPr>
            <b/>
            <sz val="9"/>
            <color indexed="81"/>
            <rFont val="Tahoma"/>
            <family val="2"/>
          </rPr>
          <t>יניב שפירא:</t>
        </r>
        <r>
          <rPr>
            <sz val="9"/>
            <color indexed="81"/>
            <rFont val="Tahoma"/>
            <family val="2"/>
          </rPr>
          <t xml:space="preserve">
סולם 1-7
1 = חזק
7 = חלש</t>
        </r>
      </text>
    </comment>
    <comment ref="V215" authorId="0" shapeId="0" xr:uid="{AAA708F6-9999-44B9-A51E-9C0AA63C1FB7}">
      <text>
        <r>
          <rPr>
            <b/>
            <sz val="9"/>
            <color indexed="81"/>
            <rFont val="Tahoma"/>
            <family val="2"/>
          </rPr>
          <t>יניב שפירא:</t>
        </r>
        <r>
          <rPr>
            <sz val="9"/>
            <color indexed="81"/>
            <rFont val="Tahoma"/>
            <family val="2"/>
          </rPr>
          <t xml:space="preserve">
סולם 1-6</t>
        </r>
      </text>
    </comment>
    <comment ref="U216" authorId="0" shapeId="0" xr:uid="{C1453170-1DCE-476E-817F-993A6ED562A2}">
      <text>
        <r>
          <rPr>
            <b/>
            <sz val="9"/>
            <color indexed="81"/>
            <rFont val="Tahoma"/>
            <family val="2"/>
          </rPr>
          <t>יניב שפירא:</t>
        </r>
        <r>
          <rPr>
            <sz val="9"/>
            <color indexed="81"/>
            <rFont val="Tahoma"/>
            <family val="2"/>
          </rPr>
          <t xml:space="preserve">
סולם 1-7
1 = יכול לעבוד בצוות
7 = לא יכול</t>
        </r>
      </text>
    </comment>
    <comment ref="U217" authorId="0" shapeId="0" xr:uid="{2FF40994-BF08-4A10-83A9-E1481CA719E9}">
      <text>
        <r>
          <rPr>
            <b/>
            <sz val="9"/>
            <color indexed="81"/>
            <rFont val="Tahoma"/>
            <family val="2"/>
          </rPr>
          <t>יניב שפירא:</t>
        </r>
        <r>
          <rPr>
            <sz val="9"/>
            <color indexed="81"/>
            <rFont val="Tahoma"/>
            <family val="2"/>
          </rPr>
          <t xml:space="preserve">
סולם 1-7
1 = ישר
7 = לא ישר</t>
        </r>
      </text>
    </comment>
    <comment ref="U218" authorId="0" shapeId="0" xr:uid="{13D2357C-F89C-4AA2-8BD2-89B32E8DE676}">
      <text>
        <r>
          <rPr>
            <b/>
            <sz val="9"/>
            <color indexed="81"/>
            <rFont val="Tahoma"/>
            <family val="2"/>
          </rPr>
          <t>יניב שפירא:</t>
        </r>
        <r>
          <rPr>
            <sz val="9"/>
            <color indexed="81"/>
            <rFont val="Tahoma"/>
            <family val="2"/>
          </rPr>
          <t xml:space="preserve">
סולם 1-7
1 = בעל כושר החלטה
7 = חסר כושר החלטה</t>
        </r>
      </text>
    </comment>
    <comment ref="U219" authorId="0" shapeId="0" xr:uid="{D9EA2640-FBC2-4F61-B36F-5EAFB6BECD70}">
      <text>
        <r>
          <rPr>
            <b/>
            <sz val="9"/>
            <color indexed="81"/>
            <rFont val="Tahoma"/>
            <family val="2"/>
          </rPr>
          <t>יניב שפירא:</t>
        </r>
        <r>
          <rPr>
            <sz val="9"/>
            <color indexed="81"/>
            <rFont val="Tahoma"/>
            <family val="2"/>
          </rPr>
          <t xml:space="preserve">
סולם 1-7
1 = יכול לעמוד
7 = לא יכול לעמוד</t>
        </r>
      </text>
    </comment>
    <comment ref="V220" authorId="0" shapeId="0" xr:uid="{CA6B6A5E-F96B-4373-8598-E798FBC78B63}">
      <text>
        <r>
          <rPr>
            <b/>
            <sz val="9"/>
            <color indexed="81"/>
            <rFont val="Tahoma"/>
            <family val="2"/>
          </rPr>
          <t>יניב שפירא:</t>
        </r>
        <r>
          <rPr>
            <sz val="9"/>
            <color indexed="81"/>
            <rFont val="Tahoma"/>
            <family val="2"/>
          </rPr>
          <t xml:space="preserve">
סולם 1-6</t>
        </r>
      </text>
    </comment>
    <comment ref="U225" authorId="0" shapeId="0" xr:uid="{8C2D4DD4-033B-4ED8-A729-E391512379C7}">
      <text>
        <r>
          <rPr>
            <b/>
            <sz val="9"/>
            <color indexed="81"/>
            <rFont val="Tahoma"/>
            <family val="2"/>
          </rPr>
          <t>יניב שפירא:</t>
        </r>
        <r>
          <rPr>
            <sz val="9"/>
            <color indexed="81"/>
            <rFont val="Tahoma"/>
            <family val="2"/>
          </rPr>
          <t xml:space="preserve">
סולם 1-7
1 = אמין בהופעתו
7 = בלתי אמין</t>
        </r>
      </text>
    </comment>
    <comment ref="U226" authorId="0" shapeId="0" xr:uid="{7786C1CD-BDF3-4745-B7B2-7F31D64393F3}">
      <text>
        <r>
          <rPr>
            <b/>
            <sz val="9"/>
            <color indexed="81"/>
            <rFont val="Tahoma"/>
            <family val="2"/>
          </rPr>
          <t>יניב שפירא:</t>
        </r>
        <r>
          <rPr>
            <sz val="9"/>
            <color indexed="81"/>
            <rFont val="Tahoma"/>
            <family val="2"/>
          </rPr>
          <t xml:space="preserve">
סולם 1-7
1 = חלקלק
7 = דוגרי</t>
        </r>
      </text>
    </comment>
    <comment ref="U227" authorId="0" shapeId="0" xr:uid="{F2011A2C-2B94-4120-8990-F93C096F36E3}">
      <text>
        <r>
          <rPr>
            <b/>
            <sz val="9"/>
            <color indexed="81"/>
            <rFont val="Tahoma"/>
            <family val="2"/>
          </rPr>
          <t>יניב שפירא:</t>
        </r>
        <r>
          <rPr>
            <sz val="9"/>
            <color indexed="81"/>
            <rFont val="Tahoma"/>
            <family val="2"/>
          </rPr>
          <t xml:space="preserve">
סולם 1-7
1 = עייף
7 = רענן</t>
        </r>
      </text>
    </comment>
    <comment ref="V228" authorId="0" shapeId="0" xr:uid="{04981453-0FEF-4D73-8D48-25033FEBD2ED}">
      <text>
        <r>
          <rPr>
            <b/>
            <sz val="9"/>
            <color indexed="81"/>
            <rFont val="Tahoma"/>
            <family val="2"/>
          </rPr>
          <t>יניב שפירא:</t>
        </r>
        <r>
          <rPr>
            <sz val="9"/>
            <color indexed="81"/>
            <rFont val="Tahoma"/>
            <family val="2"/>
          </rPr>
          <t xml:space="preserve">
סולם 1-6</t>
        </r>
      </text>
    </comment>
    <comment ref="AC233" authorId="0" shapeId="0" xr:uid="{3FA15BC1-C0DE-44D9-A478-9ED3F744FD12}">
      <text>
        <r>
          <rPr>
            <b/>
            <sz val="9"/>
            <color indexed="81"/>
            <rFont val="Tahoma"/>
            <family val="2"/>
          </rPr>
          <t>יניב שפירא:</t>
        </r>
        <r>
          <rPr>
            <sz val="9"/>
            <color indexed="81"/>
            <rFont val="Tahoma"/>
            <family val="2"/>
          </rPr>
          <t xml:space="preserve">
1 = גולדה
2 = דיין
3 = בגין
4 = פנחס ספיר
5 = אבא אבן
6 = חיים בר-לב
7 = יגאל אלון
8 = אחר מהקואליציה
9 = אחר מהאופוזיציה</t>
        </r>
      </text>
    </comment>
    <comment ref="AC234" authorId="0" shapeId="0" xr:uid="{785C3D3D-4BA1-4E2D-ACD8-5A698326E03D}">
      <text>
        <r>
          <rPr>
            <b/>
            <sz val="9"/>
            <color indexed="81"/>
            <rFont val="Tahoma"/>
            <family val="2"/>
          </rPr>
          <t>יניב שפירא:</t>
        </r>
        <r>
          <rPr>
            <sz val="9"/>
            <color indexed="81"/>
            <rFont val="Tahoma"/>
            <family val="2"/>
          </rPr>
          <t xml:space="preserve">
1 = דיין
2 = בר-לב
3 = שרון
4 = רבין
5 = אהרון יריב
6 = עזר וייצמן
7 = יגאל אלון
8 = אחר מהקואליציה
9 = אחר מהאופוזיציה</t>
        </r>
      </text>
    </comment>
    <comment ref="AC235" authorId="0" shapeId="0" xr:uid="{51B32E0E-7EA0-4E69-B5D1-58BE713CAB00}">
      <text>
        <r>
          <rPr>
            <b/>
            <sz val="9"/>
            <color indexed="81"/>
            <rFont val="Tahoma"/>
            <family val="2"/>
          </rPr>
          <t>יניב שפירא:</t>
        </r>
        <r>
          <rPr>
            <sz val="9"/>
            <color indexed="81"/>
            <rFont val="Tahoma"/>
            <family val="2"/>
          </rPr>
          <t xml:space="preserve">
1 = אבא אבן
2 = פרס
3 = אהרון יריב
4 = יגאל אלון
5 = בגין
6 = רבין
7 = אחר מהקואליציה
8 = אחר מהאופוזיציה</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X1" authorId="0" shapeId="0" xr:uid="{6CE5C44D-B8AA-46A7-8800-DD4F295699BC}">
      <text>
        <r>
          <rPr>
            <b/>
            <sz val="9"/>
            <color indexed="81"/>
            <rFont val="Tahoma"/>
            <charset val="177"/>
          </rPr>
          <t>יניב שפירא:</t>
        </r>
        <r>
          <rPr>
            <sz val="9"/>
            <color indexed="81"/>
            <rFont val="Tahoma"/>
            <charset val="177"/>
          </rPr>
          <t xml:space="preserve">
post election</t>
        </r>
      </text>
    </comment>
    <comment ref="AB1" authorId="0" shapeId="0" xr:uid="{E36B6A7A-3403-4952-AFD5-CF66F5889095}">
      <text>
        <r>
          <rPr>
            <b/>
            <sz val="9"/>
            <color indexed="81"/>
            <rFont val="Tahoma"/>
            <charset val="177"/>
          </rPr>
          <t>יניב שפירא:</t>
        </r>
        <r>
          <rPr>
            <sz val="9"/>
            <color indexed="81"/>
            <rFont val="Tahoma"/>
            <charset val="177"/>
          </rPr>
          <t xml:space="preserve">
post Kippur + post election</t>
        </r>
      </text>
    </comment>
    <comment ref="AC1" authorId="0" shapeId="0" xr:uid="{044E5995-F377-4551-90CC-7F0DB44D673E}">
      <text>
        <r>
          <rPr>
            <b/>
            <sz val="9"/>
            <color indexed="81"/>
            <rFont val="Tahoma"/>
            <charset val="177"/>
          </rPr>
          <t>יניב שפירא:</t>
        </r>
        <r>
          <rPr>
            <sz val="9"/>
            <color indexed="81"/>
            <rFont val="Tahoma"/>
            <charset val="177"/>
          </rPr>
          <t xml:space="preserve">
post Kippur</t>
        </r>
      </text>
    </comment>
    <comment ref="AD1" authorId="0" shapeId="0" xr:uid="{5C96943C-6FAE-4DC5-A564-394A77224AD0}">
      <text>
        <r>
          <rPr>
            <b/>
            <sz val="9"/>
            <color indexed="81"/>
            <rFont val="Tahoma"/>
            <charset val="177"/>
          </rPr>
          <t>יניב שפירא:</t>
        </r>
        <r>
          <rPr>
            <sz val="9"/>
            <color indexed="81"/>
            <rFont val="Tahoma"/>
            <charset val="177"/>
          </rPr>
          <t xml:space="preserve">
post Kippur</t>
        </r>
      </text>
    </comment>
    <comment ref="AG1" authorId="0" shapeId="0" xr:uid="{56E8D804-E35D-47C0-A475-F55D5DBC2B4D}">
      <text>
        <r>
          <rPr>
            <b/>
            <sz val="9"/>
            <color indexed="81"/>
            <rFont val="Tahoma"/>
            <charset val="177"/>
          </rPr>
          <t>יניב שפירא:</t>
        </r>
        <r>
          <rPr>
            <sz val="9"/>
            <color indexed="81"/>
            <rFont val="Tahoma"/>
            <charset val="177"/>
          </rPr>
          <t xml:space="preserve">
pre + post election</t>
        </r>
      </text>
    </comment>
    <comment ref="E2" authorId="0" shapeId="0" xr:uid="{8BBA3E40-83D0-423D-9222-A2D205F6B1B8}">
      <text>
        <r>
          <rPr>
            <b/>
            <sz val="9"/>
            <color indexed="81"/>
            <rFont val="Tahoma"/>
            <family val="2"/>
          </rPr>
          <t>יניב שפירא:</t>
        </r>
        <r>
          <rPr>
            <sz val="9"/>
            <color indexed="81"/>
            <rFont val="Tahoma"/>
            <family val="2"/>
          </rPr>
          <t xml:space="preserve">
1 = הזדהות עם המפלגה
2 = ראש המפלגה
3 = מועמדי המפלגה לכנסת
4 = עמדות המפלגה בנושאים מסוימים
5 = מקומה של המפלגה בשלטון או באופוזיציה</t>
        </r>
      </text>
    </comment>
    <comment ref="J2" authorId="0" shapeId="0" xr:uid="{B73F5E6B-892E-4338-9D8F-D0B06EC7018D}">
      <text>
        <r>
          <rPr>
            <b/>
            <sz val="9"/>
            <color indexed="81"/>
            <rFont val="Tahoma"/>
            <family val="2"/>
          </rPr>
          <t>יניב שפירא:</t>
        </r>
        <r>
          <rPr>
            <sz val="9"/>
            <color indexed="81"/>
            <rFont val="Tahoma"/>
            <family val="2"/>
          </rPr>
          <t xml:space="preserve">
1 = הזדהות עם המפלגה
2 = מועמדי המפלגה לכנסת
3 = עמדת המפלגה בנושאים מסוימים
4 = מקומה של המפלגה בשלטון או באופוזיציה</t>
        </r>
      </text>
    </comment>
    <comment ref="W2" authorId="0" shapeId="0" xr:uid="{C0BE57FC-2D07-444D-B7D2-168151AD29E4}">
      <text>
        <r>
          <rPr>
            <b/>
            <sz val="9"/>
            <color indexed="81"/>
            <rFont val="Tahoma"/>
            <charset val="177"/>
          </rPr>
          <t>יניב שפירא:</t>
        </r>
        <r>
          <rPr>
            <sz val="9"/>
            <color indexed="81"/>
            <rFont val="Tahoma"/>
            <charset val="177"/>
          </rPr>
          <t xml:space="preserve">
1 = הזדהות עם המפלגה
2 = מועמד המפלגה
3 = עמדות המפלגה בנושאים מסויימים
4 = סיכויי המפלגה להגיע לשלטון</t>
        </r>
      </text>
    </comment>
    <comment ref="X2" authorId="0" shapeId="0" xr:uid="{E6910054-103F-4FB3-9A14-84590A14B94B}">
      <text>
        <r>
          <rPr>
            <b/>
            <sz val="9"/>
            <color indexed="81"/>
            <rFont val="Tahoma"/>
            <charset val="177"/>
          </rPr>
          <t>יניב שפירא:</t>
        </r>
        <r>
          <rPr>
            <sz val="9"/>
            <color indexed="81"/>
            <rFont val="Tahoma"/>
            <charset val="177"/>
          </rPr>
          <t xml:space="preserve">
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r>
      </text>
    </comment>
    <comment ref="AA2" authorId="0" shapeId="0" xr:uid="{9AACF70D-F2BB-4888-AC85-04CC390FF365}">
      <text>
        <r>
          <rPr>
            <b/>
            <sz val="9"/>
            <color indexed="81"/>
            <rFont val="Tahoma"/>
            <charset val="177"/>
          </rPr>
          <t>יניב שפירא:</t>
        </r>
        <r>
          <rPr>
            <sz val="9"/>
            <color indexed="81"/>
            <rFont val="Tahoma"/>
            <charset val="177"/>
          </rPr>
          <t xml:space="preserve">
1 = הזדהות עם המפלגה
2 = מועמד המפלגה
3 = עמדות המפלגה בנושאים מסויימים
4 = מקומה של במפלגה בקואליציה/אופוזיציה</t>
        </r>
      </text>
    </comment>
    <comment ref="AD2" authorId="0" shapeId="0" xr:uid="{A5CDBB71-403D-4D45-90A7-6527B9204C86}">
      <text>
        <r>
          <rPr>
            <b/>
            <sz val="9"/>
            <color indexed="81"/>
            <rFont val="Tahoma"/>
            <family val="2"/>
          </rPr>
          <t>יניב שפירא:</t>
        </r>
        <r>
          <rPr>
            <sz val="9"/>
            <color indexed="81"/>
            <rFont val="Tahoma"/>
            <family val="2"/>
          </rPr>
          <t xml:space="preserve">
שאלה פתוחה</t>
        </r>
      </text>
    </comment>
    <comment ref="M3" authorId="0" shapeId="0" xr:uid="{8A0CF870-577F-4BD8-A059-D7DE2464257E}">
      <text>
        <r>
          <rPr>
            <b/>
            <sz val="9"/>
            <color indexed="81"/>
            <rFont val="Tahoma"/>
            <family val="2"/>
          </rPr>
          <t>יניב שפירא:</t>
        </r>
        <r>
          <rPr>
            <sz val="9"/>
            <color indexed="81"/>
            <rFont val="Tahoma"/>
            <family val="2"/>
          </rPr>
          <t xml:space="preserve">
1 = התכונות של המועמד
2 = הזדהות עם המפלגה שלו
3 = הזדהות עם המחנה שלו
4 = העמדות של המועמד בנושאים שונים
5 = היותו בשלטון או באופוזיציה</t>
        </r>
      </text>
    </comment>
    <comment ref="O3" authorId="0" shapeId="0" xr:uid="{9F4D2640-C787-4F01-A134-823D1113CD70}">
      <text>
        <r>
          <rPr>
            <b/>
            <sz val="9"/>
            <color indexed="81"/>
            <rFont val="Tahoma"/>
            <family val="2"/>
          </rPr>
          <t>יניב שפירא:</t>
        </r>
        <r>
          <rPr>
            <sz val="9"/>
            <color indexed="81"/>
            <rFont val="Tahoma"/>
            <family val="2"/>
          </rPr>
          <t xml:space="preserve">
1 = התכונות של המועמד
2 = הזדהות עם המפלגה שלו
3 = העמדות של המועמד בנושאים שונים
4 = היותו בשלטון או באופוזיציה</t>
        </r>
      </text>
    </comment>
    <comment ref="AG4" authorId="0" shapeId="0" xr:uid="{CF915485-189C-4EC1-A8ED-3C58755CFD6F}">
      <text>
        <r>
          <rPr>
            <b/>
            <sz val="9"/>
            <color indexed="81"/>
            <rFont val="Tahoma"/>
            <family val="2"/>
          </rPr>
          <t>יניב שפירא:</t>
        </r>
        <r>
          <rPr>
            <sz val="9"/>
            <color indexed="81"/>
            <rFont val="Tahoma"/>
            <family val="2"/>
          </rPr>
          <t xml:space="preserve">
1 = יש גורם אחד הרבה יותר חשוב מהשאר
2 = יש גורם אחד קצת יותר חשוב מהשאר
3 = כל הגורמים חשובים באותה מידה
4 = אף אחד מהגורמים לא חשוב</t>
        </r>
      </text>
    </comment>
    <comment ref="E5" authorId="0" shapeId="0" xr:uid="{4956733A-561D-4830-A4B5-26DF1E95E8E8}">
      <text>
        <r>
          <rPr>
            <b/>
            <sz val="9"/>
            <color indexed="81"/>
            <rFont val="Tahoma"/>
            <family val="2"/>
          </rPr>
          <t>יניב שפירא:</t>
        </r>
        <r>
          <rPr>
            <sz val="9"/>
            <color indexed="81"/>
            <rFont val="Tahoma"/>
            <family val="2"/>
          </rPr>
          <t xml:space="preserve">
1 = כלל לא ישפיע
2 = ישפיע במידה מועטה בלבד
3 = ישפיע במידה מסוימת
4 = ישפיע במידה רבה</t>
        </r>
      </text>
    </comment>
    <comment ref="AE5" authorId="0" shapeId="0" xr:uid="{560F86DF-F701-4CD2-AB47-19B029A8FBDD}">
      <text>
        <r>
          <rPr>
            <b/>
            <sz val="9"/>
            <color indexed="81"/>
            <rFont val="Tahoma"/>
            <family val="2"/>
          </rPr>
          <t>יניב שפירא:</t>
        </r>
        <r>
          <rPr>
            <sz val="9"/>
            <color indexed="81"/>
            <rFont val="Tahoma"/>
            <family val="2"/>
          </rPr>
          <t xml:space="preserve">
1 = במידה רבה
2 = במידה מסוימת
3 = במידה מועטה
4 = לא ישפיע כלל</t>
        </r>
      </text>
    </comment>
    <comment ref="I6" authorId="0" shapeId="0" xr:uid="{BC4CD26E-CB2B-49A6-83B9-9DCF39A127E7}">
      <text>
        <r>
          <rPr>
            <b/>
            <sz val="9"/>
            <color indexed="81"/>
            <rFont val="Tahoma"/>
            <family val="2"/>
          </rPr>
          <t>יניב שפירא:</t>
        </r>
        <r>
          <rPr>
            <sz val="9"/>
            <color indexed="81"/>
            <rFont val="Tahoma"/>
            <family val="2"/>
          </rPr>
          <t xml:space="preserve">
1 = ישפיע במידה רבה
2 = ישפיע במידה מסויימת
3 = ישפיע במידה מועטה בלבד
4 = כלל לא ישפיע</t>
        </r>
      </text>
    </comment>
    <comment ref="N6" authorId="0" shapeId="0" xr:uid="{041DDC1E-B645-4B92-BD23-5F6A936210A0}">
      <text>
        <r>
          <rPr>
            <b/>
            <sz val="9"/>
            <color indexed="81"/>
            <rFont val="Tahoma"/>
            <charset val="177"/>
          </rPr>
          <t>יניב שפירא:</t>
        </r>
        <r>
          <rPr>
            <sz val="9"/>
            <color indexed="81"/>
            <rFont val="Tahoma"/>
            <charset val="177"/>
          </rPr>
          <t xml:space="preserve">
1 = כלל לא ישפיע
2 = במידה מועטה
3 = במידה מסוימת
4 = במידה רבה</t>
        </r>
      </text>
    </comment>
    <comment ref="O6" authorId="0" shapeId="0" xr:uid="{93DFAB60-4ACE-4E43-B512-81A9A58697CB}">
      <text>
        <r>
          <rPr>
            <b/>
            <sz val="9"/>
            <color indexed="81"/>
            <rFont val="Tahoma"/>
            <family val="2"/>
          </rPr>
          <t>יניב שפירא:</t>
        </r>
        <r>
          <rPr>
            <sz val="9"/>
            <color indexed="81"/>
            <rFont val="Tahoma"/>
            <family val="2"/>
          </rPr>
          <t xml:space="preserve">
1 = במידה רבה
2 = במידה בינונית
3 = במידה מועטה בלבד
4 = לא ישפיע כלל</t>
        </r>
      </text>
    </comment>
    <comment ref="P6" authorId="0" shapeId="0" xr:uid="{54A73956-CFA5-4E83-AE11-BC2FF2810982}">
      <text>
        <r>
          <rPr>
            <b/>
            <sz val="9"/>
            <color indexed="81"/>
            <rFont val="Tahoma"/>
            <family val="2"/>
          </rPr>
          <t>יניב שפירא:</t>
        </r>
        <r>
          <rPr>
            <sz val="9"/>
            <color indexed="81"/>
            <rFont val="Tahoma"/>
            <family val="2"/>
          </rPr>
          <t xml:space="preserve">
1 = ישפיע במידה רבה
2 = במידה מסוימת
3 = במידה מועטה
4 = לא ישפיע כלל</t>
        </r>
      </text>
    </comment>
    <comment ref="AA6" authorId="0" shapeId="0" xr:uid="{BE1F5A85-266D-4AD2-B5D8-EBD4A71EBF73}">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I7" authorId="0" shapeId="0" xr:uid="{BE02F9F7-2173-4268-B91A-788DD35AAC9A}">
      <text>
        <r>
          <rPr>
            <b/>
            <sz val="9"/>
            <color indexed="81"/>
            <rFont val="Tahoma"/>
            <family val="2"/>
          </rPr>
          <t>יניב שפירא:</t>
        </r>
        <r>
          <rPr>
            <sz val="9"/>
            <color indexed="81"/>
            <rFont val="Tahoma"/>
            <family val="2"/>
          </rPr>
          <t xml:space="preserve">
1 = ישפיע במידה רבה
2 = ישפיע במידה מסויימת
3 = ישפיע במידה מועטה בלבד
4 = כלל לא ישפיע</t>
        </r>
      </text>
    </comment>
    <comment ref="I8" authorId="0" shapeId="0" xr:uid="{8ECF38A3-0D93-43AC-A376-69B97FA2A955}">
      <text>
        <r>
          <rPr>
            <b/>
            <sz val="9"/>
            <color indexed="81"/>
            <rFont val="Tahoma"/>
            <family val="2"/>
          </rPr>
          <t>יניב שפירא:</t>
        </r>
        <r>
          <rPr>
            <sz val="9"/>
            <color indexed="81"/>
            <rFont val="Tahoma"/>
            <family val="2"/>
          </rPr>
          <t xml:space="preserve">
1 = ישפיע במידה רבה
2 = ישפיע במידה מסויימת
3 = ישפיע במידה מועטה בלבד
4 = כלל לא ישפיע</t>
        </r>
      </text>
    </comment>
    <comment ref="D9" authorId="1" shapeId="0" xr:uid="{47247BB8-2CAD-4D75-B698-3E7F1C18CA60}">
      <text>
        <r>
          <rPr>
            <b/>
            <sz val="9"/>
            <color indexed="81"/>
            <rFont val="Tahoma"/>
            <family val="2"/>
          </rPr>
          <t>adi:</t>
        </r>
        <r>
          <rPr>
            <sz val="9"/>
            <color indexed="81"/>
            <rFont val="Tahoma"/>
            <family val="2"/>
          </rPr>
          <t xml:space="preserve">
שלום וביטחון</t>
        </r>
      </text>
    </comment>
    <comment ref="R9" authorId="0" shapeId="0" xr:uid="{1A963F81-940F-490F-B17E-2A573F58AF7D}">
      <text>
        <r>
          <rPr>
            <b/>
            <sz val="9"/>
            <color indexed="81"/>
            <rFont val="Tahoma"/>
            <family val="2"/>
          </rPr>
          <t>יניב שפירא:</t>
        </r>
        <r>
          <rPr>
            <sz val="9"/>
            <color indexed="81"/>
            <rFont val="Tahoma"/>
            <family val="2"/>
          </rPr>
          <t xml:space="preserve">
1 = ישפיע במידה רבה
2 = במידה מסוימת
3 = במידה מועטה
4 = לא ישפיע כלל</t>
        </r>
      </text>
    </comment>
    <comment ref="AA9" authorId="0" shapeId="0" xr:uid="{928522B0-598C-492A-AC6B-BE253C486DF5}">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AE9" authorId="0" shapeId="0" xr:uid="{E06C6635-244E-4B72-A341-1E70CCAB4E2E}">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N10" authorId="0" shapeId="0" xr:uid="{ECBFAD70-0085-4C81-B6D5-8336C0653AFC}">
      <text>
        <r>
          <rPr>
            <b/>
            <sz val="9"/>
            <color indexed="81"/>
            <rFont val="Tahoma"/>
            <family val="2"/>
          </rPr>
          <t>יניב שפירא:</t>
        </r>
        <r>
          <rPr>
            <sz val="9"/>
            <color indexed="81"/>
            <rFont val="Tahoma"/>
            <family val="2"/>
          </rPr>
          <t xml:space="preserve">
מפוצל לשאלה על "בטחון" ושאלה על "טרור"
* טרור מקבל כאן </t>
        </r>
        <r>
          <rPr>
            <b/>
            <sz val="9"/>
            <color indexed="81"/>
            <rFont val="Tahoma"/>
            <family val="2"/>
          </rPr>
          <t>i30</t>
        </r>
      </text>
    </comment>
    <comment ref="Q10" authorId="0" shapeId="0" xr:uid="{64A6CE32-D9C2-49D3-9E52-02D35DE9225A}">
      <text>
        <r>
          <rPr>
            <b/>
            <sz val="9"/>
            <color indexed="81"/>
            <rFont val="Tahoma"/>
            <charset val="177"/>
          </rPr>
          <t>יניב שפירא:</t>
        </r>
        <r>
          <rPr>
            <sz val="9"/>
            <color indexed="81"/>
            <rFont val="Tahoma"/>
            <charset val="177"/>
          </rPr>
          <t xml:space="preserve">
1 = ישפיע במידה רבה
2 = במידה מסוימת
3 = במידה מועטה
4 = לא ישפיע כלל</t>
        </r>
      </text>
    </comment>
    <comment ref="U10" authorId="0" shapeId="0" xr:uid="{8177EBA7-DA61-4912-9B82-6B73C8FB6A49}">
      <text>
        <r>
          <rPr>
            <b/>
            <sz val="9"/>
            <color indexed="81"/>
            <rFont val="Tahoma"/>
            <charset val="177"/>
          </rPr>
          <t>יניב שפירא:</t>
        </r>
        <r>
          <rPr>
            <sz val="9"/>
            <color indexed="81"/>
            <rFont val="Tahoma"/>
            <charset val="177"/>
          </rPr>
          <t xml:space="preserve">
1 = ישפיע במידה רבה
2 = במידה מסויימת
3 = במידה מועטה
4 = לא ישפיע כלל</t>
        </r>
      </text>
    </comment>
    <comment ref="AA11" authorId="0" shapeId="0" xr:uid="{4ABB363D-9787-45EA-83A8-D2EF0CAAB678}">
      <text>
        <r>
          <rPr>
            <b/>
            <sz val="9"/>
            <color indexed="81"/>
            <rFont val="Tahoma"/>
            <charset val="177"/>
          </rPr>
          <t>יניב שפירא:</t>
        </r>
        <r>
          <rPr>
            <sz val="9"/>
            <color indexed="81"/>
            <rFont val="Tahoma"/>
            <charset val="177"/>
          </rPr>
          <t xml:space="preserve">
1 = במידה רבה
2 = במידה מסוימת
3 = במידה מועטה
4 = כלל לא ישפיע</t>
        </r>
      </text>
    </comment>
    <comment ref="J15" authorId="0" shapeId="0" xr:uid="{630A6DA5-CBCD-4F28-8A23-F206BE4943E8}">
      <text>
        <r>
          <rPr>
            <b/>
            <sz val="9"/>
            <color indexed="81"/>
            <rFont val="Tahoma"/>
            <family val="2"/>
          </rPr>
          <t>יניב שפירא:</t>
        </r>
        <r>
          <rPr>
            <sz val="9"/>
            <color indexed="81"/>
            <rFont val="Tahoma"/>
            <family val="2"/>
          </rPr>
          <t xml:space="preserve">
1 = ישפיע במידה רבה
2 = ישפיע במידה מסוימת
3 = ישפיע במידה מועטה בלבד
4 = כלל לא ישפיע</t>
        </r>
      </text>
    </comment>
    <comment ref="O16" authorId="0" shapeId="0" xr:uid="{92B71EC5-735E-4B66-96C6-DE0DBE35D4DE}">
      <text>
        <r>
          <rPr>
            <b/>
            <sz val="9"/>
            <color indexed="81"/>
            <rFont val="Tahoma"/>
            <family val="2"/>
          </rPr>
          <t>יניב שפירא:</t>
        </r>
        <r>
          <rPr>
            <sz val="9"/>
            <color indexed="81"/>
            <rFont val="Tahoma"/>
            <family val="2"/>
          </rPr>
          <t xml:space="preserve">
מבצע "ענבי זעם"</t>
        </r>
      </text>
    </comment>
    <comment ref="J20" authorId="0" shapeId="0" xr:uid="{7D34FC15-8797-459F-A603-8C5A0833150A}">
      <text>
        <r>
          <rPr>
            <b/>
            <sz val="9"/>
            <color indexed="81"/>
            <rFont val="Tahoma"/>
            <family val="2"/>
          </rPr>
          <t>יניב שפירא:</t>
        </r>
        <r>
          <rPr>
            <sz val="9"/>
            <color indexed="81"/>
            <rFont val="Tahoma"/>
            <family val="2"/>
          </rPr>
          <t xml:space="preserve">
1 = התהליך המדיני עם הפלסטינים ועם סוריה
2 = המצב הביטחוני
3 = המצב הכלכלי חברתי
4 = יחסי דתיים חילונים
5 = שחיתות ושלטון החוק
6 = האחדות בעם
7 = אחר</t>
        </r>
      </text>
    </comment>
    <comment ref="E21" authorId="0" shapeId="0" xr:uid="{D774F03F-17E2-4240-AC96-B25F785BA158}">
      <text>
        <r>
          <rPr>
            <b/>
            <sz val="9"/>
            <color indexed="81"/>
            <rFont val="Tahoma"/>
            <family val="2"/>
          </rPr>
          <t>יניב שפירא:</t>
        </r>
        <r>
          <rPr>
            <sz val="9"/>
            <color indexed="81"/>
            <rFont val="Tahoma"/>
            <family val="2"/>
          </rPr>
          <t xml:space="preserve">
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r>
      </text>
    </comment>
    <comment ref="F21" authorId="0" shapeId="0" xr:uid="{5ADD3119-7E0F-43E7-B767-4B11DDBE772C}">
      <text>
        <r>
          <rPr>
            <b/>
            <sz val="9"/>
            <color indexed="81"/>
            <rFont val="Tahoma"/>
            <family val="2"/>
          </rPr>
          <t>יניב שפירא:</t>
        </r>
        <r>
          <rPr>
            <sz val="9"/>
            <color indexed="81"/>
            <rFont val="Tahoma"/>
            <family val="2"/>
          </rPr>
          <t xml:space="preserve">
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r>
      </text>
    </comment>
    <comment ref="G21" authorId="0" shapeId="0" xr:uid="{96185C81-D117-4A9F-86D9-9287F60C1D9D}">
      <text>
        <r>
          <rPr>
            <b/>
            <sz val="9"/>
            <color indexed="81"/>
            <rFont val="Tahoma"/>
            <charset val="177"/>
          </rPr>
          <t>יניב שפירא:</t>
        </r>
        <r>
          <rPr>
            <sz val="9"/>
            <color indexed="81"/>
            <rFont val="Tahoma"/>
            <charset val="177"/>
          </rPr>
          <t xml:space="preserve">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r>
      </text>
    </comment>
    <comment ref="C22" authorId="1" shapeId="0" xr:uid="{9171F370-DBDC-4F79-B37F-917DA5FB7888}">
      <text>
        <r>
          <rPr>
            <b/>
            <sz val="9"/>
            <color indexed="81"/>
            <rFont val="Tahoma"/>
            <family val="2"/>
          </rPr>
          <t>adi:</t>
        </r>
        <r>
          <rPr>
            <sz val="9"/>
            <color indexed="81"/>
            <rFont val="Tahoma"/>
            <family val="2"/>
          </rPr>
          <t xml:space="preserve">
1 = שמאל
2 = מרכז
3 = ימין
4 = חרדית
5 = ערבית</t>
        </r>
      </text>
    </comment>
    <comment ref="E23" authorId="0" shapeId="0" xr:uid="{1E8E598E-6816-4E28-BB31-E319622282F1}">
      <text>
        <r>
          <rPr>
            <b/>
            <sz val="9"/>
            <color indexed="81"/>
            <rFont val="Tahoma"/>
            <family val="2"/>
          </rPr>
          <t>יניב שפירא:</t>
        </r>
        <r>
          <rPr>
            <sz val="9"/>
            <color indexed="81"/>
            <rFont val="Tahoma"/>
            <family val="2"/>
          </rPr>
          <t xml:space="preserve">
בחירות ספטמבר 2019
</t>
        </r>
      </text>
    </comment>
    <comment ref="G23" authorId="0" shapeId="0" xr:uid="{0B8542FD-15B7-4395-9C91-911089CF588B}">
      <text>
        <r>
          <rPr>
            <b/>
            <sz val="9"/>
            <color indexed="81"/>
            <rFont val="Tahoma"/>
            <family val="2"/>
          </rPr>
          <t>יניב שפירא:</t>
        </r>
        <r>
          <rPr>
            <sz val="9"/>
            <color indexed="81"/>
            <rFont val="Tahoma"/>
            <family val="2"/>
          </rPr>
          <t xml:space="preserve">
בחירות 2015</t>
        </r>
      </text>
    </comment>
    <comment ref="H23" authorId="0" shapeId="0" xr:uid="{BA7EFA8D-DB0C-41A4-AC8B-5BFA96656304}">
      <text>
        <r>
          <rPr>
            <b/>
            <sz val="9"/>
            <color indexed="81"/>
            <rFont val="Tahoma"/>
            <family val="2"/>
          </rPr>
          <t>יניב שפירא:</t>
        </r>
        <r>
          <rPr>
            <sz val="9"/>
            <color indexed="81"/>
            <rFont val="Tahoma"/>
            <family val="2"/>
          </rPr>
          <t xml:space="preserve">
בחירות 2013</t>
        </r>
      </text>
    </comment>
    <comment ref="I23" authorId="0" shapeId="0" xr:uid="{93FA9819-914F-4BA2-A846-6064D40F5A82}">
      <text>
        <r>
          <rPr>
            <b/>
            <sz val="9"/>
            <color indexed="81"/>
            <rFont val="Tahoma"/>
            <family val="2"/>
          </rPr>
          <t>יניב שפירא:</t>
        </r>
        <r>
          <rPr>
            <sz val="9"/>
            <color indexed="81"/>
            <rFont val="Tahoma"/>
            <family val="2"/>
          </rPr>
          <t xml:space="preserve">
בחירות 2009</t>
        </r>
      </text>
    </comment>
    <comment ref="J23" authorId="0" shapeId="0" xr:uid="{10B9DA47-41E6-475F-98E5-098B327DC726}">
      <text>
        <r>
          <rPr>
            <b/>
            <sz val="9"/>
            <color indexed="81"/>
            <rFont val="Tahoma"/>
            <family val="2"/>
          </rPr>
          <t>יניב שפירא:</t>
        </r>
        <r>
          <rPr>
            <sz val="9"/>
            <color indexed="81"/>
            <rFont val="Tahoma"/>
            <family val="2"/>
          </rPr>
          <t xml:space="preserve">
בחירות 2006</t>
        </r>
      </text>
    </comment>
    <comment ref="K23" authorId="0" shapeId="0" xr:uid="{6A0DD1B4-CD58-4A1D-9A45-2E3F999B73FE}">
      <text>
        <r>
          <rPr>
            <b/>
            <sz val="9"/>
            <color indexed="81"/>
            <rFont val="Tahoma"/>
            <family val="2"/>
          </rPr>
          <t>יניב שפירא:</t>
        </r>
        <r>
          <rPr>
            <sz val="9"/>
            <color indexed="81"/>
            <rFont val="Tahoma"/>
            <family val="2"/>
          </rPr>
          <t xml:space="preserve">
בחירות 2003</t>
        </r>
      </text>
    </comment>
    <comment ref="L23" authorId="0" shapeId="0" xr:uid="{D4A79AB7-6693-4269-879F-4232A9DE63C8}">
      <text>
        <r>
          <rPr>
            <b/>
            <sz val="9"/>
            <color indexed="81"/>
            <rFont val="Tahoma"/>
            <family val="2"/>
          </rPr>
          <t>יניב שפירא:</t>
        </r>
        <r>
          <rPr>
            <sz val="9"/>
            <color indexed="81"/>
            <rFont val="Tahoma"/>
            <family val="2"/>
          </rPr>
          <t xml:space="preserve">
בחירות 1999</t>
        </r>
      </text>
    </comment>
    <comment ref="M23" authorId="0" shapeId="0" xr:uid="{B68BF169-77CE-4628-B9A9-04D5FA34C424}">
      <text>
        <r>
          <rPr>
            <b/>
            <sz val="9"/>
            <color indexed="81"/>
            <rFont val="Tahoma"/>
            <family val="2"/>
          </rPr>
          <t>יניב שפירא:</t>
        </r>
        <r>
          <rPr>
            <sz val="9"/>
            <color indexed="81"/>
            <rFont val="Tahoma"/>
            <family val="2"/>
          </rPr>
          <t xml:space="preserve">
בחירות 1999</t>
        </r>
      </text>
    </comment>
    <comment ref="N23" authorId="0" shapeId="0" xr:uid="{F1608CDA-34A8-429F-84C1-B8CDC6A8DA64}">
      <text>
        <r>
          <rPr>
            <b/>
            <sz val="9"/>
            <color indexed="81"/>
            <rFont val="Tahoma"/>
            <family val="2"/>
          </rPr>
          <t>יניב שפירא:</t>
        </r>
        <r>
          <rPr>
            <sz val="9"/>
            <color indexed="81"/>
            <rFont val="Tahoma"/>
            <family val="2"/>
          </rPr>
          <t xml:space="preserve">
בחירות 1996</t>
        </r>
      </text>
    </comment>
    <comment ref="O23" authorId="0" shapeId="0" xr:uid="{9609887E-49BE-4916-9E23-7CB05409E92E}">
      <text>
        <r>
          <rPr>
            <b/>
            <sz val="9"/>
            <color indexed="81"/>
            <rFont val="Tahoma"/>
            <family val="2"/>
          </rPr>
          <t>יניב שפירא:</t>
        </r>
        <r>
          <rPr>
            <sz val="9"/>
            <color indexed="81"/>
            <rFont val="Tahoma"/>
            <family val="2"/>
          </rPr>
          <t xml:space="preserve">
בחירות 1992</t>
        </r>
      </text>
    </comment>
    <comment ref="P23" authorId="0" shapeId="0" xr:uid="{E884097A-B308-4C72-A4AA-C7E924509E49}">
      <text>
        <r>
          <rPr>
            <b/>
            <sz val="9"/>
            <color indexed="81"/>
            <rFont val="Tahoma"/>
            <charset val="177"/>
          </rPr>
          <t>יניב שפירא:</t>
        </r>
        <r>
          <rPr>
            <sz val="9"/>
            <color indexed="81"/>
            <rFont val="Tahoma"/>
            <charset val="177"/>
          </rPr>
          <t xml:space="preserve">
בחירות 1988</t>
        </r>
      </text>
    </comment>
    <comment ref="Q23" authorId="0" shapeId="0" xr:uid="{45B57FBB-716B-4AEC-9EE2-1AA5AF022F3B}">
      <text>
        <r>
          <rPr>
            <b/>
            <sz val="9"/>
            <color indexed="81"/>
            <rFont val="Tahoma"/>
            <charset val="177"/>
          </rPr>
          <t>יניב שפירא:</t>
        </r>
        <r>
          <rPr>
            <sz val="9"/>
            <color indexed="81"/>
            <rFont val="Tahoma"/>
            <charset val="177"/>
          </rPr>
          <t xml:space="preserve">
בחירות 1984</t>
        </r>
      </text>
    </comment>
    <comment ref="R23" authorId="0" shapeId="0" xr:uid="{DDB5B7AC-9069-45D6-A0DA-F3CF0F06761A}">
      <text>
        <r>
          <rPr>
            <b/>
            <sz val="9"/>
            <color indexed="81"/>
            <rFont val="Tahoma"/>
            <family val="2"/>
          </rPr>
          <t>יניב שפירא:</t>
        </r>
        <r>
          <rPr>
            <sz val="9"/>
            <color indexed="81"/>
            <rFont val="Tahoma"/>
            <family val="2"/>
          </rPr>
          <t xml:space="preserve">
בחירות 1984</t>
        </r>
      </text>
    </comment>
    <comment ref="S23" authorId="0" shapeId="0" xr:uid="{FE1E1003-DB0B-4D9A-B8C8-54B8E00BF680}">
      <text>
        <r>
          <rPr>
            <b/>
            <sz val="9"/>
            <color indexed="81"/>
            <rFont val="Tahoma"/>
            <family val="2"/>
          </rPr>
          <t>יניב שפירא:</t>
        </r>
        <r>
          <rPr>
            <sz val="9"/>
            <color indexed="81"/>
            <rFont val="Tahoma"/>
            <family val="2"/>
          </rPr>
          <t xml:space="preserve">
בחירות 1984</t>
        </r>
      </text>
    </comment>
    <comment ref="T23" authorId="0" shapeId="0" xr:uid="{6E3B1540-C697-4F81-852E-762B1AD98CD9}">
      <text>
        <r>
          <rPr>
            <b/>
            <sz val="9"/>
            <color indexed="81"/>
            <rFont val="Tahoma"/>
            <family val="2"/>
          </rPr>
          <t>יניב שפירא:</t>
        </r>
        <r>
          <rPr>
            <sz val="9"/>
            <color indexed="81"/>
            <rFont val="Tahoma"/>
            <family val="2"/>
          </rPr>
          <t xml:space="preserve">
בחירות 1981</t>
        </r>
      </text>
    </comment>
    <comment ref="U23" authorId="0" shapeId="0" xr:uid="{1B18ED4F-9137-4732-B051-EB8A66B5379E}">
      <text>
        <r>
          <rPr>
            <b/>
            <sz val="9"/>
            <color indexed="81"/>
            <rFont val="Tahoma"/>
            <charset val="177"/>
          </rPr>
          <t>יניב שפירא:</t>
        </r>
        <r>
          <rPr>
            <sz val="9"/>
            <color indexed="81"/>
            <rFont val="Tahoma"/>
            <charset val="177"/>
          </rPr>
          <t xml:space="preserve">
בחירות 1977</t>
        </r>
      </text>
    </comment>
    <comment ref="V23" authorId="0" shapeId="0" xr:uid="{529A5660-5841-477D-A13F-C9A8D613D180}">
      <text>
        <r>
          <rPr>
            <b/>
            <sz val="9"/>
            <color indexed="81"/>
            <rFont val="Tahoma"/>
            <charset val="177"/>
          </rPr>
          <t>יניב שפירא:</t>
        </r>
        <r>
          <rPr>
            <sz val="9"/>
            <color indexed="81"/>
            <rFont val="Tahoma"/>
            <charset val="177"/>
          </rPr>
          <t xml:space="preserve">
בחירות 1977</t>
        </r>
      </text>
    </comment>
    <comment ref="W23" authorId="0" shapeId="0" xr:uid="{9F0B257D-0D4F-4C15-A0A3-2375A1C84E31}">
      <text>
        <r>
          <rPr>
            <b/>
            <sz val="9"/>
            <color indexed="81"/>
            <rFont val="Tahoma"/>
            <charset val="177"/>
          </rPr>
          <t>יניב שפירא:</t>
        </r>
        <r>
          <rPr>
            <sz val="9"/>
            <color indexed="81"/>
            <rFont val="Tahoma"/>
            <charset val="177"/>
          </rPr>
          <t xml:space="preserve">
בחירות 1977</t>
        </r>
      </text>
    </comment>
    <comment ref="X23" authorId="0" shapeId="0" xr:uid="{433C55DF-3FEB-40CE-999F-3A92610425EE}">
      <text>
        <r>
          <rPr>
            <b/>
            <sz val="9"/>
            <color indexed="81"/>
            <rFont val="Tahoma"/>
            <charset val="177"/>
          </rPr>
          <t>יניב שפירא:</t>
        </r>
        <r>
          <rPr>
            <sz val="9"/>
            <color indexed="81"/>
            <rFont val="Tahoma"/>
            <charset val="177"/>
          </rPr>
          <t xml:space="preserve">
בחירות 1973</t>
        </r>
      </text>
    </comment>
    <comment ref="Y23" authorId="0" shapeId="0" xr:uid="{17DB65F2-E2AA-4A7D-AEC2-8952DFE2DA54}">
      <text>
        <r>
          <rPr>
            <b/>
            <sz val="9"/>
            <color indexed="81"/>
            <rFont val="Tahoma"/>
            <charset val="177"/>
          </rPr>
          <t>יניב שפירא:</t>
        </r>
        <r>
          <rPr>
            <sz val="9"/>
            <color indexed="81"/>
            <rFont val="Tahoma"/>
            <charset val="177"/>
          </rPr>
          <t xml:space="preserve">
בחירות 1973</t>
        </r>
      </text>
    </comment>
    <comment ref="Z23" authorId="0" shapeId="0" xr:uid="{D7BFA2F4-E20B-446F-83BA-3CCC350F71E0}">
      <text>
        <r>
          <rPr>
            <b/>
            <sz val="9"/>
            <color indexed="81"/>
            <rFont val="Tahoma"/>
            <charset val="177"/>
          </rPr>
          <t>יניב שפירא:</t>
        </r>
        <r>
          <rPr>
            <sz val="9"/>
            <color indexed="81"/>
            <rFont val="Tahoma"/>
            <charset val="177"/>
          </rPr>
          <t xml:space="preserve">
בחירות 1973</t>
        </r>
      </text>
    </comment>
    <comment ref="AA23" authorId="0" shapeId="0" xr:uid="{A953DD1E-354A-496B-869E-E07FAEA34BFA}">
      <text>
        <r>
          <rPr>
            <b/>
            <sz val="9"/>
            <color indexed="81"/>
            <rFont val="Tahoma"/>
            <charset val="177"/>
          </rPr>
          <t>יניב שפירא:</t>
        </r>
        <r>
          <rPr>
            <sz val="9"/>
            <color indexed="81"/>
            <rFont val="Tahoma"/>
            <charset val="177"/>
          </rPr>
          <t xml:space="preserve">
בחירות 1973</t>
        </r>
      </text>
    </comment>
    <comment ref="AB23" authorId="0" shapeId="0" xr:uid="{4C7EA95C-6708-422E-AA95-08C1435F98C2}">
      <text>
        <r>
          <rPr>
            <b/>
            <sz val="9"/>
            <color indexed="81"/>
            <rFont val="Tahoma"/>
            <charset val="177"/>
          </rPr>
          <t>יניב שפירא:</t>
        </r>
        <r>
          <rPr>
            <sz val="9"/>
            <color indexed="81"/>
            <rFont val="Tahoma"/>
            <charset val="177"/>
          </rPr>
          <t xml:space="preserve">
בחירות 1969</t>
        </r>
      </text>
    </comment>
    <comment ref="AC23" authorId="0" shapeId="0" xr:uid="{E2E85971-076D-44FA-B7E6-CA7CADE4D1E0}">
      <text>
        <r>
          <rPr>
            <b/>
            <sz val="9"/>
            <color indexed="81"/>
            <rFont val="Tahoma"/>
            <charset val="177"/>
          </rPr>
          <t>יניב שפירא:</t>
        </r>
        <r>
          <rPr>
            <sz val="9"/>
            <color indexed="81"/>
            <rFont val="Tahoma"/>
            <charset val="177"/>
          </rPr>
          <t xml:space="preserve">
בחירות 1969</t>
        </r>
      </text>
    </comment>
    <comment ref="AD23" authorId="0" shapeId="0" xr:uid="{592CD089-D30D-47B8-8365-E4A136ACD9B6}">
      <text>
        <r>
          <rPr>
            <b/>
            <sz val="9"/>
            <color indexed="81"/>
            <rFont val="Tahoma"/>
            <charset val="177"/>
          </rPr>
          <t>יניב שפירא:</t>
        </r>
        <r>
          <rPr>
            <sz val="9"/>
            <color indexed="81"/>
            <rFont val="Tahoma"/>
            <charset val="177"/>
          </rPr>
          <t xml:space="preserve">
בחירות 1969</t>
        </r>
      </text>
    </comment>
    <comment ref="AG23" authorId="0" shapeId="0" xr:uid="{E704E05B-197A-4023-A34B-3A961BCD27B2}">
      <text>
        <r>
          <rPr>
            <b/>
            <sz val="9"/>
            <color indexed="81"/>
            <rFont val="Tahoma"/>
            <family val="2"/>
          </rPr>
          <t>יניב שפירא:</t>
        </r>
        <r>
          <rPr>
            <sz val="9"/>
            <color indexed="81"/>
            <rFont val="Tahoma"/>
            <family val="2"/>
          </rPr>
          <t xml:space="preserve">
בחירות 1965</t>
        </r>
      </text>
    </comment>
    <comment ref="AH23" authorId="0" shapeId="0" xr:uid="{D413062D-476B-427F-8CE1-923D32FCB740}">
      <text>
        <r>
          <rPr>
            <b/>
            <sz val="9"/>
            <color indexed="81"/>
            <rFont val="Tahoma"/>
            <charset val="177"/>
          </rPr>
          <t>יניב שפירא:</t>
        </r>
        <r>
          <rPr>
            <sz val="9"/>
            <color indexed="81"/>
            <rFont val="Tahoma"/>
            <charset val="177"/>
          </rPr>
          <t xml:space="preserve">
בחירות 1965</t>
        </r>
      </text>
    </comment>
    <comment ref="AI23" authorId="0" shapeId="0" xr:uid="{25AFD9A5-DD4E-43F2-B34C-62D45064B4C2}">
      <text>
        <r>
          <rPr>
            <b/>
            <sz val="9"/>
            <color indexed="81"/>
            <rFont val="Tahoma"/>
            <family val="2"/>
          </rPr>
          <t>יניב שפירא:</t>
        </r>
        <r>
          <rPr>
            <sz val="9"/>
            <color indexed="81"/>
            <rFont val="Tahoma"/>
            <family val="2"/>
          </rPr>
          <t xml:space="preserve">
בחירות 1965</t>
        </r>
      </text>
    </comment>
    <comment ref="M24" authorId="0" shapeId="0" xr:uid="{BBF1EC7F-EABD-48C1-B6BE-8CA8C1018183}">
      <text>
        <r>
          <rPr>
            <b/>
            <sz val="9"/>
            <color indexed="81"/>
            <rFont val="Tahoma"/>
            <family val="2"/>
          </rPr>
          <t>יניב שפירא:</t>
        </r>
        <r>
          <rPr>
            <sz val="9"/>
            <color indexed="81"/>
            <rFont val="Tahoma"/>
            <family val="2"/>
          </rPr>
          <t xml:space="preserve">
1 = שרון
2 = ברק
3 = פתק לבן
4 = לא אצביע
5 = לא החלטתי</t>
        </r>
      </text>
    </comment>
    <comment ref="N24" authorId="0" shapeId="0" xr:uid="{7C80C42B-0B4D-423F-ACB8-2B8CED514543}">
      <text>
        <r>
          <rPr>
            <b/>
            <sz val="9"/>
            <color indexed="81"/>
            <rFont val="Tahoma"/>
            <family val="2"/>
          </rPr>
          <t>יניב שפירא:</t>
        </r>
        <r>
          <rPr>
            <sz val="9"/>
            <color indexed="81"/>
            <rFont val="Tahoma"/>
            <family val="2"/>
          </rPr>
          <t xml:space="preserve">
1 = נתניהו
2 = ברק
3 = מרדכי
4 = בגין
5 = בשארה
6 = רפול
7 = אחר
8 = פתק לבן
9 = לא אצביע</t>
        </r>
      </text>
    </comment>
    <comment ref="O24" authorId="0" shapeId="0" xr:uid="{1BEC822D-6619-4792-9404-676783F6C492}">
      <text>
        <r>
          <rPr>
            <b/>
            <sz val="9"/>
            <color indexed="81"/>
            <rFont val="Tahoma"/>
            <family val="2"/>
          </rPr>
          <t>יניב שפירא:</t>
        </r>
        <r>
          <rPr>
            <sz val="9"/>
            <color indexed="81"/>
            <rFont val="Tahoma"/>
            <family val="2"/>
          </rPr>
          <t xml:space="preserve">
1 = בנימין נתניהו
2 = שמעון פרס</t>
        </r>
      </text>
    </comment>
    <comment ref="L25" authorId="0" shapeId="0" xr:uid="{11C91CC4-6107-4EAA-8ACB-8082D737719D}">
      <text>
        <r>
          <rPr>
            <b/>
            <sz val="9"/>
            <color indexed="81"/>
            <rFont val="Tahoma"/>
            <family val="2"/>
          </rPr>
          <t>יניב שפירא:</t>
        </r>
        <r>
          <rPr>
            <sz val="9"/>
            <color indexed="81"/>
            <rFont val="Tahoma"/>
            <family val="2"/>
          </rPr>
          <t xml:space="preserve">
1 = ברק
2 = שרון
3 = לא הצבעתי למרות שהייתה לי זכות
4 = לא הצבעתי כי לא הייתה לי זכות</t>
        </r>
      </text>
    </comment>
    <comment ref="M25" authorId="0" shapeId="0" xr:uid="{59ADC832-6E3A-4D0A-8A1A-197741B39767}">
      <text>
        <r>
          <rPr>
            <b/>
            <sz val="9"/>
            <color indexed="81"/>
            <rFont val="Tahoma"/>
            <family val="2"/>
          </rPr>
          <t>יניב שפירא:</t>
        </r>
        <r>
          <rPr>
            <sz val="9"/>
            <color indexed="81"/>
            <rFont val="Tahoma"/>
            <family val="2"/>
          </rPr>
          <t xml:space="preserve">
בחירות 1999
1 = נתניהו
2 = ברק
3 = פתק לבן
4 = לא הצבעתי</t>
        </r>
      </text>
    </comment>
    <comment ref="N25" authorId="0" shapeId="0" xr:uid="{75B306EC-5053-409C-A629-5B3F60FC1C4F}">
      <text>
        <r>
          <rPr>
            <b/>
            <sz val="9"/>
            <color indexed="81"/>
            <rFont val="Tahoma"/>
            <family val="2"/>
          </rPr>
          <t>יניב שפירא:</t>
        </r>
        <r>
          <rPr>
            <sz val="9"/>
            <color indexed="81"/>
            <rFont val="Tahoma"/>
            <family val="2"/>
          </rPr>
          <t xml:space="preserve">
1 = נתניהו
2 = פרס
3 = פתק לבן
4 = לא הצבעתי למרות שיכלתי
5 = לא הצבעתי כי לא יכלתי</t>
        </r>
      </text>
    </comment>
    <comment ref="N26" authorId="0" shapeId="0" xr:uid="{3AB77306-6175-470E-B83F-3162847E9E4D}">
      <text>
        <r>
          <rPr>
            <b/>
            <sz val="9"/>
            <color indexed="81"/>
            <rFont val="Tahoma"/>
            <family val="2"/>
          </rPr>
          <t>יניב שפירא:</t>
        </r>
        <r>
          <rPr>
            <sz val="9"/>
            <color indexed="81"/>
            <rFont val="Tahoma"/>
            <family val="2"/>
          </rPr>
          <t xml:space="preserve">
1 = נתניהו
2 = ברק
3 = פתק לבן
4 = לא אצביע
5 = לא החלטתי</t>
        </r>
      </text>
    </comment>
    <comment ref="E27" authorId="0" shapeId="0" xr:uid="{BF5DDC30-279C-4CED-97DC-A71EE5528765}">
      <text>
        <r>
          <rPr>
            <b/>
            <sz val="9"/>
            <color indexed="81"/>
            <rFont val="Tahoma"/>
            <charset val="177"/>
          </rPr>
          <t>יניב שפירא:</t>
        </r>
        <r>
          <rPr>
            <sz val="9"/>
            <color indexed="81"/>
            <rFont val="Tahoma"/>
            <charset val="177"/>
          </rPr>
          <t xml:space="preserve">
בחירות 2019 א'</t>
        </r>
      </text>
    </comment>
    <comment ref="O27" authorId="0" shapeId="0" xr:uid="{EF827837-217F-4E1F-A0A3-F3A8E917C291}">
      <text>
        <r>
          <rPr>
            <b/>
            <sz val="9"/>
            <color indexed="81"/>
            <rFont val="Tahoma"/>
            <family val="2"/>
          </rPr>
          <t>יניב שפירא:</t>
        </r>
        <r>
          <rPr>
            <sz val="9"/>
            <color indexed="81"/>
            <rFont val="Tahoma"/>
            <family val="2"/>
          </rPr>
          <t xml:space="preserve">
בחירות 1988</t>
        </r>
      </text>
    </comment>
    <comment ref="U27" authorId="0" shapeId="0" xr:uid="{FD62D5D3-FAC2-459B-9DF6-D1761D737651}">
      <text>
        <r>
          <rPr>
            <b/>
            <sz val="9"/>
            <color indexed="81"/>
            <rFont val="Tahoma"/>
            <charset val="177"/>
          </rPr>
          <t>יניב שפירא:</t>
        </r>
        <r>
          <rPr>
            <sz val="9"/>
            <color indexed="81"/>
            <rFont val="Tahoma"/>
            <charset val="177"/>
          </rPr>
          <t xml:space="preserve">
בחירות 1973</t>
        </r>
      </text>
    </comment>
    <comment ref="V27" authorId="0" shapeId="0" xr:uid="{15B1514B-0AB3-47CE-9C4F-413F56AD6F29}">
      <text>
        <r>
          <rPr>
            <b/>
            <sz val="9"/>
            <color indexed="81"/>
            <rFont val="Tahoma"/>
            <charset val="177"/>
          </rPr>
          <t>יניב שפירא:</t>
        </r>
        <r>
          <rPr>
            <sz val="9"/>
            <color indexed="81"/>
            <rFont val="Tahoma"/>
            <charset val="177"/>
          </rPr>
          <t xml:space="preserve">
בחירות 1973</t>
        </r>
      </text>
    </comment>
    <comment ref="W27" authorId="0" shapeId="0" xr:uid="{60D0C144-E833-4E10-92E0-C4C5FD9CF673}">
      <text>
        <r>
          <rPr>
            <b/>
            <sz val="9"/>
            <color indexed="81"/>
            <rFont val="Tahoma"/>
            <charset val="177"/>
          </rPr>
          <t>יניב שפירא:</t>
        </r>
        <r>
          <rPr>
            <sz val="9"/>
            <color indexed="81"/>
            <rFont val="Tahoma"/>
            <charset val="177"/>
          </rPr>
          <t xml:space="preserve">
בחירות 1973</t>
        </r>
      </text>
    </comment>
    <comment ref="AA27" authorId="0" shapeId="0" xr:uid="{222B061C-1CAD-41FF-9A1B-CB9EB0C29553}">
      <text>
        <r>
          <rPr>
            <b/>
            <sz val="9"/>
            <color indexed="81"/>
            <rFont val="Tahoma"/>
            <charset val="177"/>
          </rPr>
          <t>יניב שפירא:</t>
        </r>
        <r>
          <rPr>
            <sz val="9"/>
            <color indexed="81"/>
            <rFont val="Tahoma"/>
            <charset val="177"/>
          </rPr>
          <t xml:space="preserve">
בחירות 1969</t>
        </r>
      </text>
    </comment>
    <comment ref="E28" authorId="0" shapeId="0" xr:uid="{F158DB09-CAC1-4A3A-8686-E0F6456D1324}">
      <text>
        <r>
          <rPr>
            <b/>
            <sz val="9"/>
            <color indexed="81"/>
            <rFont val="Tahoma"/>
            <charset val="177"/>
          </rPr>
          <t>יניב שפירא:</t>
        </r>
        <r>
          <rPr>
            <sz val="9"/>
            <color indexed="81"/>
            <rFont val="Tahoma"/>
            <charset val="177"/>
          </rPr>
          <t xml:space="preserve">
בחירות 2015</t>
        </r>
      </text>
    </comment>
    <comment ref="U28" authorId="0" shapeId="0" xr:uid="{A9804619-4D7E-4C71-B770-670B639FFAF8}">
      <text>
        <r>
          <rPr>
            <b/>
            <sz val="9"/>
            <color indexed="81"/>
            <rFont val="Tahoma"/>
            <charset val="177"/>
          </rPr>
          <t>יניב שפירא:</t>
        </r>
        <r>
          <rPr>
            <sz val="9"/>
            <color indexed="81"/>
            <rFont val="Tahoma"/>
            <charset val="177"/>
          </rPr>
          <t xml:space="preserve">
בחירות 1969</t>
        </r>
      </text>
    </comment>
    <comment ref="K29" authorId="0" shapeId="0" xr:uid="{E51567E2-2920-4733-82B1-4BF5B55FF426}">
      <text>
        <r>
          <rPr>
            <b/>
            <sz val="9"/>
            <color indexed="81"/>
            <rFont val="Tahoma"/>
            <family val="2"/>
          </rPr>
          <t>יניב שפירא:</t>
        </r>
        <r>
          <rPr>
            <sz val="9"/>
            <color indexed="81"/>
            <rFont val="Tahoma"/>
            <family val="2"/>
          </rPr>
          <t xml:space="preserve">
שתי מערכות בחירות אחורה
הבחירות לרה"מ 2001
1 = ברק
2 = שרון
3 = פתק לבן
4 = לא הצבעתי למרות שהייתה לי זכות הצבעה
5 = לא הצבעתי כי לא הייתה לי זכות הצבעה</t>
        </r>
      </text>
    </comment>
    <comment ref="L29" authorId="0" shapeId="0" xr:uid="{DB7C98ED-A3C5-4139-89F8-7F3E7CD4883F}">
      <text>
        <r>
          <rPr>
            <b/>
            <sz val="9"/>
            <color indexed="81"/>
            <rFont val="Tahoma"/>
            <family val="2"/>
          </rPr>
          <t>יניב שפירא:</t>
        </r>
        <r>
          <rPr>
            <sz val="9"/>
            <color indexed="81"/>
            <rFont val="Tahoma"/>
            <family val="2"/>
          </rPr>
          <t xml:space="preserve">
1 = ברק
2 = נתניהו
3 = לא הצבעתי למרות שהייתה לי זכות
4 = לא הצבעתי כי לא הייתה לי זכות</t>
        </r>
      </text>
    </comment>
    <comment ref="E30" authorId="0" shapeId="0" xr:uid="{D17F6266-03EE-4706-AB56-F06DD584728F}">
      <text>
        <r>
          <rPr>
            <b/>
            <sz val="9"/>
            <color indexed="81"/>
            <rFont val="Tahoma"/>
            <family val="2"/>
          </rPr>
          <t>יניב שפירא:</t>
        </r>
        <r>
          <rPr>
            <sz val="9"/>
            <color indexed="81"/>
            <rFont val="Tahoma"/>
            <family val="2"/>
          </rPr>
          <t xml:space="preserve">
1 = כן
2 = לא
3 = פתק לבן</t>
        </r>
      </text>
    </comment>
    <comment ref="E31" authorId="0" shapeId="0" xr:uid="{FFDB7DC4-7729-4E48-842B-D5A9A84E205C}">
      <text>
        <r>
          <rPr>
            <b/>
            <sz val="9"/>
            <color indexed="81"/>
            <rFont val="Tahoma"/>
            <family val="2"/>
          </rPr>
          <t>יניב שפירא:</t>
        </r>
        <r>
          <rPr>
            <sz val="9"/>
            <color indexed="81"/>
            <rFont val="Tahoma"/>
            <family val="2"/>
          </rPr>
          <t xml:space="preserve">
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r>
      </text>
    </comment>
    <comment ref="G31" authorId="0" shapeId="0" xr:uid="{E067DA53-99EB-4B16-9DF5-E6EAA8639335}">
      <text>
        <r>
          <rPr>
            <b/>
            <sz val="9"/>
            <color indexed="81"/>
            <rFont val="Tahoma"/>
            <charset val="177"/>
          </rPr>
          <t>יניב שפירא:</t>
        </r>
        <r>
          <rPr>
            <sz val="9"/>
            <color indexed="81"/>
            <rFont val="Tahoma"/>
            <charset val="177"/>
          </rPr>
          <t xml:space="preserve">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r>
      </text>
    </comment>
    <comment ref="N32" authorId="0" shapeId="0" xr:uid="{FB10E4F0-30C5-4910-AC39-3E094442FEDA}">
      <text>
        <r>
          <rPr>
            <b/>
            <sz val="9"/>
            <color indexed="81"/>
            <rFont val="Tahoma"/>
            <family val="2"/>
          </rPr>
          <t>יניב שפירא:</t>
        </r>
        <r>
          <rPr>
            <sz val="9"/>
            <color indexed="81"/>
            <rFont val="Tahoma"/>
            <family val="2"/>
          </rPr>
          <t xml:space="preserve">
1 = כן
2 = לא</t>
        </r>
      </text>
    </comment>
    <comment ref="N33" authorId="0" shapeId="0" xr:uid="{3F6AC51A-5F5C-49F2-92D9-E14167E369BC}">
      <text>
        <r>
          <rPr>
            <b/>
            <sz val="9"/>
            <color indexed="81"/>
            <rFont val="Tahoma"/>
            <family val="2"/>
          </rPr>
          <t>יניב שפירא:</t>
        </r>
        <r>
          <rPr>
            <sz val="9"/>
            <color indexed="81"/>
            <rFont val="Tahoma"/>
            <family val="2"/>
          </rPr>
          <t xml:space="preserve">
d11
d12
d13</t>
        </r>
      </text>
    </comment>
    <comment ref="Z35" authorId="0" shapeId="0" xr:uid="{5C455B33-0F8B-4950-80D0-FE7FF4391D46}">
      <text>
        <r>
          <rPr>
            <b/>
            <sz val="9"/>
            <color indexed="81"/>
            <rFont val="Tahoma"/>
            <charset val="177"/>
          </rPr>
          <t>יניב שפירא:</t>
        </r>
        <r>
          <rPr>
            <sz val="9"/>
            <color indexed="81"/>
            <rFont val="Tahoma"/>
            <charset val="177"/>
          </rPr>
          <t xml:space="preserve">
1 = מתלבט הרבה יותר
2 = מתלבט יותר
3 = מתלבט פחות
4 = מתלבט הרבה פחות
5 = קודם לא התלבטתי וגם עכשיו לא
6 = ממשיך להתלבט כמו קודם</t>
        </r>
      </text>
    </comment>
    <comment ref="N36" authorId="0" shapeId="0" xr:uid="{586D01A2-6BA6-4765-AE1A-22CB0C800C5E}">
      <text>
        <r>
          <rPr>
            <b/>
            <sz val="9"/>
            <color indexed="81"/>
            <rFont val="Tahoma"/>
            <family val="2"/>
          </rPr>
          <t>יניב שפירא:</t>
        </r>
        <r>
          <rPr>
            <sz val="9"/>
            <color indexed="81"/>
            <rFont val="Tahoma"/>
            <family val="2"/>
          </rPr>
          <t xml:space="preserve">
1 = נתניהו
2 = ברק
3 = פתק לבן
4 = לא הצבעתי</t>
        </r>
      </text>
    </comment>
    <comment ref="N37" authorId="0" shapeId="0" xr:uid="{41D386EB-2516-4579-A862-11E5EE2F0DCB}">
      <text>
        <r>
          <rPr>
            <b/>
            <sz val="9"/>
            <color indexed="81"/>
            <rFont val="Tahoma"/>
            <family val="2"/>
          </rPr>
          <t>יניב שפירא:</t>
        </r>
        <r>
          <rPr>
            <sz val="9"/>
            <color indexed="81"/>
            <rFont val="Tahoma"/>
            <family val="2"/>
          </rPr>
          <t xml:space="preserve">
1 = נתניהו
2 = ברק
3 = מרדכי
4 = בגין
5 = בשארה</t>
        </r>
      </text>
    </comment>
    <comment ref="N38" authorId="0" shapeId="0" xr:uid="{C088C42F-FA9D-4B83-85F0-9185BD9E44F6}">
      <text>
        <r>
          <rPr>
            <b/>
            <sz val="9"/>
            <color indexed="81"/>
            <rFont val="Tahoma"/>
            <family val="2"/>
          </rPr>
          <t>יניב שפירא:</t>
        </r>
        <r>
          <rPr>
            <sz val="9"/>
            <color indexed="81"/>
            <rFont val="Tahoma"/>
            <family val="2"/>
          </rPr>
          <t xml:space="preserve">
1 = כן
2 = לא</t>
        </r>
      </text>
    </comment>
    <comment ref="N39" authorId="0" shapeId="0" xr:uid="{13B8836C-7EA0-4699-B77F-6065A09C382C}">
      <text>
        <r>
          <rPr>
            <b/>
            <sz val="9"/>
            <color indexed="81"/>
            <rFont val="Tahoma"/>
            <family val="2"/>
          </rPr>
          <t>יניב שפירא:</t>
        </r>
        <r>
          <rPr>
            <sz val="9"/>
            <color indexed="81"/>
            <rFont val="Tahoma"/>
            <family val="2"/>
          </rPr>
          <t xml:space="preserve">
1 = נתניהו-ברק
2 = מרדכי-נתניהו
3 = בגין-נתניהו
4 = מרדכי-ברק
5 = בגין-בשארה
6 = בשארה-ברק
7 = מרדכי=בשארה
8 = אחר</t>
        </r>
      </text>
    </comment>
    <comment ref="A41" authorId="0" shapeId="0" xr:uid="{086D7F1F-E462-459A-8027-AB60761CC66C}">
      <text>
        <r>
          <rPr>
            <b/>
            <sz val="9"/>
            <color indexed="81"/>
            <rFont val="Tahoma"/>
            <charset val="177"/>
          </rPr>
          <t>יניב שפירא:</t>
        </r>
        <r>
          <rPr>
            <sz val="9"/>
            <color indexed="81"/>
            <rFont val="Tahoma"/>
            <charset val="177"/>
          </rPr>
          <t xml:space="preserve">
לא למצביעי הליכוד וכחול-לבן</t>
        </r>
      </text>
    </comment>
    <comment ref="G41" authorId="0" shapeId="0" xr:uid="{ACDC61C1-19FC-433F-AB4B-46942824B530}">
      <text>
        <r>
          <rPr>
            <b/>
            <sz val="9"/>
            <color indexed="81"/>
            <rFont val="Tahoma"/>
            <charset val="177"/>
          </rPr>
          <t>יניב שפירא:</t>
        </r>
        <r>
          <rPr>
            <sz val="9"/>
            <color indexed="81"/>
            <rFont val="Tahoma"/>
            <charset val="177"/>
          </rPr>
          <t xml:space="preserve">
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r>
      </text>
    </comment>
    <comment ref="A42" authorId="0" shapeId="0" xr:uid="{ACC6B127-BB84-4DC9-801F-6BA38AB7F3AC}">
      <text>
        <r>
          <rPr>
            <b/>
            <sz val="9"/>
            <color indexed="81"/>
            <rFont val="Tahoma"/>
            <charset val="177"/>
          </rPr>
          <t>יניב שפירא:</t>
        </r>
        <r>
          <rPr>
            <sz val="9"/>
            <color indexed="81"/>
            <rFont val="Tahoma"/>
            <charset val="177"/>
          </rPr>
          <t xml:space="preserve">
רק מי שענה 2 בשאלה הקודמת</t>
        </r>
      </text>
    </comment>
    <comment ref="A43" authorId="0" shapeId="0" xr:uid="{91935FB2-9577-417D-B43D-7FAD66BCCAFB}">
      <text>
        <r>
          <rPr>
            <b/>
            <sz val="9"/>
            <color indexed="81"/>
            <rFont val="Tahoma"/>
            <family val="2"/>
          </rPr>
          <t>יניב שפירא:</t>
        </r>
        <r>
          <rPr>
            <sz val="9"/>
            <color indexed="81"/>
            <rFont val="Tahoma"/>
            <family val="2"/>
          </rPr>
          <t xml:space="preserve">
מי שענה 1 בשאלה על אחוז החסימה (2015)</t>
        </r>
      </text>
    </comment>
    <comment ref="H43" authorId="0" shapeId="0" xr:uid="{0DE54653-0CC3-419C-AA85-F17419216F08}">
      <text>
        <r>
          <rPr>
            <b/>
            <sz val="9"/>
            <color indexed="81"/>
            <rFont val="Tahoma"/>
            <family val="2"/>
          </rPr>
          <t>יניב שפירא:</t>
        </r>
        <r>
          <rPr>
            <sz val="9"/>
            <color indexed="81"/>
            <rFont val="Tahoma"/>
            <family val="2"/>
          </rPr>
          <t xml:space="preserve">
1 = כי אי אפשר לסמוך על סקרים
2 = כי חשוב לך לבטא את דעתך ואחוז החסימה לא מהווה שיקול בהחלטתך
3 = כי המפלגה שאתה תומך בה עוברת בוודאות את אחוז החסימה</t>
        </r>
      </text>
    </comment>
    <comment ref="G44" authorId="0" shapeId="0" xr:uid="{49EE3726-F686-4EAD-AA11-9F3E3DDB84B9}">
      <text>
        <r>
          <rPr>
            <b/>
            <sz val="9"/>
            <color indexed="81"/>
            <rFont val="Tahoma"/>
            <charset val="177"/>
          </rPr>
          <t>יניב שפירא:</t>
        </r>
        <r>
          <rPr>
            <sz val="9"/>
            <color indexed="81"/>
            <rFont val="Tahoma"/>
            <charset val="177"/>
          </rPr>
          <t xml:space="preserve">
1 = ביום הבחירות עצמו
2 = יומיים-שלושה לפני הבחירות
3 = כשבוע לפני הבחירות
4 = כחודש לפני הבחירות
5 = כמה חודשים לפני הבחירות
6 = ידעת מלכתחילה למי להצביע</t>
        </r>
      </text>
    </comment>
    <comment ref="N44" authorId="0" shapeId="0" xr:uid="{C9426701-570C-474D-A687-BDB34DC4E19D}">
      <text>
        <r>
          <rPr>
            <b/>
            <sz val="9"/>
            <color indexed="81"/>
            <rFont val="Tahoma"/>
            <family val="2"/>
          </rPr>
          <t>יניב שפירא:</t>
        </r>
        <r>
          <rPr>
            <sz val="9"/>
            <color indexed="81"/>
            <rFont val="Tahoma"/>
            <family val="2"/>
          </rPr>
          <t xml:space="preserve">
1 = לפני מס' חודשים
2 = בשבועות האחרונים
3 = אחרי פרישת בשארה, בגין ומרדכי
4 = ביום הבחירות</t>
        </r>
      </text>
    </comment>
    <comment ref="AB44" authorId="0" shapeId="0" xr:uid="{9D8B263F-843A-49E6-957A-816A9566FF5A}">
      <text>
        <r>
          <rPr>
            <b/>
            <sz val="9"/>
            <color indexed="81"/>
            <rFont val="Tahoma"/>
            <family val="2"/>
          </rPr>
          <t>יניב שפירא:</t>
        </r>
        <r>
          <rPr>
            <sz val="9"/>
            <color indexed="81"/>
            <rFont val="Tahoma"/>
            <family val="2"/>
          </rPr>
          <t xml:space="preserve">
1 = מזמן
2 = מאז המלחמה או סמוך לה
3 = בימים הסמוכים לבחירות
4 = ביום הבחירות
5 = לא הלכתי להצביע</t>
        </r>
      </text>
    </comment>
    <comment ref="AC44" authorId="0" shapeId="0" xr:uid="{6CC4EA2C-B892-497C-8B91-9462517F682F}">
      <text>
        <r>
          <rPr>
            <b/>
            <sz val="9"/>
            <color indexed="81"/>
            <rFont val="Tahoma"/>
            <charset val="177"/>
          </rPr>
          <t>יניב שפירא:</t>
        </r>
        <r>
          <rPr>
            <sz val="9"/>
            <color indexed="81"/>
            <rFont val="Tahoma"/>
            <charset val="177"/>
          </rPr>
          <t xml:space="preserve">
1 = מזמן
2 = מאז המלחמה או סמוך לה
3 = עם תחילת מערכת הבחירות
4 = היום
5 = בימים הקרובים אחליט
6 = אחליט ביום הבחירות
7 = לא מצביע</t>
        </r>
      </text>
    </comment>
    <comment ref="A45" authorId="0" shapeId="0" xr:uid="{22BF4A31-5121-4160-94FA-73CD2B7B6FBC}">
      <text>
        <r>
          <rPr>
            <b/>
            <sz val="9"/>
            <color indexed="81"/>
            <rFont val="Tahoma"/>
            <charset val="177"/>
          </rPr>
          <t>יניב שפירא:</t>
        </r>
        <r>
          <rPr>
            <sz val="9"/>
            <color indexed="81"/>
            <rFont val="Tahoma"/>
            <charset val="177"/>
          </rPr>
          <t xml:space="preserve">
למי שענה 1,2,3 בשאלה הקודמת (שאלה 3)</t>
        </r>
      </text>
    </comment>
    <comment ref="H45" authorId="0" shapeId="0" xr:uid="{A4DF60BE-C8E9-4EFF-AFF6-2FDB9338E362}">
      <text>
        <r>
          <rPr>
            <b/>
            <sz val="9"/>
            <color indexed="81"/>
            <rFont val="Tahoma"/>
            <charset val="177"/>
          </rPr>
          <t>יניב שפירא:</t>
        </r>
        <r>
          <rPr>
            <sz val="9"/>
            <color indexed="81"/>
            <rFont val="Tahoma"/>
            <charset val="177"/>
          </rPr>
          <t xml:space="preserve">
יש אופציה ל-3 תשובות מקודדות:
after_v4a_1
after_v4a_2
after_v4a_3</t>
        </r>
      </text>
    </comment>
    <comment ref="A46" authorId="0" shapeId="0" xr:uid="{8171B9BD-4344-4449-97E5-8CD67A5E1E5B}">
      <text>
        <r>
          <rPr>
            <b/>
            <sz val="9"/>
            <color indexed="81"/>
            <rFont val="Tahoma"/>
            <charset val="177"/>
          </rPr>
          <t>יניב שפירא:</t>
        </r>
        <r>
          <rPr>
            <sz val="9"/>
            <color indexed="81"/>
            <rFont val="Tahoma"/>
            <charset val="177"/>
          </rPr>
          <t xml:space="preserve">
רק מי שענה שלא הצביע/שם פתק לבן</t>
        </r>
      </text>
    </comment>
    <comment ref="M46" authorId="0" shapeId="0" xr:uid="{BECC0750-D7AE-4C0A-AFAE-94BE92212116}">
      <text>
        <r>
          <rPr>
            <b/>
            <sz val="9"/>
            <color indexed="81"/>
            <rFont val="Tahoma"/>
            <family val="2"/>
          </rPr>
          <t>יניב שפירא:</t>
        </r>
        <r>
          <rPr>
            <sz val="9"/>
            <color indexed="81"/>
            <rFont val="Tahoma"/>
            <family val="2"/>
          </rPr>
          <t xml:space="preserve">
שאלה טרום בחירות
למי שענה שלא מתכוון ללכת להצביע/פתק לבן</t>
        </r>
      </text>
    </comment>
    <comment ref="O46" authorId="0" shapeId="0" xr:uid="{AF8EDA4E-B9FC-4BDA-AC1E-DFA23CB4283B}">
      <text>
        <r>
          <rPr>
            <b/>
            <sz val="9"/>
            <color indexed="81"/>
            <rFont val="Tahoma"/>
            <family val="2"/>
          </rPr>
          <t>יניב שפירא:</t>
        </r>
        <r>
          <rPr>
            <sz val="9"/>
            <color indexed="81"/>
            <rFont val="Tahoma"/>
            <family val="2"/>
          </rPr>
          <t xml:space="preserve">
1 = אף אחד לא נראה מתאים
2 = הבעת מחאה
3 = הרב אמר
4 = בעיות טכניות
5 = אחר</t>
        </r>
      </text>
    </comment>
    <comment ref="G47" authorId="0" shapeId="0" xr:uid="{F07372E7-DB47-4FE7-9694-A6B845A66AE1}">
      <text>
        <r>
          <rPr>
            <b/>
            <sz val="9"/>
            <color indexed="81"/>
            <rFont val="Tahoma"/>
            <charset val="177"/>
          </rPr>
          <t>יניב שפירא:</t>
        </r>
        <r>
          <rPr>
            <sz val="9"/>
            <color indexed="81"/>
            <rFont val="Tahoma"/>
            <charset val="177"/>
          </rPr>
          <t xml:space="preserve">
1 = בכלל לא
2 = במידה מועטה
3 = במידה בינונית
4 = במידה רבה
5 = במידה רבה מאד</t>
        </r>
      </text>
    </comment>
    <comment ref="AB47" authorId="0" shapeId="0" xr:uid="{F334B1B9-43C3-478A-8DCA-7F12D41C802D}">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N48" authorId="0" shapeId="0" xr:uid="{C5C14759-8703-4E80-9AC6-1B6A042DC336}">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U48" authorId="0" shapeId="0" xr:uid="{7690F91A-DB39-4EF1-94F9-F59B330BE4C4}">
      <text>
        <r>
          <rPr>
            <b/>
            <sz val="9"/>
            <color indexed="81"/>
            <rFont val="Tahoma"/>
            <family val="2"/>
          </rPr>
          <t>יניב שפירא:</t>
        </r>
        <r>
          <rPr>
            <sz val="9"/>
            <color indexed="81"/>
            <rFont val="Tahoma"/>
            <family val="2"/>
          </rPr>
          <t xml:space="preserve">
1 = השפעה גדולה
2 = השפעה מסויימת
3 = השפעה מועטה
4 = אין כלל השפעה
5 = לא יודע על קיום סקרים</t>
        </r>
      </text>
    </comment>
    <comment ref="M49" authorId="0" shapeId="0" xr:uid="{26E86187-73C8-4977-9E2A-4F03913308F5}">
      <text>
        <r>
          <rPr>
            <b/>
            <sz val="9"/>
            <color indexed="81"/>
            <rFont val="Tahoma"/>
            <family val="2"/>
          </rPr>
          <t>יניב שפירא:</t>
        </r>
        <r>
          <rPr>
            <sz val="9"/>
            <color indexed="81"/>
            <rFont val="Tahoma"/>
            <family val="2"/>
          </rPr>
          <t xml:space="preserve">
0 = לא צופה
1 = בכלל לא
2 = במידה מועטה
3 = במידה מסוימת
4 = במידה רבה</t>
        </r>
      </text>
    </comment>
    <comment ref="N49" authorId="0" shapeId="0" xr:uid="{B1FCF073-F649-41D9-AD4E-F9F00564BC5C}">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W49" authorId="0" shapeId="0" xr:uid="{E4B531BB-EEE9-4C54-A9A2-45D36B577661}">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B49" authorId="0" shapeId="0" xr:uid="{5EF3D12F-E2A0-4DB0-96EF-F25596F0F3B2}">
      <text>
        <r>
          <rPr>
            <b/>
            <sz val="9"/>
            <color indexed="81"/>
            <rFont val="Tahoma"/>
            <charset val="177"/>
          </rPr>
          <t>יניב שפירא:</t>
        </r>
        <r>
          <rPr>
            <sz val="9"/>
            <color indexed="81"/>
            <rFont val="Tahoma"/>
            <charset val="177"/>
          </rPr>
          <t xml:space="preserve">
לאחר הבחירות</t>
        </r>
      </text>
    </comment>
    <comment ref="AC49" authorId="0" shapeId="0" xr:uid="{689CF024-BD63-4798-8CD7-6E284DC7223F}">
      <text>
        <r>
          <rPr>
            <b/>
            <sz val="9"/>
            <color indexed="81"/>
            <rFont val="Tahoma"/>
            <charset val="177"/>
          </rPr>
          <t>יניב שפירא:</t>
        </r>
        <r>
          <rPr>
            <sz val="9"/>
            <color indexed="81"/>
            <rFont val="Tahoma"/>
            <charset val="177"/>
          </rPr>
          <t xml:space="preserve">
לאחר הבחירות</t>
        </r>
      </text>
    </comment>
    <comment ref="AE49" authorId="0" shapeId="0" xr:uid="{09821E03-F8DF-4A9D-ADE2-1649E10292C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U50" authorId="0" shapeId="0" xr:uid="{A3A2A494-DC27-486E-A716-912502399D67}">
      <text>
        <r>
          <rPr>
            <b/>
            <sz val="9"/>
            <color indexed="81"/>
            <rFont val="Tahoma"/>
            <charset val="177"/>
          </rPr>
          <t>יניב שפירא:</t>
        </r>
        <r>
          <rPr>
            <sz val="9"/>
            <color indexed="81"/>
            <rFont val="Tahoma"/>
            <charset val="177"/>
          </rPr>
          <t xml:space="preserve">
1 = מידה רבה
2 = במידה מסויימת
3 = במידה מועטה
4 = כמעט ולא משפיעות
5 = כלל לא</t>
        </r>
      </text>
    </comment>
    <comment ref="AB50" authorId="0" shapeId="0" xr:uid="{C2DA1CC6-D878-4ABC-B780-1F2608A572C9}">
      <text>
        <r>
          <rPr>
            <b/>
            <sz val="9"/>
            <color indexed="81"/>
            <rFont val="Tahoma"/>
            <charset val="177"/>
          </rPr>
          <t>יניב שפירא:</t>
        </r>
        <r>
          <rPr>
            <sz val="9"/>
            <color indexed="81"/>
            <rFont val="Tahoma"/>
            <charset val="177"/>
          </rPr>
          <t xml:space="preserve">
לאחר הבחירות</t>
        </r>
      </text>
    </comment>
    <comment ref="AC50" authorId="0" shapeId="0" xr:uid="{C8134F70-98A0-4E46-AA6A-0DD1C523BF72}">
      <text>
        <r>
          <rPr>
            <b/>
            <sz val="9"/>
            <color indexed="81"/>
            <rFont val="Tahoma"/>
            <charset val="177"/>
          </rPr>
          <t>יניב שפירא:</t>
        </r>
        <r>
          <rPr>
            <sz val="9"/>
            <color indexed="81"/>
            <rFont val="Tahoma"/>
            <charset val="177"/>
          </rPr>
          <t xml:space="preserve">
לאחר בחירות</t>
        </r>
      </text>
    </comment>
    <comment ref="AE50" authorId="0" shapeId="0" xr:uid="{4A9B899C-8891-4757-B060-8C456B54781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W51" authorId="0" shapeId="0" xr:uid="{3950556D-577D-4008-AC4B-27361FF2D495}">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W52" authorId="0" shapeId="0" xr:uid="{6B8F581B-6FD7-4949-B030-F2B7656B02D1}">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AB52" authorId="0" shapeId="0" xr:uid="{187C61A3-32AF-4C01-9CA0-A862F4DB5BF8}">
      <text>
        <r>
          <rPr>
            <b/>
            <sz val="9"/>
            <color indexed="81"/>
            <rFont val="Tahoma"/>
            <charset val="177"/>
          </rPr>
          <t>יניב שפירא:</t>
        </r>
        <r>
          <rPr>
            <sz val="9"/>
            <color indexed="81"/>
            <rFont val="Tahoma"/>
            <charset val="177"/>
          </rPr>
          <t xml:space="preserve">
לאחר הבחירות</t>
        </r>
      </text>
    </comment>
    <comment ref="AC52" authorId="0" shapeId="0" xr:uid="{848EAA34-93AB-4CD7-91BE-BD295608EAD6}">
      <text>
        <r>
          <rPr>
            <b/>
            <sz val="9"/>
            <color indexed="81"/>
            <rFont val="Tahoma"/>
            <charset val="177"/>
          </rPr>
          <t>יניב שפירא:</t>
        </r>
        <r>
          <rPr>
            <sz val="9"/>
            <color indexed="81"/>
            <rFont val="Tahoma"/>
            <charset val="177"/>
          </rPr>
          <t xml:space="preserve">
לאחר בחירות</t>
        </r>
      </text>
    </comment>
    <comment ref="AE52" authorId="0" shapeId="0" xr:uid="{CFA6B7C7-A90B-42CA-8BBF-870A85B28A67}">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B53" authorId="0" shapeId="0" xr:uid="{C7CFD708-AD1B-4184-98AD-86FDDDBAB893}">
      <text>
        <r>
          <rPr>
            <b/>
            <sz val="9"/>
            <color indexed="81"/>
            <rFont val="Tahoma"/>
            <charset val="177"/>
          </rPr>
          <t>יניב שפירא:</t>
        </r>
        <r>
          <rPr>
            <sz val="9"/>
            <color indexed="81"/>
            <rFont val="Tahoma"/>
            <charset val="177"/>
          </rPr>
          <t xml:space="preserve">
לאחר הבחירות</t>
        </r>
      </text>
    </comment>
    <comment ref="AD54" authorId="0" shapeId="0" xr:uid="{A04EF398-7C30-4377-AF05-6F55E8EB33FE}">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55" authorId="0" shapeId="0" xr:uid="{C5553CCA-514B-4526-A1C1-DE000385908B}">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H56" authorId="0" shapeId="0" xr:uid="{2A3C95D1-8CD8-4190-88FA-F82122FA50D1}">
      <text>
        <r>
          <rPr>
            <b/>
            <sz val="9"/>
            <color indexed="81"/>
            <rFont val="Tahoma"/>
            <family val="2"/>
          </rPr>
          <t>יניב שפירא:</t>
        </r>
        <r>
          <rPr>
            <sz val="9"/>
            <color indexed="81"/>
            <rFont val="Tahoma"/>
            <family val="2"/>
          </rPr>
          <t xml:space="preserve">
1 = בטוח שאצביע
2 = חושב שאצביע
3 = לא חושב שאצביע
4 = בטוח לא אצביע</t>
        </r>
      </text>
    </comment>
    <comment ref="AC56" authorId="0" shapeId="0" xr:uid="{26E4E13A-7D97-4425-9668-F359C359F81A}">
      <text>
        <r>
          <rPr>
            <b/>
            <sz val="9"/>
            <color indexed="81"/>
            <rFont val="Tahoma"/>
            <charset val="177"/>
          </rPr>
          <t>יניב שפירא:</t>
        </r>
        <r>
          <rPr>
            <sz val="9"/>
            <color indexed="81"/>
            <rFont val="Tahoma"/>
            <charset val="177"/>
          </rPr>
          <t xml:space="preserve">
1 = בטוח שכן
2 = חושב שכן
3 = חושב שלא
4 = בטוח שלא</t>
        </r>
      </text>
    </comment>
    <comment ref="AD57" authorId="0" shapeId="0" xr:uid="{7299B6CE-DFB4-4B9D-A92C-D7B990820959}">
      <text>
        <r>
          <rPr>
            <b/>
            <sz val="9"/>
            <color indexed="81"/>
            <rFont val="Tahoma"/>
            <family val="2"/>
          </rPr>
          <t>יניב שפירא:</t>
        </r>
        <r>
          <rPr>
            <sz val="9"/>
            <color indexed="81"/>
            <rFont val="Tahoma"/>
            <family val="2"/>
          </rPr>
          <t xml:space="preserve">
1 = סיבות טכניות
2 = אדישות
3 = לא יודע בעד מי להצביע/כולם אותו דבר
4 = מחאה
5 = המועד אינו מתאים לקיום בחירות
9 = מתכוון להצביע</t>
        </r>
      </text>
    </comment>
    <comment ref="A58" authorId="0" shapeId="0" xr:uid="{6078DDBC-D975-4901-BEEA-957D83F1A4F6}">
      <text>
        <r>
          <rPr>
            <b/>
            <sz val="9"/>
            <color indexed="81"/>
            <rFont val="Tahoma"/>
            <family val="2"/>
          </rPr>
          <t>יניב שפירא:</t>
        </r>
        <r>
          <rPr>
            <sz val="9"/>
            <color indexed="81"/>
            <rFont val="Tahoma"/>
            <family val="2"/>
          </rPr>
          <t xml:space="preserve">
לא למצביעי הליכוד והמחנה הציוני</t>
        </r>
      </text>
    </comment>
    <comment ref="H58" authorId="0" shapeId="0" xr:uid="{A95CB2C2-2DF2-4BDA-9E92-F59EE68BA336}">
      <text>
        <r>
          <rPr>
            <b/>
            <sz val="9"/>
            <color indexed="81"/>
            <rFont val="Tahoma"/>
            <family val="2"/>
          </rPr>
          <t>יניב שפירא:</t>
        </r>
        <r>
          <rPr>
            <sz val="9"/>
            <color indexed="81"/>
            <rFont val="Tahoma"/>
            <family val="2"/>
          </rPr>
          <t xml:space="preserve">
1 = כן
2 = לא
3 = אולי</t>
        </r>
      </text>
    </comment>
    <comment ref="A59" authorId="0" shapeId="0" xr:uid="{BB8C272A-1D26-4525-BB92-79DD56C61C0D}">
      <text>
        <r>
          <rPr>
            <b/>
            <sz val="9"/>
            <color indexed="81"/>
            <rFont val="Tahoma"/>
            <family val="2"/>
          </rPr>
          <t>יניב שפירא:</t>
        </r>
        <r>
          <rPr>
            <sz val="9"/>
            <color indexed="81"/>
            <rFont val="Tahoma"/>
            <family val="2"/>
          </rPr>
          <t xml:space="preserve">
למי שענה 1 או 3 בשאלה 93 (2015)</t>
        </r>
      </text>
    </comment>
    <comment ref="H60" authorId="0" shapeId="0" xr:uid="{688328E9-1702-453E-B697-A173F981DA3E}">
      <text>
        <r>
          <rPr>
            <b/>
            <sz val="9"/>
            <color indexed="81"/>
            <rFont val="Tahoma"/>
            <family val="2"/>
          </rPr>
          <t>יניב שפירא:</t>
        </r>
        <r>
          <rPr>
            <sz val="9"/>
            <color indexed="81"/>
            <rFont val="Tahoma"/>
            <family val="2"/>
          </rPr>
          <t xml:space="preserve">
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r>
      </text>
    </comment>
    <comment ref="O61" authorId="0" shapeId="0" xr:uid="{F042D186-F689-4F43-8E04-6703A11D0B46}">
      <text>
        <r>
          <rPr>
            <b/>
            <sz val="9"/>
            <color indexed="81"/>
            <rFont val="Tahoma"/>
            <family val="2"/>
          </rPr>
          <t>יניב שפירא:</t>
        </r>
        <r>
          <rPr>
            <sz val="9"/>
            <color indexed="81"/>
            <rFont val="Tahoma"/>
            <family val="2"/>
          </rPr>
          <t xml:space="preserve">
1 = ליכוד
2 = צומת
3 = גשר
4 = מפלגה אחרת
5 = לא החלטתי</t>
        </r>
      </text>
    </comment>
    <comment ref="A62" authorId="0" shapeId="0" xr:uid="{9FA25A26-965B-4D58-8FB2-2D7B23F4FEDF}">
      <text>
        <r>
          <rPr>
            <b/>
            <sz val="9"/>
            <color indexed="81"/>
            <rFont val="Tahoma"/>
            <family val="2"/>
          </rPr>
          <t>יניב שפירא:</t>
        </r>
        <r>
          <rPr>
            <sz val="9"/>
            <color indexed="81"/>
            <rFont val="Tahoma"/>
            <family val="2"/>
          </rPr>
          <t xml:space="preserve">
שאלה ב2015, רק עבור אלו שענו שהצביעו בבחירות האחרונות ב2013 לליכוד-ישראל ביתנו</t>
        </r>
      </text>
    </comment>
    <comment ref="H62" authorId="0" shapeId="0" xr:uid="{DCFF0673-4881-4C5A-AA7B-C510838175B6}">
      <text>
        <r>
          <rPr>
            <b/>
            <sz val="9"/>
            <color indexed="81"/>
            <rFont val="Tahoma"/>
            <family val="2"/>
          </rPr>
          <t>יניב שפירא:</t>
        </r>
        <r>
          <rPr>
            <sz val="9"/>
            <color indexed="81"/>
            <rFont val="Tahoma"/>
            <family val="2"/>
          </rPr>
          <t xml:space="preserve">
1 = הליכוד
2 = ישראל ביתנו</t>
        </r>
      </text>
    </comment>
    <comment ref="H63" authorId="0" shapeId="0" xr:uid="{3EE5BADC-BC82-4C31-9002-4ADAC774A4AB}">
      <text>
        <r>
          <rPr>
            <b/>
            <sz val="9"/>
            <color indexed="81"/>
            <rFont val="Tahoma"/>
            <family val="2"/>
          </rPr>
          <t>יניב שפירא:</t>
        </r>
        <r>
          <rPr>
            <sz val="9"/>
            <color indexed="81"/>
            <rFont val="Tahoma"/>
            <family val="2"/>
          </rPr>
          <t xml:space="preserve">
1 = גבר
2 = אישה
3 = אין הבדל</t>
        </r>
      </text>
    </comment>
    <comment ref="H64" authorId="0" shapeId="0" xr:uid="{BD432DE1-5B8E-4FCE-8511-B83AE29E3F99}">
      <text>
        <r>
          <rPr>
            <b/>
            <sz val="9"/>
            <color indexed="81"/>
            <rFont val="Tahoma"/>
            <family val="2"/>
          </rPr>
          <t>יניב שפירא:</t>
        </r>
        <r>
          <rPr>
            <sz val="9"/>
            <color indexed="81"/>
            <rFont val="Tahoma"/>
            <family val="2"/>
          </rPr>
          <t xml:space="preserve">
1 = אשכנזי
2 = מזרחי
3 = אין הבדל</t>
        </r>
      </text>
    </comment>
    <comment ref="H65" authorId="0" shapeId="0" xr:uid="{F6D3F21A-D5E1-4A41-80A0-886294688AF0}">
      <text>
        <r>
          <rPr>
            <b/>
            <sz val="9"/>
            <color indexed="81"/>
            <rFont val="Tahoma"/>
            <family val="2"/>
          </rPr>
          <t>יניב שפירא:</t>
        </r>
        <r>
          <rPr>
            <sz val="9"/>
            <color indexed="81"/>
            <rFont val="Tahoma"/>
            <family val="2"/>
          </rPr>
          <t xml:space="preserve">
1 = כלל לא ישפיע
2 = ישפיע במידה מועטה בלבד
3 = ישפיע במידה מסוימת
4 = ישפיע במידה רבה</t>
        </r>
      </text>
    </comment>
    <comment ref="A66" authorId="0" shapeId="0" xr:uid="{6AC75530-5E80-435E-8295-0FC1C964E44A}">
      <text>
        <r>
          <rPr>
            <b/>
            <sz val="9"/>
            <color indexed="81"/>
            <rFont val="Tahoma"/>
            <family val="2"/>
          </rPr>
          <t>יניב שפירא:</t>
        </r>
        <r>
          <rPr>
            <sz val="9"/>
            <color indexed="81"/>
            <rFont val="Tahoma"/>
            <family val="2"/>
          </rPr>
          <t xml:space="preserve">
ליהודים בלבד</t>
        </r>
      </text>
    </comment>
    <comment ref="A68" authorId="0" shapeId="0" xr:uid="{E0DB2632-BB30-4B41-A2D6-C682A9436DFB}">
      <text>
        <r>
          <rPr>
            <b/>
            <sz val="9"/>
            <color indexed="81"/>
            <rFont val="Tahoma"/>
            <family val="2"/>
          </rPr>
          <t>יניב שפירא:</t>
        </r>
        <r>
          <rPr>
            <sz val="9"/>
            <color indexed="81"/>
            <rFont val="Tahoma"/>
            <family val="2"/>
          </rPr>
          <t xml:space="preserve">
ליהודים בלבד</t>
        </r>
      </text>
    </comment>
    <comment ref="J71" authorId="0" shapeId="0" xr:uid="{2D5317D2-C8B2-4AD2-AE36-2AB0BFBF0200}">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W71" authorId="0" shapeId="0" xr:uid="{F4B73A9A-4BC5-4034-92B1-E7F2C10D1CB6}">
      <text>
        <r>
          <rPr>
            <b/>
            <sz val="9"/>
            <color indexed="81"/>
            <rFont val="Tahoma"/>
            <charset val="177"/>
          </rPr>
          <t>יניב שפירא:</t>
        </r>
        <r>
          <rPr>
            <sz val="9"/>
            <color indexed="81"/>
            <rFont val="Tahoma"/>
            <charset val="177"/>
          </rPr>
          <t xml:space="preserve">
1 = במידה רבה
2 = במידה מסויימת
3 = במידה מועטה
4 = בכלל לא</t>
        </r>
      </text>
    </comment>
    <comment ref="AB71" authorId="0" shapeId="0" xr:uid="{2F6AA98D-8658-4816-B56A-50780C017B6C}">
      <text>
        <r>
          <rPr>
            <b/>
            <sz val="9"/>
            <color indexed="81"/>
            <rFont val="Tahoma"/>
            <charset val="177"/>
          </rPr>
          <t>יניב שפירא:</t>
        </r>
        <r>
          <rPr>
            <sz val="9"/>
            <color indexed="81"/>
            <rFont val="Tahoma"/>
            <charset val="177"/>
          </rPr>
          <t xml:space="preserve">
לאחר הבחירות</t>
        </r>
      </text>
    </comment>
    <comment ref="AC71" authorId="0" shapeId="0" xr:uid="{6F98BA37-F539-4CD5-9A80-B1177F3D2467}">
      <text>
        <r>
          <rPr>
            <b/>
            <sz val="9"/>
            <color indexed="81"/>
            <rFont val="Tahoma"/>
            <charset val="177"/>
          </rPr>
          <t>יניב שפירא:</t>
        </r>
        <r>
          <rPr>
            <sz val="9"/>
            <color indexed="81"/>
            <rFont val="Tahoma"/>
            <charset val="177"/>
          </rPr>
          <t xml:space="preserve">
לאחר בחירות</t>
        </r>
      </text>
    </comment>
    <comment ref="AF71" authorId="0" shapeId="0" xr:uid="{4A254C62-8DE3-4A5A-A707-2B13CEFFB218}">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J73" authorId="0" shapeId="0" xr:uid="{F1D0A9E8-C046-4A17-85E9-302924C9B764}">
      <text>
        <r>
          <rPr>
            <b/>
            <sz val="9"/>
            <color indexed="81"/>
            <rFont val="Tahoma"/>
            <family val="2"/>
          </rPr>
          <t>יניב שפירא:</t>
        </r>
        <r>
          <rPr>
            <sz val="9"/>
            <color indexed="81"/>
            <rFont val="Tahoma"/>
            <family val="2"/>
          </rPr>
          <t xml:space="preserve">
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r>
      </text>
    </comment>
    <comment ref="V73" authorId="0" shapeId="0" xr:uid="{CCAB16ED-7867-4530-89BE-6CD7D9AA0E28}">
      <text>
        <r>
          <rPr>
            <b/>
            <sz val="9"/>
            <color indexed="81"/>
            <rFont val="Tahoma"/>
            <family val="2"/>
          </rPr>
          <t>יניב שפירא:</t>
        </r>
        <r>
          <rPr>
            <sz val="9"/>
            <color indexed="81"/>
            <rFont val="Tahoma"/>
            <family val="2"/>
          </rPr>
          <t xml:space="preserve">
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r>
      </text>
    </comment>
    <comment ref="K74" authorId="0" shapeId="0" xr:uid="{27E38EB0-463F-4C7A-903B-01B6D69007C7}">
      <text>
        <r>
          <rPr>
            <b/>
            <sz val="9"/>
            <color indexed="81"/>
            <rFont val="Tahoma"/>
            <family val="2"/>
          </rPr>
          <t>יניב שפירא:</t>
        </r>
        <r>
          <rPr>
            <sz val="9"/>
            <color indexed="81"/>
            <rFont val="Tahoma"/>
            <family val="2"/>
          </rPr>
          <t xml:space="preserve">
1 = סיבה חשובה מאד
2 = סיבה חשובה
3 = לא בטוח
4 = לא סיבה חשובה
5 = בהחלט לא סיבה חשובה</t>
        </r>
      </text>
    </comment>
    <comment ref="P80" authorId="0" shapeId="0" xr:uid="{9F91318F-88B8-42B4-8DA7-74AFC75FDC9E}">
      <text>
        <r>
          <rPr>
            <b/>
            <sz val="9"/>
            <color indexed="81"/>
            <rFont val="Tahoma"/>
            <family val="2"/>
          </rPr>
          <t>יניב שפירא:</t>
        </r>
        <r>
          <rPr>
            <sz val="9"/>
            <color indexed="81"/>
            <rFont val="Tahoma"/>
            <family val="2"/>
          </rPr>
          <t xml:space="preserve">
1 = שמיר
2 = רבין</t>
        </r>
      </text>
    </comment>
    <comment ref="J83" authorId="0" shapeId="0" xr:uid="{629F6E81-A55D-4957-B9BC-E90459F68E58}">
      <text>
        <r>
          <rPr>
            <b/>
            <sz val="9"/>
            <color indexed="81"/>
            <rFont val="Tahoma"/>
            <family val="2"/>
          </rPr>
          <t>יניב שפירא:</t>
        </r>
        <r>
          <rPr>
            <sz val="9"/>
            <color indexed="81"/>
            <rFont val="Tahoma"/>
            <family val="2"/>
          </rPr>
          <t xml:space="preserve">
בחירות 2008
1 = כן
2 = לא</t>
        </r>
      </text>
    </comment>
    <comment ref="J84" authorId="0" shapeId="0" xr:uid="{63833C13-9B56-4FA9-A053-6EBEEAF76FBB}">
      <text>
        <r>
          <rPr>
            <b/>
            <sz val="9"/>
            <color indexed="81"/>
            <rFont val="Tahoma"/>
            <charset val="177"/>
          </rPr>
          <t>יניב שפירא:</t>
        </r>
        <r>
          <rPr>
            <sz val="9"/>
            <color indexed="81"/>
            <rFont val="Tahoma"/>
            <charset val="177"/>
          </rPr>
          <t xml:space="preserve">
1 = כן
2 = לא</t>
        </r>
      </text>
    </comment>
    <comment ref="M85" authorId="0" shapeId="0" xr:uid="{DD3BCF34-54CB-4D74-8C52-5CB9022D6066}">
      <text>
        <r>
          <rPr>
            <b/>
            <sz val="9"/>
            <color indexed="81"/>
            <rFont val="Tahoma"/>
            <family val="2"/>
          </rPr>
          <t>יניב שפירא:</t>
        </r>
        <r>
          <rPr>
            <sz val="9"/>
            <color indexed="81"/>
            <rFont val="Tahoma"/>
            <family val="2"/>
          </rPr>
          <t xml:space="preserve">
1 = פרס
2 = שרון</t>
        </r>
      </text>
    </comment>
    <comment ref="M86" authorId="0" shapeId="0" xr:uid="{E4303AE5-4BA4-4656-AC98-9C4F175D1503}">
      <text>
        <r>
          <rPr>
            <b/>
            <sz val="9"/>
            <color indexed="81"/>
            <rFont val="Tahoma"/>
            <family val="2"/>
          </rPr>
          <t>יניב שפירא:</t>
        </r>
        <r>
          <rPr>
            <sz val="9"/>
            <color indexed="81"/>
            <rFont val="Tahoma"/>
            <family val="2"/>
          </rPr>
          <t xml:space="preserve">
1 = לא ישפיע כלל
2 = במידה מועטה
3 = במידה מסוימת
4 = במידה רבה</t>
        </r>
      </text>
    </comment>
    <comment ref="O86" authorId="0" shapeId="0" xr:uid="{84BD3DE8-9694-4851-B7CF-3D75A64F596B}">
      <text>
        <r>
          <rPr>
            <b/>
            <sz val="9"/>
            <color indexed="81"/>
            <rFont val="Tahoma"/>
            <family val="2"/>
          </rPr>
          <t>יניב שפירא:</t>
        </r>
        <r>
          <rPr>
            <sz val="9"/>
            <color indexed="81"/>
            <rFont val="Tahoma"/>
            <family val="2"/>
          </rPr>
          <t xml:space="preserve">
1 = במידה רבה
2 = במידה בינונית
3 = במידה מועטה בלבד
4 = לא ישפיע כלל</t>
        </r>
      </text>
    </comment>
    <comment ref="M89" authorId="0" shapeId="0" xr:uid="{C8F54F6C-784C-41F0-B4A3-BA164870BC81}">
      <text>
        <r>
          <rPr>
            <b/>
            <sz val="9"/>
            <color indexed="81"/>
            <rFont val="Tahoma"/>
            <family val="2"/>
          </rPr>
          <t xml:space="preserve">יניב שפירא:
</t>
        </r>
        <r>
          <rPr>
            <sz val="9"/>
            <color indexed="81"/>
            <rFont val="Tahoma"/>
            <family val="2"/>
          </rPr>
          <t>הניסוח:
"ההסכם עם הפלסטינים"</t>
        </r>
      </text>
    </comment>
    <comment ref="M91" authorId="0" shapeId="0" xr:uid="{D0D6D78D-1B58-424C-AAE4-6190C429F503}">
      <text>
        <r>
          <rPr>
            <b/>
            <sz val="9"/>
            <color indexed="81"/>
            <rFont val="Tahoma"/>
            <family val="2"/>
          </rPr>
          <t>יניב שפירא:</t>
        </r>
        <r>
          <rPr>
            <sz val="9"/>
            <color indexed="81"/>
            <rFont val="Tahoma"/>
            <family val="2"/>
          </rPr>
          <t xml:space="preserve">
1 = כלל לא ישפיע
2 = במידה מועטה
3 = במידה מסוימת
4 = במידה רבה</t>
        </r>
      </text>
    </comment>
    <comment ref="O92" authorId="0" shapeId="0" xr:uid="{A014F8ED-7063-4D5A-88AE-207EFE899274}">
      <text>
        <r>
          <rPr>
            <b/>
            <sz val="9"/>
            <color indexed="81"/>
            <rFont val="Tahoma"/>
            <family val="2"/>
          </rPr>
          <t>יניב שפירא:</t>
        </r>
        <r>
          <rPr>
            <sz val="9"/>
            <color indexed="81"/>
            <rFont val="Tahoma"/>
            <family val="2"/>
          </rPr>
          <t xml:space="preserve">
מבצע "ענבי זעם" בלבנון</t>
        </r>
      </text>
    </comment>
    <comment ref="O94" authorId="0" shapeId="0" xr:uid="{B2BE1BA1-72EF-4047-B11F-D37B93608A12}">
      <text>
        <r>
          <rPr>
            <b/>
            <sz val="9"/>
            <color indexed="81"/>
            <rFont val="Tahoma"/>
            <family val="2"/>
          </rPr>
          <t>יניב שפירא:</t>
        </r>
        <r>
          <rPr>
            <sz val="9"/>
            <color indexed="81"/>
            <rFont val="Tahoma"/>
            <family val="2"/>
          </rPr>
          <t xml:space="preserve">
ארבע אפשרויות:
cccc6
cccc8
cccc10
cccc12</t>
        </r>
      </text>
    </comment>
    <comment ref="R94" authorId="0" shapeId="0" xr:uid="{D211B6BE-ED6B-4FB8-9E82-8999AFCAB1AD}">
      <text>
        <r>
          <rPr>
            <b/>
            <sz val="9"/>
            <color indexed="81"/>
            <rFont val="Tahoma"/>
            <family val="2"/>
          </rPr>
          <t>יניב שפירא:</t>
        </r>
        <r>
          <rPr>
            <sz val="9"/>
            <color indexed="81"/>
            <rFont val="Tahoma"/>
            <family val="2"/>
          </rPr>
          <t xml:space="preserve">
גם c21</t>
        </r>
      </text>
    </comment>
    <comment ref="S94" authorId="0" shapeId="0" xr:uid="{A16DD56F-230E-47C7-BC1C-494EA18F0BDE}">
      <text>
        <r>
          <rPr>
            <b/>
            <sz val="9"/>
            <color indexed="81"/>
            <rFont val="Tahoma"/>
            <family val="2"/>
          </rPr>
          <t>יניב שפירא:</t>
        </r>
        <r>
          <rPr>
            <sz val="9"/>
            <color indexed="81"/>
            <rFont val="Tahoma"/>
            <family val="2"/>
          </rPr>
          <t xml:space="preserve">
גם g28</t>
        </r>
      </text>
    </comment>
    <comment ref="U94" authorId="0" shapeId="0" xr:uid="{685E3AF7-A262-442F-8DCE-3708D48037F0}">
      <text>
        <r>
          <rPr>
            <b/>
            <sz val="9"/>
            <color indexed="81"/>
            <rFont val="Tahoma"/>
            <family val="2"/>
          </rPr>
          <t>יניב שפירא:</t>
        </r>
        <r>
          <rPr>
            <sz val="9"/>
            <color indexed="81"/>
            <rFont val="Tahoma"/>
            <family val="2"/>
          </rPr>
          <t xml:space="preserve">
אילו היה לך פתק שני</t>
        </r>
      </text>
    </comment>
    <comment ref="P97" authorId="0" shapeId="0" xr:uid="{B41135F1-D455-4855-B5BC-D2E2E2D52585}">
      <text>
        <r>
          <rPr>
            <b/>
            <sz val="9"/>
            <color indexed="81"/>
            <rFont val="Tahoma"/>
            <family val="2"/>
          </rPr>
          <t>יניב שפירא:</t>
        </r>
        <r>
          <rPr>
            <sz val="9"/>
            <color indexed="81"/>
            <rFont val="Tahoma"/>
            <family val="2"/>
          </rPr>
          <t xml:space="preserve">
1 = משפיע
2 = לא משפיע</t>
        </r>
      </text>
    </comment>
    <comment ref="Q114" authorId="0" shapeId="0" xr:uid="{3CED0D05-8FF6-4CB0-8C61-BEF70F221C1B}">
      <text>
        <r>
          <rPr>
            <b/>
            <sz val="9"/>
            <color indexed="81"/>
            <rFont val="Tahoma"/>
            <charset val="177"/>
          </rPr>
          <t>יניב שפירא:</t>
        </r>
        <r>
          <rPr>
            <sz val="9"/>
            <color indexed="81"/>
            <rFont val="Tahoma"/>
            <charset val="177"/>
          </rPr>
          <t xml:space="preserve">
1 = 1949
2 = 1951
3 = 1955
4 = 1959
5 = 1961
6 = 1965
7 = 1969
8 = 1973
9 = 1977
10 = 1981
11 = 1984
12 = טרם השתתפתי בבחירות</t>
        </r>
      </text>
    </comment>
    <comment ref="O118" authorId="0" shapeId="0" xr:uid="{A03EEF09-64D8-4753-A4F5-2CAE128D1343}">
      <text>
        <r>
          <rPr>
            <b/>
            <sz val="9"/>
            <color indexed="81"/>
            <rFont val="Tahoma"/>
            <family val="2"/>
          </rPr>
          <t>יניב שפירא:</t>
        </r>
        <r>
          <rPr>
            <sz val="9"/>
            <color indexed="81"/>
            <rFont val="Tahoma"/>
            <family val="2"/>
          </rPr>
          <t xml:space="preserve">
1 = כולם מצביעים כמוך
2 = חלק גדול
3 = חלק קטן
4 = אף אחד לא מצביע כמוך</t>
        </r>
      </text>
    </comment>
    <comment ref="T118" authorId="0" shapeId="0" xr:uid="{17374DC7-F9CD-4C90-8BA8-D17124BC7F7A}">
      <text>
        <r>
          <rPr>
            <b/>
            <sz val="9"/>
            <color indexed="81"/>
            <rFont val="Tahoma"/>
            <charset val="177"/>
          </rPr>
          <t>יניב שפירא:</t>
        </r>
        <r>
          <rPr>
            <sz val="9"/>
            <color indexed="81"/>
            <rFont val="Tahoma"/>
            <charset val="177"/>
          </rPr>
          <t xml:space="preserve">
1 = כולם מצביעים כמוך
2 = חלק גדול
3 = חלק קטן
4 = אף אחד לא מצביע כמוך
5 = לא יודע איך הם מצביעים</t>
        </r>
      </text>
    </comment>
    <comment ref="AH118" authorId="0" shapeId="0" xr:uid="{DE4F2E05-5742-4863-A003-B3D14C94F37E}">
      <text>
        <r>
          <rPr>
            <b/>
            <sz val="9"/>
            <color indexed="81"/>
            <rFont val="Tahoma"/>
            <family val="2"/>
          </rPr>
          <t>יניב שפירא:</t>
        </r>
        <r>
          <rPr>
            <sz val="9"/>
            <color indexed="81"/>
            <rFont val="Tahoma"/>
            <family val="2"/>
          </rPr>
          <t xml:space="preserve">
1 = כן
2 = לא
3 = לא יודע איך מצביעים
4 = מצביע כמו חלק מהם</t>
        </r>
      </text>
    </comment>
    <comment ref="AC119" authorId="0" shapeId="0" xr:uid="{8DDF4FEE-5632-4C21-9D14-6F3A2B2F588A}">
      <text>
        <r>
          <rPr>
            <b/>
            <sz val="9"/>
            <color indexed="81"/>
            <rFont val="Tahoma"/>
            <charset val="177"/>
          </rPr>
          <t>יניב שפירא:</t>
        </r>
        <r>
          <rPr>
            <sz val="9"/>
            <color indexed="81"/>
            <rFont val="Tahoma"/>
            <charset val="177"/>
          </rPr>
          <t xml:space="preserve">
1 = רוב חברי יצביעו כמוני
2 = רוב חברי לא יצביעו כמוני
3 = לא יודע בעד מי הם מצביעים</t>
        </r>
      </text>
    </comment>
    <comment ref="AH119" authorId="0" shapeId="0" xr:uid="{14723036-E183-4CE1-92E8-3DD98B49E767}">
      <text>
        <r>
          <rPr>
            <b/>
            <sz val="9"/>
            <color indexed="81"/>
            <rFont val="Tahoma"/>
            <family val="2"/>
          </rPr>
          <t>יניב שפירא:</t>
        </r>
        <r>
          <rPr>
            <sz val="9"/>
            <color indexed="81"/>
            <rFont val="Tahoma"/>
            <family val="2"/>
          </rPr>
          <t xml:space="preserve">
1 = כן
2 = לא
3 = לא יודע איך מצביעים
4 = מצביע כמו חלק מהם</t>
        </r>
      </text>
    </comment>
    <comment ref="AH121" authorId="0" shapeId="0" xr:uid="{2BC6302E-A333-4B8B-B3AD-4EE2AF12BC3C}">
      <text>
        <r>
          <rPr>
            <b/>
            <sz val="9"/>
            <color indexed="81"/>
            <rFont val="Tahoma"/>
            <family val="2"/>
          </rPr>
          <t>יניב שפירא:</t>
        </r>
        <r>
          <rPr>
            <sz val="9"/>
            <color indexed="81"/>
            <rFont val="Tahoma"/>
            <family val="2"/>
          </rPr>
          <t xml:space="preserve">
1 = כן
2 = לא
3 = לא יודע איך מצביעים
4 = מצביע כמו חלק מהם</t>
        </r>
      </text>
    </comment>
    <comment ref="AC122" authorId="0" shapeId="0" xr:uid="{AF50E5B7-B94A-42F7-B9B6-3933FEC5363D}">
      <text>
        <r>
          <rPr>
            <b/>
            <sz val="9"/>
            <color indexed="81"/>
            <rFont val="Tahoma"/>
            <charset val="177"/>
          </rPr>
          <t>יניב שפירא:</t>
        </r>
        <r>
          <rPr>
            <sz val="9"/>
            <color indexed="81"/>
            <rFont val="Tahoma"/>
            <charset val="177"/>
          </rPr>
          <t xml:space="preserve">
1 = כן
2 = לא
3 = לא נשוי</t>
        </r>
      </text>
    </comment>
    <comment ref="Q124" authorId="0" shapeId="0" xr:uid="{49772D6B-FDC4-4232-AB14-7F0F5CF24A6E}">
      <text>
        <r>
          <rPr>
            <b/>
            <sz val="9"/>
            <color indexed="81"/>
            <rFont val="Tahoma"/>
            <charset val="177"/>
          </rPr>
          <t>יניב שפירא:</t>
        </r>
        <r>
          <rPr>
            <sz val="9"/>
            <color indexed="81"/>
            <rFont val="Tahoma"/>
            <charset val="177"/>
          </rPr>
          <t xml:space="preserve">
1 = במידה רבה מאד
2 = במידה רבה
3 = במידה מסוימת
4 = במידה קטנה ביותר
5 = כלל לא</t>
        </r>
      </text>
    </comment>
    <comment ref="Q125" authorId="0" shapeId="0" xr:uid="{42975A1D-D29B-499E-AC2A-A0839161406C}">
      <text>
        <r>
          <rPr>
            <b/>
            <sz val="9"/>
            <color indexed="81"/>
            <rFont val="Tahoma"/>
            <charset val="177"/>
          </rPr>
          <t>יניב שפירא:</t>
        </r>
        <r>
          <rPr>
            <sz val="9"/>
            <color indexed="81"/>
            <rFont val="Tahoma"/>
            <charset val="177"/>
          </rPr>
          <t xml:space="preserve">
1 = אבא
2 = אמא
3 = אח/אחות
4 = בן/בת זוג
5 = בן/בת
6 = אחר
7 = שני ההורים במידה שווה
8 = כל בני משפחתי במידה שווה
9 = אף אחד לא השפיע</t>
        </r>
      </text>
    </comment>
    <comment ref="Q126" authorId="0" shapeId="0" xr:uid="{B08E4AB0-5DC1-4D2C-8BA6-59DFFF40CB13}">
      <text>
        <r>
          <rPr>
            <b/>
            <sz val="9"/>
            <color indexed="81"/>
            <rFont val="Tahoma"/>
            <charset val="177"/>
          </rPr>
          <t>יניב שפירא:</t>
        </r>
        <r>
          <rPr>
            <sz val="9"/>
            <color indexed="81"/>
            <rFont val="Tahoma"/>
            <charset val="177"/>
          </rPr>
          <t xml:space="preserve">
1 = המשפחה שלי
2 = ידידי הקרובים
3 = החברים בעבודה
4 = אנשי התנועה/ארגון שאני משתייך אליו
5 = כל הקבוצות במידה שווה
6 = לאף קבוצה אין השפעה</t>
        </r>
      </text>
    </comment>
    <comment ref="Q127" authorId="0" shapeId="0" xr:uid="{3A0D8A3F-793D-4F8B-B234-622316333CAB}">
      <text>
        <r>
          <rPr>
            <b/>
            <sz val="9"/>
            <color indexed="81"/>
            <rFont val="Tahoma"/>
            <charset val="177"/>
          </rPr>
          <t>יניב שפירא:</t>
        </r>
        <r>
          <rPr>
            <sz val="9"/>
            <color indexed="81"/>
            <rFont val="Tahoma"/>
            <charset val="177"/>
          </rPr>
          <t xml:space="preserve">
1 = במידה רבה מאד
2 = במידה רבה
3 = במידה מסוימת
4 = במידה קטנה
5 = כלל לא</t>
        </r>
      </text>
    </comment>
    <comment ref="R128" authorId="0" shapeId="0" xr:uid="{8511D86E-662C-4816-8E19-B98801C1CFB3}">
      <text>
        <r>
          <rPr>
            <b/>
            <sz val="9"/>
            <color indexed="81"/>
            <rFont val="Tahoma"/>
            <family val="2"/>
          </rPr>
          <t>יניב שפירא:</t>
        </r>
        <r>
          <rPr>
            <sz val="9"/>
            <color indexed="81"/>
            <rFont val="Tahoma"/>
            <family val="2"/>
          </rPr>
          <t xml:space="preserve">
1 = לא השתנה
2 = התחזקה הנטייה להציע לליכוד או למחנה שלו
3 = התחזקה הנטייה להצביע למערך או למחנה שלו
4 = התחזקה הנטייה להצביע למפלגות הדתיות</t>
        </r>
      </text>
    </comment>
    <comment ref="T131" authorId="0" shapeId="0" xr:uid="{4FD342F5-E336-4B39-B15C-6FBD134C5A01}">
      <text>
        <r>
          <rPr>
            <b/>
            <sz val="9"/>
            <color indexed="81"/>
            <rFont val="Tahoma"/>
            <charset val="177"/>
          </rPr>
          <t>יניב שפירא:</t>
        </r>
        <r>
          <rPr>
            <sz val="9"/>
            <color indexed="81"/>
            <rFont val="Tahoma"/>
            <charset val="177"/>
          </rPr>
          <t xml:space="preserve">
1 = ישפיע במידה רבה
2 = במידה מסוימת
3 = במידה מועטה
4 = לא ישפיע כלל</t>
        </r>
      </text>
    </comment>
    <comment ref="T132" authorId="0" shapeId="0" xr:uid="{A19420A7-89BD-4D63-8F1C-D3C92846CF00}">
      <text>
        <r>
          <rPr>
            <b/>
            <sz val="9"/>
            <color indexed="81"/>
            <rFont val="Tahoma"/>
            <family val="2"/>
          </rPr>
          <t>יניב שפירא:</t>
        </r>
        <r>
          <rPr>
            <sz val="9"/>
            <color indexed="81"/>
            <rFont val="Tahoma"/>
            <family val="2"/>
          </rPr>
          <t xml:space="preserve">
1 = בטוח לגמרי
2 = חושב אך לא בטוח
3 = כלל לא בטוח</t>
        </r>
      </text>
    </comment>
    <comment ref="U134" authorId="0" shapeId="0" xr:uid="{BD4446AC-EBB8-47CA-A53B-D95F25E6476E}">
      <text>
        <r>
          <rPr>
            <b/>
            <sz val="9"/>
            <color indexed="81"/>
            <rFont val="Tahoma"/>
            <charset val="177"/>
          </rPr>
          <t>יניב שפירא:</t>
        </r>
        <r>
          <rPr>
            <sz val="9"/>
            <color indexed="81"/>
            <rFont val="Tahoma"/>
            <charset val="177"/>
          </rPr>
          <t xml:space="preserve">
1 = במידה רבה
2 = במידה מסויימת
3 = במידה מועטה
4 = כלל לא תשפיע</t>
        </r>
      </text>
    </comment>
    <comment ref="V135" authorId="0" shapeId="0" xr:uid="{4A64EDFF-57B4-449E-8916-AE22910CFDAC}">
      <text>
        <r>
          <rPr>
            <b/>
            <sz val="9"/>
            <color indexed="81"/>
            <rFont val="Tahoma"/>
            <charset val="177"/>
          </rPr>
          <t>יניב שפירא:</t>
        </r>
        <r>
          <rPr>
            <sz val="9"/>
            <color indexed="81"/>
            <rFont val="Tahoma"/>
            <charset val="177"/>
          </rPr>
          <t xml:space="preserve">
1 = התכנית הכלכלית של ארידור
2 = התכנית האלטרנטיבית של המערך
3 = המשפט של אבו-חצירה
4 = היריבות בין מנהיגי מפלגת העבודה
5 = התיפקוד של הממשלה
6 = הבחירות להסתדרות</t>
        </r>
      </text>
    </comment>
    <comment ref="U136" authorId="0" shapeId="0" xr:uid="{620F2C16-24FC-40ED-A4C6-BBD3DF95198E}">
      <text>
        <r>
          <rPr>
            <b/>
            <sz val="9"/>
            <color indexed="81"/>
            <rFont val="Tahoma"/>
            <family val="2"/>
          </rPr>
          <t>יניב שפירא:</t>
        </r>
        <r>
          <rPr>
            <sz val="9"/>
            <color indexed="81"/>
            <rFont val="Tahoma"/>
            <family val="2"/>
          </rPr>
          <t xml:space="preserve">
1 = לא מתכנן נסיעה
2 = מתכנן נסיעה אך אהיה בארץ בבחירות
3 = מתכנן נסיעה ולא אהיה בארץ בבחירות</t>
        </r>
      </text>
    </comment>
    <comment ref="U137" authorId="0" shapeId="0" xr:uid="{5336BEC4-F694-4166-882F-DEF64636338C}">
      <text>
        <r>
          <rPr>
            <b/>
            <sz val="9"/>
            <color indexed="81"/>
            <rFont val="Tahoma"/>
            <family val="2"/>
          </rPr>
          <t>יניב שפירא:</t>
        </r>
        <r>
          <rPr>
            <sz val="9"/>
            <color indexed="81"/>
            <rFont val="Tahoma"/>
            <family val="2"/>
          </rPr>
          <t xml:space="preserve">
1 = בטוח במידה רבה
2 = במידה מסויימת
3 = במידה מועטה
4 = לא בטוח כלל</t>
        </r>
      </text>
    </comment>
    <comment ref="AC137" authorId="0" shapeId="0" xr:uid="{17414A43-3FC1-4CC9-9190-A622F1DF6903}">
      <text>
        <r>
          <rPr>
            <b/>
            <sz val="9"/>
            <color indexed="81"/>
            <rFont val="Tahoma"/>
            <charset val="177"/>
          </rPr>
          <t>יניב שפירא:</t>
        </r>
        <r>
          <rPr>
            <sz val="9"/>
            <color indexed="81"/>
            <rFont val="Tahoma"/>
            <charset val="177"/>
          </rPr>
          <t xml:space="preserve">
1 = במידה רבה
2 = במידה מסוימת
3 = במידה מועטה
4 = כלל לא
5 = לא אצביע</t>
        </r>
      </text>
    </comment>
    <comment ref="AE138" authorId="0" shapeId="0" xr:uid="{3D878379-AAA9-4C44-8E37-E06B6A6EF67A}">
      <text>
        <r>
          <rPr>
            <b/>
            <sz val="9"/>
            <color indexed="81"/>
            <rFont val="Tahoma"/>
            <charset val="177"/>
          </rPr>
          <t>יניב שפירא:</t>
        </r>
        <r>
          <rPr>
            <sz val="9"/>
            <color indexed="81"/>
            <rFont val="Tahoma"/>
            <charset val="177"/>
          </rPr>
          <t xml:space="preserve">
9 = בטוח במי יצביע</t>
        </r>
      </text>
    </comment>
    <comment ref="U139" authorId="0" shapeId="0" xr:uid="{A0C269BF-9F27-4421-95C9-28BA04096BD3}">
      <text>
        <r>
          <rPr>
            <b/>
            <sz val="9"/>
            <color indexed="81"/>
            <rFont val="Tahoma"/>
            <family val="2"/>
          </rPr>
          <t>יניב שפירא:</t>
        </r>
        <r>
          <rPr>
            <sz val="9"/>
            <color indexed="81"/>
            <rFont val="Tahoma"/>
            <family val="2"/>
          </rPr>
          <t xml:space="preserve">
1 = יום לפני הבחירות
2 = כמה ימים לפני הבחירות
3 = שבועיים לפני הבחירות
4 = 3 שבועות לפני הבחירות
5 = בימים הקרובים
6 = איני יודע מתי</t>
        </r>
      </text>
    </comment>
    <comment ref="AE139" authorId="0" shapeId="0" xr:uid="{B6D1491D-A503-4D9D-A99F-E54C94ADCAA2}">
      <text>
        <r>
          <rPr>
            <b/>
            <sz val="9"/>
            <color indexed="81"/>
            <rFont val="Tahoma"/>
            <charset val="177"/>
          </rPr>
          <t>יניב שפירא:</t>
        </r>
        <r>
          <rPr>
            <sz val="9"/>
            <color indexed="81"/>
            <rFont val="Tahoma"/>
            <charset val="177"/>
          </rPr>
          <t xml:space="preserve">
1 = בימים אלו
2 = בחודש הקרוב
3 = סמוך למועד הבחירות
9 = בטוח במי יצביע</t>
        </r>
      </text>
    </comment>
    <comment ref="AE140" authorId="0" shapeId="0" xr:uid="{DDA871F4-94A3-4B53-A610-865BAC4B7E1A}">
      <text>
        <r>
          <rPr>
            <b/>
            <sz val="9"/>
            <color indexed="81"/>
            <rFont val="Tahoma"/>
            <charset val="177"/>
          </rPr>
          <t>יניב שפירא:</t>
        </r>
        <r>
          <rPr>
            <sz val="9"/>
            <color indexed="81"/>
            <rFont val="Tahoma"/>
            <charset val="177"/>
          </rPr>
          <t xml:space="preserve">
9 = בטוח במי להצביע</t>
        </r>
      </text>
    </comment>
    <comment ref="U143" authorId="0" shapeId="0" xr:uid="{F73D9005-B719-4291-AD40-8899C475BA37}">
      <text>
        <r>
          <rPr>
            <b/>
            <sz val="9"/>
            <color indexed="81"/>
            <rFont val="Tahoma"/>
            <charset val="177"/>
          </rPr>
          <t>יניב שפירא:</t>
        </r>
        <r>
          <rPr>
            <sz val="9"/>
            <color indexed="81"/>
            <rFont val="Tahoma"/>
            <charset val="177"/>
          </rPr>
          <t xml:space="preserve">
1 = יותר
2 = פחות
3 = אותו דבר
4 = לא יודע</t>
        </r>
      </text>
    </comment>
    <comment ref="AE144" authorId="0" shapeId="0" xr:uid="{574799E6-4B39-49E4-A51A-958BBEE744F8}">
      <text>
        <r>
          <rPr>
            <b/>
            <sz val="9"/>
            <color indexed="81"/>
            <rFont val="Tahoma"/>
            <charset val="177"/>
          </rPr>
          <t>יניב שפירא:</t>
        </r>
        <r>
          <rPr>
            <sz val="9"/>
            <color indexed="81"/>
            <rFont val="Tahoma"/>
            <charset val="177"/>
          </rPr>
          <t xml:space="preserve">
1 = הרבה יותר ברור
2 = יותר ברור
3 = פחות ברור
4 = הרבה פחות ברור
5 = ברור באותה מידה</t>
        </r>
      </text>
    </comment>
    <comment ref="A145" authorId="0" shapeId="0" xr:uid="{7881710B-EECD-436C-A03C-0252A8386A9F}">
      <text>
        <r>
          <rPr>
            <b/>
            <sz val="9"/>
            <color indexed="81"/>
            <rFont val="Tahoma"/>
            <charset val="177"/>
          </rPr>
          <t>יניב שפירא:</t>
        </r>
        <r>
          <rPr>
            <sz val="9"/>
            <color indexed="81"/>
            <rFont val="Tahoma"/>
            <charset val="177"/>
          </rPr>
          <t xml:space="preserve">
בהמשך לשאלה אחת למעלה</t>
        </r>
      </text>
    </comment>
    <comment ref="AH146" authorId="0" shapeId="0" xr:uid="{0F4AC6E1-3B24-4A30-92BB-80149F5DA2FB}">
      <text>
        <r>
          <rPr>
            <b/>
            <sz val="9"/>
            <color indexed="81"/>
            <rFont val="Tahoma"/>
            <family val="2"/>
          </rPr>
          <t>יניב שפירא:</t>
        </r>
        <r>
          <rPr>
            <sz val="9"/>
            <color indexed="81"/>
            <rFont val="Tahoma"/>
            <family val="2"/>
          </rPr>
          <t xml:space="preserve">
ובנוסף b63</t>
        </r>
      </text>
    </comment>
    <comment ref="AI146" authorId="0" shapeId="0" xr:uid="{7A23CE78-D338-4AE9-98BC-965F3506DCA0}">
      <text>
        <r>
          <rPr>
            <b/>
            <sz val="9"/>
            <color indexed="81"/>
            <rFont val="Tahoma"/>
            <family val="2"/>
          </rPr>
          <t>יניב שפירא:</t>
        </r>
        <r>
          <rPr>
            <sz val="9"/>
            <color indexed="81"/>
            <rFont val="Tahoma"/>
            <family val="2"/>
          </rPr>
          <t xml:space="preserve">
בנוסף B68</t>
        </r>
      </text>
    </comment>
    <comment ref="V147" authorId="0" shapeId="0" xr:uid="{699C7141-7026-4A43-823F-1BC35F93BE6C}">
      <text>
        <r>
          <rPr>
            <b/>
            <sz val="9"/>
            <color indexed="81"/>
            <rFont val="Tahoma"/>
            <family val="2"/>
          </rPr>
          <t>יניב שפירא:</t>
        </r>
        <r>
          <rPr>
            <sz val="9"/>
            <color indexed="81"/>
            <rFont val="Tahoma"/>
            <family val="2"/>
          </rPr>
          <t xml:space="preserve">
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r>
      </text>
    </comment>
    <comment ref="AF148" authorId="0" shapeId="0" xr:uid="{E08C4202-38A4-4F30-BD17-5C5A2B895F9D}">
      <text>
        <r>
          <rPr>
            <b/>
            <sz val="9"/>
            <color indexed="81"/>
            <rFont val="Tahoma"/>
            <family val="2"/>
          </rPr>
          <t>יניב שפירא:</t>
        </r>
        <r>
          <rPr>
            <sz val="9"/>
            <color indexed="81"/>
            <rFont val="Tahoma"/>
            <family val="2"/>
          </rPr>
          <t xml:space="preserve">
1 = מחליט מוקדם
2 = מחכה</t>
        </r>
      </text>
    </comment>
    <comment ref="V149" authorId="0" shapeId="0" xr:uid="{74CBB690-D29D-41F3-A641-3170FD2CE4E1}">
      <text>
        <r>
          <rPr>
            <b/>
            <sz val="9"/>
            <color indexed="81"/>
            <rFont val="Tahoma"/>
            <family val="2"/>
          </rPr>
          <t>יניב שפירא:</t>
        </r>
        <r>
          <rPr>
            <sz val="9"/>
            <color indexed="81"/>
            <rFont val="Tahoma"/>
            <family val="2"/>
          </rPr>
          <t xml:space="preserve">
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r>
      </text>
    </comment>
    <comment ref="A150" authorId="0" shapeId="0" xr:uid="{23852D45-D94B-409D-AD3D-680D12DDE094}">
      <text>
        <r>
          <rPr>
            <b/>
            <sz val="9"/>
            <color indexed="81"/>
            <rFont val="Tahoma"/>
            <family val="2"/>
          </rPr>
          <t>יניב שפירא:</t>
        </r>
        <r>
          <rPr>
            <sz val="9"/>
            <color indexed="81"/>
            <rFont val="Tahoma"/>
            <family val="2"/>
          </rPr>
          <t xml:space="preserve">
בהמשך לשאלה a27
דרך נוספת</t>
        </r>
      </text>
    </comment>
    <comment ref="V151" authorId="0" shapeId="0" xr:uid="{ED911D92-F82F-4A5D-A19F-319098F97499}">
      <text>
        <r>
          <rPr>
            <b/>
            <sz val="9"/>
            <color indexed="81"/>
            <rFont val="Tahoma"/>
            <family val="2"/>
          </rPr>
          <t>יניב שפירא:</t>
        </r>
        <r>
          <rPr>
            <sz val="9"/>
            <color indexed="81"/>
            <rFont val="Tahoma"/>
            <family val="2"/>
          </rPr>
          <t xml:space="preserve">
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r>
      </text>
    </comment>
    <comment ref="AF151" authorId="0" shapeId="0" xr:uid="{5D859220-FD3E-4DEA-B454-A0DFF2D491C7}">
      <text>
        <r>
          <rPr>
            <b/>
            <sz val="9"/>
            <color indexed="81"/>
            <rFont val="Tahoma"/>
            <family val="2"/>
          </rPr>
          <t>יניב שפירא:</t>
        </r>
        <r>
          <rPr>
            <sz val="9"/>
            <color indexed="81"/>
            <rFont val="Tahoma"/>
            <family val="2"/>
          </rPr>
          <t xml:space="preserve">
פתוח</t>
        </r>
      </text>
    </comment>
    <comment ref="A152" authorId="0" shapeId="0" xr:uid="{AA79D10E-EE23-4C30-BBE4-08B8DD7B57FE}">
      <text>
        <r>
          <rPr>
            <b/>
            <sz val="9"/>
            <color indexed="81"/>
            <rFont val="Tahoma"/>
            <family val="2"/>
          </rPr>
          <t>יניב שפירא:</t>
        </r>
        <r>
          <rPr>
            <sz val="9"/>
            <color indexed="81"/>
            <rFont val="Tahoma"/>
            <family val="2"/>
          </rPr>
          <t xml:space="preserve">
בהמשך לשאלה a29</t>
        </r>
      </text>
    </comment>
    <comment ref="W153" authorId="0" shapeId="0" xr:uid="{FE3D0723-9215-4D42-B2E1-02D44CF41160}">
      <text>
        <r>
          <rPr>
            <b/>
            <sz val="9"/>
            <color indexed="81"/>
            <rFont val="Tahoma"/>
            <charset val="177"/>
          </rPr>
          <t>יניב שפירא:</t>
        </r>
        <r>
          <rPr>
            <sz val="9"/>
            <color indexed="81"/>
            <rFont val="Tahoma"/>
            <charset val="177"/>
          </rPr>
          <t xml:space="preserve">
1 = בעד המפלגה עבורה אצביע
2 = נגד מפלגה אחרת
3 = שתי הסיבות נכונות
4 = לא יודע לא חשבתי על זה
</t>
        </r>
      </text>
    </comment>
    <comment ref="W154" authorId="0" shapeId="0" xr:uid="{74141190-380F-4317-A013-2100B9F15AEA}">
      <text>
        <r>
          <rPr>
            <b/>
            <sz val="9"/>
            <color indexed="81"/>
            <rFont val="Tahoma"/>
            <charset val="177"/>
          </rPr>
          <t>יניב שפירא:</t>
        </r>
        <r>
          <rPr>
            <sz val="9"/>
            <color indexed="81"/>
            <rFont val="Tahoma"/>
            <charset val="177"/>
          </rPr>
          <t xml:space="preserve">
1 = כן
2 = לא
3 = לא הצבעתי בעבר</t>
        </r>
      </text>
    </comment>
    <comment ref="W157" authorId="0" shapeId="0" xr:uid="{FC02A639-7B48-4EF5-8F25-9E9B6F697F24}">
      <text>
        <r>
          <rPr>
            <b/>
            <sz val="9"/>
            <color indexed="81"/>
            <rFont val="Tahoma"/>
            <charset val="177"/>
          </rPr>
          <t>יניב שפירא:</t>
        </r>
        <r>
          <rPr>
            <sz val="9"/>
            <color indexed="81"/>
            <rFont val="Tahoma"/>
            <charset val="177"/>
          </rPr>
          <t xml:space="preserve">
1 = ישפיע במידה רבה
2 = ישפיע במידה מסויימת
3 = ישפיע במידה מועטה
4 = לא ישפיע כלל</t>
        </r>
      </text>
    </comment>
    <comment ref="W158" authorId="0" shapeId="0" xr:uid="{EA2FC2A3-BB63-44DD-BDDA-B4CD8E2B665C}">
      <text>
        <r>
          <rPr>
            <b/>
            <sz val="9"/>
            <color indexed="81"/>
            <rFont val="Tahoma"/>
            <charset val="177"/>
          </rPr>
          <t>יניב שפירא:</t>
        </r>
        <r>
          <rPr>
            <sz val="9"/>
            <color indexed="81"/>
            <rFont val="Tahoma"/>
            <charset val="177"/>
          </rPr>
          <t xml:space="preserve">
1 = כן
2 = לא
3 = לא החלטתי
4 = לא אצביע</t>
        </r>
      </text>
    </comment>
    <comment ref="X159" authorId="0" shapeId="0" xr:uid="{0783D078-EEED-4A93-AD98-390E55F9A68F}">
      <text>
        <r>
          <rPr>
            <b/>
            <sz val="9"/>
            <color indexed="81"/>
            <rFont val="Tahoma"/>
            <charset val="177"/>
          </rPr>
          <t>יניב שפירא:</t>
        </r>
        <r>
          <rPr>
            <sz val="9"/>
            <color indexed="81"/>
            <rFont val="Tahoma"/>
            <charset val="177"/>
          </rPr>
          <t xml:space="preserve">
1 = אמון בהנגת המפלגה שהצבעתי לה
2 = אי אמון של הממשלה בראשות המערך
3 = הרצון למחות נגד שלטון המערך
4 = הרצון לתמוך בשלטון המערך
5 = פחד מפני קיצוניות הליכוד</t>
        </r>
      </text>
    </comment>
    <comment ref="X160" authorId="0" shapeId="0" xr:uid="{982E588E-74B4-4FAE-8E20-347318061A2F}">
      <text>
        <r>
          <rPr>
            <b/>
            <sz val="9"/>
            <color indexed="81"/>
            <rFont val="Tahoma"/>
            <charset val="177"/>
          </rPr>
          <t>יניב שפירא:</t>
        </r>
        <r>
          <rPr>
            <sz val="9"/>
            <color indexed="81"/>
            <rFont val="Tahoma"/>
            <charset val="177"/>
          </rPr>
          <t xml:space="preserve">
1 = בטחון
2 = כלכלה
3 = פער חברתי
4 = שלום
5 = זוגות צעירים
6 = שינוי שיטת הבחירות
7 = קליטת עליה
8 = חינוך
9 = אחר</t>
        </r>
      </text>
    </comment>
    <comment ref="X161" authorId="0" shapeId="0" xr:uid="{C228E09D-4762-4B99-B316-73B37DA5EC0D}">
      <text>
        <r>
          <rPr>
            <b/>
            <sz val="9"/>
            <color indexed="81"/>
            <rFont val="Tahoma"/>
            <charset val="177"/>
          </rPr>
          <t>יניב שפירא:</t>
        </r>
        <r>
          <rPr>
            <sz val="9"/>
            <color indexed="81"/>
            <rFont val="Tahoma"/>
            <charset val="177"/>
          </rPr>
          <t xml:space="preserve">
1 = בטוח מאד
2 = בטוח
3 = לא כ"כ בטוח
4 = בכלל לא בטוח</t>
        </r>
      </text>
    </comment>
    <comment ref="AA162" authorId="0" shapeId="0" xr:uid="{84C0F11C-E8EC-4464-9B50-00F3FF770C71}">
      <text>
        <r>
          <rPr>
            <b/>
            <sz val="9"/>
            <color indexed="81"/>
            <rFont val="Tahoma"/>
            <charset val="177"/>
          </rPr>
          <t>יניב שפירא:</t>
        </r>
        <r>
          <rPr>
            <sz val="9"/>
            <color indexed="81"/>
            <rFont val="Tahoma"/>
            <charset val="177"/>
          </rPr>
          <t xml:space="preserve">
1 = בטוח שאשנה
2 = חושב שאשנה
3 = חושב שלא אשנה
4 = בטוח שאשנה</t>
        </r>
      </text>
    </comment>
    <comment ref="AF163" authorId="0" shapeId="0" xr:uid="{68D73041-775B-486A-8C58-803404904173}">
      <text>
        <r>
          <rPr>
            <b/>
            <sz val="9"/>
            <color indexed="81"/>
            <rFont val="Tahoma"/>
            <family val="2"/>
          </rPr>
          <t>יניב שפירא:</t>
        </r>
        <r>
          <rPr>
            <sz val="9"/>
            <color indexed="81"/>
            <rFont val="Tahoma"/>
            <family val="2"/>
          </rPr>
          <t xml:space="preserve">
1 = בטוח שכן
2 = חושב שכן
3 = חושב שלא
4 = בטוח שלא</t>
        </r>
      </text>
    </comment>
    <comment ref="AA164" authorId="0" shapeId="0" xr:uid="{4FA6A769-5CC7-4BD4-9139-D81F98C16A2B}">
      <text>
        <r>
          <rPr>
            <b/>
            <sz val="9"/>
            <color indexed="81"/>
            <rFont val="Tahoma"/>
            <charset val="177"/>
          </rPr>
          <t>יניב שפירא:</t>
        </r>
        <r>
          <rPr>
            <sz val="9"/>
            <color indexed="81"/>
            <rFont val="Tahoma"/>
            <charset val="177"/>
          </rPr>
          <t xml:space="preserve">
1 = בטוח שאשנה
2 = חושב שאשנה
3 = חושב שלא אשנה
4 = בטוח לא אשנה
5 = אם זה יקרה, לא אצביע כלל
6 = לא אצביע בלאו הכי
7 = לא תומך באף מפלגה</t>
        </r>
      </text>
    </comment>
    <comment ref="AH164" authorId="0" shapeId="0" xr:uid="{1B06ECA9-8702-467F-87DF-09E10D9F0C64}">
      <text>
        <r>
          <rPr>
            <b/>
            <sz val="9"/>
            <color indexed="81"/>
            <rFont val="Tahoma"/>
            <charset val="177"/>
          </rPr>
          <t>יניב שפירא:</t>
        </r>
        <r>
          <rPr>
            <sz val="9"/>
            <color indexed="81"/>
            <rFont val="Tahoma"/>
            <charset val="177"/>
          </rPr>
          <t xml:space="preserve">
1 = אשנה
2 = לא אשנה
3 = לא אצביע כלל אם ככה
4 = אין נושא חשוב במיוחד</t>
        </r>
      </text>
    </comment>
    <comment ref="AA165" authorId="0" shapeId="0" xr:uid="{CC41F268-3886-4B10-8F6E-8273536C347A}">
      <text>
        <r>
          <rPr>
            <b/>
            <sz val="9"/>
            <color indexed="81"/>
            <rFont val="Tahoma"/>
            <charset val="177"/>
          </rPr>
          <t>יניב שפירא:</t>
        </r>
        <r>
          <rPr>
            <sz val="9"/>
            <color indexed="81"/>
            <rFont val="Tahoma"/>
            <charset val="177"/>
          </rPr>
          <t xml:space="preserve">
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r>
      </text>
    </comment>
    <comment ref="AH165" authorId="0" shapeId="0" xr:uid="{3C3F0EB7-95C4-4C5E-BD74-BAD2FAA404E8}">
      <text>
        <r>
          <rPr>
            <b/>
            <sz val="9"/>
            <color indexed="81"/>
            <rFont val="Tahoma"/>
            <charset val="177"/>
          </rPr>
          <t>יניב שפירא:</t>
        </r>
        <r>
          <rPr>
            <sz val="9"/>
            <color indexed="81"/>
            <rFont val="Tahoma"/>
            <charset val="177"/>
          </rPr>
          <t xml:space="preserve">
1 = אצביע בכל זאת
2 = לא אצביע לה
3 = לא אצביע בכלל
4 = אין מועמד מסוים</t>
        </r>
      </text>
    </comment>
    <comment ref="AA166" authorId="0" shapeId="0" xr:uid="{3D66B580-7D56-4B07-BAB9-E375619EC4DE}">
      <text>
        <r>
          <rPr>
            <b/>
            <sz val="9"/>
            <color indexed="81"/>
            <rFont val="Tahoma"/>
            <charset val="177"/>
          </rPr>
          <t>יניב שפירא:</t>
        </r>
        <r>
          <rPr>
            <sz val="9"/>
            <color indexed="81"/>
            <rFont val="Tahoma"/>
            <charset val="177"/>
          </rPr>
          <t xml:space="preserve">
1 = מפ"ם
2 = מפלגת העבודה
3 = אף אחד מהם</t>
        </r>
      </text>
    </comment>
    <comment ref="AB167" authorId="0" shapeId="0" xr:uid="{843CF6D2-C31A-46C7-BE3E-77324C8D32BB}">
      <text>
        <r>
          <rPr>
            <b/>
            <sz val="9"/>
            <color indexed="81"/>
            <rFont val="Tahoma"/>
            <family val="2"/>
          </rPr>
          <t>יניב שפירא:</t>
        </r>
        <r>
          <rPr>
            <sz val="9"/>
            <color indexed="81"/>
            <rFont val="Tahoma"/>
            <family val="2"/>
          </rPr>
          <t xml:space="preserve">
1 = כן
2 = לא
3 = לא בחרתי ב1969
4 = לא הצבעתי הפעם</t>
        </r>
      </text>
    </comment>
    <comment ref="AB168" authorId="0" shapeId="0" xr:uid="{ED93F7DE-9B5A-4CE2-A3F2-CDBC981BA20A}">
      <text>
        <r>
          <rPr>
            <b/>
            <sz val="9"/>
            <color indexed="81"/>
            <rFont val="Tahoma"/>
            <family val="2"/>
          </rPr>
          <t>יניב שפירא:</t>
        </r>
        <r>
          <rPr>
            <sz val="9"/>
            <color indexed="81"/>
            <rFont val="Tahoma"/>
            <family val="2"/>
          </rPr>
          <t xml:space="preserve">
1 = כן
2 = לא
3 = לא הצבעתי</t>
        </r>
      </text>
    </comment>
    <comment ref="AD168" authorId="0" shapeId="0" xr:uid="{2F0B5743-4FC0-451D-8C76-05BD772DBCF1}">
      <text>
        <r>
          <rPr>
            <b/>
            <sz val="9"/>
            <color indexed="81"/>
            <rFont val="Tahoma"/>
            <charset val="177"/>
          </rPr>
          <t>יניב שפירא:</t>
        </r>
        <r>
          <rPr>
            <sz val="9"/>
            <color indexed="81"/>
            <rFont val="Tahoma"/>
            <charset val="177"/>
          </rPr>
          <t xml:space="preserve">
1 = כן
2 = לא
3 = מתלבט</t>
        </r>
      </text>
    </comment>
    <comment ref="AB169" authorId="0" shapeId="0" xr:uid="{92270FB5-23F7-4B3E-A640-296D76D00145}">
      <text>
        <r>
          <rPr>
            <b/>
            <sz val="9"/>
            <color indexed="81"/>
            <rFont val="Tahoma"/>
            <family val="2"/>
          </rPr>
          <t>יניב שפירא:</t>
        </r>
        <r>
          <rPr>
            <sz val="9"/>
            <color indexed="81"/>
            <rFont val="Tahoma"/>
            <family val="2"/>
          </rPr>
          <t xml:space="preserve">
1 = קשה מאד
2 = קשה
3 = לא כ"כ קשה
4 = בכלל לא קשה</t>
        </r>
      </text>
    </comment>
    <comment ref="AB170" authorId="0" shapeId="0" xr:uid="{832D743B-959B-432E-94A1-765842E695FA}">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AB171" authorId="0" shapeId="0" xr:uid="{759A5EC3-1756-4F76-94E8-E0E88A48594A}">
      <text>
        <r>
          <rPr>
            <b/>
            <sz val="9"/>
            <color indexed="81"/>
            <rFont val="Tahoma"/>
            <family val="2"/>
          </rPr>
          <t>יניב שפירא:</t>
        </r>
        <r>
          <rPr>
            <sz val="9"/>
            <color indexed="81"/>
            <rFont val="Tahoma"/>
            <family val="2"/>
          </rPr>
          <t xml:space="preserve">
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r>
      </text>
    </comment>
    <comment ref="AF171" authorId="0" shapeId="0" xr:uid="{630B3904-693F-47AC-9250-C38DAE1105BF}">
      <text>
        <r>
          <rPr>
            <b/>
            <sz val="9"/>
            <color indexed="81"/>
            <rFont val="Tahoma"/>
            <charset val="177"/>
          </rPr>
          <t>יניב שפירא:</t>
        </r>
        <r>
          <rPr>
            <sz val="9"/>
            <color indexed="81"/>
            <rFont val="Tahoma"/>
            <charset val="177"/>
          </rPr>
          <t xml:space="preserve">
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r>
      </text>
    </comment>
    <comment ref="AH172" authorId="0" shapeId="0" xr:uid="{C8CFFD8D-00D0-4272-993F-5E0182ABA750}">
      <text>
        <r>
          <rPr>
            <b/>
            <sz val="9"/>
            <color indexed="81"/>
            <rFont val="Tahoma"/>
            <charset val="177"/>
          </rPr>
          <t>יניב שפירא:</t>
        </r>
        <r>
          <rPr>
            <sz val="9"/>
            <color indexed="81"/>
            <rFont val="Tahoma"/>
            <charset val="177"/>
          </rPr>
          <t xml:space="preserve">
1 = כן
2 = לא
3 = טרם החלטתי</t>
        </r>
      </text>
    </comment>
    <comment ref="AG174" authorId="0" shapeId="0" xr:uid="{5A9B859F-0663-4217-9CA3-D2F065BBE723}">
      <text>
        <r>
          <rPr>
            <b/>
            <sz val="9"/>
            <color indexed="81"/>
            <rFont val="Tahoma"/>
            <family val="2"/>
          </rPr>
          <t>יניב שפירא:</t>
        </r>
        <r>
          <rPr>
            <sz val="9"/>
            <color indexed="81"/>
            <rFont val="Tahoma"/>
            <family val="2"/>
          </rPr>
          <t xml:space="preserve">
1965</t>
        </r>
      </text>
    </comment>
    <comment ref="AG175" authorId="0" shapeId="0" xr:uid="{9F2A0880-5E9C-46B6-B694-93CD3124DAA3}">
      <text>
        <r>
          <rPr>
            <b/>
            <sz val="9"/>
            <color indexed="81"/>
            <rFont val="Tahoma"/>
            <family val="2"/>
          </rPr>
          <t>יניב שפירא:</t>
        </r>
        <r>
          <rPr>
            <sz val="9"/>
            <color indexed="81"/>
            <rFont val="Tahoma"/>
            <family val="2"/>
          </rPr>
          <t xml:space="preserve">
1 = יש גורם אחד חשוב בהרבה מהיתר
2 = יש גורם אחד שהוא קצת יותר חשוב מהיתר
3 = כל הגורמים חשובים באותה מידה
4 = אף אחד מהגורמים לא חשוב</t>
        </r>
      </text>
    </comment>
    <comment ref="AG176" authorId="0" shapeId="0" xr:uid="{7D790291-1AD2-4DFA-BECE-45BEEF7197D6}">
      <text>
        <r>
          <rPr>
            <b/>
            <sz val="9"/>
            <color indexed="81"/>
            <rFont val="Tahoma"/>
            <family val="2"/>
          </rPr>
          <t>יניב שפירא:</t>
        </r>
        <r>
          <rPr>
            <sz val="9"/>
            <color indexed="81"/>
            <rFont val="Tahoma"/>
            <family val="2"/>
          </rPr>
          <t xml:space="preserve">
1 = הזדהות עם המפלגה
2 = מועמד המפלגה
3 = עמדות המפלגה
4 = מקומה של המפלגה
5 = אף אחד מאלו
6 = אחר</t>
        </r>
      </text>
    </comment>
    <comment ref="AB177" authorId="0" shapeId="0" xr:uid="{71D8FFDC-75B2-4982-AA84-B1D9826F1369}">
      <text>
        <r>
          <rPr>
            <b/>
            <sz val="9"/>
            <color indexed="81"/>
            <rFont val="Tahoma"/>
            <charset val="177"/>
          </rPr>
          <t>יניב שפירא:</t>
        </r>
        <r>
          <rPr>
            <sz val="9"/>
            <color indexed="81"/>
            <rFont val="Tahoma"/>
            <charset val="177"/>
          </rPr>
          <t xml:space="preserve">
1 = כן
2 = לא
3 = הרשימה שהצבעתי לעירייה לא רצה לכנסת
4 = לא הצבעתי לכנסת
5 = לא הצבעתי לעירייה
6 = לא הצבעתי כלל</t>
        </r>
      </text>
    </comment>
    <comment ref="AG177" authorId="0" shapeId="0" xr:uid="{5B3964F0-856A-4F89-8C7B-3906D93E47F0}">
      <text>
        <r>
          <rPr>
            <b/>
            <sz val="9"/>
            <color indexed="81"/>
            <rFont val="Tahoma"/>
            <family val="2"/>
          </rPr>
          <t>יניב שפירא:</t>
        </r>
        <r>
          <rPr>
            <sz val="9"/>
            <color indexed="81"/>
            <rFont val="Tahoma"/>
            <family val="2"/>
          </rPr>
          <t xml:space="preserve">
1 = כן
2 = לא
3 = לא אצביע לעירייה
4 = טרם החלטתי למי להצביע לעירייה
5 = לא אצביע לכנסת
6 = טרם החלטתי למי להצביע לכנסת</t>
        </r>
      </text>
    </comment>
    <comment ref="AC179" authorId="0" shapeId="0" xr:uid="{E16EA818-3C28-4A6D-A842-E1535F56B264}">
      <text>
        <r>
          <rPr>
            <b/>
            <sz val="9"/>
            <color indexed="81"/>
            <rFont val="Tahoma"/>
            <charset val="177"/>
          </rPr>
          <t>יניב שפירא:</t>
        </r>
        <r>
          <rPr>
            <sz val="9"/>
            <color indexed="81"/>
            <rFont val="Tahoma"/>
            <charset val="177"/>
          </rPr>
          <t xml:space="preserve">
1 = במידה רבה
2 = במידה מסוימת
3 = במידה מועטה
4 = בכלל לא
5 = אין לי בן/בת זוג</t>
        </r>
      </text>
    </comment>
    <comment ref="AC180" authorId="0" shapeId="0" xr:uid="{16F239D7-006C-4114-BC65-F2D76DA447E6}">
      <text>
        <r>
          <rPr>
            <b/>
            <sz val="9"/>
            <color indexed="81"/>
            <rFont val="Tahoma"/>
            <charset val="177"/>
          </rPr>
          <t>יניב שפירא:</t>
        </r>
        <r>
          <rPr>
            <sz val="9"/>
            <color indexed="81"/>
            <rFont val="Tahoma"/>
            <charset val="177"/>
          </rPr>
          <t xml:space="preserve">
1 = הרבה יותר קשה
2 = קצת יותר קשה
3 = באותה מידה
4 = קצת פחות קשה
5 = הרבה פחות קשה</t>
        </r>
      </text>
    </comment>
    <comment ref="A181" authorId="0" shapeId="0" xr:uid="{61A0EF03-8C6E-4E15-BD29-EDC719C9EFCE}">
      <text>
        <r>
          <rPr>
            <b/>
            <sz val="9"/>
            <color indexed="81"/>
            <rFont val="Tahoma"/>
            <charset val="177"/>
          </rPr>
          <t>יניב שפירא:</t>
        </r>
        <r>
          <rPr>
            <sz val="9"/>
            <color indexed="81"/>
            <rFont val="Tahoma"/>
            <charset val="177"/>
          </rPr>
          <t xml:space="preserve">
לנשים בלבד</t>
        </r>
      </text>
    </comment>
    <comment ref="AC181" authorId="0" shapeId="0" xr:uid="{6D081166-C5CB-4120-90B5-1CA987703BF2}">
      <text>
        <r>
          <rPr>
            <b/>
            <sz val="9"/>
            <color indexed="81"/>
            <rFont val="Tahoma"/>
            <charset val="177"/>
          </rPr>
          <t>יניב שפירא:</t>
        </r>
        <r>
          <rPr>
            <sz val="9"/>
            <color indexed="81"/>
            <rFont val="Tahoma"/>
            <charset val="177"/>
          </rPr>
          <t xml:space="preserve">
1 = כן בהחלט
2 = חושבת שכן
3 = חושבת שלא
4 = בכלל לא
5 = לא יודעת בעד מי בעלי רוצה שאצביע
6 = לא חשוב לו עבור מי אצביע
7 = אני גבר</t>
        </r>
      </text>
    </comment>
    <comment ref="AC182" authorId="0" shapeId="0" xr:uid="{7DE26275-8478-4A14-BCC9-ECC4613D7A2B}">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C183" authorId="0" shapeId="0" xr:uid="{4BD19C9A-8D27-4BDE-B34E-6A777243AD24}">
      <text>
        <r>
          <rPr>
            <b/>
            <sz val="9"/>
            <color indexed="81"/>
            <rFont val="Tahoma"/>
            <charset val="177"/>
          </rPr>
          <t>יניב שפירא:</t>
        </r>
        <r>
          <rPr>
            <sz val="9"/>
            <color indexed="81"/>
            <rFont val="Tahoma"/>
            <charset val="177"/>
          </rPr>
          <t xml:space="preserve">
1 = הוא לא צריך להצביע
2 = הוא צריך לשים פתק לבן
3 = הוא צריך להצביע למפלגה כלשהי</t>
        </r>
      </text>
    </comment>
    <comment ref="AG184" authorId="0" shapeId="0" xr:uid="{4765A65A-F26F-4BC0-A5B3-E86948988956}">
      <text>
        <r>
          <rPr>
            <b/>
            <sz val="9"/>
            <color indexed="81"/>
            <rFont val="Tahoma"/>
            <family val="2"/>
          </rPr>
          <t>יניב שפירא:</t>
        </r>
        <r>
          <rPr>
            <sz val="9"/>
            <color indexed="81"/>
            <rFont val="Tahoma"/>
            <family val="2"/>
          </rPr>
          <t xml:space="preserve">
1 = מסכים בהחלט
2 = במידה מסויימת
3 = מסתייג
4 = מתנגד בהחלט</t>
        </r>
      </text>
    </comment>
    <comment ref="AC185" authorId="0" shapeId="0" xr:uid="{8108787F-C090-41D7-85E1-67DDEE369B41}">
      <text>
        <r>
          <rPr>
            <b/>
            <sz val="9"/>
            <color indexed="81"/>
            <rFont val="Tahoma"/>
            <charset val="177"/>
          </rPr>
          <t>יניב שפירא:</t>
        </r>
        <r>
          <rPr>
            <sz val="9"/>
            <color indexed="81"/>
            <rFont val="Tahoma"/>
            <charset val="177"/>
          </rPr>
          <t xml:space="preserve">
1 = חשוב מאד
2 = חשוב
3 = לא כ"כ חשוב
4 = לא חשוב כלל</t>
        </r>
      </text>
    </comment>
    <comment ref="AC186" authorId="0" shapeId="0" xr:uid="{94408EE5-82B4-4EE8-9CC2-BD15FFA69752}">
      <text>
        <r>
          <rPr>
            <b/>
            <sz val="9"/>
            <color indexed="81"/>
            <rFont val="Tahoma"/>
            <charset val="177"/>
          </rPr>
          <t>יניב שפירא:</t>
        </r>
        <r>
          <rPr>
            <sz val="9"/>
            <color indexed="81"/>
            <rFont val="Tahoma"/>
            <charset val="177"/>
          </rPr>
          <t xml:space="preserve">
1 = העיקר זה להצביע
2 = העיקר המפלגה</t>
        </r>
      </text>
    </comment>
    <comment ref="AD187" authorId="0" shapeId="0" xr:uid="{B3FDD1B2-FD7F-4744-9AF5-6686FB212925}">
      <text>
        <r>
          <rPr>
            <b/>
            <sz val="9"/>
            <color indexed="81"/>
            <rFont val="Tahoma"/>
            <charset val="177"/>
          </rPr>
          <t>יניב שפירא:</t>
        </r>
        <r>
          <rPr>
            <sz val="9"/>
            <color indexed="81"/>
            <rFont val="Tahoma"/>
            <charset val="177"/>
          </rPr>
          <t xml:space="preserve">
1 = כן
2 = לא
3 = לא בחרתי פעם קודמת</t>
        </r>
      </text>
    </comment>
    <comment ref="AE188" authorId="0" shapeId="0" xr:uid="{E79204F5-93C3-4E02-A6EE-7D7F17E32DF9}">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190" authorId="0" shapeId="0" xr:uid="{0EF57AFD-3AE1-4C2B-92F0-133B2B6C4D01}">
      <text>
        <r>
          <rPr>
            <b/>
            <sz val="9"/>
            <color indexed="81"/>
            <rFont val="Tahoma"/>
            <charset val="177"/>
          </rPr>
          <t>יניב שפירא:</t>
        </r>
        <r>
          <rPr>
            <sz val="9"/>
            <color indexed="81"/>
            <rFont val="Tahoma"/>
            <charset val="177"/>
          </rPr>
          <t xml:space="preserve">
1 = כן
2 = לא</t>
        </r>
      </text>
    </comment>
    <comment ref="AE191" authorId="0" shapeId="0" xr:uid="{4A6972BB-6F7F-4B8E-A10D-E329A7F141F3}">
      <text>
        <r>
          <rPr>
            <b/>
            <sz val="9"/>
            <color indexed="81"/>
            <rFont val="Tahoma"/>
            <charset val="177"/>
          </rPr>
          <t>יניב שפירא:</t>
        </r>
        <r>
          <rPr>
            <sz val="9"/>
            <color indexed="81"/>
            <rFont val="Tahoma"/>
            <charset val="177"/>
          </rPr>
          <t xml:space="preserve">
9 = לא הצביע בחו"ל</t>
        </r>
      </text>
    </comment>
    <comment ref="A192" authorId="0" shapeId="0" xr:uid="{AB19C3BF-941A-4300-A1FE-D49B890907AF}">
      <text>
        <r>
          <rPr>
            <b/>
            <sz val="9"/>
            <color indexed="81"/>
            <rFont val="Tahoma"/>
            <family val="2"/>
          </rPr>
          <t>יניב שפירא:</t>
        </r>
        <r>
          <rPr>
            <sz val="9"/>
            <color indexed="81"/>
            <rFont val="Tahoma"/>
            <family val="2"/>
          </rPr>
          <t xml:space="preserve">
הבעיה שציין ב"ישראל כללי" שורה 4</t>
        </r>
      </text>
    </comment>
    <comment ref="AE192" authorId="0" shapeId="0" xr:uid="{2118A057-DDA0-487B-B1BB-5C3DA064BA5B}">
      <text>
        <r>
          <rPr>
            <b/>
            <sz val="9"/>
            <color indexed="81"/>
            <rFont val="Tahoma"/>
            <family val="2"/>
          </rPr>
          <t>יניב שפירא:</t>
        </r>
        <r>
          <rPr>
            <sz val="9"/>
            <color indexed="81"/>
            <rFont val="Tahoma"/>
            <family val="2"/>
          </rPr>
          <t xml:space="preserve">
1 = מאוד משפיעה
2 = משפיעה
3 = לא כ"כ משפיעה
4 = לא משפיעה כלל
5 = לא מזדהה עם אף מפלגה</t>
        </r>
      </text>
    </comment>
    <comment ref="A193" authorId="0" shapeId="0" xr:uid="{071E444B-87EC-4841-A8EA-EB13E47EA8E6}">
      <text>
        <r>
          <rPr>
            <b/>
            <sz val="9"/>
            <color indexed="81"/>
            <rFont val="Tahoma"/>
            <family val="2"/>
          </rPr>
          <t>יניב שפירא:</t>
        </r>
        <r>
          <rPr>
            <sz val="9"/>
            <color indexed="81"/>
            <rFont val="Tahoma"/>
            <family val="2"/>
          </rPr>
          <t xml:space="preserve">
הבעייה שציין ב"ישראל כללי"
שורה 5</t>
        </r>
      </text>
    </comment>
    <comment ref="AE193" authorId="0" shapeId="0" xr:uid="{0662B917-F289-47E7-B6EE-66D20CF3B4BD}">
      <text>
        <r>
          <rPr>
            <b/>
            <sz val="9"/>
            <color indexed="81"/>
            <rFont val="Tahoma"/>
            <family val="2"/>
          </rPr>
          <t>יניב שפירא:</t>
        </r>
        <r>
          <rPr>
            <sz val="9"/>
            <color indexed="81"/>
            <rFont val="Tahoma"/>
            <family val="2"/>
          </rPr>
          <t xml:space="preserve">
1 = מאוד משפיעה
2 = משפיעה
3 = לא כ"כ משפיעה
4 = לא משפיעה כלל
5 = לא מזדהה עם אף מפלגה</t>
        </r>
      </text>
    </comment>
    <comment ref="AE194" authorId="0" shapeId="0" xr:uid="{BE9AED55-F8EB-442B-AE39-5C395B796D55}">
      <text>
        <r>
          <rPr>
            <b/>
            <sz val="9"/>
            <color indexed="81"/>
            <rFont val="Tahoma"/>
            <charset val="177"/>
          </rPr>
          <t>יניב שפירא:</t>
        </r>
        <r>
          <rPr>
            <sz val="9"/>
            <color indexed="81"/>
            <rFont val="Tahoma"/>
            <charset val="177"/>
          </rPr>
          <t xml:space="preserve">
1 = מאוד תשפיע
2 = תשפיע
3 = לא כ"כ תשפיע
4 = לא תשפיע כלל</t>
        </r>
      </text>
    </comment>
    <comment ref="AG195" authorId="0" shapeId="0" xr:uid="{F465AF9C-C82F-4A40-B30B-580FA40FF5BE}">
      <text>
        <r>
          <rPr>
            <b/>
            <sz val="9"/>
            <color indexed="81"/>
            <rFont val="Tahoma"/>
            <family val="2"/>
          </rPr>
          <t>יניב שפירא:</t>
        </r>
        <r>
          <rPr>
            <sz val="9"/>
            <color indexed="81"/>
            <rFont val="Tahoma"/>
            <family val="2"/>
          </rPr>
          <t xml:space="preserve">
1 = מחזק את עמדתי להצביע עבור הרשימה שבחרתי בה
2 = לא השפיע כלל
3 = השפיע עליי לשנות את החלטתי</t>
        </r>
      </text>
    </comment>
    <comment ref="D196" authorId="0" shapeId="0" xr:uid="{7292B565-38C0-497E-9F0C-9F705957B522}">
      <text>
        <r>
          <rPr>
            <b/>
            <sz val="9"/>
            <color indexed="81"/>
            <rFont val="Tahoma"/>
            <family val="2"/>
          </rPr>
          <t>יניב שפירא:</t>
        </r>
        <r>
          <rPr>
            <sz val="9"/>
            <color indexed="81"/>
            <rFont val="Tahoma"/>
            <family val="2"/>
          </rPr>
          <t xml:space="preserve">
1 = כלל לא ישפיע
2 = ישפיע במידה מועטה
3 = ישפיע במידה מסוימת
4 = ישפיע במידה רבה</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X1" authorId="0" shapeId="0" xr:uid="{F771B141-83E2-4117-9134-E192A8619B2A}">
      <text>
        <r>
          <rPr>
            <b/>
            <sz val="9"/>
            <color indexed="81"/>
            <rFont val="Tahoma"/>
            <charset val="177"/>
          </rPr>
          <t>יניב שפירא:</t>
        </r>
        <r>
          <rPr>
            <sz val="9"/>
            <color indexed="81"/>
            <rFont val="Tahoma"/>
            <charset val="177"/>
          </rPr>
          <t xml:space="preserve">
post election</t>
        </r>
      </text>
    </comment>
    <comment ref="AB1" authorId="0" shapeId="0" xr:uid="{63C6A467-E976-4782-AA08-EE386D34771C}">
      <text>
        <r>
          <rPr>
            <b/>
            <sz val="9"/>
            <color indexed="81"/>
            <rFont val="Tahoma"/>
            <charset val="177"/>
          </rPr>
          <t>יניב שפירא:</t>
        </r>
        <r>
          <rPr>
            <sz val="9"/>
            <color indexed="81"/>
            <rFont val="Tahoma"/>
            <charset val="177"/>
          </rPr>
          <t xml:space="preserve">
post Kippur + post election</t>
        </r>
      </text>
    </comment>
    <comment ref="AC1" authorId="0" shapeId="0" xr:uid="{E8A427C0-211B-4152-AD1C-26AF7B1DDE42}">
      <text>
        <r>
          <rPr>
            <b/>
            <sz val="9"/>
            <color indexed="81"/>
            <rFont val="Tahoma"/>
            <charset val="177"/>
          </rPr>
          <t>יניב שפירא:</t>
        </r>
        <r>
          <rPr>
            <sz val="9"/>
            <color indexed="81"/>
            <rFont val="Tahoma"/>
            <charset val="177"/>
          </rPr>
          <t xml:space="preserve">
post Kippur</t>
        </r>
      </text>
    </comment>
    <comment ref="AD1" authorId="0" shapeId="0" xr:uid="{B7BB7088-BEC3-46C7-8BD4-34D9B954935E}">
      <text>
        <r>
          <rPr>
            <b/>
            <sz val="9"/>
            <color indexed="81"/>
            <rFont val="Tahoma"/>
            <charset val="177"/>
          </rPr>
          <t>יניב שפירא:</t>
        </r>
        <r>
          <rPr>
            <sz val="9"/>
            <color indexed="81"/>
            <rFont val="Tahoma"/>
            <charset val="177"/>
          </rPr>
          <t xml:space="preserve">
post Kippur</t>
        </r>
      </text>
    </comment>
    <comment ref="AG1" authorId="0" shapeId="0" xr:uid="{6E540E86-5974-4DAE-8997-AA08E7A81EBB}">
      <text>
        <r>
          <rPr>
            <b/>
            <sz val="9"/>
            <color indexed="81"/>
            <rFont val="Tahoma"/>
            <charset val="177"/>
          </rPr>
          <t>יניב שפירא:</t>
        </r>
        <r>
          <rPr>
            <sz val="9"/>
            <color indexed="81"/>
            <rFont val="Tahoma"/>
            <charset val="177"/>
          </rPr>
          <t xml:space="preserve">
pre + post election</t>
        </r>
      </text>
    </comment>
    <comment ref="M2" authorId="0" shapeId="0" xr:uid="{583970F4-B58D-4067-9B72-F87F9AB9EF7A}">
      <text>
        <r>
          <rPr>
            <b/>
            <sz val="9"/>
            <color indexed="81"/>
            <rFont val="Tahoma"/>
            <family val="2"/>
          </rPr>
          <t>יניב שפירא:</t>
        </r>
        <r>
          <rPr>
            <sz val="9"/>
            <color indexed="81"/>
            <rFont val="Tahoma"/>
            <family val="2"/>
          </rPr>
          <t xml:space="preserve">
1 = שרון
2 = ברק</t>
        </r>
      </text>
    </comment>
    <comment ref="N2" authorId="0" shapeId="0" xr:uid="{1B517FA6-1090-4308-99A2-B5963328DA14}">
      <text>
        <r>
          <rPr>
            <b/>
            <sz val="9"/>
            <color indexed="81"/>
            <rFont val="Tahoma"/>
            <family val="2"/>
          </rPr>
          <t>יניב שפירא:</t>
        </r>
        <r>
          <rPr>
            <sz val="9"/>
            <color indexed="81"/>
            <rFont val="Tahoma"/>
            <family val="2"/>
          </rPr>
          <t xml:space="preserve">
1 = נתניהו
2 = ברק
3 = מרדכי</t>
        </r>
      </text>
    </comment>
    <comment ref="O2" authorId="0" shapeId="0" xr:uid="{804EB2DC-F17A-4F77-81D5-692AAA095C43}">
      <text>
        <r>
          <rPr>
            <b/>
            <sz val="9"/>
            <color indexed="81"/>
            <rFont val="Tahoma"/>
            <family val="2"/>
          </rPr>
          <t>יניב שפירא:</t>
        </r>
        <r>
          <rPr>
            <sz val="9"/>
            <color indexed="81"/>
            <rFont val="Tahoma"/>
            <family val="2"/>
          </rPr>
          <t xml:space="preserve">
1 = נתניהו
2 = פרס
3 = לא יודע</t>
        </r>
      </text>
    </comment>
    <comment ref="N3" authorId="0" shapeId="0" xr:uid="{0E835075-F1FC-4B86-8396-B0D63D55DA82}">
      <text>
        <r>
          <rPr>
            <b/>
            <sz val="9"/>
            <color indexed="81"/>
            <rFont val="Tahoma"/>
            <family val="2"/>
          </rPr>
          <t>יניב שפירא:</t>
        </r>
        <r>
          <rPr>
            <sz val="9"/>
            <color indexed="81"/>
            <rFont val="Tahoma"/>
            <family val="2"/>
          </rPr>
          <t xml:space="preserve">
v60 + v61
שתי תשובות
1 = נתניהו
2 = ברק
3 = מרדכי
4 = בגין
5 = בשארה
6 = רפול</t>
        </r>
      </text>
    </comment>
    <comment ref="J4" authorId="0" shapeId="0" xr:uid="{248528E9-89D5-49BA-B24F-40133EC95C57}">
      <text>
        <r>
          <rPr>
            <b/>
            <sz val="9"/>
            <color indexed="81"/>
            <rFont val="Tahoma"/>
            <family val="2"/>
          </rPr>
          <t>יניב שפירא:</t>
        </r>
        <r>
          <rPr>
            <sz val="9"/>
            <color indexed="81"/>
            <rFont val="Tahoma"/>
            <family val="2"/>
          </rPr>
          <t xml:space="preserve">
ציון 0-100
0 = אין סיכוי
100 = בטוח שכן</t>
        </r>
      </text>
    </comment>
    <comment ref="J5" authorId="0" shapeId="0" xr:uid="{AB6F2524-361A-4868-9FE0-A65BAA1E22AB}">
      <text>
        <r>
          <rPr>
            <b/>
            <sz val="9"/>
            <color indexed="81"/>
            <rFont val="Tahoma"/>
            <family val="2"/>
          </rPr>
          <t>יניב שפירא:</t>
        </r>
        <r>
          <rPr>
            <sz val="9"/>
            <color indexed="81"/>
            <rFont val="Tahoma"/>
            <family val="2"/>
          </rPr>
          <t xml:space="preserve">
ציון 0-100
0 = אין סיכוי
100 = בטוח שכן</t>
        </r>
      </text>
    </comment>
    <comment ref="J6" authorId="0" shapeId="0" xr:uid="{5D9EB361-3831-4449-AFD0-42031522CD2A}">
      <text>
        <r>
          <rPr>
            <b/>
            <sz val="9"/>
            <color indexed="81"/>
            <rFont val="Tahoma"/>
            <family val="2"/>
          </rPr>
          <t>יניב שפירא:</t>
        </r>
        <r>
          <rPr>
            <sz val="9"/>
            <color indexed="81"/>
            <rFont val="Tahoma"/>
            <family val="2"/>
          </rPr>
          <t xml:space="preserve">
ציון 0-100
0 = אין סיכוי
100 = בטוח שכן</t>
        </r>
      </text>
    </comment>
    <comment ref="O7" authorId="0" shapeId="0" xr:uid="{24BA6DCF-47AA-4CB7-9E3E-96784D1FE83C}">
      <text>
        <r>
          <rPr>
            <b/>
            <sz val="9"/>
            <color indexed="81"/>
            <rFont val="Tahoma"/>
            <family val="2"/>
          </rPr>
          <t>יניב שפירא:</t>
        </r>
        <r>
          <rPr>
            <sz val="9"/>
            <color indexed="81"/>
            <rFont val="Tahoma"/>
            <family val="2"/>
          </rPr>
          <t xml:space="preserve">
1 = העבודה
2 = הליכוד
3 = לא יודע</t>
        </r>
      </text>
    </comment>
    <comment ref="P7" authorId="0" shapeId="0" xr:uid="{4FD93627-1D10-438E-88C6-A90DF5205FF3}">
      <text>
        <r>
          <rPr>
            <b/>
            <sz val="9"/>
            <color indexed="81"/>
            <rFont val="Tahoma"/>
            <family val="2"/>
          </rPr>
          <t>יניב שפירא:</t>
        </r>
        <r>
          <rPr>
            <sz val="9"/>
            <color indexed="81"/>
            <rFont val="Tahoma"/>
            <family val="2"/>
          </rPr>
          <t xml:space="preserve">
הניסוח הוא:
"מפלגה שתקים את הממשלה"
1 = העבודה
2 = הליכוד
3 = ממלשת אחדות לאומית בראשות העבודה
4 = ממשלת אחדות לאומית בראשות הליכוד
5 = אחר</t>
        </r>
      </text>
    </comment>
    <comment ref="P8" authorId="0" shapeId="0" xr:uid="{9ADA61FE-E629-4D5D-8C41-54B3A587B910}">
      <text>
        <r>
          <rPr>
            <b/>
            <sz val="9"/>
            <color indexed="81"/>
            <rFont val="Tahoma"/>
            <family val="2"/>
          </rPr>
          <t>יניב שפירא:</t>
        </r>
        <r>
          <rPr>
            <sz val="9"/>
            <color indexed="81"/>
            <rFont val="Tahoma"/>
            <family val="2"/>
          </rPr>
          <t xml:space="preserve">
1 = העבודה
2 = הליכוד
3 = ממלשת אחדות לאומית בראשות העבודה
4 = ממשלת אחדות לאומית בראשות הליכוד
5 = אחר</t>
        </r>
      </text>
    </comment>
    <comment ref="U9" authorId="0" shapeId="0" xr:uid="{490C2422-0A7E-4879-904F-F951DC213D87}">
      <text>
        <r>
          <rPr>
            <b/>
            <sz val="9"/>
            <color indexed="81"/>
            <rFont val="Tahoma"/>
            <charset val="177"/>
          </rPr>
          <t>יניב שפירא:</t>
        </r>
        <r>
          <rPr>
            <sz val="9"/>
            <color indexed="81"/>
            <rFont val="Tahoma"/>
            <charset val="177"/>
          </rPr>
          <t xml:space="preserve">
1 = רוצה במידה רבה את הליכוד
2 = רוצה במידה מסויימת את הליכוד
3 = לא משנה לי
4 = רוצה במידה מסויימת את המערך
5 = רוצה במידה רבה את המערך</t>
        </r>
      </text>
    </comment>
    <comment ref="K11" authorId="0" shapeId="0" xr:uid="{36A779BF-253B-4272-81E1-51CA281FC9CF}">
      <text>
        <r>
          <rPr>
            <b/>
            <sz val="9"/>
            <color indexed="81"/>
            <rFont val="Tahoma"/>
            <family val="2"/>
          </rPr>
          <t>יניב שפירא:</t>
        </r>
        <r>
          <rPr>
            <sz val="9"/>
            <color indexed="81"/>
            <rFont val="Tahoma"/>
            <family val="2"/>
          </rPr>
          <t xml:space="preserve">
ציון בין 0-100
0 = אין סיכוי שתהיה
100 = בטוח שתהיה</t>
        </r>
      </text>
    </comment>
    <comment ref="K31" authorId="0" shapeId="0" xr:uid="{3C8398BF-26B4-499A-BAC8-E2370D17CDF5}">
      <text>
        <r>
          <rPr>
            <b/>
            <sz val="9"/>
            <color indexed="81"/>
            <rFont val="Tahoma"/>
            <family val="2"/>
          </rPr>
          <t>יניב שפירא:</t>
        </r>
        <r>
          <rPr>
            <sz val="9"/>
            <color indexed="81"/>
            <rFont val="Tahoma"/>
            <family val="2"/>
          </rPr>
          <t xml:space="preserve">
ציון בין 0-100
0 = אין סיכוי
100 = בטוח שכן</t>
        </r>
      </text>
    </comment>
    <comment ref="K41" authorId="0" shapeId="0" xr:uid="{3BF60471-30C1-4112-BFC7-7154B7A2FDC5}">
      <text>
        <r>
          <rPr>
            <b/>
            <sz val="9"/>
            <color indexed="81"/>
            <rFont val="Tahoma"/>
            <family val="2"/>
          </rPr>
          <t>יניב שפירא:</t>
        </r>
        <r>
          <rPr>
            <sz val="9"/>
            <color indexed="81"/>
            <rFont val="Tahoma"/>
            <family val="2"/>
          </rPr>
          <t xml:space="preserve">
סולם בין 1-10
1 = מתנגד
10 = תומך</t>
        </r>
      </text>
    </comment>
    <comment ref="Y51" authorId="0" shapeId="0" xr:uid="{BB3A848B-EA5D-495D-BB43-8FC249D63842}">
      <text>
        <r>
          <rPr>
            <b/>
            <sz val="9"/>
            <color indexed="81"/>
            <rFont val="Tahoma"/>
            <charset val="177"/>
          </rPr>
          <t>יניב שפירא:</t>
        </r>
        <r>
          <rPr>
            <sz val="9"/>
            <color indexed="81"/>
            <rFont val="Tahoma"/>
            <charset val="177"/>
          </rPr>
          <t xml:space="preserve">
1 = מערך+ליכוד+ד"ש
2 = מערך+ליכוד
3 = מערך+ד"ש
4 = מערך+מפד"ל
5 = ליכוד+ד"ש
6 = ליכוד+מפד"ל
7 = ליכוד+ד"ש+מפד"ל
8 = מערך+ד"ש+מפד"ל
9 = מערך+ליכוד+ד"ש+מפד"ל</t>
        </r>
      </text>
    </comment>
    <comment ref="N52" authorId="0" shapeId="0" xr:uid="{18BAF002-1F5C-455E-A5D5-B609444E6B90}">
      <text>
        <r>
          <rPr>
            <b/>
            <sz val="9"/>
            <color indexed="81"/>
            <rFont val="Tahoma"/>
            <family val="2"/>
          </rPr>
          <t>יניב שפירא:</t>
        </r>
        <r>
          <rPr>
            <sz val="9"/>
            <color indexed="81"/>
            <rFont val="Tahoma"/>
            <family val="2"/>
          </rPr>
          <t xml:space="preserve">
1 = בהחלט כן
2 = חושב שכן
3 = חושב שלא
4 = בהחלט לא
5 = כן, אבל רק בראשות הליכוד
6 = כן, אבל רק בראשות העבודה
7 = כן, אבל רק בראשות מפלגת המרכז</t>
        </r>
      </text>
    </comment>
    <comment ref="R52" authorId="0" shapeId="0" xr:uid="{A01A8AD4-D7F2-4B2A-960D-760D14C393E9}">
      <text>
        <r>
          <rPr>
            <b/>
            <sz val="9"/>
            <color indexed="81"/>
            <rFont val="Tahoma"/>
            <family val="2"/>
          </rPr>
          <t>יניב שפירא:</t>
        </r>
        <r>
          <rPr>
            <sz val="9"/>
            <color indexed="81"/>
            <rFont val="Tahoma"/>
            <family val="2"/>
          </rPr>
          <t xml:space="preserve">
1 = בהחלט כן
2 = חושב שכן
3 = חושב שלא
4 = בהחלט לא
5 = כן, אבל רק בראשות הליכוד
6 = כן, אבל רק בראשות המערך</t>
        </r>
      </text>
    </comment>
    <comment ref="AC52" authorId="0" shapeId="0" xr:uid="{F9ADFACA-F01B-4F4B-B512-BC5219BAE5F2}">
      <text>
        <r>
          <rPr>
            <b/>
            <sz val="9"/>
            <color indexed="81"/>
            <rFont val="Tahoma"/>
            <charset val="177"/>
          </rPr>
          <t>יניב שפירא:</t>
        </r>
        <r>
          <rPr>
            <sz val="9"/>
            <color indexed="81"/>
            <rFont val="Tahoma"/>
            <charset val="177"/>
          </rPr>
          <t xml:space="preserve">
1 = בהחלט יש להקים
2 = חושב שיש להקים
3 = חושב שאין להקים
4 = בהחלט אין להקים</t>
        </r>
      </text>
    </comment>
    <comment ref="AD53" authorId="0" shapeId="0" xr:uid="{B4CAB1FC-5F7B-4418-B0FB-FC7D53909FD6}">
      <text>
        <r>
          <rPr>
            <b/>
            <sz val="9"/>
            <color indexed="81"/>
            <rFont val="Tahoma"/>
            <family val="2"/>
          </rPr>
          <t>יניב שפירא:</t>
        </r>
        <r>
          <rPr>
            <sz val="9"/>
            <color indexed="81"/>
            <rFont val="Tahoma"/>
            <family val="2"/>
          </rPr>
          <t xml:space="preserve">
1 = בהחלט יש להקים
2 = חושב שיש להקים
3 = חושב שלא להקים
4 = בהחלט לא להקים</t>
        </r>
      </text>
    </comment>
    <comment ref="C54" authorId="1" shapeId="0" xr:uid="{96B7D6F7-AC6E-4724-AE1A-DFC0E1399E3D}">
      <text>
        <r>
          <rPr>
            <b/>
            <sz val="9"/>
            <color indexed="81"/>
            <rFont val="Tahoma"/>
            <family val="2"/>
          </rPr>
          <t>adi:</t>
        </r>
        <r>
          <rPr>
            <sz val="9"/>
            <color indexed="81"/>
            <rFont val="Tahoma"/>
            <family val="2"/>
          </rPr>
          <t xml:space="preserve">
1 = הליכוד+ימין+חרדים
2 = יש עתיד+מרכז-שמאל
3 = אחדות לאומית (ימין+מרכז+שמאל)
4 = לא תקום שום קואליציה והכנסת תפוזר
5 = אחר</t>
        </r>
      </text>
    </comment>
    <comment ref="D54" authorId="0" shapeId="0" xr:uid="{4A8C0E87-204B-4C86-9031-3530897C1B11}">
      <text>
        <r>
          <rPr>
            <b/>
            <sz val="9"/>
            <color indexed="81"/>
            <rFont val="Tahoma"/>
            <family val="2"/>
          </rPr>
          <t>יניב שפירא:</t>
        </r>
        <r>
          <rPr>
            <sz val="9"/>
            <color indexed="81"/>
            <rFont val="Tahoma"/>
            <family val="2"/>
          </rPr>
          <t xml:space="preserve">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r>
      </text>
    </comment>
    <comment ref="E54" authorId="0" shapeId="0" xr:uid="{AC4C8225-B136-4DBF-A715-1981DE0DFC6D}">
      <text>
        <r>
          <rPr>
            <b/>
            <sz val="9"/>
            <color indexed="81"/>
            <rFont val="Tahoma"/>
            <family val="2"/>
          </rPr>
          <t>יניב שפירא:</t>
        </r>
        <r>
          <rPr>
            <sz val="9"/>
            <color indexed="81"/>
            <rFont val="Tahoma"/>
            <family val="2"/>
          </rPr>
          <t xml:space="preserve">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r>
      </text>
    </comment>
    <comment ref="G54" authorId="0" shapeId="0" xr:uid="{0071350C-2160-4870-BB15-945C08BCB2C1}">
      <text>
        <r>
          <rPr>
            <b/>
            <sz val="9"/>
            <color indexed="81"/>
            <rFont val="Tahoma"/>
            <family val="2"/>
          </rPr>
          <t>יניב שפירא:</t>
        </r>
        <r>
          <rPr>
            <sz val="9"/>
            <color indexed="81"/>
            <rFont val="Tahoma"/>
            <family val="2"/>
          </rPr>
          <t xml:space="preserve">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r>
      </text>
    </comment>
    <comment ref="H54" authorId="0" shapeId="0" xr:uid="{E02A3B8E-C65E-4EA0-A21D-31E728E7498B}">
      <text>
        <r>
          <rPr>
            <b/>
            <sz val="9"/>
            <color indexed="81"/>
            <rFont val="Tahoma"/>
            <family val="2"/>
          </rPr>
          <t>יניב שפירא:</t>
        </r>
        <r>
          <rPr>
            <sz val="9"/>
            <color indexed="81"/>
            <rFont val="Tahoma"/>
            <family val="2"/>
          </rPr>
          <t xml:space="preserve">
1 = קואליציה בראשות הליכוד
2 = קואליציה בראשות המחנה הציוני
3 = ממשלת אחדות</t>
        </r>
      </text>
    </comment>
    <comment ref="C55" authorId="1" shapeId="0" xr:uid="{89664832-45B2-4F15-BD17-CEBAF3C94AE2}">
      <text>
        <r>
          <rPr>
            <b/>
            <sz val="9"/>
            <color indexed="81"/>
            <rFont val="Tahoma"/>
            <family val="2"/>
          </rPr>
          <t>adi:</t>
        </r>
        <r>
          <rPr>
            <sz val="9"/>
            <color indexed="81"/>
            <rFont val="Tahoma"/>
            <family val="2"/>
          </rPr>
          <t xml:space="preserve">
1 = הליכוד+ימין+חרדים
2 = יש עתיד+מרכז-שמאל
3 = אחדות לאומית (ימין+מרכז+שמאל)
4 = אחר</t>
        </r>
      </text>
    </comment>
    <comment ref="D55" authorId="0" shapeId="0" xr:uid="{93022CB9-BB23-4D06-89F3-A307FC4B311C}">
      <text>
        <r>
          <rPr>
            <b/>
            <sz val="9"/>
            <color indexed="81"/>
            <rFont val="Tahoma"/>
            <family val="2"/>
          </rPr>
          <t>יניב שפירא:</t>
        </r>
        <r>
          <rPr>
            <sz val="9"/>
            <color indexed="81"/>
            <rFont val="Tahoma"/>
            <family val="2"/>
          </rPr>
          <t xml:space="preserve">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r>
      </text>
    </comment>
    <comment ref="E55" authorId="0" shapeId="0" xr:uid="{1FAF3AD2-8BFE-4825-8D7F-146A76F48D37}">
      <text>
        <r>
          <rPr>
            <b/>
            <sz val="9"/>
            <color indexed="81"/>
            <rFont val="Tahoma"/>
            <family val="2"/>
          </rPr>
          <t>יניב שפירא:</t>
        </r>
        <r>
          <rPr>
            <sz val="9"/>
            <color indexed="81"/>
            <rFont val="Tahoma"/>
            <family val="2"/>
          </rPr>
          <t xml:space="preserve">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r>
      </text>
    </comment>
    <comment ref="E56" authorId="0" shapeId="0" xr:uid="{844F46FB-BB01-4DA2-99FF-0656933C4C96}">
      <text>
        <r>
          <rPr>
            <b/>
            <sz val="9"/>
            <color indexed="81"/>
            <rFont val="Tahoma"/>
            <family val="2"/>
          </rPr>
          <t>יניב שפירא:</t>
        </r>
        <r>
          <rPr>
            <sz val="9"/>
            <color indexed="81"/>
            <rFont val="Tahoma"/>
            <family val="2"/>
          </rPr>
          <t xml:space="preserve">
1 = בכלל לא
2 = במידה מועטה
3 = במידה בינונית
4 = במידה רבה
5 = במידה רבה מאד
8 = לא יודע
9 = אין תשובה/מסרב</t>
        </r>
      </text>
    </comment>
    <comment ref="G56" authorId="0" shapeId="0" xr:uid="{69DC81D7-BB11-4D63-A901-76C684EC9A62}">
      <text>
        <r>
          <rPr>
            <b/>
            <sz val="9"/>
            <color indexed="81"/>
            <rFont val="Tahoma"/>
            <charset val="177"/>
          </rPr>
          <t>יניב שפירא:</t>
        </r>
        <r>
          <rPr>
            <sz val="9"/>
            <color indexed="81"/>
            <rFont val="Tahoma"/>
            <charset val="177"/>
          </rPr>
          <t xml:space="preserve">
1 = בכלל לא
2 = במידה מועטה
3 = במידה בינונית
4 = במידה רבה
5 = במידה רבה מאד</t>
        </r>
      </text>
    </comment>
    <comment ref="C57" authorId="1" shapeId="0" xr:uid="{BBD32B76-FD35-42AE-A93A-C2B99AE6AA8D}">
      <text>
        <r>
          <rPr>
            <b/>
            <sz val="9"/>
            <color indexed="81"/>
            <rFont val="Tahoma"/>
            <family val="2"/>
          </rPr>
          <t>adi:</t>
        </r>
        <r>
          <rPr>
            <sz val="9"/>
            <color indexed="81"/>
            <rFont val="Tahoma"/>
            <family val="2"/>
          </rPr>
          <t xml:space="preserve">
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r>
      </text>
    </comment>
    <comment ref="D57" authorId="0" shapeId="0" xr:uid="{D67CCBC6-93B1-4B68-94E3-04B4D18253C0}">
      <text>
        <r>
          <rPr>
            <b/>
            <sz val="9"/>
            <color indexed="81"/>
            <rFont val="Tahoma"/>
            <family val="2"/>
          </rPr>
          <t>יניב שפירא:</t>
        </r>
        <r>
          <rPr>
            <sz val="9"/>
            <color indexed="81"/>
            <rFont val="Tahoma"/>
            <family val="2"/>
          </rPr>
          <t xml:space="preserve">
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r>
      </text>
    </comment>
    <comment ref="E57" authorId="0" shapeId="0" xr:uid="{E7DE25E1-7386-4EE1-9381-9499B93B6F6E}">
      <text>
        <r>
          <rPr>
            <b/>
            <sz val="9"/>
            <color indexed="81"/>
            <rFont val="Tahoma"/>
            <family val="2"/>
          </rPr>
          <t>יניב שפירא:</t>
        </r>
        <r>
          <rPr>
            <sz val="9"/>
            <color indexed="81"/>
            <rFont val="Tahoma"/>
            <family val="2"/>
          </rPr>
          <t xml:space="preserve">
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r>
      </text>
    </comment>
    <comment ref="F57" authorId="0" shapeId="0" xr:uid="{1787761E-3266-45F6-A9E4-F53AA936B181}">
      <text>
        <r>
          <rPr>
            <b/>
            <sz val="9"/>
            <color indexed="81"/>
            <rFont val="Tahoma"/>
            <family val="2"/>
          </rPr>
          <t>יניב שפירא:</t>
        </r>
        <r>
          <rPr>
            <sz val="9"/>
            <color indexed="81"/>
            <rFont val="Tahoma"/>
            <family val="2"/>
          </rPr>
          <t xml:space="preserve">
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r>
      </text>
    </comment>
    <comment ref="G57" authorId="0" shapeId="0" xr:uid="{22AE06A1-04F5-4EFD-B33F-7F4BC6093E94}">
      <text>
        <r>
          <rPr>
            <b/>
            <sz val="9"/>
            <color indexed="81"/>
            <rFont val="Tahoma"/>
            <family val="2"/>
          </rPr>
          <t>יניב שפירא:</t>
        </r>
        <r>
          <rPr>
            <sz val="9"/>
            <color indexed="81"/>
            <rFont val="Tahoma"/>
            <family val="2"/>
          </rPr>
          <t xml:space="preserve">
1 = קואליציה של הליכוד עם מפלגות הימין הדתיות, החרדיות והחילוניות
2 = ממשלת אחדות לאומית של הליכוד וכחול-לבן
3 = קואליציה אחרת
4 = אף אחת מהן</t>
        </r>
      </text>
    </comment>
    <comment ref="H57" authorId="0" shapeId="0" xr:uid="{44728377-D5E4-40BA-8C5A-9778B12A1083}">
      <text>
        <r>
          <rPr>
            <b/>
            <sz val="9"/>
            <color indexed="81"/>
            <rFont val="Tahoma"/>
            <charset val="177"/>
          </rPr>
          <t>יניב שפירא:</t>
        </r>
        <r>
          <rPr>
            <sz val="9"/>
            <color indexed="81"/>
            <rFont val="Tahoma"/>
            <charset val="177"/>
          </rPr>
          <t xml:space="preserve">
1 = קואליצייה בראשות הליכוד עם מפלגות ימין וחרדים
2 = קואליציה בראשות ליכוד עם מפלגות ימין + יש עתיד בלי חרדים
3 = ממשלת אחדות לאומית
4 = אחר
5 = אף אחת מהן</t>
        </r>
      </text>
    </comment>
    <comment ref="I57" authorId="0" shapeId="0" xr:uid="{8EEB4021-5314-4583-A349-2B2F465D13DE}">
      <text>
        <r>
          <rPr>
            <b/>
            <sz val="9"/>
            <color indexed="81"/>
            <rFont val="Tahoma"/>
            <charset val="177"/>
          </rPr>
          <t>יניב שפירא:</t>
        </r>
        <r>
          <rPr>
            <sz val="9"/>
            <color indexed="81"/>
            <rFont val="Tahoma"/>
            <charset val="177"/>
          </rPr>
          <t xml:space="preserve">
1 = ליכוד/בנט/חרדים
2 = ליכוד/לפיד/בנט
3 = ליכוד/לפיד/חרדים
4 = ליכוד/לפיד/חרדים/לבני
5 = ליכוד/לפיד/בנט/חרדים
6 = ליכוד/לפיד/מפלגות מרכז/עבודה
7 = אחר</t>
        </r>
      </text>
    </comment>
    <comment ref="J57" authorId="0" shapeId="0" xr:uid="{BDD035BA-184F-4826-BCEE-3ACA368F1F59}">
      <text>
        <r>
          <rPr>
            <b/>
            <sz val="9"/>
            <color indexed="81"/>
            <rFont val="Tahoma"/>
            <charset val="177"/>
          </rPr>
          <t>יניב שפירא:</t>
        </r>
        <r>
          <rPr>
            <sz val="9"/>
            <color indexed="81"/>
            <rFont val="Tahoma"/>
            <charset val="177"/>
          </rPr>
          <t xml:space="preserve">
1 = ממשלת אחדות לאומית בראשות נתניהו
2 = ממשלת אחדות לאומית בראשות לבני
3 = ממשלת אחדות לאומית עם רוטציה
4 = ממשלת ימין בראשות נתניהו
5 = אחר</t>
        </r>
      </text>
    </comment>
    <comment ref="K57" authorId="0" shapeId="0" xr:uid="{80DE8DE4-65C9-4F97-BA99-92059B0FD307}">
      <text>
        <r>
          <rPr>
            <b/>
            <sz val="9"/>
            <color indexed="81"/>
            <rFont val="Tahoma"/>
            <family val="2"/>
          </rPr>
          <t>יניב שפירא:</t>
        </r>
        <r>
          <rPr>
            <sz val="9"/>
            <color indexed="81"/>
            <rFont val="Tahoma"/>
            <family val="2"/>
          </rPr>
          <t xml:space="preserve">
שאלה פתוחה</t>
        </r>
      </text>
    </comment>
    <comment ref="J58" authorId="0" shapeId="0" xr:uid="{E8F34818-B1CC-4B37-8CB6-71DA7B2C4984}">
      <text>
        <r>
          <rPr>
            <b/>
            <sz val="9"/>
            <color indexed="81"/>
            <rFont val="Tahoma"/>
            <charset val="177"/>
          </rPr>
          <t>יניב שפירא:</t>
        </r>
        <r>
          <rPr>
            <sz val="9"/>
            <color indexed="81"/>
            <rFont val="Tahoma"/>
            <charset val="177"/>
          </rPr>
          <t xml:space="preserve">
1 = מאד מרוצה
2 = די מרוצה
3 = לא כ"כ מרוצה
4 = לא מרוצה בכלל</t>
        </r>
      </text>
    </comment>
    <comment ref="X58" authorId="0" shapeId="0" xr:uid="{E35ECA39-637C-4058-B498-EE566F083EB8}">
      <text>
        <r>
          <rPr>
            <b/>
            <sz val="9"/>
            <color indexed="81"/>
            <rFont val="Tahoma"/>
            <charset val="177"/>
          </rPr>
          <t>יניב שפירא:</t>
        </r>
        <r>
          <rPr>
            <sz val="9"/>
            <color indexed="81"/>
            <rFont val="Tahoma"/>
            <charset val="177"/>
          </rPr>
          <t xml:space="preserve">
1 = מאד מרוצה
2 = מרוצה
3 = לא כ"כ מרוצה
4 = מאד לא מרוצה</t>
        </r>
      </text>
    </comment>
    <comment ref="D59" authorId="0" shapeId="0" xr:uid="{C2F54108-8DF8-43D6-8B90-B99BE9D8B772}">
      <text>
        <r>
          <rPr>
            <b/>
            <sz val="9"/>
            <color indexed="81"/>
            <rFont val="Tahoma"/>
            <family val="2"/>
          </rPr>
          <t>יניב שפירא:</t>
        </r>
        <r>
          <rPr>
            <sz val="9"/>
            <color indexed="81"/>
            <rFont val="Tahoma"/>
            <family val="2"/>
          </rPr>
          <t xml:space="preserve">
1 = שהמפלגה שהצבעת לה תפר את הבטחתה עם מי לא לשבת כדי שתוקם ממשלה
2 = שיהיו בחירות חמישיות</t>
        </r>
      </text>
    </comment>
    <comment ref="J60" authorId="0" shapeId="0" xr:uid="{9075BC8F-39EF-45EB-8F6F-B17204BA3768}">
      <text>
        <r>
          <rPr>
            <b/>
            <sz val="9"/>
            <color indexed="81"/>
            <rFont val="Tahoma"/>
            <family val="2"/>
          </rPr>
          <t>יניב שפירא:</t>
        </r>
        <r>
          <rPr>
            <sz val="9"/>
            <color indexed="81"/>
            <rFont val="Tahoma"/>
            <family val="2"/>
          </rPr>
          <t xml:space="preserve">
1 = מאד אכפת לי
2 = די אכפת לי
3 = קצת אכפת לי
4 = לא אכפת לי</t>
        </r>
      </text>
    </comment>
    <comment ref="R61" authorId="0" shapeId="0" xr:uid="{451D00F3-4171-42CB-9957-2A44A9EF04D9}">
      <text>
        <r>
          <rPr>
            <b/>
            <sz val="9"/>
            <color indexed="81"/>
            <rFont val="Tahoma"/>
            <family val="2"/>
          </rPr>
          <t>יניב שפירא:</t>
        </r>
        <r>
          <rPr>
            <sz val="9"/>
            <color indexed="81"/>
            <rFont val="Tahoma"/>
            <family val="2"/>
          </rPr>
          <t xml:space="preserve">
1 = לא השתנתה
2 = גבר הסיכוי לנצחון של מחנה הליכוד
3 = גבר הסיכוי לנצחון של מחנה המערך
4 = גברו סיכויי ההצלחה של המפלגות הדתיות</t>
        </r>
      </text>
    </comment>
    <comment ref="U66" authorId="0" shapeId="0" xr:uid="{E3B7C9B2-57FD-4E8A-A296-BAF3B0DA9C7D}">
      <text>
        <r>
          <rPr>
            <b/>
            <sz val="9"/>
            <color indexed="81"/>
            <rFont val="Tahoma"/>
            <charset val="177"/>
          </rPr>
          <t>יניב שפירא:</t>
        </r>
        <r>
          <rPr>
            <sz val="9"/>
            <color indexed="81"/>
            <rFont val="Tahoma"/>
            <charset val="177"/>
          </rPr>
          <t xml:space="preserve">
1 = בהחלט לא רוצה
2 = לא כ"כ רוצה
3 = רוצה במידה מסויימת
4 = רוצה </t>
        </r>
      </text>
    </comment>
    <comment ref="V67" authorId="0" shapeId="0" xr:uid="{F46A7B07-14D8-4633-835E-75465FA98FDF}">
      <text>
        <r>
          <rPr>
            <b/>
            <sz val="9"/>
            <color indexed="81"/>
            <rFont val="Tahoma"/>
            <charset val="177"/>
          </rPr>
          <t>יניב שפירא:</t>
        </r>
        <r>
          <rPr>
            <sz val="9"/>
            <color indexed="81"/>
            <rFont val="Tahoma"/>
            <charset val="177"/>
          </rPr>
          <t xml:space="preserve">
1 = הליכוד
2 = תל"ם (משה דיין)</t>
        </r>
      </text>
    </comment>
    <comment ref="AA67" authorId="0" shapeId="0" xr:uid="{B9CB8DDD-C6EB-4F0A-AB18-B6ADCF4DCBD6}">
      <text>
        <r>
          <rPr>
            <b/>
            <sz val="9"/>
            <color indexed="81"/>
            <rFont val="Tahoma"/>
            <charset val="177"/>
          </rPr>
          <t>יניב שפירא:</t>
        </r>
        <r>
          <rPr>
            <sz val="9"/>
            <color indexed="81"/>
            <rFont val="Tahoma"/>
            <charset val="177"/>
          </rPr>
          <t xml:space="preserve">
1 = הליכוד
2 = ד"ש</t>
        </r>
      </text>
    </comment>
    <comment ref="AB68" authorId="0" shapeId="0" xr:uid="{A5C0A118-41AD-4F8E-ACF9-16FE7037B07F}">
      <text>
        <r>
          <rPr>
            <b/>
            <sz val="9"/>
            <color indexed="81"/>
            <rFont val="Tahoma"/>
            <charset val="177"/>
          </rPr>
          <t>יניב שפירא:</t>
        </r>
        <r>
          <rPr>
            <sz val="9"/>
            <color indexed="81"/>
            <rFont val="Tahoma"/>
            <charset val="177"/>
          </rPr>
          <t xml:space="preserve">
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r>
      </text>
    </comment>
    <comment ref="AD69" authorId="0" shapeId="0" xr:uid="{132BFADE-9793-4D31-BF84-E366C30B5B77}">
      <text>
        <r>
          <rPr>
            <b/>
            <sz val="9"/>
            <color indexed="81"/>
            <rFont val="Tahoma"/>
            <family val="2"/>
          </rPr>
          <t>יניב שפירא:</t>
        </r>
        <r>
          <rPr>
            <sz val="9"/>
            <color indexed="81"/>
            <rFont val="Tahoma"/>
            <family val="2"/>
          </rPr>
          <t xml:space="preserve">
1 = עלו במידה רבה
2 = עלו במידה מסוימת
3 = ירדו במידה מסוימת
4 = ירדו במידה רבה
5 = לא השתנו</t>
        </r>
      </text>
    </comment>
    <comment ref="AG72" authorId="0" shapeId="0" xr:uid="{4B6EF1A7-8FF5-4BA0-8637-7B7166FF4135}">
      <text>
        <r>
          <rPr>
            <b/>
            <sz val="9"/>
            <color indexed="81"/>
            <rFont val="Tahoma"/>
            <family val="2"/>
          </rPr>
          <t>יניב שפירא:</t>
        </r>
        <r>
          <rPr>
            <sz val="9"/>
            <color indexed="81"/>
            <rFont val="Tahoma"/>
            <family val="2"/>
          </rPr>
          <t xml:space="preserve">
1 = סיכוי רב מאוד
2 = סיכוי רב
3 = סיכוי בינוני
4 = סיכוי מועט
5 = אין סיכוי כלל
6 = טרם החלטתי למי להצביע
7 = טרם החלטתי אם אצביע
8 = לא אצביע כלל</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1CCD201A-F686-460C-969D-9C5A13A50BBE}">
      <text>
        <r>
          <rPr>
            <b/>
            <sz val="9"/>
            <color indexed="81"/>
            <rFont val="Tahoma"/>
            <charset val="177"/>
          </rPr>
          <t>יניב שפירא:</t>
        </r>
        <r>
          <rPr>
            <sz val="9"/>
            <color indexed="81"/>
            <rFont val="Tahoma"/>
            <charset val="177"/>
          </rPr>
          <t xml:space="preserve">
post election</t>
        </r>
      </text>
    </comment>
    <comment ref="AA1" authorId="0" shapeId="0" xr:uid="{AABB9F7D-C99B-4713-8C6B-54B275A7C213}">
      <text>
        <r>
          <rPr>
            <b/>
            <sz val="9"/>
            <color indexed="81"/>
            <rFont val="Tahoma"/>
            <charset val="177"/>
          </rPr>
          <t>יניב שפירא:</t>
        </r>
        <r>
          <rPr>
            <sz val="9"/>
            <color indexed="81"/>
            <rFont val="Tahoma"/>
            <charset val="177"/>
          </rPr>
          <t xml:space="preserve">
post Kippur + post election</t>
        </r>
      </text>
    </comment>
    <comment ref="AB1" authorId="0" shapeId="0" xr:uid="{488B8B07-7A05-48B8-99BE-6BD40C4F1D85}">
      <text>
        <r>
          <rPr>
            <b/>
            <sz val="9"/>
            <color indexed="81"/>
            <rFont val="Tahoma"/>
            <charset val="177"/>
          </rPr>
          <t>יניב שפירא:</t>
        </r>
        <r>
          <rPr>
            <sz val="9"/>
            <color indexed="81"/>
            <rFont val="Tahoma"/>
            <charset val="177"/>
          </rPr>
          <t xml:space="preserve">
post Kippur</t>
        </r>
      </text>
    </comment>
    <comment ref="AC1" authorId="0" shapeId="0" xr:uid="{5B61FB15-1AB5-48F5-9D9D-8A8516DFC817}">
      <text>
        <r>
          <rPr>
            <b/>
            <sz val="9"/>
            <color indexed="81"/>
            <rFont val="Tahoma"/>
            <charset val="177"/>
          </rPr>
          <t>יניב שפירא:</t>
        </r>
        <r>
          <rPr>
            <sz val="9"/>
            <color indexed="81"/>
            <rFont val="Tahoma"/>
            <charset val="177"/>
          </rPr>
          <t xml:space="preserve">
post Kippur</t>
        </r>
      </text>
    </comment>
    <comment ref="AF1" authorId="0" shapeId="0" xr:uid="{24758D9C-B55D-4658-801D-AB944B2C6151}">
      <text>
        <r>
          <rPr>
            <b/>
            <sz val="9"/>
            <color indexed="81"/>
            <rFont val="Tahoma"/>
            <charset val="177"/>
          </rPr>
          <t>יניב שפירא:</t>
        </r>
        <r>
          <rPr>
            <sz val="9"/>
            <color indexed="81"/>
            <rFont val="Tahoma"/>
            <charset val="177"/>
          </rPr>
          <t xml:space="preserve">
pre + post election</t>
        </r>
      </text>
    </comment>
    <comment ref="B2" authorId="1" shapeId="0" xr:uid="{E19138B4-7020-4840-AF5C-E59883BE74D0}">
      <text>
        <r>
          <rPr>
            <b/>
            <sz val="9"/>
            <color indexed="81"/>
            <rFont val="Tahoma"/>
            <family val="2"/>
          </rPr>
          <t>adi:</t>
        </r>
        <r>
          <rPr>
            <sz val="9"/>
            <color indexed="81"/>
            <rFont val="Tahoma"/>
            <family val="2"/>
          </rPr>
          <t xml:space="preserve">
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r>
      </text>
    </comment>
    <comment ref="D2" authorId="0" shapeId="0" xr:uid="{1EA4D1FD-DA53-4F5C-902C-D788206B2267}">
      <text>
        <r>
          <rPr>
            <b/>
            <sz val="9"/>
            <color indexed="81"/>
            <rFont val="Tahoma"/>
            <family val="2"/>
          </rPr>
          <t>יניב שפירא:</t>
        </r>
        <r>
          <rPr>
            <sz val="9"/>
            <color indexed="81"/>
            <rFont val="Tahoma"/>
            <family val="2"/>
          </rPr>
          <t xml:space="preserve">
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r>
      </text>
    </comment>
    <comment ref="F2" authorId="0" shapeId="0" xr:uid="{5164CA8D-AF56-4EF4-AD38-76E49ADC8C13}">
      <text>
        <r>
          <rPr>
            <b/>
            <sz val="9"/>
            <color indexed="81"/>
            <rFont val="Tahoma"/>
            <family val="2"/>
          </rPr>
          <t>יניב שפירא:</t>
        </r>
        <r>
          <rPr>
            <sz val="9"/>
            <color indexed="81"/>
            <rFont val="Tahoma"/>
            <family val="2"/>
          </rPr>
          <t xml:space="preserve">
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r>
      </text>
    </comment>
    <comment ref="G2" authorId="0" shapeId="0" xr:uid="{4B1DDB95-D35C-4E81-8F0A-CDE084DFD8DD}">
      <text>
        <r>
          <rPr>
            <b/>
            <sz val="9"/>
            <color indexed="81"/>
            <rFont val="Tahoma"/>
            <charset val="177"/>
          </rPr>
          <t>יניב שפירא:</t>
        </r>
        <r>
          <rPr>
            <sz val="9"/>
            <color indexed="81"/>
            <rFont val="Tahoma"/>
            <charset val="177"/>
          </rPr>
          <t xml:space="preserve">
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r>
      </text>
    </comment>
    <comment ref="H2" authorId="0" shapeId="0" xr:uid="{93B545F1-EC7C-4D63-A5D8-8A00772E0EE4}">
      <text>
        <r>
          <rPr>
            <b/>
            <sz val="9"/>
            <color indexed="81"/>
            <rFont val="Tahoma"/>
            <charset val="177"/>
          </rPr>
          <t>יניב שפירא:</t>
        </r>
        <r>
          <rPr>
            <sz val="9"/>
            <color indexed="81"/>
            <rFont val="Tahoma"/>
            <charset val="177"/>
          </rPr>
          <t xml:space="preserve">
1 = על הנושא המדיני
2 = על התקיפה באיראן
3 = על האיומים הביטחוניים
4 = על נושאי המחאה החברתית: דיור ויוקר המחיה
5 = על השוויון בנטל
6 = על מנהיגותו ותפקודו של נתניהו</t>
        </r>
      </text>
    </comment>
    <comment ref="I2" authorId="0" shapeId="0" xr:uid="{A8BD7A21-4BB4-4E6A-BF04-D3D87865753C}">
      <text>
        <r>
          <rPr>
            <b/>
            <sz val="9"/>
            <color indexed="81"/>
            <rFont val="Tahoma"/>
            <charset val="177"/>
          </rPr>
          <t>יניב שפירא:</t>
        </r>
        <r>
          <rPr>
            <sz val="9"/>
            <color indexed="81"/>
            <rFont val="Tahoma"/>
            <charset val="177"/>
          </rPr>
          <t xml:space="preserve">
1 = על הנושא המדיני
2 = על המצב הביטחוני
3 = על המצב החברתי-כלכלי
4 = על שחיתות
5 = על מי מתאים להיות רה"מ
6 = לא יודע</t>
        </r>
      </text>
    </comment>
    <comment ref="M2" authorId="0" shapeId="0" xr:uid="{BAD9D7BF-52B7-427D-ABDA-C293BC1267A4}">
      <text>
        <r>
          <rPr>
            <b/>
            <sz val="9"/>
            <color indexed="81"/>
            <rFont val="Tahoma"/>
            <family val="2"/>
          </rPr>
          <t>יניב שפירא:</t>
        </r>
        <r>
          <rPr>
            <sz val="9"/>
            <color indexed="81"/>
            <rFont val="Tahoma"/>
            <family val="2"/>
          </rPr>
          <t xml:space="preserve">
1 = הנושא המדיני
2 = יחסי דתיים-חילונים
3 = אופיו ותפקודו של נתניהו
4 = המצב החברתי-כלכלי
5 = שלטון החוק</t>
        </r>
      </text>
    </comment>
    <comment ref="F3" authorId="0" shapeId="0" xr:uid="{A6995660-05F0-4CD7-B143-BD91DC9917E7}">
      <text>
        <r>
          <rPr>
            <b/>
            <sz val="9"/>
            <color indexed="81"/>
            <rFont val="Tahoma"/>
            <family val="2"/>
          </rPr>
          <t>יניב שפירא:</t>
        </r>
        <r>
          <rPr>
            <sz val="9"/>
            <color indexed="81"/>
            <rFont val="Tahoma"/>
            <family val="2"/>
          </rPr>
          <t xml:space="preserve">
1 = בהחלט לא מסכים
2 = לא מסכים
3 = לא בטוח
4 = מסכים
5 = מסכים בהחלט</t>
        </r>
      </text>
    </comment>
    <comment ref="M3" authorId="0" shapeId="0" xr:uid="{48B66D39-FA06-42DC-AAE4-02E99BC2A42E}">
      <text>
        <r>
          <rPr>
            <b/>
            <sz val="9"/>
            <color indexed="81"/>
            <rFont val="Tahoma"/>
            <family val="2"/>
          </rPr>
          <t>יניב שפירא:</t>
        </r>
        <r>
          <rPr>
            <sz val="9"/>
            <color indexed="81"/>
            <rFont val="Tahoma"/>
            <family val="2"/>
          </rPr>
          <t xml:space="preserve">
הניסוח:
"על אופיו ותפקודו של נתניהו</t>
        </r>
      </text>
    </comment>
    <comment ref="J7" authorId="0" shapeId="0" xr:uid="{9A8F364A-70C2-4F48-B582-86BBA4743ACB}">
      <text>
        <r>
          <rPr>
            <b/>
            <sz val="9"/>
            <color indexed="81"/>
            <rFont val="Tahoma"/>
            <family val="2"/>
          </rPr>
          <t>יניב שפירא:</t>
        </r>
        <r>
          <rPr>
            <sz val="9"/>
            <color indexed="81"/>
            <rFont val="Tahoma"/>
            <family val="2"/>
          </rPr>
          <t xml:space="preserve">
פה שאלו על </t>
        </r>
        <r>
          <rPr>
            <b/>
            <u/>
            <sz val="9"/>
            <color indexed="81"/>
            <rFont val="Tahoma"/>
            <family val="2"/>
          </rPr>
          <t xml:space="preserve">מי </t>
        </r>
        <r>
          <rPr>
            <sz val="9"/>
            <color indexed="81"/>
            <rFont val="Tahoma"/>
            <family val="2"/>
          </rPr>
          <t>יתמודד
טוב יותר מול האיומים</t>
        </r>
      </text>
    </comment>
    <comment ref="H11" authorId="0" shapeId="0" xr:uid="{AC69081B-451C-4633-9B59-F7807CA76CF4}">
      <text>
        <r>
          <rPr>
            <b/>
            <sz val="9"/>
            <color indexed="81"/>
            <rFont val="Tahoma"/>
            <charset val="177"/>
          </rPr>
          <t>יניב שפירא:</t>
        </r>
        <r>
          <rPr>
            <sz val="9"/>
            <color indexed="81"/>
            <rFont val="Tahoma"/>
            <charset val="177"/>
          </rPr>
          <t xml:space="preserve">
הניסוח הוא:
"שהעם רוצה ימין, אבל ימין מתון"</t>
        </r>
      </text>
    </comment>
    <comment ref="F13" authorId="0" shapeId="0" xr:uid="{39CA1957-F057-4F1C-B45A-09AACA393EB3}">
      <text>
        <r>
          <rPr>
            <b/>
            <sz val="9"/>
            <color indexed="81"/>
            <rFont val="Tahoma"/>
            <family val="2"/>
          </rPr>
          <t>יניב שפירא:</t>
        </r>
        <r>
          <rPr>
            <sz val="9"/>
            <color indexed="81"/>
            <rFont val="Tahoma"/>
            <family val="2"/>
          </rPr>
          <t xml:space="preserve">
שחיתות של נתניהו</t>
        </r>
      </text>
    </comment>
    <comment ref="J13" authorId="0" shapeId="0" xr:uid="{60BAAF84-D394-4C79-84F1-A737717E7749}">
      <text>
        <r>
          <rPr>
            <b/>
            <sz val="9"/>
            <color indexed="81"/>
            <rFont val="Tahoma"/>
            <family val="2"/>
          </rPr>
          <t>יניב שפירא:</t>
        </r>
        <r>
          <rPr>
            <sz val="9"/>
            <color indexed="81"/>
            <rFont val="Tahoma"/>
            <family val="2"/>
          </rPr>
          <t xml:space="preserve">
שחיתות של פוליטיקאים</t>
        </r>
      </text>
    </comment>
    <comment ref="I16" authorId="0" shapeId="0" xr:uid="{9B227818-9496-42CB-AB3F-5843A1B92A09}">
      <text>
        <r>
          <rPr>
            <b/>
            <sz val="9"/>
            <color indexed="81"/>
            <rFont val="Tahoma"/>
            <charset val="177"/>
          </rPr>
          <t>יניב שפירא:</t>
        </r>
        <r>
          <rPr>
            <sz val="9"/>
            <color indexed="81"/>
            <rFont val="Tahoma"/>
            <charset val="177"/>
          </rPr>
          <t xml:space="preserve">
הניסוח הוא:
"על המדינה על הפלסטינית ורמת הגולן:</t>
        </r>
      </text>
    </comment>
    <comment ref="H17" authorId="0" shapeId="0" xr:uid="{15215A36-8E7C-4A32-B827-515C7488570D}">
      <text>
        <r>
          <rPr>
            <b/>
            <sz val="9"/>
            <color indexed="81"/>
            <rFont val="Tahoma"/>
            <charset val="177"/>
          </rPr>
          <t>יניב שפירא:</t>
        </r>
        <r>
          <rPr>
            <sz val="9"/>
            <color indexed="81"/>
            <rFont val="Tahoma"/>
            <charset val="177"/>
          </rPr>
          <t xml:space="preserve">
הניסוח הוא:
"על נושא התקיפה של מתקני הגרעין האיראני"</t>
        </r>
      </text>
    </comment>
    <comment ref="H18" authorId="0" shapeId="0" xr:uid="{4A392B43-C4CA-4A26-8FF2-B9A50E5A045A}">
      <text>
        <r>
          <rPr>
            <b/>
            <sz val="9"/>
            <color indexed="81"/>
            <rFont val="Tahoma"/>
            <charset val="177"/>
          </rPr>
          <t>יניב שפירא:</t>
        </r>
        <r>
          <rPr>
            <sz val="9"/>
            <color indexed="81"/>
            <rFont val="Tahoma"/>
            <charset val="177"/>
          </rPr>
          <t xml:space="preserve">
הניסוח הוא: " הנושאים שהעלתה המחאה החברתית ב2011 ובעיקר על דיור בר השגה ויוקר המחיה"</t>
        </r>
      </text>
    </comment>
    <comment ref="M34" authorId="0" shapeId="0" xr:uid="{30BA4DE3-76AB-4028-A738-785160BD64D9}">
      <text>
        <r>
          <rPr>
            <b/>
            <sz val="9"/>
            <color indexed="81"/>
            <rFont val="Tahoma"/>
            <family val="2"/>
          </rPr>
          <t>יניב שפירא:</t>
        </r>
        <r>
          <rPr>
            <sz val="9"/>
            <color indexed="81"/>
            <rFont val="Tahoma"/>
            <family val="2"/>
          </rPr>
          <t xml:space="preserve">
1 = בהחלט לא מסכים
2 = לא מסכים
3 = לא בטוח
4 = מסכים
5 = מסכים בהחלט</t>
        </r>
      </text>
    </comment>
    <comment ref="J39" authorId="0" shapeId="0" xr:uid="{CD8CA0F1-A05C-46B3-A924-39C974B00F13}">
      <text>
        <r>
          <rPr>
            <b/>
            <sz val="9"/>
            <color indexed="81"/>
            <rFont val="Tahoma"/>
            <family val="2"/>
          </rPr>
          <t>יניב שפירא:</t>
        </r>
        <r>
          <rPr>
            <sz val="9"/>
            <color indexed="81"/>
            <rFont val="Tahoma"/>
            <family val="2"/>
          </rPr>
          <t xml:space="preserve">
1 = בהחלט שכן
2 = חושב שכן
3 = חושב שלא
4 = בהחלט לא</t>
        </r>
      </text>
    </comment>
    <comment ref="L40" authorId="0" shapeId="0" xr:uid="{19F59F67-0836-4F95-97FA-BDC47C10049C}">
      <text>
        <r>
          <rPr>
            <b/>
            <sz val="9"/>
            <color indexed="81"/>
            <rFont val="Tahoma"/>
            <family val="2"/>
          </rPr>
          <t>יניב שפירא:</t>
        </r>
        <r>
          <rPr>
            <sz val="9"/>
            <color indexed="81"/>
            <rFont val="Tahoma"/>
            <family val="2"/>
          </rPr>
          <t xml:space="preserve">
1 = ללא שינוי
2 = גרועה יותר
3 = טובה יותר</t>
        </r>
      </text>
    </comment>
    <comment ref="M40" authorId="0" shapeId="0" xr:uid="{AC6DD089-C691-4EAF-9FFF-7F625BD3AD0B}">
      <text>
        <r>
          <rPr>
            <b/>
            <sz val="9"/>
            <color indexed="81"/>
            <rFont val="Tahoma"/>
            <family val="2"/>
          </rPr>
          <t>יניב שפירא:</t>
        </r>
        <r>
          <rPr>
            <sz val="9"/>
            <color indexed="81"/>
            <rFont val="Tahoma"/>
            <family val="2"/>
          </rPr>
          <t xml:space="preserve">
1 = טובה יותר
2 = גרועה יותר
3 = ללא שינוי</t>
        </r>
      </text>
    </comment>
    <comment ref="N41" authorId="0" shapeId="0" xr:uid="{BC529E5E-93A6-45E3-A1B3-709766669301}">
      <text>
        <r>
          <rPr>
            <b/>
            <sz val="9"/>
            <color indexed="81"/>
            <rFont val="Tahoma"/>
            <family val="2"/>
          </rPr>
          <t>יניב שפירא:</t>
        </r>
        <r>
          <rPr>
            <sz val="9"/>
            <color indexed="81"/>
            <rFont val="Tahoma"/>
            <family val="2"/>
          </rPr>
          <t xml:space="preserve">
1 = טובה יותר
2 = גרועה יותר
3 = ללא שינוי</t>
        </r>
      </text>
    </comment>
    <comment ref="N42" authorId="0" shapeId="0" xr:uid="{D346BCE9-25A8-46B9-BD93-C89CDB8D5097}">
      <text>
        <r>
          <rPr>
            <b/>
            <sz val="9"/>
            <color indexed="81"/>
            <rFont val="Tahoma"/>
            <family val="2"/>
          </rPr>
          <t>יניב שפירא:</t>
        </r>
        <r>
          <rPr>
            <sz val="9"/>
            <color indexed="81"/>
            <rFont val="Tahoma"/>
            <family val="2"/>
          </rPr>
          <t xml:space="preserve">
1 = לא
2 = כן, לליכוד
3 = כן, לעבודה
4 = כן, למרצ</t>
        </r>
      </text>
    </comment>
    <comment ref="I43" authorId="0" shapeId="0" xr:uid="{71D6E335-FB97-4CF8-BFC1-D62A011640C4}">
      <text>
        <r>
          <rPr>
            <b/>
            <sz val="9"/>
            <color indexed="81"/>
            <rFont val="Tahoma"/>
            <family val="2"/>
          </rPr>
          <t>יניב שפירא:</t>
        </r>
        <r>
          <rPr>
            <sz val="9"/>
            <color indexed="81"/>
            <rFont val="Tahoma"/>
            <family val="2"/>
          </rPr>
          <t xml:space="preserve">
1 = התהליך המדיני עם הפלסינים וסוריה
2 = המצב הביטחוני
3 = המצב החברתי כלכלי
4 = יחסי דתיים חילונים
5 = שחיתות ושלטון החוק
6 = האחדות בעם
7 = אחר</t>
        </r>
      </text>
    </comment>
    <comment ref="Q44" authorId="0" shapeId="0" xr:uid="{F4FA1519-F1E5-49C3-B741-9F2B891B6B99}">
      <text>
        <r>
          <rPr>
            <b/>
            <sz val="9"/>
            <color indexed="81"/>
            <rFont val="Tahoma"/>
            <family val="2"/>
          </rPr>
          <t>יניב שפירא:</t>
        </r>
        <r>
          <rPr>
            <sz val="9"/>
            <color indexed="81"/>
            <rFont val="Tahoma"/>
            <family val="2"/>
          </rPr>
          <t xml:space="preserve">
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r>
      </text>
    </comment>
    <comment ref="S45" authorId="0" shapeId="0" xr:uid="{19C29E34-1957-4C77-A32F-B3FBE1178ADC}">
      <text>
        <r>
          <rPr>
            <b/>
            <sz val="9"/>
            <color indexed="81"/>
            <rFont val="Tahoma"/>
            <charset val="177"/>
          </rPr>
          <t>יניב שפירא:</t>
        </r>
        <r>
          <rPr>
            <sz val="9"/>
            <color indexed="81"/>
            <rFont val="Tahoma"/>
            <charset val="177"/>
          </rPr>
          <t xml:space="preserve">
1 = ישפיע במידה רבה
2 = ישפיע במידה מסוימת
3 = ישפיע במידה קטנה
4 = כלל לא ישפיע</t>
        </r>
      </text>
    </comment>
    <comment ref="Q47" authorId="0" shapeId="0" xr:uid="{CECC3EF0-EADD-433F-BDFD-24499CE03861}">
      <text>
        <r>
          <rPr>
            <b/>
            <sz val="9"/>
            <color indexed="81"/>
            <rFont val="Tahoma"/>
            <family val="2"/>
          </rPr>
          <t>יניב שפירא:</t>
        </r>
        <r>
          <rPr>
            <sz val="9"/>
            <color indexed="81"/>
            <rFont val="Tahoma"/>
            <family val="2"/>
          </rPr>
          <t xml:space="preserve">
1 = במידה רבה
2 = במידה מסויימת
3 = במידה מועטה בלבד
4 = לא ישפיע כלל</t>
        </r>
      </text>
    </comment>
    <comment ref="AE47" authorId="0" shapeId="0" xr:uid="{6604FA2C-0BA3-4C59-AF69-9B8E1CF223CA}">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Z48" authorId="0" shapeId="0" xr:uid="{E56B1F7E-670D-49F0-83AC-020A3F8B6F5A}">
      <text>
        <r>
          <rPr>
            <b/>
            <sz val="9"/>
            <color indexed="81"/>
            <rFont val="Tahoma"/>
            <family val="2"/>
          </rPr>
          <t>יניב שפירא:</t>
        </r>
        <r>
          <rPr>
            <sz val="9"/>
            <color indexed="81"/>
            <rFont val="Tahoma"/>
            <family val="2"/>
          </rPr>
          <t xml:space="preserve">
1 = במידה רבה
2 = במידה מסוימת
3 = במידה מועטה
4 = כלל לא ישפיע</t>
        </r>
      </text>
    </comment>
    <comment ref="T49" authorId="0" shapeId="0" xr:uid="{77677621-D0FC-442C-ADDB-0DD80CDEFA49}">
      <text>
        <r>
          <rPr>
            <b/>
            <sz val="9"/>
            <color indexed="81"/>
            <rFont val="Tahoma"/>
            <charset val="177"/>
          </rPr>
          <t>יניב שפירא:</t>
        </r>
        <r>
          <rPr>
            <sz val="9"/>
            <color indexed="81"/>
            <rFont val="Tahoma"/>
            <charset val="177"/>
          </rPr>
          <t xml:space="preserve">
1 = ישפיע במידה רבה
2 = במידה מסויימת
3 = במידה מועטה
4 = בכלל לא ישפיע</t>
        </r>
      </text>
    </comment>
    <comment ref="T50" authorId="0" shapeId="0" xr:uid="{F1155578-93A4-487C-8197-FC2E95403024}">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U51" authorId="0" shapeId="0" xr:uid="{659F32DB-631B-4BA7-94DD-8BD0BFB11858}">
      <text>
        <r>
          <rPr>
            <b/>
            <sz val="9"/>
            <color indexed="81"/>
            <rFont val="Tahoma"/>
            <charset val="177"/>
          </rPr>
          <t>יניב שפירא:</t>
        </r>
        <r>
          <rPr>
            <sz val="9"/>
            <color indexed="81"/>
            <rFont val="Tahoma"/>
            <charset val="177"/>
          </rPr>
          <t xml:space="preserve">
1 = בהחלט צריכים להיות
2 = צריכים להיות
3 = אולי כן צריכים להיות
4 = אולי לא צריכים להיות
5 = לא צריכים להיות
6 = בהחלט לא צריכים להיות</t>
        </r>
      </text>
    </comment>
    <comment ref="V52" authorId="0" shapeId="0" xr:uid="{0DE689BE-EC35-4FB5-A0B7-243E69CE90DB}">
      <text>
        <r>
          <rPr>
            <b/>
            <sz val="9"/>
            <color indexed="81"/>
            <rFont val="Tahoma"/>
            <charset val="177"/>
          </rPr>
          <t>יניב שפירא:</t>
        </r>
        <r>
          <rPr>
            <sz val="9"/>
            <color indexed="81"/>
            <rFont val="Tahoma"/>
            <charset val="177"/>
          </rPr>
          <t xml:space="preserve">
1 = אני בטוח שהוא מנהיג זקן שטעה יותר מד
2 = אני חושב שהוא מנהיג זקן שטעה יותר מדי
3 = אני חושב שהוא סוג המנהיג שחסר לנו
4 = אני בטוח שהוא סוג המנהיג שחסר לנו</t>
        </r>
      </text>
    </comment>
    <comment ref="U53" authorId="0" shapeId="0" xr:uid="{C23FDF2F-4574-4219-96DD-506F63E63FB2}">
      <text>
        <r>
          <rPr>
            <b/>
            <sz val="9"/>
            <color indexed="81"/>
            <rFont val="Tahoma"/>
            <charset val="177"/>
          </rPr>
          <t>יניב שפירא:</t>
        </r>
        <r>
          <rPr>
            <sz val="9"/>
            <color indexed="81"/>
            <rFont val="Tahoma"/>
            <charset val="177"/>
          </rPr>
          <t xml:space="preserve">
1 = מסוגל במידה רבה
2 = במידה מסויימת
3 = במידה מועטה
4 = כלל לא מסוגל</t>
        </r>
      </text>
    </comment>
    <comment ref="Z54" authorId="0" shapeId="0" xr:uid="{165CDF05-D670-432D-99D1-8E12846D9F65}">
      <text>
        <r>
          <rPr>
            <b/>
            <sz val="9"/>
            <color indexed="81"/>
            <rFont val="Tahoma"/>
            <charset val="177"/>
          </rPr>
          <t>יניב שפירא:</t>
        </r>
        <r>
          <rPr>
            <sz val="9"/>
            <color indexed="81"/>
            <rFont val="Tahoma"/>
            <charset val="177"/>
          </rPr>
          <t xml:space="preserve">
1 = במידה רבה
2 = במידה מסוימת
3 = במידה מועטה
4 = לא ישפיע כלל</t>
        </r>
      </text>
    </comment>
    <comment ref="Z55" authorId="0" shapeId="0" xr:uid="{599FB37F-7EE6-4277-8BD5-4056CDE580F9}">
      <text>
        <r>
          <rPr>
            <b/>
            <sz val="9"/>
            <color indexed="81"/>
            <rFont val="Tahoma"/>
            <charset val="177"/>
          </rPr>
          <t>יניב שפירא:</t>
        </r>
        <r>
          <rPr>
            <sz val="9"/>
            <color indexed="81"/>
            <rFont val="Tahoma"/>
            <charset val="177"/>
          </rPr>
          <t xml:space="preserve">
1 = תשפיע במידה רבה
2 = במידה מסויימת
3 = במידה מועטה
4 = לא תשפיע כלל</t>
        </r>
      </text>
    </comment>
    <comment ref="Z56" authorId="0" shapeId="0" xr:uid="{81AA5477-AC7B-44E5-803E-C951F52FB02E}">
      <text>
        <r>
          <rPr>
            <b/>
            <sz val="9"/>
            <color indexed="81"/>
            <rFont val="Tahoma"/>
            <charset val="177"/>
          </rPr>
          <t>יניב שפירא:</t>
        </r>
        <r>
          <rPr>
            <sz val="9"/>
            <color indexed="81"/>
            <rFont val="Tahoma"/>
            <charset val="177"/>
          </rPr>
          <t xml:space="preserve">
1 = חיזקה מאוד
2 = חיזקה
3 = חיזקה קצת
4 = החלישה קצת
5 = החלישה
6 = החלישה מאוד
7 = לא זה ולא זה
8 = לא יודע</t>
        </r>
      </text>
    </comment>
    <comment ref="AC58" authorId="0" shapeId="0" xr:uid="{AAC77D80-63B4-4226-95D9-11AC770C485E}">
      <text>
        <r>
          <rPr>
            <b/>
            <sz val="9"/>
            <color indexed="81"/>
            <rFont val="Tahoma"/>
            <family val="2"/>
          </rPr>
          <t>יניב שפירא:</t>
        </r>
        <r>
          <rPr>
            <sz val="9"/>
            <color indexed="81"/>
            <rFont val="Tahoma"/>
            <family val="2"/>
          </rPr>
          <t xml:space="preserve">
1 = חיובי מאוד
2 = חיובי
3 = שלילי
4 = שלילי מאוד</t>
        </r>
      </text>
    </comment>
    <comment ref="AC59" authorId="0" shapeId="0" xr:uid="{F985A2C2-EAF5-43D8-9E48-040B88586C9F}">
      <text>
        <r>
          <rPr>
            <b/>
            <sz val="9"/>
            <color indexed="81"/>
            <rFont val="Tahoma"/>
            <family val="2"/>
          </rPr>
          <t>יניב שפירא:</t>
        </r>
        <r>
          <rPr>
            <sz val="9"/>
            <color indexed="81"/>
            <rFont val="Tahoma"/>
            <family val="2"/>
          </rPr>
          <t xml:space="preserve">
1 = בטוח צריך לקיימן במועד
2 = חושב שצריך לקיימן במועד
3  = חושב שצריך לדחות
4 = בטוח שצריך לדחות</t>
        </r>
      </text>
    </comment>
    <comment ref="A60" authorId="0" shapeId="0" xr:uid="{E56E6651-1335-4E7A-B25D-C8AD3A1F350D}">
      <text>
        <r>
          <rPr>
            <b/>
            <sz val="9"/>
            <color indexed="81"/>
            <rFont val="Tahoma"/>
            <family val="2"/>
          </rPr>
          <t>יניב שפירא:</t>
        </r>
        <r>
          <rPr>
            <sz val="9"/>
            <color indexed="81"/>
            <rFont val="Tahoma"/>
            <family val="2"/>
          </rPr>
          <t xml:space="preserve">
למי שענה 3 או 4 בשאלה הקודמת</t>
        </r>
      </text>
    </comment>
    <comment ref="AC60" authorId="0" shapeId="0" xr:uid="{FD017783-09FC-46D8-951E-58EF35B7251D}">
      <text>
        <r>
          <rPr>
            <b/>
            <sz val="9"/>
            <color indexed="81"/>
            <rFont val="Tahoma"/>
            <family val="2"/>
          </rPr>
          <t>יניב שפירא:</t>
        </r>
        <r>
          <rPr>
            <sz val="9"/>
            <color indexed="81"/>
            <rFont val="Tahoma"/>
            <family val="2"/>
          </rPr>
          <t xml:space="preserve">
1 = למספר שבועות
2 = למספר חודשים
3 = לשנה
4 = ליותר משנה
5 = חושב שלא צריך לדחות</t>
        </r>
      </text>
    </comment>
    <comment ref="AD61" authorId="0" shapeId="0" xr:uid="{723E3BAB-2352-47E1-8115-1A9013D9C913}">
      <text>
        <r>
          <rPr>
            <b/>
            <sz val="9"/>
            <color indexed="81"/>
            <rFont val="Tahoma"/>
            <charset val="177"/>
          </rPr>
          <t>יניב שפירא:</t>
        </r>
        <r>
          <rPr>
            <sz val="9"/>
            <color indexed="81"/>
            <rFont val="Tahoma"/>
            <charset val="177"/>
          </rPr>
          <t xml:space="preserve">
1 = כן
2 = לא</t>
        </r>
      </text>
    </comment>
    <comment ref="AD62" authorId="0" shapeId="0" xr:uid="{F8AC2BBD-A29C-4DFE-9214-2C9D36E72C02}">
      <text>
        <r>
          <rPr>
            <b/>
            <sz val="9"/>
            <color indexed="81"/>
            <rFont val="Tahoma"/>
            <charset val="177"/>
          </rPr>
          <t>יניב שפירא:</t>
        </r>
        <r>
          <rPr>
            <sz val="9"/>
            <color indexed="81"/>
            <rFont val="Tahoma"/>
            <charset val="177"/>
          </rPr>
          <t xml:space="preserve">
1 = ציין 3 מפלגות
2 = ציין 2 מפלגות
3 = ציין מפלגה אחת
4 = תשובה לא נכונה
5 = לא יודע</t>
        </r>
      </text>
    </comment>
    <comment ref="AD63" authorId="0" shapeId="0" xr:uid="{85F35969-DAB4-49FA-9387-6C5110D69705}">
      <text>
        <r>
          <rPr>
            <b/>
            <sz val="9"/>
            <color indexed="81"/>
            <rFont val="Tahoma"/>
            <charset val="177"/>
          </rPr>
          <t>יניב שפירא:</t>
        </r>
        <r>
          <rPr>
            <sz val="9"/>
            <color indexed="81"/>
            <rFont val="Tahoma"/>
            <charset val="177"/>
          </rPr>
          <t xml:space="preserve">
1 = מאוד רצוי
2 = רצוי
3 = לא כ"כ רצוי
4 = כלל לא רצוי</t>
        </r>
      </text>
    </comment>
    <comment ref="Z64" authorId="0" shapeId="0" xr:uid="{974D0601-B154-48C9-9EC8-EFC15174B7DB}">
      <text>
        <r>
          <rPr>
            <b/>
            <sz val="9"/>
            <color indexed="81"/>
            <rFont val="Tahoma"/>
            <family val="2"/>
          </rPr>
          <t>יניב שפירא:</t>
        </r>
        <r>
          <rPr>
            <sz val="9"/>
            <color indexed="81"/>
            <rFont val="Tahoma"/>
            <family val="2"/>
          </rPr>
          <t xml:space="preserve">
1 = ידוע במידה רבה
2 = ידוע באופן כללי
3 = ידוע באופן מועט
4 = לא ידוע כלל
</t>
        </r>
      </text>
    </comment>
    <comment ref="D65" authorId="0" shapeId="0" xr:uid="{E67025B6-1616-4D78-93DE-FB37FC2BA962}">
      <text>
        <r>
          <rPr>
            <b/>
            <sz val="9"/>
            <color indexed="81"/>
            <rFont val="Tahoma"/>
            <charset val="177"/>
          </rPr>
          <t>יניב שפירא:</t>
        </r>
        <r>
          <rPr>
            <sz val="9"/>
            <color indexed="81"/>
            <rFont val="Tahoma"/>
            <charset val="177"/>
          </rPr>
          <t xml:space="preserve">
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r>
      </text>
    </comment>
    <comment ref="B66" authorId="1" shapeId="0" xr:uid="{0ABB5CFB-2204-4C8F-80DA-BCC11BD4DA76}">
      <text>
        <r>
          <rPr>
            <b/>
            <sz val="9"/>
            <color indexed="81"/>
            <rFont val="Tahoma"/>
          </rPr>
          <t>adi:</t>
        </r>
        <r>
          <rPr>
            <sz val="9"/>
            <color indexed="81"/>
            <rFont val="Tahoma"/>
          </rPr>
          <t xml:space="preserve">
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r>
      </text>
    </comment>
    <comment ref="C66" authorId="0" shapeId="0" xr:uid="{40BC0976-925B-43BD-8C0F-0637945C0B62}">
      <text>
        <r>
          <rPr>
            <b/>
            <sz val="9"/>
            <color indexed="81"/>
            <rFont val="Tahoma"/>
            <charset val="177"/>
          </rPr>
          <t>יניב שפירא:</t>
        </r>
        <r>
          <rPr>
            <sz val="9"/>
            <color indexed="81"/>
            <rFont val="Tahoma"/>
            <charset val="177"/>
          </rPr>
          <t xml:space="preserve">
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r>
      </text>
    </comment>
    <comment ref="C67" authorId="0" shapeId="0" xr:uid="{89215132-EF12-41B1-BA8E-12B4B18E22DF}">
      <text>
        <r>
          <rPr>
            <b/>
            <sz val="9"/>
            <color indexed="81"/>
            <rFont val="Tahoma"/>
            <charset val="177"/>
          </rPr>
          <t>יניב שפירא:</t>
        </r>
        <r>
          <rPr>
            <sz val="9"/>
            <color indexed="81"/>
            <rFont val="Tahoma"/>
            <charset val="177"/>
          </rPr>
          <t xml:space="preserve">
1 = בדרך טובה מאוד
2 = בדרך טובה
3 = בדרך לא כ"כ טובה
4 = בדרך לא טובה כלל</t>
        </r>
      </text>
    </comment>
    <comment ref="C68" authorId="0" shapeId="0" xr:uid="{C3D22809-2DF4-4DB8-B673-59CDDAA2AD7D}">
      <text>
        <r>
          <rPr>
            <b/>
            <sz val="9"/>
            <color indexed="81"/>
            <rFont val="Tahoma"/>
            <charset val="177"/>
          </rPr>
          <t>יניב שפירא:</t>
        </r>
        <r>
          <rPr>
            <sz val="9"/>
            <color indexed="81"/>
            <rFont val="Tahoma"/>
            <charset val="177"/>
          </rPr>
          <t xml:space="preserve">
1 = נתניהו
2 = סער
3 = לפיד
4 = בנט
5 = כולם במידה שווה
6 = אף אחד מהם</t>
        </r>
      </text>
    </comment>
    <comment ref="L69" authorId="0" shapeId="0" xr:uid="{CC2C444F-17A6-46CC-8CED-FD12B9E64730}">
      <text>
        <r>
          <rPr>
            <b/>
            <sz val="9"/>
            <color indexed="81"/>
            <rFont val="Tahoma"/>
            <family val="2"/>
          </rPr>
          <t>יניב שפירא:</t>
        </r>
        <r>
          <rPr>
            <sz val="9"/>
            <color indexed="81"/>
            <rFont val="Tahoma"/>
            <family val="2"/>
          </rPr>
          <t xml:space="preserve">
1 = מתנגד מאד
2 = מתנגד במידה מסוימת
3 = תומך במידה מסוימת
4 = תומך מאד</t>
        </r>
      </text>
    </comment>
    <comment ref="M69" authorId="0" shapeId="0" xr:uid="{D97D77D4-FDE1-441C-8F36-4DDEC3885F86}">
      <text>
        <r>
          <rPr>
            <b/>
            <sz val="9"/>
            <color indexed="81"/>
            <rFont val="Tahoma"/>
            <family val="2"/>
          </rPr>
          <t>יניב שפירא:</t>
        </r>
        <r>
          <rPr>
            <sz val="9"/>
            <color indexed="81"/>
            <rFont val="Tahoma"/>
            <family val="2"/>
          </rPr>
          <t xml:space="preserve">
1 = תומך מאד
2 = תומך במידה מסוימת
3 = מתנגד במידה מסוימת
4 = מתנגד מאד</t>
        </r>
      </text>
    </comment>
    <comment ref="B70" authorId="1" shapeId="0" xr:uid="{B75D956E-3739-4C6E-AF4F-1A202E114BAA}">
      <text>
        <r>
          <rPr>
            <b/>
            <sz val="9"/>
            <color indexed="81"/>
            <rFont val="Tahoma"/>
            <family val="2"/>
          </rPr>
          <t>adi:</t>
        </r>
        <r>
          <rPr>
            <sz val="9"/>
            <color indexed="81"/>
            <rFont val="Tahoma"/>
            <family val="2"/>
          </rPr>
          <t xml:space="preserve">
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r>
      </text>
    </comment>
    <comment ref="C70" authorId="0" shapeId="0" xr:uid="{19C20864-3E80-4953-9EB2-5F2FDD06A363}">
      <text>
        <r>
          <rPr>
            <b/>
            <sz val="9"/>
            <color indexed="81"/>
            <rFont val="Tahoma"/>
            <family val="2"/>
          </rPr>
          <t>יניב שפירא:</t>
        </r>
        <r>
          <rPr>
            <sz val="9"/>
            <color indexed="81"/>
            <rFont val="Tahoma"/>
            <family val="2"/>
          </rPr>
          <t xml:space="preserve">
1 = בעד צירוף מפלגות ערביות לממשלה
2 = בעד תמיכה מבחוץ של מפלגות ערביות
3 = נגד צירוף ונגד תמיכה מבחוץ של מפלגות ערביות</t>
        </r>
      </text>
    </comment>
    <comment ref="B71" authorId="1" shapeId="0" xr:uid="{230B2BBF-A0AC-43FF-A889-82CA37D8A861}">
      <text>
        <r>
          <rPr>
            <b/>
            <sz val="9"/>
            <color indexed="81"/>
            <rFont val="Tahoma"/>
            <family val="2"/>
          </rPr>
          <t>adi:</t>
        </r>
        <r>
          <rPr>
            <sz val="9"/>
            <color indexed="81"/>
            <rFont val="Tahoma"/>
            <family val="2"/>
          </rPr>
          <t xml:space="preserve">
1 = חיובית מאוד
2 = חיובית
3 = לא חיובית ולא שלילת
4 = שלילית
5 = שלילית מאוד</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X1" authorId="0" shapeId="0" xr:uid="{C842DEC5-F9F0-4EDE-8724-2F7D62ADB4F5}">
      <text>
        <r>
          <rPr>
            <b/>
            <sz val="9"/>
            <color indexed="81"/>
            <rFont val="Tahoma"/>
            <charset val="177"/>
          </rPr>
          <t>יניב שפירא:</t>
        </r>
        <r>
          <rPr>
            <sz val="9"/>
            <color indexed="81"/>
            <rFont val="Tahoma"/>
            <charset val="177"/>
          </rPr>
          <t xml:space="preserve">
post election</t>
        </r>
      </text>
    </comment>
    <comment ref="AB1" authorId="0" shapeId="0" xr:uid="{56DFCDDF-F593-436B-A1D2-1683B813B10E}">
      <text>
        <r>
          <rPr>
            <b/>
            <sz val="9"/>
            <color indexed="81"/>
            <rFont val="Tahoma"/>
            <charset val="177"/>
          </rPr>
          <t>יניב שפירא:</t>
        </r>
        <r>
          <rPr>
            <sz val="9"/>
            <color indexed="81"/>
            <rFont val="Tahoma"/>
            <charset val="177"/>
          </rPr>
          <t xml:space="preserve">
post Kippur + post election</t>
        </r>
      </text>
    </comment>
    <comment ref="AC1" authorId="0" shapeId="0" xr:uid="{5CF74A4D-4E63-48F9-8F9F-66DE62E0E624}">
      <text>
        <r>
          <rPr>
            <b/>
            <sz val="9"/>
            <color indexed="81"/>
            <rFont val="Tahoma"/>
            <charset val="177"/>
          </rPr>
          <t>יניב שפירא:</t>
        </r>
        <r>
          <rPr>
            <sz val="9"/>
            <color indexed="81"/>
            <rFont val="Tahoma"/>
            <charset val="177"/>
          </rPr>
          <t xml:space="preserve">
post Kippur</t>
        </r>
      </text>
    </comment>
    <comment ref="AD1" authorId="0" shapeId="0" xr:uid="{BFF91059-C8E7-4A25-8274-8075FE8F4F40}">
      <text>
        <r>
          <rPr>
            <b/>
            <sz val="9"/>
            <color indexed="81"/>
            <rFont val="Tahoma"/>
            <charset val="177"/>
          </rPr>
          <t>יניב שפירא:</t>
        </r>
        <r>
          <rPr>
            <sz val="9"/>
            <color indexed="81"/>
            <rFont val="Tahoma"/>
            <charset val="177"/>
          </rPr>
          <t xml:space="preserve">
post Kippur</t>
        </r>
      </text>
    </comment>
    <comment ref="AG1" authorId="0" shapeId="0" xr:uid="{CD1FEA63-CACC-42A7-999C-4897DF7A681B}">
      <text>
        <r>
          <rPr>
            <b/>
            <sz val="9"/>
            <color indexed="81"/>
            <rFont val="Tahoma"/>
            <charset val="177"/>
          </rPr>
          <t>יניב שפירא:</t>
        </r>
        <r>
          <rPr>
            <sz val="9"/>
            <color indexed="81"/>
            <rFont val="Tahoma"/>
            <charset val="177"/>
          </rPr>
          <t xml:space="preserve">
pre + post election</t>
        </r>
      </text>
    </comment>
    <comment ref="E2" authorId="0" shapeId="0" xr:uid="{9A33900F-88F9-4018-9EC8-1E8F9F0D2731}">
      <text>
        <r>
          <rPr>
            <b/>
            <sz val="9"/>
            <color indexed="81"/>
            <rFont val="Tahoma"/>
            <family val="2"/>
          </rPr>
          <t>יניב שפירא:</t>
        </r>
        <r>
          <rPr>
            <sz val="9"/>
            <color indexed="81"/>
            <rFont val="Tahoma"/>
            <family val="2"/>
          </rPr>
          <t xml:space="preserve">
1 = קפיטליסטית בהחלט
2 = יותר קפיטליסטית מאשר סוציאליסטית
3 = יותר סוציאליסטית מאשר קפיטליסטית
4 = סוציאליסטית בהחלט</t>
        </r>
      </text>
    </comment>
    <comment ref="C5" authorId="1" shapeId="0" xr:uid="{C0838996-7088-4622-A76F-D2B22B902578}">
      <text>
        <r>
          <rPr>
            <b/>
            <sz val="9"/>
            <color indexed="81"/>
            <rFont val="Tahoma"/>
            <family val="2"/>
          </rPr>
          <t>adi:</t>
        </r>
        <r>
          <rPr>
            <sz val="9"/>
            <color indexed="81"/>
            <rFont val="Tahoma"/>
            <family val="2"/>
          </rPr>
          <t xml:space="preserve">
1 = נתניהו
2 = לפיד
3 = גנץ
4 = כולם במידה שווה
5 = אף אחד מהם</t>
        </r>
      </text>
    </comment>
    <comment ref="E5" authorId="0" shapeId="0" xr:uid="{71D03D0D-EBC6-456F-8AEB-4E38FAA0E02F}">
      <text>
        <r>
          <rPr>
            <b/>
            <sz val="9"/>
            <color indexed="81"/>
            <rFont val="Tahoma"/>
            <charset val="177"/>
          </rPr>
          <t>יניב שפירא:</t>
        </r>
        <r>
          <rPr>
            <sz val="9"/>
            <color indexed="81"/>
            <rFont val="Tahoma"/>
            <charset val="177"/>
          </rPr>
          <t xml:space="preserve">
1 = כחול לבן
2 = ליכוד
3 =  שניהם במידה שווה
4 = אף אחד מהם</t>
        </r>
      </text>
    </comment>
    <comment ref="H5" authorId="0" shapeId="0" xr:uid="{770441D6-CEEB-4218-8A34-D0EFCADECA29}">
      <text>
        <r>
          <rPr>
            <b/>
            <sz val="9"/>
            <color indexed="81"/>
            <rFont val="Tahoma"/>
            <family val="2"/>
          </rPr>
          <t>יניב שפירא:</t>
        </r>
        <r>
          <rPr>
            <sz val="9"/>
            <color indexed="81"/>
            <rFont val="Tahoma"/>
            <family val="2"/>
          </rPr>
          <t xml:space="preserve">
1 = המחנה הציוני
2 = הליכוד
3 = שניהם במידה שווה
4 = אף אחד מהם</t>
        </r>
      </text>
    </comment>
    <comment ref="I6" authorId="0" shapeId="0" xr:uid="{1D1A1916-8943-4F9B-941C-22539078CF80}">
      <text>
        <r>
          <rPr>
            <b/>
            <sz val="9"/>
            <color indexed="81"/>
            <rFont val="Tahoma"/>
            <family val="2"/>
          </rPr>
          <t>יניב שפירא:</t>
        </r>
        <r>
          <rPr>
            <sz val="9"/>
            <color indexed="81"/>
            <rFont val="Tahoma"/>
            <family val="2"/>
          </rPr>
          <t xml:space="preserve">
1 = ציפי לבני
2 = בנימין נתניהו
3 = שלי יחימוביץ</t>
        </r>
      </text>
    </comment>
    <comment ref="J6" authorId="0" shapeId="0" xr:uid="{8EC97E70-6580-4BBD-8F33-946DB8934F14}">
      <text>
        <r>
          <rPr>
            <b/>
            <sz val="9"/>
            <color indexed="81"/>
            <rFont val="Tahoma"/>
            <family val="2"/>
          </rPr>
          <t>יניב שפירא:</t>
        </r>
        <r>
          <rPr>
            <sz val="9"/>
            <color indexed="81"/>
            <rFont val="Tahoma"/>
            <family val="2"/>
          </rPr>
          <t xml:space="preserve">
1 = ציפי לבני
2 = בנימין נתניהו
3 = אהוד ברק</t>
        </r>
      </text>
    </comment>
    <comment ref="K6" authorId="0" shapeId="0" xr:uid="{468CFB63-7234-4776-921E-13B9A232089A}">
      <text>
        <r>
          <rPr>
            <b/>
            <sz val="9"/>
            <color indexed="81"/>
            <rFont val="Tahoma"/>
            <charset val="177"/>
          </rPr>
          <t>יניב שפירא:</t>
        </r>
        <r>
          <rPr>
            <sz val="9"/>
            <color indexed="81"/>
            <rFont val="Tahoma"/>
            <charset val="177"/>
          </rPr>
          <t xml:space="preserve">
1 = קדימה
2 = הליכוד
3 = העבודה
4 = כולם במידה שווה
5 = אף אחד מהם</t>
        </r>
      </text>
    </comment>
    <comment ref="L6" authorId="0" shapeId="0" xr:uid="{94D26B4E-D227-4165-84D9-413B3C34F906}">
      <text>
        <r>
          <rPr>
            <b/>
            <sz val="9"/>
            <color indexed="81"/>
            <rFont val="Tahoma"/>
            <family val="2"/>
          </rPr>
          <t>יניב שפירא:</t>
        </r>
        <r>
          <rPr>
            <sz val="9"/>
            <color indexed="81"/>
            <rFont val="Tahoma"/>
            <family val="2"/>
          </rPr>
          <t xml:space="preserve">
1 = הליכוד
2 = העבודה
3 = שניהם במידה שווה
4 = אף אחד מהם</t>
        </r>
      </text>
    </comment>
    <comment ref="M6" authorId="0" shapeId="0" xr:uid="{F947ED29-541B-4125-A656-D6288044D948}">
      <text>
        <r>
          <rPr>
            <b/>
            <sz val="9"/>
            <color indexed="81"/>
            <rFont val="Tahoma"/>
            <family val="2"/>
          </rPr>
          <t>יניב שפירא:</t>
        </r>
        <r>
          <rPr>
            <sz val="9"/>
            <color indexed="81"/>
            <rFont val="Tahoma"/>
            <family val="2"/>
          </rPr>
          <t xml:space="preserve">
1 = שרון
2 = ברק
3 = מידה שווה
4 = אף אחד מהם</t>
        </r>
      </text>
    </comment>
    <comment ref="N6" authorId="0" shapeId="0" xr:uid="{EFCA0609-E57C-4F2D-ACC7-55542D5F2F48}">
      <text>
        <r>
          <rPr>
            <b/>
            <sz val="9"/>
            <color indexed="81"/>
            <rFont val="Tahoma"/>
            <family val="2"/>
          </rPr>
          <t>יניב שפירא:</t>
        </r>
        <r>
          <rPr>
            <sz val="9"/>
            <color indexed="81"/>
            <rFont val="Tahoma"/>
            <family val="2"/>
          </rPr>
          <t xml:space="preserve">
1 = נתניהו
2 = ברק
3 = מרדכי
4 = במידה שווה
5 = אף אחד מהם</t>
        </r>
      </text>
    </comment>
    <comment ref="O6" authorId="0" shapeId="0" xr:uid="{60F36FD4-E1E2-49FB-9CC1-2492078CD965}">
      <text>
        <r>
          <rPr>
            <b/>
            <sz val="9"/>
            <color indexed="81"/>
            <rFont val="Tahoma"/>
            <family val="2"/>
          </rPr>
          <t>יניב שפירא:</t>
        </r>
        <r>
          <rPr>
            <sz val="9"/>
            <color indexed="81"/>
            <rFont val="Tahoma"/>
            <family val="2"/>
          </rPr>
          <t xml:space="preserve">
1 = העבודה
2 = הליכוד
3 = במידה שווה
4 = אף אחד מהם</t>
        </r>
      </text>
    </comment>
    <comment ref="U6" authorId="0" shapeId="0" xr:uid="{AAE596FB-EC80-423F-B8A6-957C8AE0DE6A}">
      <text>
        <r>
          <rPr>
            <b/>
            <sz val="9"/>
            <color indexed="81"/>
            <rFont val="Tahoma"/>
            <charset val="177"/>
          </rPr>
          <t>יניב שפירא:</t>
        </r>
        <r>
          <rPr>
            <sz val="9"/>
            <color indexed="81"/>
            <rFont val="Tahoma"/>
            <charset val="177"/>
          </rPr>
          <t xml:space="preserve">
1 = יורם ארידור (ליכוד)
2 = חיים בן שחר (מערך)</t>
        </r>
      </text>
    </comment>
    <comment ref="I8" authorId="0" shapeId="0" xr:uid="{9EFB7211-C188-4EEC-B84F-8C5789810818}">
      <text>
        <r>
          <rPr>
            <b/>
            <sz val="9"/>
            <color indexed="81"/>
            <rFont val="Tahoma"/>
            <family val="2"/>
          </rPr>
          <t>יניב שפירא:</t>
        </r>
        <r>
          <rPr>
            <sz val="9"/>
            <color indexed="81"/>
            <rFont val="Tahoma"/>
            <family val="2"/>
          </rPr>
          <t xml:space="preserve">
1 = ציפי לבני
2 = בנימין נתניהו
3 = שלי יחימוביץ</t>
        </r>
      </text>
    </comment>
    <comment ref="J8" authorId="0" shapeId="0" xr:uid="{A995A4D0-C885-47C3-918F-2570056B96AA}">
      <text>
        <r>
          <rPr>
            <b/>
            <sz val="9"/>
            <color indexed="81"/>
            <rFont val="Tahoma"/>
            <family val="2"/>
          </rPr>
          <t>יניב שפירא:</t>
        </r>
        <r>
          <rPr>
            <sz val="9"/>
            <color indexed="81"/>
            <rFont val="Tahoma"/>
            <family val="2"/>
          </rPr>
          <t xml:space="preserve">
1 = ציפי לבני
2 = בנימין נתניהו
3 = אהוד ברק</t>
        </r>
      </text>
    </comment>
    <comment ref="G11" authorId="0" shapeId="0" xr:uid="{50A1480D-9C07-4D10-B04D-BAE41436489D}">
      <text>
        <r>
          <rPr>
            <b/>
            <sz val="9"/>
            <color indexed="81"/>
            <rFont val="Tahoma"/>
            <charset val="177"/>
          </rPr>
          <t>יניב שפירא:</t>
        </r>
        <r>
          <rPr>
            <sz val="9"/>
            <color indexed="81"/>
            <rFont val="Tahoma"/>
            <charset val="177"/>
          </rPr>
          <t xml:space="preserve">
1 = השתפר בהרבה
2 = השתפר במקצת
3 = לא השתנה
4 = קצת גרוע יותר
5 = הרבה יותר גרוע</t>
        </r>
      </text>
    </comment>
    <comment ref="AF11" authorId="0" shapeId="0" xr:uid="{3729739F-C79A-416F-866F-A86AAB2D23CB}">
      <text>
        <r>
          <rPr>
            <b/>
            <sz val="9"/>
            <color indexed="81"/>
            <rFont val="Tahoma"/>
            <charset val="177"/>
          </rPr>
          <t>יניב שפירא:</t>
        </r>
        <r>
          <rPr>
            <sz val="9"/>
            <color indexed="81"/>
            <rFont val="Tahoma"/>
            <charset val="177"/>
          </rPr>
          <t xml:space="preserve">
1 = טוב יותר
2 = אותו מצב
3 = גרוע יותר</t>
        </r>
      </text>
    </comment>
    <comment ref="G12" authorId="0" shapeId="0" xr:uid="{C84F601F-07B4-429F-971A-EBDA47F3B0F3}">
      <text>
        <r>
          <rPr>
            <b/>
            <sz val="9"/>
            <color indexed="81"/>
            <rFont val="Tahoma"/>
            <family val="2"/>
          </rPr>
          <t>יניב שפירא:</t>
        </r>
        <r>
          <rPr>
            <sz val="9"/>
            <color indexed="81"/>
            <rFont val="Tahoma"/>
            <family val="2"/>
          </rPr>
          <t xml:space="preserve">
1 =השתפר בהרבה
2 = השתפר במקצת
3 = לא השתנה
4 = קצת גרוע יותר
5 = הרבה יותר גרוע</t>
        </r>
      </text>
    </comment>
    <comment ref="AF12" authorId="0" shapeId="0" xr:uid="{3B3CC343-E112-43E9-9E67-20B1C8726F30}">
      <text>
        <r>
          <rPr>
            <b/>
            <sz val="9"/>
            <color indexed="81"/>
            <rFont val="Tahoma"/>
            <charset val="177"/>
          </rPr>
          <t>יניב שפירא:</t>
        </r>
        <r>
          <rPr>
            <sz val="9"/>
            <color indexed="81"/>
            <rFont val="Tahoma"/>
            <charset val="177"/>
          </rPr>
          <t xml:space="preserve">
1 = טוב יותר
2 = אותו מצב
3 = יותר גרוע</t>
        </r>
      </text>
    </comment>
    <comment ref="G13" authorId="0" shapeId="0" xr:uid="{E74B0E95-2A5A-498A-A339-5674562A20B8}">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H14" authorId="0" shapeId="0" xr:uid="{DF8A47A1-3E53-46EE-8DB2-E11B9A345B61}">
      <text>
        <r>
          <rPr>
            <b/>
            <sz val="9"/>
            <color indexed="81"/>
            <rFont val="Tahoma"/>
            <family val="2"/>
          </rPr>
          <t>יניב שפירא:</t>
        </r>
        <r>
          <rPr>
            <sz val="9"/>
            <color indexed="81"/>
            <rFont val="Tahoma"/>
            <family val="2"/>
          </rPr>
          <t xml:space="preserve">
1 = על הממשלה לדאוג שלכל אדם תהיה עבודה ורמת חיים סבירה
2 = זה תלוי
3 = על הממשלה לא להתערב ולתת לכל אדם להסתדר בעצמו
</t>
        </r>
      </text>
    </comment>
    <comment ref="H15" authorId="0" shapeId="0" xr:uid="{1BE41284-DD80-4182-9C44-17F9171642B8}">
      <text>
        <r>
          <rPr>
            <b/>
            <sz val="9"/>
            <color indexed="81"/>
            <rFont val="Tahoma"/>
            <family val="2"/>
          </rPr>
          <t>יניב שפירא:</t>
        </r>
        <r>
          <rPr>
            <sz val="9"/>
            <color indexed="81"/>
            <rFont val="Tahoma"/>
            <family val="2"/>
          </rPr>
          <t xml:space="preserve">
1 = כן
2 = לא
9 = מסרב</t>
        </r>
      </text>
    </comment>
    <comment ref="Q15" authorId="0" shapeId="0" xr:uid="{4BB8F16B-17A4-4C7C-A1A5-9F2F6B2D681E}">
      <text>
        <r>
          <rPr>
            <b/>
            <sz val="9"/>
            <color indexed="81"/>
            <rFont val="Tahoma"/>
            <family val="2"/>
          </rPr>
          <t>יניב שפירא:</t>
        </r>
        <r>
          <rPr>
            <sz val="9"/>
            <color indexed="81"/>
            <rFont val="Tahoma"/>
            <family val="2"/>
          </rPr>
          <t xml:space="preserve">
במקום "הבעיות שהמדינה ניצבת בפניהן"
הנוסח הוא: "</t>
        </r>
        <r>
          <rPr>
            <b/>
            <sz val="9"/>
            <color indexed="81"/>
            <rFont val="Tahoma"/>
            <family val="2"/>
          </rPr>
          <t>הכסף יוקדש לנושאי בטחון</t>
        </r>
        <r>
          <rPr>
            <sz val="9"/>
            <color indexed="81"/>
            <rFont val="Tahoma"/>
            <family val="2"/>
          </rPr>
          <t>"</t>
        </r>
      </text>
    </comment>
    <comment ref="H16" authorId="0" shapeId="0" xr:uid="{5716858D-9AC1-45DF-9F5F-A93B22076254}">
      <text>
        <r>
          <rPr>
            <b/>
            <sz val="9"/>
            <color indexed="81"/>
            <rFont val="Tahoma"/>
            <family val="2"/>
          </rPr>
          <t>יניב שפירא:</t>
        </r>
        <r>
          <rPr>
            <sz val="9"/>
            <color indexed="81"/>
            <rFont val="Tahoma"/>
            <family val="2"/>
          </rPr>
          <t xml:space="preserve">
1 = פחות
2 = כמו עכשיו
3 = יותר</t>
        </r>
      </text>
    </comment>
    <comment ref="I16" authorId="0" shapeId="0" xr:uid="{8FF83EAC-783C-4311-9228-BB19A26AC6A8}">
      <text>
        <r>
          <rPr>
            <b/>
            <sz val="9"/>
            <color indexed="81"/>
            <rFont val="Tahoma"/>
            <family val="2"/>
          </rPr>
          <t>יניב שפירא:</t>
        </r>
        <r>
          <rPr>
            <sz val="9"/>
            <color indexed="81"/>
            <rFont val="Tahoma"/>
            <family val="2"/>
          </rPr>
          <t xml:space="preserve">
1 = יותר
2 = פחות
3 = כמו עכשיו</t>
        </r>
      </text>
    </comment>
    <comment ref="N22" authorId="0" shapeId="0" xr:uid="{4299C203-6DBF-4561-B652-D26DFEE42C22}">
      <text>
        <r>
          <rPr>
            <b/>
            <sz val="9"/>
            <color indexed="81"/>
            <rFont val="Tahoma"/>
            <family val="2"/>
          </rPr>
          <t>יניב שפירא:</t>
        </r>
        <r>
          <rPr>
            <sz val="9"/>
            <color indexed="81"/>
            <rFont val="Tahoma"/>
            <family val="2"/>
          </rPr>
          <t xml:space="preserve">
הניסוח הוא:
"סיוע למובטלים"</t>
        </r>
      </text>
    </comment>
    <comment ref="H32" authorId="0" shapeId="0" xr:uid="{F3A6CA74-32CD-46E5-A0AF-21B889055C7F}">
      <text>
        <r>
          <rPr>
            <b/>
            <sz val="9"/>
            <color indexed="81"/>
            <rFont val="Tahoma"/>
            <family val="2"/>
          </rPr>
          <t>יניב שפירא:</t>
        </r>
        <r>
          <rPr>
            <sz val="9"/>
            <color indexed="81"/>
            <rFont val="Tahoma"/>
            <family val="2"/>
          </rPr>
          <t xml:space="preserve">
1 = מסכים בהחלט
2 = מסכים
3 = לא בטוח
4 = לא מסכים
5 = בהחלט לא מסכים</t>
        </r>
      </text>
    </comment>
    <comment ref="Q33" authorId="0" shapeId="0" xr:uid="{D22ECCEA-045F-4749-A3C0-EA70A8553B22}">
      <text>
        <r>
          <rPr>
            <b/>
            <sz val="9"/>
            <color indexed="81"/>
            <rFont val="Tahoma"/>
            <family val="2"/>
          </rPr>
          <t>יניב שפירא:</t>
        </r>
        <r>
          <rPr>
            <sz val="9"/>
            <color indexed="81"/>
            <rFont val="Tahoma"/>
            <family val="2"/>
          </rPr>
          <t xml:space="preserve">
1 = מוצדק בהחלט
2 = מוצדק
3 = לא מוצדק
4 = בהחלט לא מוצדק
</t>
        </r>
      </text>
    </comment>
    <comment ref="H34" authorId="0" shapeId="0" xr:uid="{D9D87AB5-4C1A-4435-B8B7-4945754C1B7D}">
      <text>
        <r>
          <rPr>
            <b/>
            <sz val="9"/>
            <color indexed="81"/>
            <rFont val="Tahoma"/>
            <family val="2"/>
          </rPr>
          <t>יניב שפירא:</t>
        </r>
        <r>
          <rPr>
            <sz val="9"/>
            <color indexed="81"/>
            <rFont val="Tahoma"/>
            <family val="2"/>
          </rPr>
          <t xml:space="preserve">
1 = לא תמכת
2 = תמכת, אך לא השתתפת
3 = תמכת והשתתפת באופן אישי</t>
        </r>
      </text>
    </comment>
    <comment ref="N36" authorId="0" shapeId="0" xr:uid="{143FB9FD-E9F1-44E6-9007-14D7D1EDA925}">
      <text>
        <r>
          <rPr>
            <b/>
            <sz val="9"/>
            <color indexed="81"/>
            <rFont val="Tahoma"/>
            <family val="2"/>
          </rPr>
          <t>יניב שפירא:</t>
        </r>
        <r>
          <rPr>
            <sz val="9"/>
            <color indexed="81"/>
            <rFont val="Tahoma"/>
            <family val="2"/>
          </rPr>
          <t xml:space="preserve">
1 = מסכים בהחלט
2 = מסכים
3 = לא מסכים
4 = בכלל לא מסכים</t>
        </r>
      </text>
    </comment>
    <comment ref="N37" authorId="0" shapeId="0" xr:uid="{14D8D5E8-1AE3-4F97-AD6F-13DA06EF1AD1}">
      <text>
        <r>
          <rPr>
            <b/>
            <sz val="9"/>
            <color indexed="81"/>
            <rFont val="Tahoma"/>
            <family val="2"/>
          </rPr>
          <t>יניב שפירא:</t>
        </r>
        <r>
          <rPr>
            <sz val="9"/>
            <color indexed="81"/>
            <rFont val="Tahoma"/>
            <family val="2"/>
          </rPr>
          <t xml:space="preserve">
1 = במידה רבה מאד
2 = במידה רבה
3 = במידה בינונית
4 = במידה קטנה
5 = כלל לא</t>
        </r>
      </text>
    </comment>
    <comment ref="N38" authorId="0" shapeId="0" xr:uid="{25E0587C-A888-427A-85E9-EEB9BD469F34}">
      <text>
        <r>
          <rPr>
            <b/>
            <sz val="9"/>
            <color indexed="81"/>
            <rFont val="Tahoma"/>
            <family val="2"/>
          </rPr>
          <t>יניב שפירא:</t>
        </r>
        <r>
          <rPr>
            <sz val="9"/>
            <color indexed="81"/>
            <rFont val="Tahoma"/>
            <family val="2"/>
          </rPr>
          <t xml:space="preserve">
1 = במידה רבה מאד
2 = במידה רבה
3 = במידה בינונית
4 = במידה קטנה
5 = כלל לא</t>
        </r>
      </text>
    </comment>
    <comment ref="Q39" authorId="0" shapeId="0" xr:uid="{B65DC71F-DCC0-4091-9A4D-C2DB02A269C1}">
      <text>
        <r>
          <rPr>
            <b/>
            <sz val="9"/>
            <color indexed="81"/>
            <rFont val="Tahoma"/>
            <family val="2"/>
          </rPr>
          <t>יניב שפירא:</t>
        </r>
        <r>
          <rPr>
            <sz val="9"/>
            <color indexed="81"/>
            <rFont val="Tahoma"/>
            <family val="2"/>
          </rPr>
          <t xml:space="preserve">
1 = להגדיל
2 = להשאיר
3 = לקצץ</t>
        </r>
      </text>
    </comment>
    <comment ref="Q40" authorId="0" shapeId="0" xr:uid="{25CB381A-7E27-4645-BD80-9BD243244AC5}">
      <text>
        <r>
          <rPr>
            <b/>
            <sz val="9"/>
            <color indexed="81"/>
            <rFont val="Tahoma"/>
            <family val="2"/>
          </rPr>
          <t>יניב שפירא:</t>
        </r>
        <r>
          <rPr>
            <sz val="9"/>
            <color indexed="81"/>
            <rFont val="Tahoma"/>
            <family val="2"/>
          </rPr>
          <t xml:space="preserve">
1 = להגדיל
2 = להשאיר
3 = לקצץ</t>
        </r>
      </text>
    </comment>
    <comment ref="Q41" authorId="0" shapeId="0" xr:uid="{D85ADD87-D2B3-4BC5-B9FD-D46AD72364B9}">
      <text>
        <r>
          <rPr>
            <b/>
            <sz val="9"/>
            <color indexed="81"/>
            <rFont val="Tahoma"/>
            <family val="2"/>
          </rPr>
          <t>יניב שפירא:</t>
        </r>
        <r>
          <rPr>
            <sz val="9"/>
            <color indexed="81"/>
            <rFont val="Tahoma"/>
            <family val="2"/>
          </rPr>
          <t xml:space="preserve">
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r>
      </text>
    </comment>
    <comment ref="R42" authorId="0" shapeId="0" xr:uid="{D3228053-C8FF-42FC-BCE6-4D1BBE256F4D}">
      <text>
        <r>
          <rPr>
            <b/>
            <sz val="9"/>
            <color indexed="81"/>
            <rFont val="Tahoma"/>
            <family val="2"/>
          </rPr>
          <t>יניב שפירא:</t>
        </r>
        <r>
          <rPr>
            <sz val="9"/>
            <color indexed="81"/>
            <rFont val="Tahoma"/>
            <family val="2"/>
          </rPr>
          <t xml:space="preserve">
1 = בעד שינוי הסטטוס
2 = נגד שינוי הסטטוס</t>
        </r>
      </text>
    </comment>
    <comment ref="R45" authorId="0" shapeId="0" xr:uid="{1F16163D-0785-47E2-9D64-F5809D1DA590}">
      <text>
        <r>
          <rPr>
            <b/>
            <sz val="9"/>
            <color indexed="81"/>
            <rFont val="Tahoma"/>
            <family val="2"/>
          </rPr>
          <t>יניב שפירא:</t>
        </r>
        <r>
          <rPr>
            <sz val="9"/>
            <color indexed="81"/>
            <rFont val="Tahoma"/>
            <family val="2"/>
          </rPr>
          <t xml:space="preserve">
1 = הנטל מתחלק באופן צודק
2 = נטל מתחלק באופן לא צודק</t>
        </r>
      </text>
    </comment>
    <comment ref="T48" authorId="0" shapeId="0" xr:uid="{27B3F00A-AF2E-4168-8CA4-B07AF18FB406}">
      <text>
        <r>
          <rPr>
            <b/>
            <sz val="9"/>
            <color indexed="81"/>
            <rFont val="Tahoma"/>
            <charset val="177"/>
          </rPr>
          <t>יניב שפירא:</t>
        </r>
        <r>
          <rPr>
            <sz val="9"/>
            <color indexed="81"/>
            <rFont val="Tahoma"/>
            <charset val="177"/>
          </rPr>
          <t xml:space="preserve">
1 = מטפלת בדרך טובה מאד
2 = בדרך טובה
3 = בדרך ככה ככה
4 = בדרך לא כ"כ טובה
5 = בדרך כלל לא טובה</t>
        </r>
      </text>
    </comment>
    <comment ref="T49" authorId="0" shapeId="0" xr:uid="{CC74CBF1-7957-45AF-A4E2-B0EB7E3A920A}">
      <text>
        <r>
          <rPr>
            <b/>
            <sz val="9"/>
            <color indexed="81"/>
            <rFont val="Tahoma"/>
            <family val="2"/>
          </rPr>
          <t>יניב שפירא:</t>
        </r>
        <r>
          <rPr>
            <sz val="9"/>
            <color indexed="81"/>
            <rFont val="Tahoma"/>
            <family val="2"/>
          </rPr>
          <t xml:space="preserve">
1 = המערך
2 = הליכוד
3 = במידה שווה
4 = אף אחת מהן</t>
        </r>
      </text>
    </comment>
    <comment ref="T55" authorId="0" shapeId="0" xr:uid="{773BD5F8-10DB-4BEA-9814-975F9312A050}">
      <text>
        <r>
          <rPr>
            <b/>
            <sz val="9"/>
            <color indexed="81"/>
            <rFont val="Tahoma"/>
            <family val="2"/>
          </rPr>
          <t>יניב שפירא:</t>
        </r>
        <r>
          <rPr>
            <sz val="9"/>
            <color indexed="81"/>
            <rFont val="Tahoma"/>
            <family val="2"/>
          </rPr>
          <t xml:space="preserve">
1 = יותר טוב
2 = דומים
3 = פחות טוב</t>
        </r>
      </text>
    </comment>
    <comment ref="T56" authorId="0" shapeId="0" xr:uid="{2F8FC9B5-2429-4BA5-99A4-F5898BD4D198}">
      <text>
        <r>
          <rPr>
            <b/>
            <sz val="9"/>
            <color indexed="81"/>
            <rFont val="Tahoma"/>
            <family val="2"/>
          </rPr>
          <t>יניב שפירא:</t>
        </r>
        <r>
          <rPr>
            <sz val="9"/>
            <color indexed="81"/>
            <rFont val="Tahoma"/>
            <family val="2"/>
          </rPr>
          <t xml:space="preserve">
1 = מתחשבת במידה רבה מאד
2 = במידה רבה
3 = במידה מסוימת
4 = במידה מועטה
5 = לא מתחשבת כלל</t>
        </r>
      </text>
    </comment>
    <comment ref="T57" authorId="0" shapeId="0" xr:uid="{861EEF84-8DC7-40B5-9FA6-0DF85F9AFC03}">
      <text>
        <r>
          <rPr>
            <b/>
            <sz val="9"/>
            <color indexed="81"/>
            <rFont val="Tahoma"/>
            <family val="2"/>
          </rPr>
          <t>יניב שפירא:</t>
        </r>
        <r>
          <rPr>
            <sz val="9"/>
            <color indexed="81"/>
            <rFont val="Tahoma"/>
            <family val="2"/>
          </rPr>
          <t xml:space="preserve">
1 = מתחשבת במידה רבה מאד
2 = במידה רבה
3 = במידה מסוימת
4 = במידה מועטה
5 = לא מתחשבת כלל</t>
        </r>
      </text>
    </comment>
    <comment ref="T58" authorId="0" shapeId="0" xr:uid="{6768A02F-D75C-4797-A3F3-AD48AD288F24}">
      <text>
        <r>
          <rPr>
            <b/>
            <sz val="9"/>
            <color indexed="81"/>
            <rFont val="Tahoma"/>
            <family val="2"/>
          </rPr>
          <t>יניב שפירא:</t>
        </r>
        <r>
          <rPr>
            <sz val="9"/>
            <color indexed="81"/>
            <rFont val="Tahoma"/>
            <family val="2"/>
          </rPr>
          <t xml:space="preserve">
1 = יותר טובים
2 = שווים/דומים
3 = פחות טובים</t>
        </r>
      </text>
    </comment>
    <comment ref="U59" authorId="0" shapeId="0" xr:uid="{70A20325-7716-43F1-BBA9-CAD8D3AE1EBF}">
      <text>
        <r>
          <rPr>
            <b/>
            <sz val="9"/>
            <color indexed="81"/>
            <rFont val="Tahoma"/>
            <charset val="177"/>
          </rPr>
          <t>יניב שפירא:</t>
        </r>
        <r>
          <rPr>
            <sz val="9"/>
            <color indexed="81"/>
            <rFont val="Tahoma"/>
            <charset val="177"/>
          </rPr>
          <t xml:space="preserve">
1 = מאד ברורה
2 = ברורה
3 = די ברורה
4 = לא כ"כ ברורה
5 = לא ברורה
6 = כלל לא ברורה</t>
        </r>
      </text>
    </comment>
    <comment ref="U60" authorId="0" shapeId="0" xr:uid="{7A1F0501-9745-4CC2-A91E-583D463DDB76}">
      <text>
        <r>
          <rPr>
            <b/>
            <sz val="9"/>
            <color indexed="81"/>
            <rFont val="Tahoma"/>
            <charset val="177"/>
          </rPr>
          <t>יניב שפירא:</t>
        </r>
        <r>
          <rPr>
            <sz val="9"/>
            <color indexed="81"/>
            <rFont val="Tahoma"/>
            <charset val="177"/>
          </rPr>
          <t xml:space="preserve">
1 = מאד ברורה
2 = ברורה
3 = די ברורה
4 = לא כ"כ ברורה
5 = לא ברורה
6 = כלל לא ברורה</t>
        </r>
      </text>
    </comment>
    <comment ref="U61" authorId="0" shapeId="0" xr:uid="{AC5AACBB-3DD1-43D5-A68A-7E6573D2DA30}">
      <text>
        <r>
          <rPr>
            <b/>
            <sz val="9"/>
            <color indexed="81"/>
            <rFont val="Tahoma"/>
            <charset val="177"/>
          </rPr>
          <t>יניב שפירא:</t>
        </r>
        <r>
          <rPr>
            <sz val="9"/>
            <color indexed="81"/>
            <rFont val="Tahoma"/>
            <charset val="177"/>
          </rPr>
          <t xml:space="preserve">
1 = במידה רבה מאד
2 = במידה רבה
3 = במידה מסויימת
4 = במידה מועטה בלבד
5 = כלל לא עוזרת</t>
        </r>
      </text>
    </comment>
    <comment ref="W61" authorId="0" shapeId="0" xr:uid="{999CC82A-0A63-4081-845F-31E1B9810CB1}">
      <text>
        <r>
          <rPr>
            <b/>
            <sz val="9"/>
            <color indexed="81"/>
            <rFont val="Tahoma"/>
            <charset val="177"/>
          </rPr>
          <t>יניב שפירא:</t>
        </r>
        <r>
          <rPr>
            <sz val="9"/>
            <color indexed="81"/>
            <rFont val="Tahoma"/>
            <charset val="177"/>
          </rPr>
          <t xml:space="preserve">
1 = במידה רבה מאד
2 = במידה מסויימת
3 = לא כ"כ
4 = בכלל לא</t>
        </r>
      </text>
    </comment>
    <comment ref="W65" authorId="0" shapeId="0" xr:uid="{B2035AC7-0EB0-4268-8B6A-BD0E148735F7}">
      <text>
        <r>
          <rPr>
            <b/>
            <sz val="9"/>
            <color indexed="81"/>
            <rFont val="Tahoma"/>
            <charset val="177"/>
          </rPr>
          <t>יניב שפירא:</t>
        </r>
        <r>
          <rPr>
            <sz val="9"/>
            <color indexed="81"/>
            <rFont val="Tahoma"/>
            <charset val="177"/>
          </rPr>
          <t xml:space="preserve">
1 = בכלל לא תצליח
2 = לא כ"כ תצליח
3 = תצליח במידה מה
4 = תצליח במידה רבה</t>
        </r>
      </text>
    </comment>
    <comment ref="W66" authorId="0" shapeId="0" xr:uid="{2589CF50-6D8A-4B36-B9B5-1E266CD9157E}">
      <text>
        <r>
          <rPr>
            <b/>
            <sz val="9"/>
            <color indexed="81"/>
            <rFont val="Tahoma"/>
            <charset val="177"/>
          </rPr>
          <t>יניב שפירא:</t>
        </r>
        <r>
          <rPr>
            <sz val="9"/>
            <color indexed="81"/>
            <rFont val="Tahoma"/>
            <charset val="177"/>
          </rPr>
          <t xml:space="preserve">
1 = סיכויים רבים מאד שתמשך
2 = סיכויים מועטים שתמשך
3 = אין סיכויים שתמשך
4 = אין בכלל סיכויים שתמשך</t>
        </r>
      </text>
    </comment>
    <comment ref="W67" authorId="0" shapeId="0" xr:uid="{16C06FB0-F094-4126-847B-2E2E6BFA1660}">
      <text>
        <r>
          <rPr>
            <b/>
            <sz val="9"/>
            <color indexed="81"/>
            <rFont val="Tahoma"/>
            <charset val="177"/>
          </rPr>
          <t>יניב שפירא:</t>
        </r>
        <r>
          <rPr>
            <sz val="9"/>
            <color indexed="81"/>
            <rFont val="Tahoma"/>
            <charset val="177"/>
          </rPr>
          <t xml:space="preserve">
1 = לשכבות החלשות
2 = לשכבות הבינוניות
3 = לשכבות הגבוהות
4 = לכל אזרחי המדינה</t>
        </r>
      </text>
    </comment>
    <comment ref="W68" authorId="0" shapeId="0" xr:uid="{AEDCE96B-4556-4584-B70F-12D7F24152A3}">
      <text>
        <r>
          <rPr>
            <b/>
            <sz val="9"/>
            <color indexed="81"/>
            <rFont val="Tahoma"/>
            <charset val="177"/>
          </rPr>
          <t>יניב שפירא:</t>
        </r>
        <r>
          <rPr>
            <sz val="9"/>
            <color indexed="81"/>
            <rFont val="Tahoma"/>
            <charset val="177"/>
          </rPr>
          <t xml:space="preserve">
1 = כן
2 = לא
3 = לא יודע/לא החלטתי</t>
        </r>
      </text>
    </comment>
    <comment ref="L69" authorId="0" shapeId="0" xr:uid="{B5900815-C25E-4D64-A790-07D784F261D9}">
      <text>
        <r>
          <rPr>
            <b/>
            <sz val="9"/>
            <color indexed="81"/>
            <rFont val="Tahoma"/>
            <family val="2"/>
          </rPr>
          <t>יניב שפירא:</t>
        </r>
        <r>
          <rPr>
            <sz val="9"/>
            <color indexed="81"/>
            <rFont val="Tahoma"/>
            <family val="2"/>
          </rPr>
          <t xml:space="preserve">
סולם 1-10
1 = רחוק ביותר
10 = קרוב ביותר</t>
        </r>
      </text>
    </comment>
    <comment ref="U77" authorId="0" shapeId="0" xr:uid="{A5FA2987-3F9A-4006-949B-1AD5AFE63222}">
      <text>
        <r>
          <rPr>
            <b/>
            <sz val="9"/>
            <color indexed="81"/>
            <rFont val="Tahoma"/>
            <family val="2"/>
          </rPr>
          <t>יניב שפירא:</t>
        </r>
        <r>
          <rPr>
            <sz val="9"/>
            <color indexed="81"/>
            <rFont val="Tahoma"/>
            <family val="2"/>
          </rPr>
          <t xml:space="preserve">
סולם 1-10
1 = הטוב ביותר
10 = הגרוע ביותר</t>
        </r>
      </text>
    </comment>
    <comment ref="AH77" authorId="0" shapeId="0" xr:uid="{F6FF57F6-B957-4F4B-AA61-3CAB6671FFFB}">
      <text>
        <r>
          <rPr>
            <b/>
            <sz val="9"/>
            <color indexed="81"/>
            <rFont val="Tahoma"/>
            <charset val="177"/>
          </rPr>
          <t>יניב שפירא:</t>
        </r>
        <r>
          <rPr>
            <sz val="9"/>
            <color indexed="81"/>
            <rFont val="Tahoma"/>
            <charset val="177"/>
          </rPr>
          <t xml:space="preserve">
סולם 0-10
0 = הכי גרוע
10 = הכי טוב</t>
        </r>
      </text>
    </comment>
    <comment ref="AI80" authorId="0" shapeId="0" xr:uid="{0BD7E948-4B5E-4B04-A1EB-E7F75CEB3E04}">
      <text>
        <r>
          <rPr>
            <b/>
            <sz val="9"/>
            <color indexed="81"/>
            <rFont val="Tahoma"/>
            <family val="2"/>
          </rPr>
          <t>יניב שפירא:</t>
        </r>
        <r>
          <rPr>
            <sz val="9"/>
            <color indexed="81"/>
            <rFont val="Tahoma"/>
            <family val="2"/>
          </rPr>
          <t xml:space="preserve">
סולם 0-10
0 = המצב הגרוע ביותר
10 = המצב הטוב ביותר</t>
        </r>
      </text>
    </comment>
    <comment ref="AE83" authorId="0" shapeId="0" xr:uid="{FC91112E-A155-4298-800B-DBBFF5192EED}">
      <text>
        <r>
          <rPr>
            <b/>
            <sz val="9"/>
            <color indexed="81"/>
            <rFont val="Tahoma"/>
            <charset val="177"/>
          </rPr>
          <t>יניב שפירא:</t>
        </r>
        <r>
          <rPr>
            <sz val="9"/>
            <color indexed="81"/>
            <rFont val="Tahoma"/>
            <charset val="177"/>
          </rPr>
          <t xml:space="preserve">
1 = בטוח שכן
2 = חושב שכן
3 = חושב שלא
4 = בטוח שלא
5 = אין זכות בחירה</t>
        </r>
      </text>
    </comment>
    <comment ref="O84" authorId="0" shapeId="0" xr:uid="{63C19BB3-42CD-4FD6-8BFC-31240F2D3954}">
      <text>
        <r>
          <rPr>
            <b/>
            <sz val="9"/>
            <color indexed="81"/>
            <rFont val="Tahoma"/>
            <family val="2"/>
          </rPr>
          <t>יניב שפירא:</t>
        </r>
        <r>
          <rPr>
            <sz val="9"/>
            <color indexed="81"/>
            <rFont val="Tahoma"/>
            <family val="2"/>
          </rPr>
          <t xml:space="preserve">
1 = עבודה (הברפלד)
2 = דם (רמון)
3 = ליכוד (שמאי)
4 = חד"ש (גונן)
5 = לא הצבעתי למרות שהייתה לי זכות בחירה
6 = לר הצבעתי כי לא הייתי חבר הסתדרות</t>
        </r>
      </text>
    </comment>
    <comment ref="T84" authorId="0" shapeId="0" xr:uid="{AEA7436C-ABEC-43E9-88AB-2BEED24CECE8}">
      <text>
        <r>
          <rPr>
            <b/>
            <sz val="9"/>
            <color indexed="81"/>
            <rFont val="Tahoma"/>
            <family val="2"/>
          </rPr>
          <t>יניב שפירא:</t>
        </r>
        <r>
          <rPr>
            <sz val="9"/>
            <color indexed="81"/>
            <rFont val="Tahoma"/>
            <family val="2"/>
          </rPr>
          <t xml:space="preserve">
בחירות 1981</t>
        </r>
      </text>
    </comment>
    <comment ref="W84" authorId="0" shapeId="0" xr:uid="{98239784-C7FA-4E6D-A30B-C320B903056D}">
      <text>
        <r>
          <rPr>
            <b/>
            <sz val="9"/>
            <color indexed="81"/>
            <rFont val="Tahoma"/>
            <charset val="177"/>
          </rPr>
          <t>יניב שפירא:</t>
        </r>
        <r>
          <rPr>
            <sz val="9"/>
            <color indexed="81"/>
            <rFont val="Tahoma"/>
            <charset val="177"/>
          </rPr>
          <t xml:space="preserve">
בחירות 1977</t>
        </r>
      </text>
    </comment>
    <comment ref="X84" authorId="0" shapeId="0" xr:uid="{FF54DD9C-76C6-449C-99F1-C7D244634B10}">
      <text>
        <r>
          <rPr>
            <b/>
            <sz val="9"/>
            <color indexed="81"/>
            <rFont val="Tahoma"/>
            <charset val="177"/>
          </rPr>
          <t>יניב שפירא:</t>
        </r>
        <r>
          <rPr>
            <sz val="9"/>
            <color indexed="81"/>
            <rFont val="Tahoma"/>
            <charset val="177"/>
          </rPr>
          <t xml:space="preserve">
בחירות 1977</t>
        </r>
      </text>
    </comment>
    <comment ref="X85" authorId="0" shapeId="0" xr:uid="{0D7369ED-6B9D-4428-A4F5-747E8AAFA72E}">
      <text>
        <r>
          <rPr>
            <b/>
            <sz val="9"/>
            <color indexed="81"/>
            <rFont val="Tahoma"/>
            <charset val="177"/>
          </rPr>
          <t>יניב שפירא:</t>
        </r>
        <r>
          <rPr>
            <sz val="9"/>
            <color indexed="81"/>
            <rFont val="Tahoma"/>
            <charset val="177"/>
          </rPr>
          <t xml:space="preserve">
1973</t>
        </r>
      </text>
    </comment>
    <comment ref="A86" authorId="0" shapeId="0" xr:uid="{9B1A0833-5EF5-4E76-98B8-0C97D399F2B9}">
      <text>
        <r>
          <rPr>
            <b/>
            <sz val="9"/>
            <color indexed="81"/>
            <rFont val="Tahoma"/>
            <charset val="177"/>
          </rPr>
          <t>יניב שפירא:</t>
        </r>
        <r>
          <rPr>
            <sz val="9"/>
            <color indexed="81"/>
            <rFont val="Tahoma"/>
            <charset val="177"/>
          </rPr>
          <t xml:space="preserve">
רק מי שהצביע בבחירות להסתדרות</t>
        </r>
      </text>
    </comment>
    <comment ref="V86" authorId="0" shapeId="0" xr:uid="{3B45010E-712E-479C-A35C-DC31B2E8125C}">
      <text>
        <r>
          <rPr>
            <b/>
            <sz val="9"/>
            <color indexed="81"/>
            <rFont val="Tahoma"/>
            <charset val="177"/>
          </rPr>
          <t>יניב שפירא:</t>
        </r>
        <r>
          <rPr>
            <sz val="9"/>
            <color indexed="81"/>
            <rFont val="Tahoma"/>
            <charset val="177"/>
          </rPr>
          <t xml:space="preserve">
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r>
      </text>
    </comment>
    <comment ref="A88" authorId="0" shapeId="0" xr:uid="{1020A6E0-EC87-4630-B1C3-115820E98086}">
      <text>
        <r>
          <rPr>
            <b/>
            <sz val="9"/>
            <color indexed="81"/>
            <rFont val="Tahoma"/>
            <charset val="177"/>
          </rPr>
          <t>יניב שפירא:</t>
        </r>
        <r>
          <rPr>
            <sz val="9"/>
            <color indexed="81"/>
            <rFont val="Tahoma"/>
            <charset val="177"/>
          </rPr>
          <t xml:space="preserve">
רק מי שלא הצביע בבחירות להסתדרות</t>
        </r>
      </text>
    </comment>
    <comment ref="V88" authorId="0" shapeId="0" xr:uid="{573D8209-DCDA-41AE-A178-5E57A852FDE9}">
      <text>
        <r>
          <rPr>
            <b/>
            <sz val="9"/>
            <color indexed="81"/>
            <rFont val="Tahoma"/>
            <charset val="177"/>
          </rPr>
          <t>יניב שפירא:</t>
        </r>
        <r>
          <rPr>
            <sz val="9"/>
            <color indexed="81"/>
            <rFont val="Tahoma"/>
            <charset val="177"/>
          </rPr>
          <t xml:space="preserve">
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r>
      </text>
    </comment>
    <comment ref="AE88" authorId="0" shapeId="0" xr:uid="{C955A09F-C2A6-4451-A9BD-E5D6A318006F}">
      <text>
        <r>
          <rPr>
            <b/>
            <sz val="9"/>
            <color indexed="81"/>
            <rFont val="Tahoma"/>
            <charset val="177"/>
          </rPr>
          <t>יניב שפירא:</t>
        </r>
        <r>
          <rPr>
            <sz val="9"/>
            <color indexed="81"/>
            <rFont val="Tahoma"/>
            <charset val="177"/>
          </rPr>
          <t xml:space="preserve">
0 = אין זכות בחירה</t>
        </r>
      </text>
    </comment>
    <comment ref="AH89" authorId="0" shapeId="0" xr:uid="{21641A8A-240D-4FE8-9B67-BA3313E97CE0}">
      <text>
        <r>
          <rPr>
            <b/>
            <sz val="9"/>
            <color indexed="81"/>
            <rFont val="Tahoma"/>
            <family val="2"/>
          </rPr>
          <t>יניב שפירא:</t>
        </r>
        <r>
          <rPr>
            <sz val="9"/>
            <color indexed="81"/>
            <rFont val="Tahoma"/>
            <family val="2"/>
          </rPr>
          <t xml:space="preserve">
1 = חיזק את עמדתי עבור מי להצביע
2 = לא השפיע עלי
3 = השפיע עלי לשנות את עמדתי</t>
        </r>
      </text>
    </comment>
    <comment ref="U90" authorId="0" shapeId="0" xr:uid="{2D9A8036-DAD8-4429-8C89-6416C9DBFC89}">
      <text>
        <r>
          <rPr>
            <b/>
            <sz val="9"/>
            <color indexed="81"/>
            <rFont val="Tahoma"/>
            <family val="2"/>
          </rPr>
          <t>יניב שפירא:</t>
        </r>
        <r>
          <rPr>
            <sz val="9"/>
            <color indexed="81"/>
            <rFont val="Tahoma"/>
            <family val="2"/>
          </rPr>
          <t xml:space="preserve">
1 = המערך
2 = הליכוד
3 = שתיהן
4 = אף אחת מהן</t>
        </r>
      </text>
    </comment>
    <comment ref="R91" authorId="0" shapeId="0" xr:uid="{2739944A-D292-496B-9831-4498A380A486}">
      <text>
        <r>
          <rPr>
            <b/>
            <sz val="9"/>
            <color indexed="81"/>
            <rFont val="Tahoma"/>
            <family val="2"/>
          </rPr>
          <t>יניב שפירא:</t>
        </r>
        <r>
          <rPr>
            <sz val="9"/>
            <color indexed="81"/>
            <rFont val="Tahoma"/>
            <family val="2"/>
          </rPr>
          <t xml:space="preserve">
1 = בהחלט בסדר
2 = בסדר
3 = לא כ"כ בסדר
4 = כלל לא בסדר</t>
        </r>
      </text>
    </comment>
    <comment ref="AF91" authorId="0" shapeId="0" xr:uid="{7F8DAC7C-DA75-4E26-82C4-3F6FBDDB486F}">
      <text>
        <r>
          <rPr>
            <b/>
            <sz val="9"/>
            <color indexed="81"/>
            <rFont val="Tahoma"/>
            <family val="2"/>
          </rPr>
          <t>יניב שפירא:</t>
        </r>
        <r>
          <rPr>
            <sz val="9"/>
            <color indexed="81"/>
            <rFont val="Tahoma"/>
            <family val="2"/>
          </rPr>
          <t xml:space="preserve">
1 = בהחלט מסכים
2 = מסכים
3 = לא כ"כ מסכים
4 = לא מסכים כלל</t>
        </r>
      </text>
    </comment>
    <comment ref="W92" authorId="0" shapeId="0" xr:uid="{7215B8AB-1B0C-4316-8144-7F68B6138686}">
      <text>
        <r>
          <rPr>
            <b/>
            <sz val="9"/>
            <color indexed="81"/>
            <rFont val="Tahoma"/>
            <charset val="177"/>
          </rPr>
          <t>יניב שפירא:</t>
        </r>
        <r>
          <rPr>
            <sz val="9"/>
            <color indexed="81"/>
            <rFont val="Tahoma"/>
            <charset val="177"/>
          </rPr>
          <t xml:space="preserve">
1 = בהחלט מסכים
2 = מסכים
3 = לא כ"כ מסכים
4 = בהחלט לא מסכים</t>
        </r>
      </text>
    </comment>
    <comment ref="AI93" authorId="0" shapeId="0" xr:uid="{E72D4A3B-A42A-4DC4-B392-33E89DA8DBB7}">
      <text>
        <r>
          <rPr>
            <b/>
            <sz val="9"/>
            <color indexed="81"/>
            <rFont val="Tahoma"/>
            <family val="2"/>
          </rPr>
          <t>יניב שפירא:</t>
        </r>
        <r>
          <rPr>
            <sz val="9"/>
            <color indexed="81"/>
            <rFont val="Tahoma"/>
            <family val="2"/>
          </rPr>
          <t xml:space="preserve">
1 = בהחלט מסכים
2 = מסכים במידה מסוימת
3 = מסתייג
4 = בהחלט מסתייג
5 = אין דעה</t>
        </r>
      </text>
    </comment>
    <comment ref="X95" authorId="0" shapeId="0" xr:uid="{548DF59F-4EF2-41F7-8733-F34855D89E90}">
      <text>
        <r>
          <rPr>
            <b/>
            <sz val="9"/>
            <color indexed="81"/>
            <rFont val="Tahoma"/>
            <charset val="177"/>
          </rPr>
          <t>יניב שפירא:</t>
        </r>
        <r>
          <rPr>
            <sz val="9"/>
            <color indexed="81"/>
            <rFont val="Tahoma"/>
            <charset val="177"/>
          </rPr>
          <t xml:space="preserve">
1 = תחזק במידה רבה
2 = תחזק במידה מסוימת
3 = תחליש במידה מסוימת
4 = תחליש במידה רבה
5 = לא תחזק ולא תחליש</t>
        </r>
      </text>
    </comment>
    <comment ref="AE96" authorId="0" shapeId="0" xr:uid="{193D6FFA-B866-4C1D-B3A2-61003712D8BC}">
      <text>
        <r>
          <rPr>
            <b/>
            <sz val="9"/>
            <color indexed="81"/>
            <rFont val="Tahoma"/>
            <charset val="177"/>
          </rPr>
          <t>יניב שפירא:</t>
        </r>
        <r>
          <rPr>
            <sz val="9"/>
            <color indexed="81"/>
            <rFont val="Tahoma"/>
            <charset val="177"/>
          </rPr>
          <t xml:space="preserve">
1 = שינוי לטובה
2 = המצב ישאר כמו שהוא
3 = שינוי לרעה</t>
        </r>
      </text>
    </comment>
    <comment ref="Z97" authorId="0" shapeId="0" xr:uid="{70197339-CFB3-43B2-88C6-B151FA3C27EB}">
      <text>
        <r>
          <rPr>
            <b/>
            <sz val="9"/>
            <color indexed="81"/>
            <rFont val="Tahoma"/>
            <charset val="177"/>
          </rPr>
          <t>יניב שפירא:</t>
        </r>
        <r>
          <rPr>
            <sz val="9"/>
            <color indexed="81"/>
            <rFont val="Tahoma"/>
            <charset val="177"/>
          </rPr>
          <t xml:space="preserve">
1 = בטוח שיש למנוע אבטלה
2 = חושב שיש למנוע אבטלה
3 = חושב שיש להפסיק אינפלציה
4 = בטוח שיש להפסיק אינפלציה</t>
        </r>
      </text>
    </comment>
    <comment ref="Z98" authorId="0" shapeId="0" xr:uid="{ACE5EE54-A139-4413-9279-7CFAF4CABF1A}">
      <text>
        <r>
          <rPr>
            <b/>
            <sz val="9"/>
            <color indexed="81"/>
            <rFont val="Tahoma"/>
            <charset val="177"/>
          </rPr>
          <t>יניב שפירא:</t>
        </r>
        <r>
          <rPr>
            <sz val="9"/>
            <color indexed="81"/>
            <rFont val="Tahoma"/>
            <charset val="177"/>
          </rPr>
          <t xml:space="preserve">
1 = במידה רבה מאד
2 = במידה מסוימת
3 = במידה מועטה
4 = לא מתאימים כלל</t>
        </r>
      </text>
    </comment>
    <comment ref="AE99" authorId="0" shapeId="0" xr:uid="{9DA8FBC8-F108-4612-AAE1-67F9DC645093}">
      <text>
        <r>
          <rPr>
            <b/>
            <sz val="9"/>
            <color indexed="81"/>
            <rFont val="Tahoma"/>
            <family val="2"/>
          </rPr>
          <t>יניב שפירא:</t>
        </r>
        <r>
          <rPr>
            <sz val="9"/>
            <color indexed="81"/>
            <rFont val="Tahoma"/>
            <family val="2"/>
          </rPr>
          <t xml:space="preserve">
1 = מסכים בהחלט
2 = מסכים
3 = לא כ"כ מסכים
4 = בהחלט לא מסכים</t>
        </r>
      </text>
    </comment>
    <comment ref="AE100" authorId="0" shapeId="0" xr:uid="{3C665EEE-B7C0-4A14-A893-C9CBC3682C58}">
      <text>
        <r>
          <rPr>
            <b/>
            <sz val="9"/>
            <color indexed="81"/>
            <rFont val="Tahoma"/>
            <family val="2"/>
          </rPr>
          <t>יניב שפירא:</t>
        </r>
        <r>
          <rPr>
            <sz val="9"/>
            <color indexed="81"/>
            <rFont val="Tahoma"/>
            <family val="2"/>
          </rPr>
          <t xml:space="preserve">
1 = סעד
2 = חינוך לילדים
3 = איסוף אשפה
4 = ניקיון הרחובות
5 = תבאורה
6 = פעילות תרבות
7 = פעילות עבור הנוער
8 = אף אחד מהנ"ל</t>
        </r>
      </text>
    </comment>
    <comment ref="AH101" authorId="0" shapeId="0" xr:uid="{27C216F2-7D30-49C6-B254-284F252075DA}">
      <text>
        <r>
          <rPr>
            <b/>
            <sz val="9"/>
            <color indexed="81"/>
            <rFont val="Tahoma"/>
            <family val="2"/>
          </rPr>
          <t>יניב שפירא:</t>
        </r>
        <r>
          <rPr>
            <sz val="9"/>
            <color indexed="81"/>
            <rFont val="Tahoma"/>
            <family val="2"/>
          </rPr>
          <t xml:space="preserve">
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r>
      </text>
    </comment>
    <comment ref="AI102" authorId="0" shapeId="0" xr:uid="{05CE2360-A206-41C4-9F43-A5BF10429AAB}">
      <text>
        <r>
          <rPr>
            <b/>
            <sz val="9"/>
            <color indexed="81"/>
            <rFont val="Tahoma"/>
            <family val="2"/>
          </rPr>
          <t>יניב שפירא:</t>
        </r>
        <r>
          <rPr>
            <sz val="9"/>
            <color indexed="81"/>
            <rFont val="Tahoma"/>
            <family val="2"/>
          </rPr>
          <t xml:space="preserve">
1 = תומך בבעלות ממשלתית
2 = מתנגד לבעלות ממשלתית</t>
        </r>
      </text>
    </comment>
    <comment ref="AI109" authorId="0" shapeId="0" xr:uid="{B1BD339F-C237-4B8C-89AE-7FEA75E132DB}">
      <text>
        <r>
          <rPr>
            <b/>
            <sz val="9"/>
            <color indexed="81"/>
            <rFont val="Tahoma"/>
            <family val="2"/>
          </rPr>
          <t>יניב שפירא:</t>
        </r>
        <r>
          <rPr>
            <sz val="9"/>
            <color indexed="81"/>
            <rFont val="Tahoma"/>
            <family val="2"/>
          </rPr>
          <t xml:space="preserve">
1 = בהחלט מסכים
2 = מסכים
3 = מסתייג
4 = מסתייג בהחלט</t>
        </r>
      </text>
    </comment>
    <comment ref="AI110" authorId="0" shapeId="0" xr:uid="{E03AC9C3-385A-4EF3-866F-6F1E3B6368AE}">
      <text>
        <r>
          <rPr>
            <b/>
            <sz val="9"/>
            <color indexed="81"/>
            <rFont val="Tahoma"/>
            <family val="2"/>
          </rPr>
          <t>יניב שפירא:</t>
        </r>
        <r>
          <rPr>
            <sz val="9"/>
            <color indexed="81"/>
            <rFont val="Tahoma"/>
            <family val="2"/>
          </rPr>
          <t xml:space="preserve">
1 = בהחלט זו של ארה"ב
2 = זו של ארה"ב
3 = זו של ברה"מ
4 = בהחלט זו של ברה"מ</t>
        </r>
      </text>
    </comment>
    <comment ref="AI111" authorId="0" shapeId="0" xr:uid="{7339E087-91AF-48C0-9455-19A0759B4E2E}">
      <text>
        <r>
          <rPr>
            <b/>
            <sz val="9"/>
            <color indexed="81"/>
            <rFont val="Tahoma"/>
            <family val="2"/>
          </rPr>
          <t>יניב שפירא:</t>
        </r>
        <r>
          <rPr>
            <sz val="9"/>
            <color indexed="81"/>
            <rFont val="Tahoma"/>
            <family val="2"/>
          </rPr>
          <t xml:space="preserve">
1 = בהחלט כדאי
2 = נראה לי שכדאי
3 = נראה לי שלא כדאי
4 = בהחלט לא כדאי</t>
        </r>
      </text>
    </comment>
    <comment ref="AI112" authorId="0" shapeId="0" xr:uid="{0536770E-D784-4A1F-B235-9BDF55352B0E}">
      <text>
        <r>
          <rPr>
            <b/>
            <sz val="9"/>
            <color indexed="81"/>
            <rFont val="Tahoma"/>
            <family val="2"/>
          </rPr>
          <t>יניב שפירא:</t>
        </r>
        <r>
          <rPr>
            <sz val="9"/>
            <color indexed="81"/>
            <rFont val="Tahoma"/>
            <family val="2"/>
          </rPr>
          <t xml:space="preserve">
1 = בהחלט מסכים
2 = מסכים
3 = מסתייג
4 = מסתייג בהחלט</t>
        </r>
      </text>
    </comment>
    <comment ref="AI113" authorId="0" shapeId="0" xr:uid="{6DFAB78A-3B10-4840-8BD5-79A41FB3A8D8}">
      <text>
        <r>
          <rPr>
            <b/>
            <sz val="9"/>
            <color indexed="81"/>
            <rFont val="Tahoma"/>
            <family val="2"/>
          </rPr>
          <t>יניב שפירא:</t>
        </r>
        <r>
          <rPr>
            <sz val="9"/>
            <color indexed="81"/>
            <rFont val="Tahoma"/>
            <family val="2"/>
          </rPr>
          <t xml:space="preserve">
1 = בהחלט מסכים
2 = מסכים
3 = מסתייג
4 = בהחלט מסתייג</t>
        </r>
      </text>
    </comment>
    <comment ref="AI114" authorId="0" shapeId="0" xr:uid="{FF12854A-380D-49F2-A537-0D0AFEB39736}">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I115" authorId="0" shapeId="0" xr:uid="{33F8CDEB-DFD1-4BF3-8941-AC7940795EEB}">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I116" authorId="0" shapeId="0" xr:uid="{6BB56294-FCF8-4DFC-832D-A9E5CE97992B}">
      <text>
        <r>
          <rPr>
            <b/>
            <sz val="9"/>
            <color indexed="81"/>
            <rFont val="Tahoma"/>
            <charset val="177"/>
          </rPr>
          <t>יניב שפירא:</t>
        </r>
        <r>
          <rPr>
            <sz val="9"/>
            <color indexed="81"/>
            <rFont val="Tahoma"/>
            <charset val="177"/>
          </rPr>
          <t xml:space="preserve">
1 = כן
2 = לא</t>
        </r>
      </text>
    </comment>
    <comment ref="AI117" authorId="0" shapeId="0" xr:uid="{8ADD9B5D-7069-421F-BD5F-62E604651384}">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D118" authorId="0" shapeId="0" xr:uid="{E42161D1-178D-40F4-A5A8-0933A44D3E41}">
      <text>
        <r>
          <rPr>
            <b/>
            <sz val="9"/>
            <color indexed="81"/>
            <rFont val="Tahoma"/>
            <charset val="177"/>
          </rPr>
          <t>יניב שפירא:</t>
        </r>
        <r>
          <rPr>
            <sz val="9"/>
            <color indexed="81"/>
            <rFont val="Tahoma"/>
            <charset val="177"/>
          </rPr>
          <t xml:space="preserve">
1 = השתפר בהרבה
2 = השתפר במקצת
3 = לא השתנה
4 = קצת יותר גרוע
5 = הרבה יותר גרוע</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X1" authorId="0" shapeId="0" xr:uid="{DED455B0-409F-40A5-BDB1-C575FB8328C4}">
      <text>
        <r>
          <rPr>
            <b/>
            <sz val="9"/>
            <color indexed="81"/>
            <rFont val="Tahoma"/>
            <charset val="177"/>
          </rPr>
          <t>יניב שפירא:</t>
        </r>
        <r>
          <rPr>
            <sz val="9"/>
            <color indexed="81"/>
            <rFont val="Tahoma"/>
            <charset val="177"/>
          </rPr>
          <t xml:space="preserve">
post election</t>
        </r>
      </text>
    </comment>
    <comment ref="AB1" authorId="0" shapeId="0" xr:uid="{D9EB3DDE-2DC4-4B7E-9B93-70B95AB79B44}">
      <text>
        <r>
          <rPr>
            <b/>
            <sz val="9"/>
            <color indexed="81"/>
            <rFont val="Tahoma"/>
            <charset val="177"/>
          </rPr>
          <t>יניב שפירא:</t>
        </r>
        <r>
          <rPr>
            <sz val="9"/>
            <color indexed="81"/>
            <rFont val="Tahoma"/>
            <charset val="177"/>
          </rPr>
          <t xml:space="preserve">
post Kippur + post election</t>
        </r>
      </text>
    </comment>
    <comment ref="AC1" authorId="0" shapeId="0" xr:uid="{52BD4A06-7710-4162-9BBE-661602961136}">
      <text>
        <r>
          <rPr>
            <b/>
            <sz val="9"/>
            <color indexed="81"/>
            <rFont val="Tahoma"/>
            <charset val="177"/>
          </rPr>
          <t>יניב שפירא:</t>
        </r>
        <r>
          <rPr>
            <sz val="9"/>
            <color indexed="81"/>
            <rFont val="Tahoma"/>
            <charset val="177"/>
          </rPr>
          <t xml:space="preserve">
post Kippur</t>
        </r>
      </text>
    </comment>
    <comment ref="AD1" authorId="0" shapeId="0" xr:uid="{D9FE3A7C-F114-4CC7-A9FE-6400B77587EC}">
      <text>
        <r>
          <rPr>
            <b/>
            <sz val="9"/>
            <color indexed="81"/>
            <rFont val="Tahoma"/>
            <charset val="177"/>
          </rPr>
          <t>יניב שפירא:</t>
        </r>
        <r>
          <rPr>
            <sz val="9"/>
            <color indexed="81"/>
            <rFont val="Tahoma"/>
            <charset val="177"/>
          </rPr>
          <t xml:space="preserve">
post Kippur</t>
        </r>
      </text>
    </comment>
    <comment ref="AG1" authorId="0" shapeId="0" xr:uid="{92DA0530-295B-4016-8F41-C314D7199248}">
      <text>
        <r>
          <rPr>
            <b/>
            <sz val="9"/>
            <color indexed="81"/>
            <rFont val="Tahoma"/>
            <charset val="177"/>
          </rPr>
          <t>יניב שפירא:</t>
        </r>
        <r>
          <rPr>
            <sz val="9"/>
            <color indexed="81"/>
            <rFont val="Tahoma"/>
            <charset val="177"/>
          </rPr>
          <t xml:space="preserve">
pre + post election</t>
        </r>
      </text>
    </comment>
    <comment ref="A2" authorId="0" shapeId="0" xr:uid="{214BB497-4CD7-45C7-9BAD-4B0B957FD94A}">
      <text>
        <r>
          <rPr>
            <b/>
            <sz val="9"/>
            <color indexed="81"/>
            <rFont val="Tahoma"/>
            <family val="2"/>
          </rPr>
          <t>יניב שפירא:</t>
        </r>
        <r>
          <rPr>
            <sz val="9"/>
            <color indexed="81"/>
            <rFont val="Tahoma"/>
            <family val="2"/>
          </rPr>
          <t xml:space="preserve">
ליהודים בלבד</t>
        </r>
      </text>
    </comment>
    <comment ref="E2" authorId="0" shapeId="0" xr:uid="{C4AEFFAB-4141-467A-B97E-633ADBBB0101}">
      <text>
        <r>
          <rPr>
            <b/>
            <sz val="9"/>
            <color indexed="81"/>
            <rFont val="Tahoma"/>
            <family val="2"/>
          </rPr>
          <t>יניב שפירא:</t>
        </r>
        <r>
          <rPr>
            <sz val="9"/>
            <color indexed="81"/>
            <rFont val="Tahoma"/>
            <family val="2"/>
          </rPr>
          <t xml:space="preserve">
1 = מדינה עם רוב יהודי
2 = ארץ ישראל השלמה
3 = מדינה דמוקרטית (זכויות פוליטיות שוות לכל)
4 = מצב של שלום (הסתברות נמוכה למלחמה)</t>
        </r>
      </text>
    </comment>
    <comment ref="A3" authorId="0" shapeId="0" xr:uid="{F22EBF13-9F01-449A-884D-B3353755389A}">
      <text>
        <r>
          <rPr>
            <b/>
            <sz val="9"/>
            <color indexed="81"/>
            <rFont val="Tahoma"/>
            <family val="2"/>
          </rPr>
          <t>יניב שפירא:</t>
        </r>
        <r>
          <rPr>
            <sz val="9"/>
            <color indexed="81"/>
            <rFont val="Tahoma"/>
            <family val="2"/>
          </rPr>
          <t xml:space="preserve">
ליהודים בלבד</t>
        </r>
      </text>
    </comment>
    <comment ref="E6" authorId="0" shapeId="0" xr:uid="{CF85883A-6FA7-4EEC-B973-6D27ABBE31F0}">
      <text>
        <r>
          <rPr>
            <b/>
            <sz val="9"/>
            <color indexed="81"/>
            <rFont val="Tahoma"/>
            <family val="2"/>
          </rPr>
          <t>יניב שפירא:</t>
        </r>
        <r>
          <rPr>
            <sz val="9"/>
            <color indexed="81"/>
            <rFont val="Tahoma"/>
            <family val="2"/>
          </rPr>
          <t xml:space="preserve">
1 = בהחלט מתפקידה לדאוג לכך
2 = אולי הממשלה צריכה לדאוג לכך
3 = לא חושב שעל הממשלה לדאוג לכך
4 = בשום אופן הממשלה לא צריכה לדאוג לכך</t>
        </r>
      </text>
    </comment>
    <comment ref="K6" authorId="0" shapeId="0" xr:uid="{8591089E-47E0-4D8F-B3DF-F1924D0C5585}">
      <text>
        <r>
          <rPr>
            <b/>
            <sz val="9"/>
            <color indexed="81"/>
            <rFont val="Tahoma"/>
            <family val="2"/>
          </rPr>
          <t>יניב שפירא:</t>
        </r>
        <r>
          <rPr>
            <sz val="9"/>
            <color indexed="81"/>
            <rFont val="Tahoma"/>
            <family val="2"/>
          </rPr>
          <t xml:space="preserve">
לא לערבים</t>
        </r>
      </text>
    </comment>
    <comment ref="G7" authorId="0" shapeId="0" xr:uid="{D9BE1B4E-316C-4EC1-81B6-01F197EE044F}">
      <text>
        <r>
          <rPr>
            <b/>
            <sz val="9"/>
            <color indexed="81"/>
            <rFont val="Tahoma"/>
            <family val="2"/>
          </rPr>
          <t>יניב שפירא:</t>
        </r>
        <r>
          <rPr>
            <sz val="9"/>
            <color indexed="81"/>
            <rFont val="Tahoma"/>
            <family val="2"/>
          </rPr>
          <t xml:space="preserve">
1 = חשובה מאוד
2 = די חשובה
3 = לא כ"כ חשובה
4 = כלל לא חשובה</t>
        </r>
      </text>
    </comment>
    <comment ref="A9" authorId="0" shapeId="0" xr:uid="{9757E317-7A25-4F42-9DF1-AE61AB3724AA}">
      <text>
        <r>
          <rPr>
            <b/>
            <sz val="9"/>
            <color indexed="81"/>
            <rFont val="Tahoma"/>
            <family val="2"/>
          </rPr>
          <t>יניב שפירא:</t>
        </r>
        <r>
          <rPr>
            <sz val="9"/>
            <color indexed="81"/>
            <rFont val="Tahoma"/>
            <family val="2"/>
          </rPr>
          <t xml:space="preserve">
יהודים בלבד</t>
        </r>
      </text>
    </comment>
    <comment ref="H9" authorId="0" shapeId="0" xr:uid="{23091F4D-970C-461D-9364-9918F21968BC}">
      <text>
        <r>
          <rPr>
            <b/>
            <sz val="9"/>
            <color indexed="81"/>
            <rFont val="Tahoma"/>
            <family val="2"/>
          </rPr>
          <t>יניב שפירא:</t>
        </r>
        <r>
          <rPr>
            <sz val="9"/>
            <color indexed="81"/>
            <rFont val="Tahoma"/>
            <family val="2"/>
          </rPr>
          <t xml:space="preserve">
1 = יש להעדיף בכל מקרה את השמירה על הדמוקרטיה
2 = לפעמים כך ולפעמים כך 
3 = יש להעדיף בכל מקרה את שמירת ההלכה היהודית</t>
        </r>
      </text>
    </comment>
    <comment ref="N9" authorId="0" shapeId="0" xr:uid="{3569B521-807C-4DC5-87DB-1E666792F8C7}">
      <text>
        <r>
          <rPr>
            <b/>
            <sz val="9"/>
            <color indexed="81"/>
            <rFont val="Tahoma"/>
            <charset val="177"/>
          </rPr>
          <t>יניב שפירא:</t>
        </r>
        <r>
          <rPr>
            <sz val="9"/>
            <color indexed="81"/>
            <rFont val="Tahoma"/>
            <charset val="177"/>
          </rPr>
          <t xml:space="preserve">
סולם 1-7 באשר להעדפת ההלכה היהודית
1 = אי הסכמה
7 = הסכמה</t>
        </r>
      </text>
    </comment>
    <comment ref="O9" authorId="0" shapeId="0" xr:uid="{E1E0F93E-6E87-4069-9C63-7917564BBC03}">
      <text>
        <r>
          <rPr>
            <b/>
            <sz val="9"/>
            <color indexed="81"/>
            <rFont val="Tahoma"/>
            <family val="2"/>
          </rPr>
          <t>יניב שפירא:</t>
        </r>
        <r>
          <rPr>
            <sz val="9"/>
            <color indexed="81"/>
            <rFont val="Tahoma"/>
            <family val="2"/>
          </rPr>
          <t xml:space="preserve">
סולם 1-7
1 = מתנגד מאד
7 = מסכים מאד</t>
        </r>
      </text>
    </comment>
    <comment ref="C10" authorId="1" shapeId="0" xr:uid="{2FC686C3-0732-4474-830C-868EFFAE0734}">
      <text>
        <r>
          <rPr>
            <b/>
            <sz val="9"/>
            <color indexed="81"/>
            <rFont val="Tahoma"/>
          </rPr>
          <t>adi:</t>
        </r>
        <r>
          <rPr>
            <sz val="9"/>
            <color indexed="81"/>
            <rFont val="Tahoma"/>
          </rPr>
          <t xml:space="preserve">
1 = בהחלט לא מסכים/ה
2 = לא מסכים/ה
3 = מסכים/ה
4 = בהחלט מסכים/ה</t>
        </r>
      </text>
    </comment>
    <comment ref="H10" authorId="0" shapeId="0" xr:uid="{48874A2F-82E1-4524-A40E-08C10BF28539}">
      <text>
        <r>
          <rPr>
            <b/>
            <sz val="9"/>
            <color indexed="81"/>
            <rFont val="Tahoma"/>
            <family val="2"/>
          </rPr>
          <t>יניב שפירא:</t>
        </r>
        <r>
          <rPr>
            <sz val="9"/>
            <color indexed="81"/>
            <rFont val="Tahoma"/>
            <family val="2"/>
          </rPr>
          <t xml:space="preserve">
1 = כלל לא מסכים
2 = לא מסכים
3 = מסכים
4 = מסכים מאוד</t>
        </r>
      </text>
    </comment>
    <comment ref="I11" authorId="0" shapeId="0" xr:uid="{7DD89BA1-453B-4D1B-B23B-6A5E99C3FF07}">
      <text>
        <r>
          <rPr>
            <b/>
            <sz val="9"/>
            <color indexed="81"/>
            <rFont val="Tahoma"/>
            <family val="2"/>
          </rPr>
          <t>יניב שפירא:</t>
        </r>
        <r>
          <rPr>
            <sz val="9"/>
            <color indexed="81"/>
            <rFont val="Tahoma"/>
            <family val="2"/>
          </rPr>
          <t xml:space="preserve">
1 = כלל לא מסכים
2 = לא מסכים
3 = מסכים
4 = מסכים מאוד</t>
        </r>
      </text>
    </comment>
    <comment ref="N12" authorId="0" shapeId="0" xr:uid="{609A333F-894C-4952-A15D-C53A00F595CE}">
      <text>
        <r>
          <rPr>
            <b/>
            <sz val="9"/>
            <color indexed="81"/>
            <rFont val="Tahoma"/>
            <charset val="177"/>
          </rPr>
          <t>יניב שפירא:</t>
        </r>
        <r>
          <rPr>
            <sz val="9"/>
            <color indexed="81"/>
            <rFont val="Tahoma"/>
            <charset val="177"/>
          </rPr>
          <t xml:space="preserve">
1-7
1 = אי הסכמה
7 = הסכמה</t>
        </r>
      </text>
    </comment>
    <comment ref="I13" authorId="0" shapeId="0" xr:uid="{CE41DE10-BC25-40D7-B43B-EA8E6EBEF95B}">
      <text>
        <r>
          <rPr>
            <b/>
            <sz val="9"/>
            <color indexed="81"/>
            <rFont val="Tahoma"/>
            <family val="2"/>
          </rPr>
          <t>יניב שפירא:</t>
        </r>
        <r>
          <rPr>
            <sz val="9"/>
            <color indexed="81"/>
            <rFont val="Tahoma"/>
            <family val="2"/>
          </rPr>
          <t xml:space="preserve">
1 = יש להעדיף בכל מקרה את העקרון של המדינה היהודית
2 = לפעמים כך ולפעמים כך
3 = יש להעדיף בכל מקרה את העקרון של מדינת כל אזרחיה</t>
        </r>
      </text>
    </comment>
    <comment ref="L14" authorId="0" shapeId="0" xr:uid="{4AD5CF5B-BFB6-4031-90A8-A40053EDA7F3}">
      <text>
        <r>
          <rPr>
            <b/>
            <sz val="9"/>
            <color indexed="81"/>
            <rFont val="Tahoma"/>
            <family val="2"/>
          </rPr>
          <t>יניב שפירא:</t>
        </r>
        <r>
          <rPr>
            <sz val="9"/>
            <color indexed="81"/>
            <rFont val="Tahoma"/>
            <family val="2"/>
          </rPr>
          <t xml:space="preserve">
סולם 1-10
1 = רחוק ביותר
10 = קרוב ביותר</t>
        </r>
      </text>
    </comment>
    <comment ref="P21" authorId="0" shapeId="0" xr:uid="{3508328E-38C6-4E8D-9C13-D9ACA281FC53}">
      <text>
        <r>
          <rPr>
            <b/>
            <sz val="9"/>
            <color indexed="81"/>
            <rFont val="Tahoma"/>
            <family val="2"/>
          </rPr>
          <t>יניב שפירא:</t>
        </r>
        <r>
          <rPr>
            <sz val="9"/>
            <color indexed="81"/>
            <rFont val="Tahoma"/>
            <family val="2"/>
          </rPr>
          <t xml:space="preserve">
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r>
      </text>
    </comment>
    <comment ref="P22" authorId="0" shapeId="0" xr:uid="{AE997E0E-C0CC-45BA-88F5-7157C5CF7184}">
      <text>
        <r>
          <rPr>
            <b/>
            <sz val="9"/>
            <color indexed="81"/>
            <rFont val="Tahoma"/>
            <family val="2"/>
          </rPr>
          <t>יניב שפירא:</t>
        </r>
        <r>
          <rPr>
            <sz val="9"/>
            <color indexed="81"/>
            <rFont val="Tahoma"/>
            <family val="2"/>
          </rPr>
          <t xml:space="preserve">
1 = מסכים בהחלט
2 = מסכים
3 = לא כ"כ מסכים
4 = כלל לא מסכים</t>
        </r>
      </text>
    </comment>
    <comment ref="P23" authorId="0" shapeId="0" xr:uid="{399E39CD-22D6-4ED4-A51A-C4F664ECA10E}">
      <text>
        <r>
          <rPr>
            <b/>
            <sz val="9"/>
            <color indexed="81"/>
            <rFont val="Tahoma"/>
            <family val="2"/>
          </rPr>
          <t>יניב שפירא:</t>
        </r>
        <r>
          <rPr>
            <sz val="9"/>
            <color indexed="81"/>
            <rFont val="Tahoma"/>
            <family val="2"/>
          </rPr>
          <t xml:space="preserve">
1 = מסכים בהחלט
2 = מסכים
3 = לא כ"כ מסכים
4 = כלל לא מסכים</t>
        </r>
      </text>
    </comment>
    <comment ref="P24" authorId="0" shapeId="0" xr:uid="{89A84077-7E10-45C5-AAFE-F8D8D84FF71E}">
      <text>
        <r>
          <rPr>
            <b/>
            <sz val="9"/>
            <color indexed="81"/>
            <rFont val="Tahoma"/>
            <family val="2"/>
          </rPr>
          <t>יניב שפירא:</t>
        </r>
        <r>
          <rPr>
            <sz val="9"/>
            <color indexed="81"/>
            <rFont val="Tahoma"/>
            <family val="2"/>
          </rPr>
          <t xml:space="preserve">
1 = מסכים בהחלט
2 = מסכים
3 = לא כ"כ מסכים
4 = כלל לא מסכים</t>
        </r>
      </text>
    </comment>
    <comment ref="P25" authorId="0" shapeId="0" xr:uid="{51E000F2-43C6-4310-975B-9924F4B0BAD7}">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P27" authorId="0" shapeId="0" xr:uid="{37390618-8DF3-4481-9C95-34627016CB68}">
      <text>
        <r>
          <rPr>
            <b/>
            <sz val="9"/>
            <color indexed="81"/>
            <rFont val="Tahoma"/>
            <family val="2"/>
          </rPr>
          <t>יניב שפירא:</t>
        </r>
        <r>
          <rPr>
            <sz val="9"/>
            <color indexed="81"/>
            <rFont val="Tahoma"/>
            <family val="2"/>
          </rPr>
          <t xml:space="preserve">
1 = סיכוי גבוה
2 = סיכוי נמוך</t>
        </r>
      </text>
    </comment>
    <comment ref="R29" authorId="0" shapeId="0" xr:uid="{ED6E233B-89B9-4EDB-8E9E-F322BDCDED91}">
      <text>
        <r>
          <rPr>
            <b/>
            <sz val="9"/>
            <color indexed="81"/>
            <rFont val="Tahoma"/>
            <family val="2"/>
          </rPr>
          <t>יניב שפירא:</t>
        </r>
        <r>
          <rPr>
            <sz val="9"/>
            <color indexed="81"/>
            <rFont val="Tahoma"/>
            <family val="2"/>
          </rPr>
          <t xml:space="preserve">
1 = בעד ביטול המשחקים
2 = נגד ביטול המשחקים</t>
        </r>
      </text>
    </comment>
    <comment ref="U32" authorId="0" shapeId="0" xr:uid="{CE2E204D-E7DB-4CD8-9EB7-9DFEC61B1D45}">
      <text>
        <r>
          <rPr>
            <b/>
            <sz val="9"/>
            <color indexed="81"/>
            <rFont val="Tahoma"/>
            <family val="2"/>
          </rPr>
          <t>יניב שפירא:</t>
        </r>
        <r>
          <rPr>
            <sz val="9"/>
            <color indexed="81"/>
            <rFont val="Tahoma"/>
            <family val="2"/>
          </rPr>
          <t xml:space="preserve">
1 = בהחלט
2 = חושב שכן
3 = אין חובה שכולם יעלו
4 = כלל לא רצוי שכולם יעלו</t>
        </r>
      </text>
    </comment>
    <comment ref="U33" authorId="0" shapeId="0" xr:uid="{94BEA083-2F59-4501-8A26-04043A703F1E}">
      <text>
        <r>
          <rPr>
            <b/>
            <sz val="9"/>
            <color indexed="81"/>
            <rFont val="Tahoma"/>
            <family val="2"/>
          </rPr>
          <t>יניב שפירא:</t>
        </r>
        <r>
          <rPr>
            <sz val="9"/>
            <color indexed="81"/>
            <rFont val="Tahoma"/>
            <family val="2"/>
          </rPr>
          <t xml:space="preserve">
1 = בהחלט אין להפריד
2 = חושב שלא צריך להפריד
3 = חושב שיש להפריד
4 = בהחלט יש להפריד</t>
        </r>
      </text>
    </comment>
    <comment ref="W34" authorId="0" shapeId="0" xr:uid="{AD8C24E0-178B-427B-A896-91048D509E24}">
      <text>
        <r>
          <rPr>
            <b/>
            <sz val="9"/>
            <color indexed="81"/>
            <rFont val="Tahoma"/>
            <charset val="177"/>
          </rPr>
          <t>יניב שפירא:</t>
        </r>
        <r>
          <rPr>
            <sz val="9"/>
            <color indexed="81"/>
            <rFont val="Tahoma"/>
            <charset val="177"/>
          </rPr>
          <t xml:space="preserve">
1 = בעד יישום יתר של ההלכה
2 = בעד סטטוס-קוו
3 = בעד יתר ליברליזציה
4 = אין לי דעה בנושא</t>
        </r>
      </text>
    </comment>
    <comment ref="AH35" authorId="0" shapeId="0" xr:uid="{FDCF49F1-B6F0-4070-A897-77899E9B16C7}">
      <text>
        <r>
          <rPr>
            <b/>
            <sz val="9"/>
            <color indexed="81"/>
            <rFont val="Tahoma"/>
            <family val="2"/>
          </rPr>
          <t>יניב שפירא:</t>
        </r>
        <r>
          <rPr>
            <sz val="9"/>
            <color indexed="81"/>
            <rFont val="Tahoma"/>
            <family val="2"/>
          </rPr>
          <t xml:space="preserve">
1 = בהחלט להפריד
2 = אולי להפריד
3 = אולי לא להפריד
4 = בהחלט לא להפריד</t>
        </r>
      </text>
    </comment>
    <comment ref="AI36" authorId="0" shapeId="0" xr:uid="{34D8273A-ACB3-4D14-AA9D-5B0178A24493}">
      <text>
        <r>
          <rPr>
            <b/>
            <sz val="9"/>
            <color indexed="81"/>
            <rFont val="Tahoma"/>
            <family val="2"/>
          </rPr>
          <t>יניב שפירא:</t>
        </r>
        <r>
          <rPr>
            <sz val="9"/>
            <color indexed="81"/>
            <rFont val="Tahoma"/>
            <family val="2"/>
          </rPr>
          <t xml:space="preserve">
1 = בהחלט יש להתיר
2 = אפשר להתיר
3 = רצוי לאסור
4 = חייב לאסור
5 = אין דעה</t>
        </r>
      </text>
    </comment>
    <comment ref="AI37" authorId="0" shapeId="0" xr:uid="{A7267C14-8374-4F70-BE16-C336A450E527}">
      <text>
        <r>
          <rPr>
            <b/>
            <sz val="9"/>
            <color indexed="81"/>
            <rFont val="Tahoma"/>
            <family val="2"/>
          </rPr>
          <t>יניב שפירא:</t>
        </r>
        <r>
          <rPr>
            <sz val="9"/>
            <color indexed="81"/>
            <rFont val="Tahoma"/>
            <family val="2"/>
          </rPr>
          <t xml:space="preserve">
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r>
      </text>
    </comment>
    <comment ref="AI38" authorId="0" shapeId="0" xr:uid="{4AF42478-773F-4597-AD2C-C2D2B564BFA9}">
      <text>
        <r>
          <rPr>
            <b/>
            <sz val="9"/>
            <color indexed="81"/>
            <rFont val="Tahoma"/>
            <family val="2"/>
          </rPr>
          <t>יניב שפירא:</t>
        </r>
        <r>
          <rPr>
            <sz val="9"/>
            <color indexed="81"/>
            <rFont val="Tahoma"/>
            <family val="2"/>
          </rPr>
          <t xml:space="preserve">
1 = מסכים בהחלט
2 = מסכים
3 = מסתייג
4 = מסתייג בהחלט</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X1" authorId="0" shapeId="0" xr:uid="{00DEE6A6-2CA8-41F5-A0EC-033683E215C4}">
      <text>
        <r>
          <rPr>
            <b/>
            <sz val="9"/>
            <color indexed="81"/>
            <rFont val="Tahoma"/>
            <charset val="177"/>
          </rPr>
          <t>יניב שפירא:</t>
        </r>
        <r>
          <rPr>
            <sz val="9"/>
            <color indexed="81"/>
            <rFont val="Tahoma"/>
            <charset val="177"/>
          </rPr>
          <t xml:space="preserve">
post election</t>
        </r>
      </text>
    </comment>
    <comment ref="AB1" authorId="0" shapeId="0" xr:uid="{83F93655-4123-461A-A778-6F148DE16744}">
      <text>
        <r>
          <rPr>
            <b/>
            <sz val="9"/>
            <color indexed="81"/>
            <rFont val="Tahoma"/>
            <charset val="177"/>
          </rPr>
          <t>יניב שפירא:</t>
        </r>
        <r>
          <rPr>
            <sz val="9"/>
            <color indexed="81"/>
            <rFont val="Tahoma"/>
            <charset val="177"/>
          </rPr>
          <t xml:space="preserve">
post Kippur + post election</t>
        </r>
      </text>
    </comment>
    <comment ref="AC1" authorId="0" shapeId="0" xr:uid="{B604F406-00C8-470B-A53F-82CA76AEFDC0}">
      <text>
        <r>
          <rPr>
            <b/>
            <sz val="9"/>
            <color indexed="81"/>
            <rFont val="Tahoma"/>
            <charset val="177"/>
          </rPr>
          <t>יניב שפירא:</t>
        </r>
        <r>
          <rPr>
            <sz val="9"/>
            <color indexed="81"/>
            <rFont val="Tahoma"/>
            <charset val="177"/>
          </rPr>
          <t xml:space="preserve">
post Kippur</t>
        </r>
      </text>
    </comment>
    <comment ref="AD1" authorId="0" shapeId="0" xr:uid="{BA58859E-1598-4BE0-B6D6-30F0BEA6DA07}">
      <text>
        <r>
          <rPr>
            <b/>
            <sz val="9"/>
            <color indexed="81"/>
            <rFont val="Tahoma"/>
            <charset val="177"/>
          </rPr>
          <t>יניב שפירא:</t>
        </r>
        <r>
          <rPr>
            <sz val="9"/>
            <color indexed="81"/>
            <rFont val="Tahoma"/>
            <charset val="177"/>
          </rPr>
          <t xml:space="preserve">
post Kippur</t>
        </r>
      </text>
    </comment>
    <comment ref="AG1" authorId="0" shapeId="0" xr:uid="{26C8F562-265D-4562-8C76-BE0496B0FD60}">
      <text>
        <r>
          <rPr>
            <b/>
            <sz val="9"/>
            <color indexed="81"/>
            <rFont val="Tahoma"/>
            <charset val="177"/>
          </rPr>
          <t>יניב שפירא:</t>
        </r>
        <r>
          <rPr>
            <sz val="9"/>
            <color indexed="81"/>
            <rFont val="Tahoma"/>
            <charset val="177"/>
          </rPr>
          <t xml:space="preserve">
pre + post election</t>
        </r>
      </text>
    </comment>
    <comment ref="C2" authorId="1" shapeId="0" xr:uid="{F7840DF3-621A-48B0-AB73-0FD896D2BEB0}">
      <text>
        <r>
          <rPr>
            <b/>
            <sz val="9"/>
            <color indexed="81"/>
            <rFont val="Tahoma"/>
            <family val="2"/>
          </rPr>
          <t>adi:</t>
        </r>
        <r>
          <rPr>
            <sz val="9"/>
            <color indexed="81"/>
            <rFont val="Tahoma"/>
            <family val="2"/>
          </rPr>
          <t xml:space="preserve">
1 = נתניהו
2 = לפיד
3 = גנץ
4 = כולם במידה שווה
5 = אף אחד מהם</t>
        </r>
      </text>
    </comment>
    <comment ref="D2" authorId="0" shapeId="0" xr:uid="{F5656C1B-6B72-46D3-888D-063BCA472FCC}">
      <text>
        <r>
          <rPr>
            <b/>
            <sz val="9"/>
            <color indexed="81"/>
            <rFont val="Tahoma"/>
            <charset val="177"/>
          </rPr>
          <t>יניב שפירא:</t>
        </r>
        <r>
          <rPr>
            <sz val="9"/>
            <color indexed="81"/>
            <rFont val="Tahoma"/>
            <charset val="177"/>
          </rPr>
          <t xml:space="preserve">
1 = נתניהו
2 = סער
3 = לפיד
4 = בנט
5 = כולם במידה שווה
6 = אף אחד מהם</t>
        </r>
      </text>
    </comment>
    <comment ref="E2" authorId="0" shapeId="0" xr:uid="{ACAB550A-BE23-4C39-B9DC-3BF37A6A2D09}">
      <text>
        <r>
          <rPr>
            <b/>
            <sz val="9"/>
            <color indexed="81"/>
            <rFont val="Tahoma"/>
            <charset val="177"/>
          </rPr>
          <t>יניב שפירא:</t>
        </r>
        <r>
          <rPr>
            <sz val="9"/>
            <color indexed="81"/>
            <rFont val="Tahoma"/>
            <charset val="177"/>
          </rPr>
          <t xml:space="preserve">
1 = כחול לבן
2 = הליכוד
3 = שניהם במידה שווה
4 = אף אחד מהם</t>
        </r>
      </text>
    </comment>
    <comment ref="H2" authorId="0" shapeId="0" xr:uid="{CC70BD33-9AA4-4E21-9B21-4057D0F00D49}">
      <text>
        <r>
          <rPr>
            <b/>
            <sz val="9"/>
            <color indexed="81"/>
            <rFont val="Tahoma"/>
            <family val="2"/>
          </rPr>
          <t>יניב שפירא:</t>
        </r>
        <r>
          <rPr>
            <sz val="9"/>
            <color indexed="81"/>
            <rFont val="Tahoma"/>
            <family val="2"/>
          </rPr>
          <t xml:space="preserve">
1 = המחנה הציוני
2 = הליכוד
3 = שניהם במידה שווה
4 = אף אחד מהם</t>
        </r>
      </text>
    </comment>
    <comment ref="I2" authorId="0" shapeId="0" xr:uid="{049D1538-13D4-4DE7-95A1-A692FA9996F5}">
      <text>
        <r>
          <rPr>
            <b/>
            <sz val="9"/>
            <color indexed="81"/>
            <rFont val="Tahoma"/>
            <family val="2"/>
          </rPr>
          <t>יניב שפירא:</t>
        </r>
        <r>
          <rPr>
            <sz val="9"/>
            <color indexed="81"/>
            <rFont val="Tahoma"/>
            <family val="2"/>
          </rPr>
          <t xml:space="preserve">
1 = ציפי לבני
2 = בנימין נתניהו
3 = שלי יחימוביץ</t>
        </r>
      </text>
    </comment>
    <comment ref="J2" authorId="0" shapeId="0" xr:uid="{5A19A090-9D67-4E5F-B3B7-184B7905A381}">
      <text>
        <r>
          <rPr>
            <b/>
            <sz val="9"/>
            <color indexed="81"/>
            <rFont val="Tahoma"/>
            <family val="2"/>
          </rPr>
          <t>יניב שפירא:</t>
        </r>
        <r>
          <rPr>
            <sz val="9"/>
            <color indexed="81"/>
            <rFont val="Tahoma"/>
            <family val="2"/>
          </rPr>
          <t xml:space="preserve">
1 = ציפי לבני
2 = בנימין נתניהו
3 = אהוד ברק</t>
        </r>
      </text>
    </comment>
    <comment ref="K2" authorId="0" shapeId="0" xr:uid="{B7890472-A3C6-4C5C-AEA0-B2237CE3FB24}">
      <text>
        <r>
          <rPr>
            <b/>
            <sz val="9"/>
            <color indexed="81"/>
            <rFont val="Tahoma"/>
            <charset val="177"/>
          </rPr>
          <t>יניב שפירא:</t>
        </r>
        <r>
          <rPr>
            <sz val="9"/>
            <color indexed="81"/>
            <rFont val="Tahoma"/>
            <charset val="177"/>
          </rPr>
          <t xml:space="preserve">
1 = קדימה
2 = הליכוד
3 = העבודה
4 = כולם במידה שווה
5 = אף אחד מהם</t>
        </r>
      </text>
    </comment>
    <comment ref="L2" authorId="0" shapeId="0" xr:uid="{41614503-B562-4FF8-B355-596889AB36EC}">
      <text>
        <r>
          <rPr>
            <b/>
            <sz val="9"/>
            <color indexed="81"/>
            <rFont val="Tahoma"/>
            <family val="2"/>
          </rPr>
          <t>יניב שפירא:</t>
        </r>
        <r>
          <rPr>
            <sz val="9"/>
            <color indexed="81"/>
            <rFont val="Tahoma"/>
            <family val="2"/>
          </rPr>
          <t xml:space="preserve">
1 = הליכוד
2 = העבודה
3 = שניהם במידה שווה
4 = אף אחד מהם</t>
        </r>
      </text>
    </comment>
    <comment ref="M2" authorId="0" shapeId="0" xr:uid="{21AE267C-2EEF-479C-ABA7-D89D4109439F}">
      <text>
        <r>
          <rPr>
            <b/>
            <sz val="9"/>
            <color indexed="81"/>
            <rFont val="Tahoma"/>
            <family val="2"/>
          </rPr>
          <t>יניב שפירא:</t>
        </r>
        <r>
          <rPr>
            <sz val="9"/>
            <color indexed="81"/>
            <rFont val="Tahoma"/>
            <family val="2"/>
          </rPr>
          <t xml:space="preserve">
1 = שרון
2 = ברק
3 = שניהם במידה שווה
4 = אף אחד מהם</t>
        </r>
      </text>
    </comment>
    <comment ref="N2" authorId="0" shapeId="0" xr:uid="{7D00CB23-9863-434F-BED4-9671E57011F7}">
      <text>
        <r>
          <rPr>
            <b/>
            <sz val="9"/>
            <color indexed="81"/>
            <rFont val="Tahoma"/>
            <family val="2"/>
          </rPr>
          <t>יניב שפירא:</t>
        </r>
        <r>
          <rPr>
            <sz val="9"/>
            <color indexed="81"/>
            <rFont val="Tahoma"/>
            <family val="2"/>
          </rPr>
          <t xml:space="preserve">
1 = נתניהו
2 = ברק
3 = מרדכי
4 = במידה שווה
5 = אף אחד מהם</t>
        </r>
      </text>
    </comment>
    <comment ref="O2" authorId="0" shapeId="0" xr:uid="{7E79CA5F-71C3-4482-A187-EE90341D410F}">
      <text>
        <r>
          <rPr>
            <b/>
            <sz val="9"/>
            <color indexed="81"/>
            <rFont val="Tahoma"/>
            <family val="2"/>
          </rPr>
          <t>יניב שפירא:</t>
        </r>
        <r>
          <rPr>
            <sz val="9"/>
            <color indexed="81"/>
            <rFont val="Tahoma"/>
            <family val="2"/>
          </rPr>
          <t xml:space="preserve">
1 = העבודה
2 = הליכוד
3 = במידה שווה
4 = אף אחד מהם</t>
        </r>
      </text>
    </comment>
    <comment ref="U2" authorId="0" shapeId="0" xr:uid="{E6DA035F-48F8-4BEB-815A-F07D08CF27F1}">
      <text>
        <r>
          <rPr>
            <b/>
            <sz val="9"/>
            <color indexed="81"/>
            <rFont val="Tahoma"/>
            <charset val="177"/>
          </rPr>
          <t>יניב שפירא:</t>
        </r>
        <r>
          <rPr>
            <sz val="9"/>
            <color indexed="81"/>
            <rFont val="Tahoma"/>
            <charset val="177"/>
          </rPr>
          <t xml:space="preserve">
1 = חיים בר לב (מערך)
2 = אריק שרון (ליכוד)</t>
        </r>
      </text>
    </comment>
    <comment ref="X4" authorId="0" shapeId="0" xr:uid="{E216D6FF-EFB2-4AE6-B8F2-441E7BD17FEB}">
      <text>
        <r>
          <rPr>
            <b/>
            <sz val="9"/>
            <color indexed="81"/>
            <rFont val="Tahoma"/>
            <charset val="177"/>
          </rPr>
          <t>יניב שפירא:</t>
        </r>
        <r>
          <rPr>
            <sz val="9"/>
            <color indexed="81"/>
            <rFont val="Tahoma"/>
            <charset val="177"/>
          </rPr>
          <t xml:space="preserve">
1 = למערך
2 = לליכוד
3 = לשמאל</t>
        </r>
      </text>
    </comment>
    <comment ref="AC4" authorId="0" shapeId="0" xr:uid="{3CA6BBE4-14D6-4EA6-8061-F05693814F43}">
      <text>
        <r>
          <rPr>
            <b/>
            <sz val="9"/>
            <color indexed="81"/>
            <rFont val="Tahoma"/>
            <charset val="177"/>
          </rPr>
          <t>יניב שפירא:</t>
        </r>
        <r>
          <rPr>
            <sz val="9"/>
            <color indexed="81"/>
            <rFont val="Tahoma"/>
            <charset val="177"/>
          </rPr>
          <t xml:space="preserve">
1 = המערך
2 = הליכוד
3 = לשמאל</t>
        </r>
      </text>
    </comment>
    <comment ref="G6" authorId="0" shapeId="0" xr:uid="{E54E6133-6DA3-4308-B076-05F44D814B04}">
      <text>
        <r>
          <rPr>
            <b/>
            <sz val="9"/>
            <color indexed="81"/>
            <rFont val="Tahoma"/>
            <family val="2"/>
          </rPr>
          <t>יניב שפירא:</t>
        </r>
        <r>
          <rPr>
            <sz val="9"/>
            <color indexed="81"/>
            <rFont val="Tahoma"/>
            <family val="2"/>
          </rPr>
          <t xml:space="preserve">
1 = השתפר בהרבה
2 = השתפר במקצת
3 = לא השתנה
4 = קצת גרוע יותר
5 = הרבה יותר גרוע</t>
        </r>
      </text>
    </comment>
    <comment ref="G7" authorId="0" shapeId="0" xr:uid="{6002FA53-847E-4ACE-9375-B8DAB4B49712}">
      <text>
        <r>
          <rPr>
            <b/>
            <sz val="9"/>
            <color indexed="81"/>
            <rFont val="Tahoma"/>
            <family val="2"/>
          </rPr>
          <t>יניב שפירא:</t>
        </r>
        <r>
          <rPr>
            <sz val="9"/>
            <color indexed="81"/>
            <rFont val="Tahoma"/>
            <family val="2"/>
          </rPr>
          <t xml:space="preserve">
1 = מודאג מאד
2 = מודאג
3 = לא מודאג
4 = בכלל לא מודאג</t>
        </r>
      </text>
    </comment>
    <comment ref="J7" authorId="0" shapeId="0" xr:uid="{35A171E3-5F1C-4A4E-A111-566248E9F6A0}">
      <text>
        <r>
          <rPr>
            <b/>
            <sz val="9"/>
            <color indexed="81"/>
            <rFont val="Tahoma"/>
            <family val="2"/>
          </rPr>
          <t>יניב שפירא:</t>
        </r>
        <r>
          <rPr>
            <sz val="9"/>
            <color indexed="81"/>
            <rFont val="Tahoma"/>
            <family val="2"/>
          </rPr>
          <t xml:space="preserve">
הניסוח כאן:
"להיפגע בידי ערבים"</t>
        </r>
      </text>
    </comment>
    <comment ref="M7" authorId="0" shapeId="0" xr:uid="{A382DD21-A3C8-4550-A049-65DF6C73AA06}">
      <text>
        <r>
          <rPr>
            <b/>
            <sz val="9"/>
            <color indexed="81"/>
            <rFont val="Tahoma"/>
            <family val="2"/>
          </rPr>
          <t>יניב שפירא:</t>
        </r>
        <r>
          <rPr>
            <sz val="9"/>
            <color indexed="81"/>
            <rFont val="Tahoma"/>
            <family val="2"/>
          </rPr>
          <t xml:space="preserve">
1 = בכלל לא מודאג
2 = לא מודאג
3 = מודאג
4 = מודאג מאד</t>
        </r>
      </text>
    </comment>
    <comment ref="N7" authorId="0" shapeId="0" xr:uid="{12F70A26-CC52-49DF-ACAC-792746E62832}">
      <text>
        <r>
          <rPr>
            <b/>
            <sz val="9"/>
            <color indexed="81"/>
            <rFont val="Tahoma"/>
            <charset val="177"/>
          </rPr>
          <t>יניב שפירא:</t>
        </r>
        <r>
          <rPr>
            <sz val="9"/>
            <color indexed="81"/>
            <rFont val="Tahoma"/>
            <charset val="177"/>
          </rPr>
          <t xml:space="preserve">
1 = מודאג מאד
2 = מודאג
3 = לא מודאג
4 = בכלל לא מודאג</t>
        </r>
      </text>
    </comment>
    <comment ref="H8" authorId="0" shapeId="0" xr:uid="{D48CA24D-55DD-43D1-9B40-BE51CDD49046}">
      <text>
        <r>
          <rPr>
            <b/>
            <sz val="9"/>
            <color indexed="81"/>
            <rFont val="Tahoma"/>
            <family val="2"/>
          </rPr>
          <t>יניב שפירא:</t>
        </r>
        <r>
          <rPr>
            <sz val="9"/>
            <color indexed="81"/>
            <rFont val="Tahoma"/>
            <family val="2"/>
          </rPr>
          <t xml:space="preserve">
1 = מודאג מאוד
2 = מודאג
3 = לא מודאג
4 = בכלל לא מודאג</t>
        </r>
      </text>
    </comment>
    <comment ref="H9" authorId="0" shapeId="0" xr:uid="{5FE46F14-1437-494F-A5F1-87AD6B8D1EA0}">
      <text>
        <r>
          <rPr>
            <b/>
            <sz val="9"/>
            <color indexed="81"/>
            <rFont val="Tahoma"/>
            <family val="2"/>
          </rPr>
          <t>יניב שפירא:</t>
        </r>
        <r>
          <rPr>
            <sz val="9"/>
            <color indexed="81"/>
            <rFont val="Tahoma"/>
            <family val="2"/>
          </rPr>
          <t xml:space="preserve">
1 = יש להעדיף בכל מקרה את השמירה על שלטון החוק
2 = לפעמים כך ולפעמים כך
3 = יש להעדיף בכל מקרה את האינטרס הביטחוני</t>
        </r>
      </text>
    </comment>
    <comment ref="O9" authorId="0" shapeId="0" xr:uid="{8B57AFC2-FA7F-4AF1-BC8D-831087F0534D}">
      <text>
        <r>
          <rPr>
            <b/>
            <sz val="9"/>
            <color indexed="81"/>
            <rFont val="Tahoma"/>
            <family val="2"/>
          </rPr>
          <t>יניב שפירא:</t>
        </r>
        <r>
          <rPr>
            <sz val="9"/>
            <color indexed="81"/>
            <rFont val="Tahoma"/>
            <family val="2"/>
          </rPr>
          <t xml:space="preserve">
סולם 1-7
1 = יש להעדיף בכל מקרה את האינטרסם הבטחוני
7 = יש להעדיף בכל מקרה את שלטון החוק</t>
        </r>
      </text>
    </comment>
    <comment ref="Q10" authorId="0" shapeId="0" xr:uid="{396DA569-F465-4E80-A988-73FCD8BACB61}">
      <text>
        <r>
          <rPr>
            <b/>
            <sz val="9"/>
            <color indexed="81"/>
            <rFont val="Tahoma"/>
            <charset val="177"/>
          </rPr>
          <t>יניב שפירא:</t>
        </r>
        <r>
          <rPr>
            <sz val="9"/>
            <color indexed="81"/>
            <rFont val="Tahoma"/>
            <charset val="177"/>
          </rPr>
          <t xml:space="preserve">
1 = תמיד מעדיפה שיקולים בטחוניים
2 = בדר"כ מעדיפה שיקולים בטחוניים
3 = בדר"כ מעדיפה שלטון החוק
4 = תמיד מעדיפה שלטון החוק</t>
        </r>
      </text>
    </comment>
    <comment ref="Q11" authorId="0" shapeId="0" xr:uid="{7A0114CD-715E-4A6A-8B35-9A903A39BA49}">
      <text>
        <r>
          <rPr>
            <b/>
            <sz val="9"/>
            <color indexed="81"/>
            <rFont val="Tahoma"/>
            <charset val="177"/>
          </rPr>
          <t>יניב שפירא:</t>
        </r>
        <r>
          <rPr>
            <sz val="9"/>
            <color indexed="81"/>
            <rFont val="Tahoma"/>
            <charset val="177"/>
          </rPr>
          <t xml:space="preserve">
1 = תמיד מעדיפה שיקולים בטחוניים
2 = בדר"כ מעדיפה שיקולים בטחוניים
3 = בדר"כ מעדיפה שלטון החוק
4 = תמיד מעדיפה שלטון החוק</t>
        </r>
      </text>
    </comment>
    <comment ref="H12" authorId="0" shapeId="0" xr:uid="{199136BC-04D1-4793-8C04-8DE7E626D9F9}">
      <text>
        <r>
          <rPr>
            <b/>
            <sz val="9"/>
            <color indexed="81"/>
            <rFont val="Tahoma"/>
            <family val="2"/>
          </rPr>
          <t>יניב שפירא:</t>
        </r>
        <r>
          <rPr>
            <sz val="9"/>
            <color indexed="81"/>
            <rFont val="Tahoma"/>
            <family val="2"/>
          </rPr>
          <t xml:space="preserve">
1 = מאוד מוצלח
2 = די מוצלח
3 = לא כ"כ מוצלח
4 = כלל לא מוצלח
</t>
        </r>
      </text>
    </comment>
    <comment ref="J13" authorId="0" shapeId="0" xr:uid="{4D44A0D9-9BB7-4B22-AD1C-95DF2F952983}">
      <text>
        <r>
          <rPr>
            <b/>
            <sz val="9"/>
            <color indexed="81"/>
            <rFont val="Tahoma"/>
            <family val="2"/>
          </rPr>
          <t>יניב שפירא:</t>
        </r>
        <r>
          <rPr>
            <sz val="9"/>
            <color indexed="81"/>
            <rFont val="Tahoma"/>
            <family val="2"/>
          </rPr>
          <t xml:space="preserve">
1 = מאוד מוצלח
2 = די מוצלח
3 = לא כ"כ מוצלח
4 = כלל לא מוצלח</t>
        </r>
      </text>
    </comment>
    <comment ref="J14" authorId="0" shapeId="0" xr:uid="{B7439218-A0E1-4AA1-AD3C-83F1A32352C0}">
      <text>
        <r>
          <rPr>
            <b/>
            <sz val="9"/>
            <color indexed="81"/>
            <rFont val="Tahoma"/>
            <family val="2"/>
          </rPr>
          <t>יניב שפירא:</t>
        </r>
        <r>
          <rPr>
            <sz val="9"/>
            <color indexed="81"/>
            <rFont val="Tahoma"/>
            <family val="2"/>
          </rPr>
          <t xml:space="preserve">
1 = לכבוש את כל רצועת עזה מחדש ולהשאר שם
2 = לעשות מבצעים חד פעמיים נגד הירי בלי להשאר שם
3 = לפעול בעיקר בצעדים מדיניים ולא בכוח צבאי</t>
        </r>
      </text>
    </comment>
    <comment ref="H15" authorId="0" shapeId="0" xr:uid="{368D64BF-0109-4013-8FC4-2ED92A237BA8}">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H16" authorId="0" shapeId="0" xr:uid="{7CC7361D-EAF3-4629-B34F-183183E54D2B}">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H17" authorId="0" shapeId="0" xr:uid="{7EB64670-9996-485B-8CE4-B0960FD76134}">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I18" authorId="0" shapeId="0" xr:uid="{92A7A7A3-17B1-4FA7-A88A-1A66CEF227CD}">
      <text>
        <r>
          <rPr>
            <b/>
            <sz val="9"/>
            <color indexed="81"/>
            <rFont val="Tahoma"/>
            <family val="2"/>
          </rPr>
          <t>יניב שפירא:</t>
        </r>
        <r>
          <rPr>
            <sz val="9"/>
            <color indexed="81"/>
            <rFont val="Tahoma"/>
            <family val="2"/>
          </rPr>
          <t xml:space="preserve">
1 = בהחלט לא מסכים
2 = לא מסכים
3 = מסגים
4 = מסכים בהחלט</t>
        </r>
      </text>
    </comment>
    <comment ref="J19" authorId="0" shapeId="0" xr:uid="{209E41CD-BB22-4146-AE85-545DD5DAB168}">
      <text>
        <r>
          <rPr>
            <b/>
            <sz val="9"/>
            <color indexed="81"/>
            <rFont val="Tahoma"/>
            <family val="2"/>
          </rPr>
          <t>יניב שפירא:</t>
        </r>
        <r>
          <rPr>
            <sz val="9"/>
            <color indexed="81"/>
            <rFont val="Tahoma"/>
            <family val="2"/>
          </rPr>
          <t xml:space="preserve">
סולם 1-9
1 = גרוע ביותר
9 = טוב ביותר</t>
        </r>
      </text>
    </comment>
    <comment ref="U19" authorId="0" shapeId="0" xr:uid="{BE75DF9F-2D7B-4C38-9BE0-26459F5DA877}">
      <text>
        <r>
          <rPr>
            <b/>
            <sz val="9"/>
            <color indexed="81"/>
            <rFont val="Tahoma"/>
            <family val="2"/>
          </rPr>
          <t>יניב שפירא:</t>
        </r>
        <r>
          <rPr>
            <sz val="9"/>
            <color indexed="81"/>
            <rFont val="Tahoma"/>
            <family val="2"/>
          </rPr>
          <t xml:space="preserve">
ארבע שנים ולא חמש
סולם 1-10
1 = הטוב ביותר
10 = הגרוע ביותר</t>
        </r>
      </text>
    </comment>
    <comment ref="W19" authorId="0" shapeId="0" xr:uid="{D77B390C-4B5D-43B6-9572-4F4FE4545CB1}">
      <text>
        <r>
          <rPr>
            <b/>
            <sz val="9"/>
            <color indexed="81"/>
            <rFont val="Tahoma"/>
            <charset val="177"/>
          </rPr>
          <t>יניב שפירא:</t>
        </r>
        <r>
          <rPr>
            <sz val="9"/>
            <color indexed="81"/>
            <rFont val="Tahoma"/>
            <charset val="177"/>
          </rPr>
          <t xml:space="preserve">
ארבע שנים ולא חמש
סולם 1-10
1 = הטוב ביותר
10 = הגרוע ביותר</t>
        </r>
      </text>
    </comment>
    <comment ref="AI19" authorId="0" shapeId="0" xr:uid="{FE2FCB99-C721-4877-AF25-1E15793D1269}">
      <text>
        <r>
          <rPr>
            <b/>
            <sz val="9"/>
            <color indexed="81"/>
            <rFont val="Tahoma"/>
            <family val="2"/>
          </rPr>
          <t>יניב שפירא:</t>
        </r>
        <r>
          <rPr>
            <sz val="9"/>
            <color indexed="81"/>
            <rFont val="Tahoma"/>
            <family val="2"/>
          </rPr>
          <t xml:space="preserve">
סולם 0-10
0 = הגרוע ביותר
10 = הטוב ביותר</t>
        </r>
      </text>
    </comment>
    <comment ref="J20" authorId="0" shapeId="0" xr:uid="{D810AC0A-8497-4971-849D-7A0180DB2978}">
      <text>
        <r>
          <rPr>
            <b/>
            <sz val="9"/>
            <color indexed="81"/>
            <rFont val="Tahoma"/>
            <family val="2"/>
          </rPr>
          <t>יניב שפירא:</t>
        </r>
        <r>
          <rPr>
            <sz val="9"/>
            <color indexed="81"/>
            <rFont val="Tahoma"/>
            <family val="2"/>
          </rPr>
          <t xml:space="preserve">
סולם 1-9
1 = גרוע ביותר
9 = טוב ביותר</t>
        </r>
      </text>
    </comment>
    <comment ref="U22" authorId="0" shapeId="0" xr:uid="{DC8C3010-B39F-4C54-8385-68577251DD7B}">
      <text>
        <r>
          <rPr>
            <b/>
            <sz val="9"/>
            <color indexed="81"/>
            <rFont val="Tahoma"/>
            <family val="2"/>
          </rPr>
          <t>יניב שפירא:</t>
        </r>
        <r>
          <rPr>
            <sz val="9"/>
            <color indexed="81"/>
            <rFont val="Tahoma"/>
            <family val="2"/>
          </rPr>
          <t xml:space="preserve">
סולם 1-10
1 = טוב ביותר
10 = גרוע ביותר</t>
        </r>
      </text>
    </comment>
    <comment ref="P25" authorId="0" shapeId="0" xr:uid="{1FB3368E-CCD5-47AB-9F57-78B257959910}">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H27" authorId="0" shapeId="0" xr:uid="{3FB8A183-DF7D-448B-B456-773103C10EAA}">
      <text>
        <r>
          <rPr>
            <b/>
            <sz val="9"/>
            <color indexed="81"/>
            <rFont val="Tahoma"/>
            <charset val="177"/>
          </rPr>
          <t>יניב שפירא:</t>
        </r>
        <r>
          <rPr>
            <sz val="9"/>
            <color indexed="81"/>
            <rFont val="Tahoma"/>
            <charset val="177"/>
          </rPr>
          <t xml:space="preserve">
מלחמה עם סוריה</t>
        </r>
      </text>
    </comment>
    <comment ref="J27" authorId="0" shapeId="0" xr:uid="{D67060F6-3C32-4C13-BB4E-3511E50D0BC3}">
      <text>
        <r>
          <rPr>
            <b/>
            <sz val="9"/>
            <color indexed="81"/>
            <rFont val="Tahoma"/>
            <charset val="177"/>
          </rPr>
          <t>יניב שפירא:</t>
        </r>
        <r>
          <rPr>
            <sz val="9"/>
            <color indexed="81"/>
            <rFont val="Tahoma"/>
            <charset val="177"/>
          </rPr>
          <t xml:space="preserve">
מלחמה עם חיזבאללה</t>
        </r>
      </text>
    </comment>
    <comment ref="P27" authorId="0" shapeId="0" xr:uid="{CA824B3C-5377-4F95-9350-9877E1D57830}">
      <text>
        <r>
          <rPr>
            <b/>
            <sz val="9"/>
            <color indexed="81"/>
            <rFont val="Tahoma"/>
            <family val="2"/>
          </rPr>
          <t>יניב שפירא:</t>
        </r>
        <r>
          <rPr>
            <sz val="9"/>
            <color indexed="81"/>
            <rFont val="Tahoma"/>
            <family val="2"/>
          </rPr>
          <t xml:space="preserve">
הניסוח הוא:
"מלחמה עם הערבים"
1 = במידה רבה
2 = במידה מסוימת
3 = במידה קטנה
4 = כלל לא</t>
        </r>
      </text>
    </comment>
    <comment ref="M28" authorId="0" shapeId="0" xr:uid="{22016343-95D3-4870-A494-06D46049984E}">
      <text>
        <r>
          <rPr>
            <b/>
            <sz val="9"/>
            <color indexed="81"/>
            <rFont val="Tahoma"/>
            <charset val="177"/>
          </rPr>
          <t>יניב שפירא:</t>
        </r>
        <r>
          <rPr>
            <sz val="9"/>
            <color indexed="81"/>
            <rFont val="Tahoma"/>
            <charset val="177"/>
          </rPr>
          <t xml:space="preserve">
1 = הרבה יותר גרוע
2 = יותר גרוע
3 = לא השתנה
4 = יותר טוב
5 = הרבה יותר טוב</t>
        </r>
      </text>
    </comment>
    <comment ref="N28" authorId="0" shapeId="0" xr:uid="{00A69881-96C7-49C6-BCC5-EFA1D5E3A440}">
      <text>
        <r>
          <rPr>
            <b/>
            <sz val="9"/>
            <color indexed="81"/>
            <rFont val="Tahoma"/>
            <charset val="177"/>
          </rPr>
          <t>יניב שפירא:</t>
        </r>
        <r>
          <rPr>
            <sz val="9"/>
            <color indexed="81"/>
            <rFont val="Tahoma"/>
            <charset val="177"/>
          </rPr>
          <t xml:space="preserve">
1 = הרבה יותר טוב
2 = יותר טוב
3 = יותר גרוע
4 = הרבה יותר גרוע</t>
        </r>
      </text>
    </comment>
    <comment ref="N29" authorId="0" shapeId="0" xr:uid="{627551C3-0E3A-4EE1-BE0B-068FC565C83D}">
      <text>
        <r>
          <rPr>
            <b/>
            <sz val="9"/>
            <color indexed="81"/>
            <rFont val="Tahoma"/>
            <charset val="177"/>
          </rPr>
          <t>יניב שפירא:</t>
        </r>
        <r>
          <rPr>
            <sz val="9"/>
            <color indexed="81"/>
            <rFont val="Tahoma"/>
            <charset val="177"/>
          </rPr>
          <t xml:space="preserve">
1 = הרבה יותר טוב
2 = יותר טוב
3 = יותר גרוע
4 = הרבה יותר גרוע</t>
        </r>
      </text>
    </comment>
    <comment ref="N30" authorId="0" shapeId="0" xr:uid="{77AEAB1C-C2EE-460C-BD33-EB954CF7E0ED}">
      <text>
        <r>
          <rPr>
            <b/>
            <sz val="9"/>
            <color indexed="81"/>
            <rFont val="Tahoma"/>
            <charset val="177"/>
          </rPr>
          <t>יניב שפירא:</t>
        </r>
        <r>
          <rPr>
            <sz val="9"/>
            <color indexed="81"/>
            <rFont val="Tahoma"/>
            <charset val="177"/>
          </rPr>
          <t xml:space="preserve">
1 = גדלה בהרבה
2 = גדלה
3 = קטנה
4 = קטנה בהרבה</t>
        </r>
      </text>
    </comment>
    <comment ref="N31" authorId="0" shapeId="0" xr:uid="{970E06FC-0E7B-457D-A9FE-4AFF49015B38}">
      <text>
        <r>
          <rPr>
            <b/>
            <sz val="9"/>
            <color indexed="81"/>
            <rFont val="Tahoma"/>
            <charset val="177"/>
          </rPr>
          <t>יניב שפירא:</t>
        </r>
        <r>
          <rPr>
            <sz val="9"/>
            <color indexed="81"/>
            <rFont val="Tahoma"/>
            <charset val="177"/>
          </rPr>
          <t xml:space="preserve">
1 = גדלה בהרבה
2 = גדלה
3 = קטנה
4 = קטנה בהרבה</t>
        </r>
      </text>
    </comment>
    <comment ref="O32" authorId="0" shapeId="0" xr:uid="{59203983-FBBA-494B-B589-806C21B07EAB}">
      <text>
        <r>
          <rPr>
            <b/>
            <sz val="9"/>
            <color indexed="81"/>
            <rFont val="Tahoma"/>
            <family val="2"/>
          </rPr>
          <t>יניב שפירא:</t>
        </r>
        <r>
          <rPr>
            <sz val="9"/>
            <color indexed="81"/>
            <rFont val="Tahoma"/>
            <family val="2"/>
          </rPr>
          <t xml:space="preserve">
1 = תורם מאד
2 = תורם
3 = פוגע
4 = פוגע מאד</t>
        </r>
      </text>
    </comment>
    <comment ref="P33" authorId="0" shapeId="0" xr:uid="{BEA6CA7A-6404-4A2B-B860-D6C7871761D8}">
      <text>
        <r>
          <rPr>
            <b/>
            <sz val="9"/>
            <color indexed="81"/>
            <rFont val="Tahoma"/>
            <family val="2"/>
          </rPr>
          <t>יניב שפירא:</t>
        </r>
        <r>
          <rPr>
            <sz val="9"/>
            <color indexed="81"/>
            <rFont val="Tahoma"/>
            <family val="2"/>
          </rPr>
          <t xml:space="preserve">
1 = קשה מדי
2 = מתאימה
3 = רכה מדי</t>
        </r>
      </text>
    </comment>
    <comment ref="AG34" authorId="0" shapeId="0" xr:uid="{F49B40F0-DBEA-477D-8126-1AEED3C02F33}">
      <text>
        <r>
          <rPr>
            <b/>
            <sz val="9"/>
            <color indexed="81"/>
            <rFont val="Tahoma"/>
            <family val="2"/>
          </rPr>
          <t>יניב שפירא:</t>
        </r>
        <r>
          <rPr>
            <sz val="9"/>
            <color indexed="81"/>
            <rFont val="Tahoma"/>
            <family val="2"/>
          </rPr>
          <t xml:space="preserve">
1 = תומך מאוד
2 = תומך במידה ניכרת
3 = לא כ"כ תומך
4 = לא תומך כלל</t>
        </r>
      </text>
    </comment>
    <comment ref="P35" authorId="0" shapeId="0" xr:uid="{E0F66695-7DB2-443C-9C71-2C549E5DE53E}">
      <text>
        <r>
          <rPr>
            <b/>
            <sz val="9"/>
            <color indexed="81"/>
            <rFont val="Tahoma"/>
            <family val="2"/>
          </rPr>
          <t>יניב שפירא:</t>
        </r>
        <r>
          <rPr>
            <sz val="9"/>
            <color indexed="81"/>
            <rFont val="Tahoma"/>
            <family val="2"/>
          </rPr>
          <t xml:space="preserve">
1 = אין כמעט סיכוי למלחמה
2 = סיכוי נמוך מאד
3 = סיכוי נמוך
4 = סיכוי בינוני
5 = סיכוי גבוה
6 = סיכוי גבוה מאוד
7 = כמעט ודאות מלאה</t>
        </r>
      </text>
    </comment>
    <comment ref="P40" authorId="0" shapeId="0" xr:uid="{28F36CA0-2645-4BB6-8C36-3D2195978687}">
      <text>
        <r>
          <rPr>
            <b/>
            <sz val="9"/>
            <color indexed="81"/>
            <rFont val="Tahoma"/>
            <family val="2"/>
          </rPr>
          <t>יניב שפירא:</t>
        </r>
        <r>
          <rPr>
            <sz val="9"/>
            <color indexed="81"/>
            <rFont val="Tahoma"/>
            <family val="2"/>
          </rPr>
          <t xml:space="preserve">
1 = תוכל להתמודד
2 = לא תוכל להתמודד</t>
        </r>
      </text>
    </comment>
    <comment ref="P50" authorId="0" shapeId="0" xr:uid="{16BFFBA5-3893-48B5-A488-E7F9AAC2BCEF}">
      <text>
        <r>
          <rPr>
            <b/>
            <sz val="9"/>
            <color indexed="81"/>
            <rFont val="Tahoma"/>
            <family val="2"/>
          </rPr>
          <t>יניב שפירא:</t>
        </r>
        <r>
          <rPr>
            <sz val="9"/>
            <color indexed="81"/>
            <rFont val="Tahoma"/>
            <family val="2"/>
          </rPr>
          <t xml:space="preserve">
סולם 1-7
1 = השפעה רעה
7 = השפעה טובה </t>
        </r>
      </text>
    </comment>
    <comment ref="Q51" authorId="0" shapeId="0" xr:uid="{3D9D4AEB-DA1B-475D-81E0-6FD4184D997E}">
      <text>
        <r>
          <rPr>
            <b/>
            <sz val="9"/>
            <color indexed="81"/>
            <rFont val="Tahoma"/>
            <family val="2"/>
          </rPr>
          <t>יניב שפירא:</t>
        </r>
        <r>
          <rPr>
            <sz val="9"/>
            <color indexed="81"/>
            <rFont val="Tahoma"/>
            <family val="2"/>
          </rPr>
          <t xml:space="preserve">
סולם 1-7
1 = תורמת לבטחון
7 = פוגעת בבטחון</t>
        </r>
      </text>
    </comment>
    <comment ref="Q52" authorId="0" shapeId="0" xr:uid="{C417E01C-A5AA-4AF2-92F0-44884655D489}">
      <text>
        <r>
          <rPr>
            <b/>
            <sz val="9"/>
            <color indexed="81"/>
            <rFont val="Tahoma"/>
            <family val="2"/>
          </rPr>
          <t>יניב שפירא:</t>
        </r>
        <r>
          <rPr>
            <sz val="9"/>
            <color indexed="81"/>
            <rFont val="Tahoma"/>
            <family val="2"/>
          </rPr>
          <t xml:space="preserve">
1 = אלופי צה"ל בסדיר
2 = אלופי צה"ל במיל'
3 = פרופ' למדע המדינה
4 = מנהיגי הליכוד
5 = מנהיגי המערך
6 = הרבנים
7 = דעת הציבור</t>
        </r>
      </text>
    </comment>
    <comment ref="Q53" authorId="0" shapeId="0" xr:uid="{9AFE0CF6-6B99-402C-A701-003C79B0B3E3}">
      <text>
        <r>
          <rPr>
            <b/>
            <sz val="9"/>
            <color indexed="81"/>
            <rFont val="Tahoma"/>
            <charset val="177"/>
          </rPr>
          <t>יניב שפירא:</t>
        </r>
        <r>
          <rPr>
            <sz val="9"/>
            <color indexed="81"/>
            <rFont val="Tahoma"/>
            <charset val="177"/>
          </rPr>
          <t xml:space="preserve">
1 = אפשר לחסל את הטרור
2 = אפשר להקטין את היקפו אך לא לחסלו
3 = לפעילות צבאית אין השפעה על היקף הטרור
4 = פעילות צבאית רק תגרום להחרפת הפיגועים נגדנו</t>
        </r>
      </text>
    </comment>
    <comment ref="Q54" authorId="0" shapeId="0" xr:uid="{43FCAC60-0901-4982-B5C3-C05AB0497C3B}">
      <text>
        <r>
          <rPr>
            <b/>
            <sz val="9"/>
            <color indexed="81"/>
            <rFont val="Tahoma"/>
            <charset val="177"/>
          </rPr>
          <t>יניב שפירא:</t>
        </r>
        <r>
          <rPr>
            <sz val="9"/>
            <color indexed="81"/>
            <rFont val="Tahoma"/>
            <charset val="177"/>
          </rPr>
          <t xml:space="preserve">
1 = מלחמה יזומה על ידנו לפגיעה במחבלים בבסיסיהם
2 = מלחמה בעלת אופי הגנתי, פעולות מניעה
3 = מלחמה בעלת אופי תגובתי - יציאה לפעולות תגמול בעקבות פיגועים</t>
        </r>
      </text>
    </comment>
    <comment ref="Q55" authorId="0" shapeId="0" xr:uid="{CD3DFE58-DE39-4BF8-BFB0-B43CCD55C4A7}">
      <text>
        <r>
          <rPr>
            <b/>
            <sz val="9"/>
            <color indexed="81"/>
            <rFont val="Tahoma"/>
            <charset val="177"/>
          </rPr>
          <t>יניב שפירא:</t>
        </r>
        <r>
          <rPr>
            <sz val="9"/>
            <color indexed="81"/>
            <rFont val="Tahoma"/>
            <charset val="177"/>
          </rPr>
          <t xml:space="preserve">
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r>
      </text>
    </comment>
    <comment ref="Q56" authorId="0" shapeId="0" xr:uid="{DC7B27F0-0DB9-45CC-8C63-35C0D1B690EF}">
      <text>
        <r>
          <rPr>
            <b/>
            <sz val="9"/>
            <color indexed="81"/>
            <rFont val="Tahoma"/>
            <charset val="177"/>
          </rPr>
          <t>יניב שפירא:</t>
        </r>
        <r>
          <rPr>
            <sz val="9"/>
            <color indexed="81"/>
            <rFont val="Tahoma"/>
            <charset val="177"/>
          </rPr>
          <t xml:space="preserve">
1 = כדאי
2 = לא כדאי</t>
        </r>
      </text>
    </comment>
    <comment ref="Q57" authorId="0" shapeId="0" xr:uid="{724F670D-EA02-49B4-84B3-91BC1ABAF444}">
      <text>
        <r>
          <rPr>
            <b/>
            <sz val="9"/>
            <color indexed="81"/>
            <rFont val="Tahoma"/>
            <family val="2"/>
          </rPr>
          <t>יניב שפירא:</t>
        </r>
        <r>
          <rPr>
            <sz val="9"/>
            <color indexed="81"/>
            <rFont val="Tahoma"/>
            <family val="2"/>
          </rPr>
          <t xml:space="preserve">
1 = תומך בהחלט
2 = תומך
3 = מתנגד
4 = מתנגד בהחלט</t>
        </r>
      </text>
    </comment>
    <comment ref="Q63" authorId="0" shapeId="0" xr:uid="{DFF55314-360F-40FC-AC61-485C05E0C40E}">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Q64" authorId="0" shapeId="0" xr:uid="{DBA70C70-399E-47C6-8248-AF95E0BD9F2E}">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Q65" authorId="0" shapeId="0" xr:uid="{9DA66C2F-F2A7-4E76-B09A-FF25237854E9}">
      <text>
        <r>
          <rPr>
            <b/>
            <sz val="9"/>
            <color indexed="81"/>
            <rFont val="Tahoma"/>
            <family val="2"/>
          </rPr>
          <t>יניב שפירא:</t>
        </r>
        <r>
          <rPr>
            <sz val="9"/>
            <color indexed="81"/>
            <rFont val="Tahoma"/>
            <family val="2"/>
          </rPr>
          <t xml:space="preserve">
1 = מוצדק בהחלט
2 = מוצדק
3 = לא מוצדק
4 = כלל לא מוצדק</t>
        </r>
      </text>
    </comment>
    <comment ref="Q75" authorId="0" shapeId="0" xr:uid="{12DD01CE-5EE6-4394-924F-D6596DE9A031}">
      <text>
        <r>
          <rPr>
            <b/>
            <sz val="9"/>
            <color indexed="81"/>
            <rFont val="Tahoma"/>
            <family val="2"/>
          </rPr>
          <t>יניב שפירא:</t>
        </r>
        <r>
          <rPr>
            <sz val="9"/>
            <color indexed="81"/>
            <rFont val="Tahoma"/>
            <family val="2"/>
          </rPr>
          <t xml:space="preserve">
1 = כן
2 = לא</t>
        </r>
      </text>
    </comment>
    <comment ref="Q76" authorId="0" shapeId="0" xr:uid="{2616F474-D3A6-42E3-8B8C-BDDB0851E6CD}">
      <text>
        <r>
          <rPr>
            <b/>
            <sz val="9"/>
            <color indexed="81"/>
            <rFont val="Tahoma"/>
            <family val="2"/>
          </rPr>
          <t>יניב שפירא:</t>
        </r>
        <r>
          <rPr>
            <sz val="9"/>
            <color indexed="81"/>
            <rFont val="Tahoma"/>
            <family val="2"/>
          </rPr>
          <t xml:space="preserve">
1 = יש תנאים בהם מוצדק להשתמש
2 = בשום תנאי אין להשתמש</t>
        </r>
      </text>
    </comment>
    <comment ref="A79" authorId="0" shapeId="0" xr:uid="{69166011-AA25-4623-9312-4876E4A5185A}">
      <text>
        <r>
          <rPr>
            <b/>
            <sz val="9"/>
            <color indexed="81"/>
            <rFont val="Tahoma"/>
            <family val="2"/>
          </rPr>
          <t>יניב שפירא:</t>
        </r>
        <r>
          <rPr>
            <sz val="9"/>
            <color indexed="81"/>
            <rFont val="Tahoma"/>
            <family val="2"/>
          </rPr>
          <t xml:space="preserve">
רק למי שענה "1" בשאלה v49</t>
        </r>
      </text>
    </comment>
    <comment ref="Q79" authorId="0" shapeId="0" xr:uid="{E33644B1-885A-4C1B-8E3F-044012F97C32}">
      <text>
        <r>
          <rPr>
            <b/>
            <sz val="9"/>
            <color indexed="81"/>
            <rFont val="Tahoma"/>
            <family val="2"/>
          </rPr>
          <t>יניב שפירא:</t>
        </r>
        <r>
          <rPr>
            <sz val="9"/>
            <color indexed="81"/>
            <rFont val="Tahoma"/>
            <family val="2"/>
          </rPr>
          <t xml:space="preserve">
1 = מוצדק בהחלט
2 = מוצדק
3 = לא מוצדק
4 = כלל לא מוצדק</t>
        </r>
      </text>
    </comment>
    <comment ref="Q84" authorId="0" shapeId="0" xr:uid="{DB4D0869-4679-4D7B-BF6B-A789F92F94C9}">
      <text>
        <r>
          <rPr>
            <b/>
            <sz val="9"/>
            <color indexed="81"/>
            <rFont val="Tahoma"/>
            <family val="2"/>
          </rPr>
          <t>יניב שפירא:</t>
        </r>
        <r>
          <rPr>
            <sz val="9"/>
            <color indexed="81"/>
            <rFont val="Tahoma"/>
            <family val="2"/>
          </rPr>
          <t xml:space="preserve">
1 = בטוח שיש
2 = חושב שיש
3 = חושב שאין
4 = בטוח שאין</t>
        </r>
      </text>
    </comment>
    <comment ref="Q85" authorId="0" shapeId="0" xr:uid="{26D8D846-B918-4C59-A762-C29215D3766D}">
      <text>
        <r>
          <rPr>
            <b/>
            <sz val="9"/>
            <color indexed="81"/>
            <rFont val="Tahoma"/>
            <family val="2"/>
          </rPr>
          <t>יניב שפירא:</t>
        </r>
        <r>
          <rPr>
            <sz val="9"/>
            <color indexed="81"/>
            <rFont val="Tahoma"/>
            <family val="2"/>
          </rPr>
          <t xml:space="preserve">
1 = לשמור בסוד
2 = להצהיר בגלוי</t>
        </r>
      </text>
    </comment>
    <comment ref="Q86" authorId="0" shapeId="0" xr:uid="{8F635F25-1BD4-47BA-9409-258723C74E2A}">
      <text>
        <r>
          <rPr>
            <b/>
            <sz val="9"/>
            <color indexed="81"/>
            <rFont val="Tahoma"/>
            <family val="2"/>
          </rPr>
          <t>יניב שפירא:</t>
        </r>
        <r>
          <rPr>
            <sz val="9"/>
            <color indexed="81"/>
            <rFont val="Tahoma"/>
            <family val="2"/>
          </rPr>
          <t xml:space="preserve">
1 = מסכים בהחלט
2 = מסכים
3 = לא מסכים
4 = בהחלט לא מסכים</t>
        </r>
      </text>
    </comment>
    <comment ref="Q89" authorId="0" shapeId="0" xr:uid="{7AEA9734-4317-42A9-A7DB-4080A0B45464}">
      <text>
        <r>
          <rPr>
            <b/>
            <sz val="9"/>
            <color indexed="81"/>
            <rFont val="Tahoma"/>
            <family val="2"/>
          </rPr>
          <t>יניב שפירא:</t>
        </r>
        <r>
          <rPr>
            <sz val="9"/>
            <color indexed="81"/>
            <rFont val="Tahoma"/>
            <family val="2"/>
          </rPr>
          <t xml:space="preserve">
1 = סוריה
2 = אש"ף
3 = ירדן
4 = השיעים בלבנון
5 = לוב
6 = מצרים
7 = עיראק
8 = איראן
9 = סעודיה</t>
        </r>
      </text>
    </comment>
    <comment ref="Q91" authorId="0" shapeId="0" xr:uid="{67382D2B-6FC8-41BF-90F4-951D3B84FC80}">
      <text>
        <r>
          <rPr>
            <b/>
            <sz val="9"/>
            <color indexed="81"/>
            <rFont val="Tahoma"/>
            <family val="2"/>
          </rPr>
          <t>יניב שפירא:</t>
        </r>
        <r>
          <rPr>
            <sz val="9"/>
            <color indexed="81"/>
            <rFont val="Tahoma"/>
            <family val="2"/>
          </rPr>
          <t xml:space="preserve">
1 = גבוהה
2 = בינונית
3 = נמוכה
4 = אפסית</t>
        </r>
      </text>
    </comment>
    <comment ref="Q92" authorId="0" shapeId="0" xr:uid="{1DCAECF2-0F4F-4C4F-BEF8-A7270EF274AB}">
      <text>
        <r>
          <rPr>
            <b/>
            <sz val="9"/>
            <color indexed="81"/>
            <rFont val="Tahoma"/>
            <family val="2"/>
          </rPr>
          <t>יניב שפירא:</t>
        </r>
        <r>
          <rPr>
            <sz val="9"/>
            <color indexed="81"/>
            <rFont val="Tahoma"/>
            <family val="2"/>
          </rPr>
          <t xml:space="preserve">
1 = תמיד רציונאלית
2 = בדר"כ רציונאלית
3 = לפעמים כך ולפעמים כך
4 = בדר"כ לא רציונאלית
5 = תמיד לא רציונאלית</t>
        </r>
      </text>
    </comment>
    <comment ref="Q93" authorId="0" shapeId="0" xr:uid="{8E598A77-44B0-4719-8BDD-6B4C5B94CE0D}">
      <text>
        <r>
          <rPr>
            <b/>
            <sz val="9"/>
            <color indexed="81"/>
            <rFont val="Tahoma"/>
            <family val="2"/>
          </rPr>
          <t>יניב שפירא:</t>
        </r>
        <r>
          <rPr>
            <sz val="9"/>
            <color indexed="81"/>
            <rFont val="Tahoma"/>
            <family val="2"/>
          </rPr>
          <t xml:space="preserve">
1 = תמיד רציונאלית
2 = בדר"כ רציונאלית
3 = לפעמים כך ולפעמים כך
4 = בדר"כ לא רציונאלית
5 = תמיד לא רציונאלית</t>
        </r>
      </text>
    </comment>
    <comment ref="Q94" authorId="0" shapeId="0" xr:uid="{4861CB7A-D743-47CB-AD46-20F758BD250C}">
      <text>
        <r>
          <rPr>
            <b/>
            <sz val="9"/>
            <color indexed="81"/>
            <rFont val="Tahoma"/>
            <family val="2"/>
          </rPr>
          <t>יניב שפירא:</t>
        </r>
        <r>
          <rPr>
            <sz val="9"/>
            <color indexed="81"/>
            <rFont val="Tahoma"/>
            <family val="2"/>
          </rPr>
          <t xml:space="preserve">
1 = מהווה סיבה
2 = לא מהווה סיבה</t>
        </r>
      </text>
    </comment>
    <comment ref="Q102" authorId="0" shapeId="0" xr:uid="{FE331E64-D040-448F-8C4D-2491D9E2DF37}">
      <text>
        <r>
          <rPr>
            <b/>
            <sz val="9"/>
            <color indexed="81"/>
            <rFont val="Tahoma"/>
            <family val="2"/>
          </rPr>
          <t>יניב שפירא:</t>
        </r>
        <r>
          <rPr>
            <sz val="9"/>
            <color indexed="81"/>
            <rFont val="Tahoma"/>
            <family val="2"/>
          </rPr>
          <t xml:space="preserve">
1 = מוכן
2 = לא מוכן</t>
        </r>
      </text>
    </comment>
    <comment ref="Q103" authorId="0" shapeId="0" xr:uid="{15195D73-9541-430B-A74F-F7E9CD1BC22E}">
      <text>
        <r>
          <rPr>
            <b/>
            <sz val="9"/>
            <color indexed="81"/>
            <rFont val="Tahoma"/>
            <family val="2"/>
          </rPr>
          <t>יניב שפירא:</t>
        </r>
        <r>
          <rPr>
            <sz val="9"/>
            <color indexed="81"/>
            <rFont val="Tahoma"/>
            <family val="2"/>
          </rPr>
          <t xml:space="preserve">
1 = מוכן
2 = לא מוכן</t>
        </r>
      </text>
    </comment>
    <comment ref="Q104" authorId="0" shapeId="0" xr:uid="{E2CAA5C9-80BD-45F9-8A14-BCC052DD1C4D}">
      <text>
        <r>
          <rPr>
            <b/>
            <sz val="9"/>
            <color indexed="81"/>
            <rFont val="Tahoma"/>
            <family val="2"/>
          </rPr>
          <t>יניב שפירא:</t>
        </r>
        <r>
          <rPr>
            <sz val="9"/>
            <color indexed="81"/>
            <rFont val="Tahoma"/>
            <family val="2"/>
          </rPr>
          <t xml:space="preserve">
1 = חלה שחיקה משמעותית
2  = חלה שחיקה מסוימת
3 = לא חל שינוי
4 = התחזקות מסוימת
5 = התחזקות משמעותית</t>
        </r>
      </text>
    </comment>
    <comment ref="Q105" authorId="0" shapeId="0" xr:uid="{E735CD1E-1241-46D6-82F8-63CC32A01BDC}">
      <text>
        <r>
          <rPr>
            <b/>
            <sz val="9"/>
            <color indexed="81"/>
            <rFont val="Tahoma"/>
            <family val="2"/>
          </rPr>
          <t>יניב שפירא:</t>
        </r>
        <r>
          <rPr>
            <sz val="9"/>
            <color indexed="81"/>
            <rFont val="Tahoma"/>
            <family val="2"/>
          </rPr>
          <t xml:space="preserve">
1 = הממשלה
2 = הכנסת
3 = הצבא
4 = תעשייה צבאית\אווירית
5 = אחר</t>
        </r>
      </text>
    </comment>
    <comment ref="Q106" authorId="0" shapeId="0" xr:uid="{4A3A2856-5C38-4E52-808F-C4128611C063}">
      <text>
        <r>
          <rPr>
            <b/>
            <sz val="9"/>
            <color indexed="81"/>
            <rFont val="Tahoma"/>
            <family val="2"/>
          </rPr>
          <t>יניב שפירא:</t>
        </r>
        <r>
          <rPr>
            <sz val="9"/>
            <color indexed="81"/>
            <rFont val="Tahoma"/>
            <family val="2"/>
          </rPr>
          <t xml:space="preserve">
1 = בהחלט בעד
2 = בעד
3 = נגד
4 = בהחלט נגד</t>
        </r>
      </text>
    </comment>
    <comment ref="Q107" authorId="0" shapeId="0" xr:uid="{ACC61878-F8CB-4BD8-B44B-A749F9CB0FB4}">
      <text>
        <r>
          <rPr>
            <b/>
            <sz val="9"/>
            <color indexed="81"/>
            <rFont val="Tahoma"/>
            <family val="2"/>
          </rPr>
          <t>יניב שפירא:</t>
        </r>
        <r>
          <rPr>
            <sz val="9"/>
            <color indexed="81"/>
            <rFont val="Tahoma"/>
            <family val="2"/>
          </rPr>
          <t xml:space="preserve">
1 = שיקולים עניינים בלבד
2 = גם משיקולים אחרים</t>
        </r>
      </text>
    </comment>
    <comment ref="Q108" authorId="0" shapeId="0" xr:uid="{06BF418C-5D39-490E-BA9D-4BC56DFAD718}">
      <text>
        <r>
          <rPr>
            <b/>
            <sz val="9"/>
            <color indexed="81"/>
            <rFont val="Tahoma"/>
            <family val="2"/>
          </rPr>
          <t>יניב שפירא:</t>
        </r>
        <r>
          <rPr>
            <sz val="9"/>
            <color indexed="81"/>
            <rFont val="Tahoma"/>
            <family val="2"/>
          </rPr>
          <t xml:space="preserve">
1 = רק שיקולים עניינים
2 = שיקולים אחרים</t>
        </r>
      </text>
    </comment>
    <comment ref="Q109" authorId="0" shapeId="0" xr:uid="{699667C2-51E5-4139-B56E-A28918781394}">
      <text>
        <r>
          <rPr>
            <b/>
            <sz val="9"/>
            <color indexed="81"/>
            <rFont val="Tahoma"/>
            <family val="2"/>
          </rPr>
          <t>יניב שפירא:</t>
        </r>
        <r>
          <rPr>
            <sz val="9"/>
            <color indexed="81"/>
            <rFont val="Tahoma"/>
            <family val="2"/>
          </rPr>
          <t xml:space="preserve">
1 = רה"מ
2 = שר הבטחון
3 = הקבינט
4 = מליאת הממשלה
5 = ועדת החוץ והבטחון של הכנסת
6 = המטכ"ל
7 = התקשורת
8 = ארה"ב
9 = העם
10 = אחר</t>
        </r>
      </text>
    </comment>
    <comment ref="Q110" authorId="0" shapeId="0" xr:uid="{49FC7C26-E0C8-475C-9D67-1B4ED461A0A3}">
      <text>
        <r>
          <rPr>
            <b/>
            <sz val="9"/>
            <color indexed="81"/>
            <rFont val="Tahoma"/>
            <charset val="177"/>
          </rPr>
          <t>יניב שפירא:</t>
        </r>
        <r>
          <rPr>
            <sz val="9"/>
            <color indexed="81"/>
            <rFont val="Tahoma"/>
            <charset val="177"/>
          </rPr>
          <t xml:space="preserve">
סולם 1-7
1 = העדפת בטחון על פני כל נושא אחר
7 = בטחון - לא בכל מחיר</t>
        </r>
      </text>
    </comment>
    <comment ref="Q111" authorId="0" shapeId="0" xr:uid="{A07B31CE-88B2-46D4-BE05-2FC3A982E688}">
      <text>
        <r>
          <rPr>
            <b/>
            <sz val="9"/>
            <color indexed="81"/>
            <rFont val="Tahoma"/>
            <family val="2"/>
          </rPr>
          <t>יניב שפירא:</t>
        </r>
        <r>
          <rPr>
            <sz val="9"/>
            <color indexed="81"/>
            <rFont val="Tahoma"/>
            <family val="2"/>
          </rPr>
          <t xml:space="preserve">
1 = מבין במידה רבה מאד
2 = מבין במידה רבה
3 = מבין במידה מסוימת
4 = מבין במידה קטנה
5 = לא מבין כלל</t>
        </r>
      </text>
    </comment>
    <comment ref="Q112" authorId="0" shapeId="0" xr:uid="{F14A83D4-BFE4-4BB5-836A-EA4BF1B925E5}">
      <text>
        <r>
          <rPr>
            <b/>
            <sz val="9"/>
            <color indexed="81"/>
            <rFont val="Tahoma"/>
            <family val="2"/>
          </rPr>
          <t>יניב שפירא:</t>
        </r>
        <r>
          <rPr>
            <sz val="9"/>
            <color indexed="81"/>
            <rFont val="Tahoma"/>
            <family val="2"/>
          </rPr>
          <t xml:space="preserve">
1 = מבין במידה רבה מאד
2 = מבין במידה רבה
3 = מבין במידה מסוימת
4 = מבין במידה קטנה
5 = לא מבין כלל</t>
        </r>
      </text>
    </comment>
    <comment ref="Q113" authorId="0" shapeId="0" xr:uid="{171C866D-7B17-49B7-87E5-725E9E79202E}">
      <text>
        <r>
          <rPr>
            <b/>
            <sz val="9"/>
            <color indexed="81"/>
            <rFont val="Tahoma"/>
            <family val="2"/>
          </rPr>
          <t>יניב שפירא:</t>
        </r>
        <r>
          <rPr>
            <sz val="9"/>
            <color indexed="81"/>
            <rFont val="Tahoma"/>
            <family val="2"/>
          </rPr>
          <t xml:space="preserve">
1 = בהחלט להתחשב
2 = להתחשב
3 = לא להתחשב
4 = בהחלט לא להתחשב</t>
        </r>
      </text>
    </comment>
    <comment ref="Q114" authorId="0" shapeId="0" xr:uid="{C51683BA-ECBD-473F-8FB5-2072B3451EFE}">
      <text>
        <r>
          <rPr>
            <b/>
            <sz val="9"/>
            <color indexed="81"/>
            <rFont val="Tahoma"/>
            <family val="2"/>
          </rPr>
          <t>יניב שפירא:</t>
        </r>
        <r>
          <rPr>
            <sz val="9"/>
            <color indexed="81"/>
            <rFont val="Tahoma"/>
            <family val="2"/>
          </rPr>
          <t xml:space="preserve">
1 = תמיד לתמוך
2 = בדר"כ לתמוך
3 = בדר"כ לא לתמוך
4 = תמיד לא לתמוך</t>
        </r>
      </text>
    </comment>
    <comment ref="Q115" authorId="0" shapeId="0" xr:uid="{10C6CCAD-4D9E-45DE-830B-67CFCEDD11E6}">
      <text>
        <r>
          <rPr>
            <b/>
            <sz val="9"/>
            <color indexed="81"/>
            <rFont val="Tahoma"/>
            <family val="2"/>
          </rPr>
          <t>יניב שפירא:</t>
        </r>
        <r>
          <rPr>
            <sz val="9"/>
            <color indexed="81"/>
            <rFont val="Tahoma"/>
            <family val="2"/>
          </rPr>
          <t xml:space="preserve">
1 = מותר
2 = אסור</t>
        </r>
      </text>
    </comment>
    <comment ref="Q120" authorId="0" shapeId="0" xr:uid="{ABDCFD2A-B86D-46C3-ACCE-5E5EC2463244}">
      <text>
        <r>
          <rPr>
            <b/>
            <sz val="9"/>
            <color indexed="81"/>
            <rFont val="Tahoma"/>
            <family val="2"/>
          </rPr>
          <t>יניב שפירא:</t>
        </r>
        <r>
          <rPr>
            <sz val="9"/>
            <color indexed="81"/>
            <rFont val="Tahoma"/>
            <family val="2"/>
          </rPr>
          <t xml:space="preserve">
1 = אחראית לגמרי
2 = בדר"כ אחראית
3 = בדר"כ לא אחראית
4 = בלתי אחראית לגמרי</t>
        </r>
      </text>
    </comment>
    <comment ref="Q121" authorId="0" shapeId="0" xr:uid="{11BE478C-3108-4469-BC5F-0AC2595EF474}">
      <text>
        <r>
          <rPr>
            <b/>
            <sz val="9"/>
            <color indexed="81"/>
            <rFont val="Tahoma"/>
            <family val="2"/>
          </rPr>
          <t>יניב שפירא:</t>
        </r>
        <r>
          <rPr>
            <sz val="9"/>
            <color indexed="81"/>
            <rFont val="Tahoma"/>
            <family val="2"/>
          </rPr>
          <t xml:space="preserve">
1 = פחות מדי
2 = מתאימה
3 = יותר מדי</t>
        </r>
      </text>
    </comment>
    <comment ref="Q122" authorId="0" shapeId="0" xr:uid="{5FA99927-046D-43AA-AC76-8D65BAAE06B4}">
      <text>
        <r>
          <rPr>
            <b/>
            <sz val="9"/>
            <color indexed="81"/>
            <rFont val="Tahoma"/>
            <family val="2"/>
          </rPr>
          <t>יניב שפירא:</t>
        </r>
        <r>
          <rPr>
            <sz val="9"/>
            <color indexed="81"/>
            <rFont val="Tahoma"/>
            <family val="2"/>
          </rPr>
          <t xml:space="preserve">
1 = סומך בהחלט
2 = סומך
3 = לא סומך
4 = לא סומך כלל</t>
        </r>
      </text>
    </comment>
    <comment ref="Q123" authorId="0" shapeId="0" xr:uid="{67717AFA-ED9D-44A8-A4A3-F1B43CF5F615}">
      <text>
        <r>
          <rPr>
            <b/>
            <sz val="9"/>
            <color indexed="81"/>
            <rFont val="Tahoma"/>
            <family val="2"/>
          </rPr>
          <t>יניב שפירא:</t>
        </r>
        <r>
          <rPr>
            <sz val="9"/>
            <color indexed="81"/>
            <rFont val="Tahoma"/>
            <family val="2"/>
          </rPr>
          <t xml:space="preserve">
1 = טובים מאד
2 = די טובים
3 = בינוניים
4 = די גרועים
5 = גרועים מאד</t>
        </r>
      </text>
    </comment>
    <comment ref="Q124" authorId="0" shapeId="0" xr:uid="{0B010247-2975-433E-B9AB-BDC60AF72391}">
      <text>
        <r>
          <rPr>
            <b/>
            <sz val="9"/>
            <color indexed="81"/>
            <rFont val="Tahoma"/>
            <family val="2"/>
          </rPr>
          <t>יניב שפירא:</t>
        </r>
        <r>
          <rPr>
            <sz val="9"/>
            <color indexed="81"/>
            <rFont val="Tahoma"/>
            <family val="2"/>
          </rPr>
          <t xml:space="preserve">
1 = במידה רבה מאד
2 = במידה  רבה
3 = במידה בינונית
4 = במידה קטנה
5 = לא יכולה בכלל</t>
        </r>
      </text>
    </comment>
    <comment ref="Q125" authorId="0" shapeId="0" xr:uid="{9DCC3E5E-43D1-42B8-9475-15CF297B8C4D}">
      <text>
        <r>
          <rPr>
            <b/>
            <sz val="9"/>
            <color indexed="81"/>
            <rFont val="Tahoma"/>
            <family val="2"/>
          </rPr>
          <t>יניב שפירא:</t>
        </r>
        <r>
          <rPr>
            <sz val="9"/>
            <color indexed="81"/>
            <rFont val="Tahoma"/>
            <family val="2"/>
          </rPr>
          <t xml:space="preserve">
1 = מוצדק בהחלט
2 = מוצדק
3 = לא מוצדק
4 = בהחלט לא מוצדק</t>
        </r>
      </text>
    </comment>
    <comment ref="Q126" authorId="0" shapeId="0" xr:uid="{41F94A3C-BBCD-477F-8D21-EE4972D0FF1B}">
      <text>
        <r>
          <rPr>
            <b/>
            <sz val="9"/>
            <color indexed="81"/>
            <rFont val="Tahoma"/>
            <family val="2"/>
          </rPr>
          <t>יניב שפירא:</t>
        </r>
        <r>
          <rPr>
            <sz val="9"/>
            <color indexed="81"/>
            <rFont val="Tahoma"/>
            <family val="2"/>
          </rPr>
          <t xml:space="preserve">
1 = מוצדק בהחלט
2 = מוצדק
3 = לא מוצדק
4 = בהחלט לא מוצדק</t>
        </r>
      </text>
    </comment>
    <comment ref="Q127" authorId="0" shapeId="0" xr:uid="{10B01F74-742C-4FEC-9E2A-8D0789641D42}">
      <text>
        <r>
          <rPr>
            <b/>
            <sz val="9"/>
            <color indexed="81"/>
            <rFont val="Tahoma"/>
            <family val="2"/>
          </rPr>
          <t>יניב שפירא:</t>
        </r>
        <r>
          <rPr>
            <sz val="9"/>
            <color indexed="81"/>
            <rFont val="Tahoma"/>
            <family val="2"/>
          </rPr>
          <t xml:space="preserve">
סולם 1-7
1 = בטוח שתהיה מלחמה
7 = בטוח שלא תהיה מלחמה</t>
        </r>
      </text>
    </comment>
    <comment ref="R128" authorId="0" shapeId="0" xr:uid="{753ED3B2-3984-447C-BFBB-249E39FA9197}">
      <text>
        <r>
          <rPr>
            <b/>
            <sz val="9"/>
            <color indexed="81"/>
            <rFont val="Tahoma"/>
            <family val="2"/>
          </rPr>
          <t>יניב שפירא:</t>
        </r>
        <r>
          <rPr>
            <sz val="9"/>
            <color indexed="81"/>
            <rFont val="Tahoma"/>
            <family val="2"/>
          </rPr>
          <t xml:space="preserve">
1 = בעד ניתוק היחסים
2 = נגד ניתוק היחסים</t>
        </r>
      </text>
    </comment>
    <comment ref="V131" authorId="0" shapeId="0" xr:uid="{4B38F92E-FA12-40E2-B30A-2EF811A818EF}">
      <text>
        <r>
          <rPr>
            <b/>
            <sz val="9"/>
            <color indexed="81"/>
            <rFont val="Tahoma"/>
            <charset val="177"/>
          </rPr>
          <t>יניב שפירא:</t>
        </r>
        <r>
          <rPr>
            <sz val="9"/>
            <color indexed="81"/>
            <rFont val="Tahoma"/>
            <charset val="177"/>
          </rPr>
          <t xml:space="preserve">
1 = טובה מאד
2 = טובה
3 = לא כ"כ טובה
4 = לא טובה
5 = לא טובה כלל</t>
        </r>
      </text>
    </comment>
    <comment ref="V132" authorId="0" shapeId="0" xr:uid="{43ACAF48-EE44-4074-AC4D-0822699ECC13}">
      <text>
        <r>
          <rPr>
            <b/>
            <sz val="9"/>
            <color indexed="81"/>
            <rFont val="Tahoma"/>
            <charset val="177"/>
          </rPr>
          <t>יניב שפירא:</t>
        </r>
        <r>
          <rPr>
            <sz val="9"/>
            <color indexed="81"/>
            <rFont val="Tahoma"/>
            <charset val="177"/>
          </rPr>
          <t xml:space="preserve">
1 = בהחלט יש לקצץ
2 = יש לקצץ
3 = אולי יש לקצץ
4 = אולי אין לקצץ
5 = אין לקצץ
6 = בהחלט אין לקצץ</t>
        </r>
      </text>
    </comment>
    <comment ref="AC133" authorId="0" shapeId="0" xr:uid="{B299A6C6-27C1-4F24-86AB-29DCEB528DB7}">
      <text>
        <r>
          <rPr>
            <b/>
            <sz val="9"/>
            <color indexed="81"/>
            <rFont val="Tahoma"/>
            <charset val="177"/>
          </rPr>
          <t>יניב שפירא:</t>
        </r>
        <r>
          <rPr>
            <sz val="9"/>
            <color indexed="81"/>
            <rFont val="Tahoma"/>
            <charset val="177"/>
          </rPr>
          <t xml:space="preserve">
1 = בטוח שכן
2 = חושב שכן
3 = חושב שלא
4 = בטוח שלא</t>
        </r>
      </text>
    </comment>
    <comment ref="AD134" authorId="0" shapeId="0" xr:uid="{7FB96C43-3A87-4CF7-BB74-798C54EAB7DD}">
      <text>
        <r>
          <rPr>
            <b/>
            <sz val="9"/>
            <color indexed="81"/>
            <rFont val="Tahoma"/>
            <family val="2"/>
          </rPr>
          <t>יניב שפירא:</t>
        </r>
        <r>
          <rPr>
            <sz val="9"/>
            <color indexed="81"/>
            <rFont val="Tahoma"/>
            <family val="2"/>
          </rPr>
          <t xml:space="preserve">
1 = בהחלט מוצדקת
2 = מוצדקת
3 = לא כ"כ מוצדקת
4 = כלל לא מוצדקת</t>
        </r>
      </text>
    </comment>
    <comment ref="AD135" authorId="0" shapeId="0" xr:uid="{269BB39C-D47B-47D4-A13D-A3E9A0095D92}">
      <text>
        <r>
          <rPr>
            <b/>
            <sz val="9"/>
            <color indexed="81"/>
            <rFont val="Tahoma"/>
            <family val="2"/>
          </rPr>
          <t>יניב שפירא:</t>
        </r>
        <r>
          <rPr>
            <sz val="9"/>
            <color indexed="81"/>
            <rFont val="Tahoma"/>
            <family val="2"/>
          </rPr>
          <t xml:space="preserve">
1 = נכונות גבוהה מאוד
2 = נכונות גבוהה
3 = נכונות נמוכה
4 = נכונות נמוכה מאוד</t>
        </r>
      </text>
    </comment>
    <comment ref="AE136" authorId="0" shapeId="0" xr:uid="{0CBB405D-746D-4CCE-A6B8-5FCF3F889E75}">
      <text>
        <r>
          <rPr>
            <b/>
            <sz val="9"/>
            <color indexed="81"/>
            <rFont val="Tahoma"/>
            <charset val="177"/>
          </rPr>
          <t>יניב שפירא:</t>
        </r>
        <r>
          <rPr>
            <sz val="9"/>
            <color indexed="81"/>
            <rFont val="Tahoma"/>
            <charset val="177"/>
          </rPr>
          <t xml:space="preserve">
1 = שינוי לטובה
2 = המצב ישאר כמו שהוא
3 = שינוי לרעה</t>
        </r>
      </text>
    </comment>
    <comment ref="R137" authorId="0" shapeId="0" xr:uid="{DB935ED1-8789-4F03-A63B-F52AEF145E28}">
      <text>
        <r>
          <rPr>
            <b/>
            <sz val="9"/>
            <color indexed="81"/>
            <rFont val="Tahoma"/>
            <family val="2"/>
          </rPr>
          <t>יניב שפירא:</t>
        </r>
        <r>
          <rPr>
            <sz val="9"/>
            <color indexed="81"/>
            <rFont val="Tahoma"/>
            <family val="2"/>
          </rPr>
          <t xml:space="preserve">
1 = השתפר
2 = לא השתנה
3 = הורע</t>
        </r>
      </text>
    </comment>
    <comment ref="R138" authorId="0" shapeId="0" xr:uid="{0BDC15B8-3A0E-4ED3-B9C4-92ADE7DCE69A}">
      <text>
        <r>
          <rPr>
            <b/>
            <sz val="9"/>
            <color indexed="81"/>
            <rFont val="Tahoma"/>
            <family val="2"/>
          </rPr>
          <t>יניב שפירא:</t>
        </r>
        <r>
          <rPr>
            <sz val="9"/>
            <color indexed="81"/>
            <rFont val="Tahoma"/>
            <family val="2"/>
          </rPr>
          <t xml:space="preserve">
1 = השתפר
2 = לא השתנה
3 = הורע</t>
        </r>
      </text>
    </comment>
    <comment ref="R139" authorId="0" shapeId="0" xr:uid="{06452272-767D-45B7-A1BC-CF59C792C774}">
      <text>
        <r>
          <rPr>
            <b/>
            <sz val="9"/>
            <color indexed="81"/>
            <rFont val="Tahoma"/>
            <family val="2"/>
          </rPr>
          <t>יניב שפירא:</t>
        </r>
        <r>
          <rPr>
            <sz val="9"/>
            <color indexed="81"/>
            <rFont val="Tahoma"/>
            <family val="2"/>
          </rPr>
          <t xml:space="preserve">
1 = התגברה
2 = לא השתנתה
3 = הצטמצמה</t>
        </r>
      </text>
    </comment>
    <comment ref="R140" authorId="0" shapeId="0" xr:uid="{625EDE10-6B6B-4B94-A88D-E063361337A4}">
      <text>
        <r>
          <rPr>
            <b/>
            <sz val="9"/>
            <color indexed="81"/>
            <rFont val="Tahoma"/>
            <family val="2"/>
          </rPr>
          <t>יניב שפירא:</t>
        </r>
        <r>
          <rPr>
            <sz val="9"/>
            <color indexed="81"/>
            <rFont val="Tahoma"/>
            <family val="2"/>
          </rPr>
          <t xml:space="preserve">
1 = גבר
2 = לא השתנה
3 = פחת</t>
        </r>
      </text>
    </comment>
    <comment ref="R141" authorId="0" shapeId="0" xr:uid="{3FA1A890-F39D-4290-B5F7-2DFFB03D0345}">
      <text>
        <r>
          <rPr>
            <b/>
            <sz val="9"/>
            <color indexed="81"/>
            <rFont val="Tahoma"/>
            <family val="2"/>
          </rPr>
          <t>יניב שפירא:</t>
        </r>
        <r>
          <rPr>
            <sz val="9"/>
            <color indexed="81"/>
            <rFont val="Tahoma"/>
            <family val="2"/>
          </rPr>
          <t xml:space="preserve">
1 = נעשה יותר חיובי
2 = לא השתנה
3 = נעשה יותר שלילי</t>
        </r>
      </text>
    </comment>
    <comment ref="AI142" authorId="0" shapeId="0" xr:uid="{46BB8AEF-A2D0-4BE5-A79E-AAD10E14C27F}">
      <text>
        <r>
          <rPr>
            <b/>
            <sz val="9"/>
            <color indexed="81"/>
            <rFont val="Tahoma"/>
            <family val="2"/>
          </rPr>
          <t>יניב שפירא:</t>
        </r>
        <r>
          <rPr>
            <sz val="9"/>
            <color indexed="81"/>
            <rFont val="Tahoma"/>
            <family val="2"/>
          </rPr>
          <t xml:space="preserve">
1 = מסכים בהחלט
2 = מסכים
3 = מסתייג
4 = מסתייג בהחלט</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X1" authorId="0" shapeId="0" xr:uid="{CBD6EBEF-47A5-42ED-808D-1055CD5C5FFA}">
      <text>
        <r>
          <rPr>
            <b/>
            <sz val="9"/>
            <color indexed="81"/>
            <rFont val="Tahoma"/>
            <charset val="177"/>
          </rPr>
          <t>יניב שפירא:</t>
        </r>
        <r>
          <rPr>
            <sz val="9"/>
            <color indexed="81"/>
            <rFont val="Tahoma"/>
            <charset val="177"/>
          </rPr>
          <t xml:space="preserve">
post election</t>
        </r>
      </text>
    </comment>
    <comment ref="AB1" authorId="0" shapeId="0" xr:uid="{24D849AF-4B4A-4145-8095-19D534ACA7F7}">
      <text>
        <r>
          <rPr>
            <b/>
            <sz val="9"/>
            <color indexed="81"/>
            <rFont val="Tahoma"/>
            <charset val="177"/>
          </rPr>
          <t>יניב שפירא:</t>
        </r>
        <r>
          <rPr>
            <sz val="9"/>
            <color indexed="81"/>
            <rFont val="Tahoma"/>
            <charset val="177"/>
          </rPr>
          <t xml:space="preserve">
post Kippur + post election</t>
        </r>
      </text>
    </comment>
    <comment ref="AC1" authorId="0" shapeId="0" xr:uid="{FAC357FC-EC28-4384-A4AA-751242B7775B}">
      <text>
        <r>
          <rPr>
            <b/>
            <sz val="9"/>
            <color indexed="81"/>
            <rFont val="Tahoma"/>
            <charset val="177"/>
          </rPr>
          <t>יניב שפירא:</t>
        </r>
        <r>
          <rPr>
            <sz val="9"/>
            <color indexed="81"/>
            <rFont val="Tahoma"/>
            <charset val="177"/>
          </rPr>
          <t xml:space="preserve">
post Kippur</t>
        </r>
      </text>
    </comment>
    <comment ref="AD1" authorId="0" shapeId="0" xr:uid="{86113EA8-2A89-44B1-9A13-16AC4C94DDFA}">
      <text>
        <r>
          <rPr>
            <b/>
            <sz val="9"/>
            <color indexed="81"/>
            <rFont val="Tahoma"/>
            <charset val="177"/>
          </rPr>
          <t>יניב שפירא:</t>
        </r>
        <r>
          <rPr>
            <sz val="9"/>
            <color indexed="81"/>
            <rFont val="Tahoma"/>
            <charset val="177"/>
          </rPr>
          <t xml:space="preserve">
post Kippur</t>
        </r>
      </text>
    </comment>
    <comment ref="AG1" authorId="0" shapeId="0" xr:uid="{3A5DB366-1008-4C6B-8465-9910C598572F}">
      <text>
        <r>
          <rPr>
            <b/>
            <sz val="9"/>
            <color indexed="81"/>
            <rFont val="Tahoma"/>
            <charset val="177"/>
          </rPr>
          <t>יניב שפירא:</t>
        </r>
        <r>
          <rPr>
            <sz val="9"/>
            <color indexed="81"/>
            <rFont val="Tahoma"/>
            <charset val="177"/>
          </rPr>
          <t xml:space="preserve">
pre + post election</t>
        </r>
      </text>
    </comment>
    <comment ref="A2" authorId="0" shapeId="0" xr:uid="{F0E836D1-832A-4137-B0D9-885ACC916279}">
      <text>
        <r>
          <rPr>
            <b/>
            <sz val="9"/>
            <color indexed="81"/>
            <rFont val="Tahoma"/>
            <family val="2"/>
          </rPr>
          <t>יניב שפירא:</t>
        </r>
        <r>
          <rPr>
            <sz val="9"/>
            <color indexed="81"/>
            <rFont val="Tahoma"/>
            <family val="2"/>
          </rPr>
          <t xml:space="preserve">
רק יהודים למעט 2022</t>
        </r>
      </text>
    </comment>
    <comment ref="C2" authorId="1" shapeId="0" xr:uid="{5BCF59A0-2D57-4456-8309-1315AFDEF85F}">
      <text>
        <r>
          <rPr>
            <b/>
            <sz val="9"/>
            <color indexed="81"/>
            <rFont val="Tahoma"/>
          </rPr>
          <t>adi:</t>
        </r>
        <r>
          <rPr>
            <sz val="9"/>
            <color indexed="81"/>
            <rFont val="Tahoma"/>
          </rPr>
          <t xml:space="preserve">
יהודים וערבים
1 = בטוח/ה שכן
2 = חושב/ת שכן
3 = חושב/ת שלא
4 = בטוח/ה שלא</t>
        </r>
      </text>
    </comment>
    <comment ref="E2" authorId="0" shapeId="0" xr:uid="{C2F08776-3960-4B34-9186-2ADF914099EE}">
      <text>
        <r>
          <rPr>
            <b/>
            <sz val="9"/>
            <color indexed="81"/>
            <rFont val="Tahoma"/>
            <charset val="177"/>
          </rPr>
          <t>יניב שפירא:</t>
        </r>
        <r>
          <rPr>
            <sz val="9"/>
            <color indexed="81"/>
            <rFont val="Tahoma"/>
            <charset val="177"/>
          </rPr>
          <t xml:space="preserve">
1 = בהחלט ניתן להגיע להסכם שלום עם הפלסטינים
2 = כנראה שניתן
3 = כנראה שלא ניתן
4 = בהחלט לא ניתן</t>
        </r>
      </text>
    </comment>
    <comment ref="I2" authorId="0" shapeId="0" xr:uid="{1D1483A1-5672-4475-B0EC-DA60592AE8C3}">
      <text>
        <r>
          <rPr>
            <b/>
            <sz val="9"/>
            <color indexed="81"/>
            <rFont val="Tahoma"/>
            <family val="2"/>
          </rPr>
          <t>יניב שפירא:</t>
        </r>
        <r>
          <rPr>
            <sz val="9"/>
            <color indexed="81"/>
            <rFont val="Tahoma"/>
            <family val="2"/>
          </rPr>
          <t xml:space="preserve">
1 = בטוח שכן
2 = חושב שכן
3 = חושב שלא
4 = בטוח שלא</t>
        </r>
      </text>
    </comment>
    <comment ref="O4" authorId="0" shapeId="0" xr:uid="{47E7C0C9-6293-4877-84D6-6783A4FC473A}">
      <text>
        <r>
          <rPr>
            <b/>
            <sz val="9"/>
            <color indexed="81"/>
            <rFont val="Tahoma"/>
            <family val="2"/>
          </rPr>
          <t>יניב שפירא:</t>
        </r>
        <r>
          <rPr>
            <sz val="9"/>
            <color indexed="81"/>
            <rFont val="Tahoma"/>
            <family val="2"/>
          </rPr>
          <t xml:space="preserve">
1 = העבודה
2 = הליכוד
3 = מפלגה אחרת</t>
        </r>
      </text>
    </comment>
    <comment ref="E7" authorId="0" shapeId="0" xr:uid="{27A4CD21-E319-47A5-8C2D-A8A7A5110759}">
      <text>
        <r>
          <rPr>
            <b/>
            <sz val="9"/>
            <color indexed="81"/>
            <rFont val="Tahoma"/>
            <charset val="177"/>
          </rPr>
          <t>יניב שפירא:</t>
        </r>
        <r>
          <rPr>
            <sz val="9"/>
            <color indexed="81"/>
            <rFont val="Tahoma"/>
            <charset val="177"/>
          </rPr>
          <t xml:space="preserve">
1 = להתרכז בשיחות שלום
2 = להגביר את עוצמתה הצבאית</t>
        </r>
      </text>
    </comment>
    <comment ref="A8" authorId="0" shapeId="0" xr:uid="{2F319CD6-DC46-40C1-BF73-1EC9B938BC5B}">
      <text>
        <r>
          <rPr>
            <b/>
            <sz val="9"/>
            <color indexed="81"/>
            <rFont val="Tahoma"/>
            <family val="2"/>
          </rPr>
          <t>יניב שפירא:</t>
        </r>
        <r>
          <rPr>
            <sz val="9"/>
            <color indexed="81"/>
            <rFont val="Tahoma"/>
            <family val="2"/>
          </rPr>
          <t xml:space="preserve">
בערבית נוסח אחר:
"האם אתה תומך בהקמת מדינה..."
התשובות בהתאם: במקום 'מסכים' כתוב 'תומך'</t>
        </r>
      </text>
    </comment>
    <comment ref="E8" authorId="0" shapeId="0" xr:uid="{1A490D75-A5FC-4CBE-863D-4293EA841FC7}">
      <text>
        <r>
          <rPr>
            <b/>
            <sz val="9"/>
            <color indexed="81"/>
            <rFont val="Tahoma"/>
            <family val="2"/>
          </rPr>
          <t>יניב שפירא:</t>
        </r>
        <r>
          <rPr>
            <sz val="9"/>
            <color indexed="81"/>
            <rFont val="Tahoma"/>
            <family val="2"/>
          </rPr>
          <t xml:space="preserve">
1 = בהחלט צריכה להסכים
2 = כנראה שצריכה להסכים
3 = כנראה שלא צריכה להסכים
4 = בהחלט לא צריכה להסכים</t>
        </r>
      </text>
    </comment>
    <comment ref="P8" authorId="0" shapeId="0" xr:uid="{B747D01B-D1BA-4FA4-9F50-17988D0DA93E}">
      <text>
        <r>
          <rPr>
            <b/>
            <sz val="9"/>
            <color indexed="81"/>
            <rFont val="Tahoma"/>
            <family val="2"/>
          </rPr>
          <t>יניב שפירא:</t>
        </r>
        <r>
          <rPr>
            <sz val="9"/>
            <color indexed="81"/>
            <rFont val="Tahoma"/>
            <family val="2"/>
          </rPr>
          <t xml:space="preserve">
הניסוח הוא:
"אוטונומיה פלסטינית"</t>
        </r>
      </text>
    </comment>
    <comment ref="C9" authorId="1" shapeId="0" xr:uid="{838C860D-8FB7-4E01-A6BA-FC9C2F2B8091}">
      <text>
        <r>
          <rPr>
            <b/>
            <sz val="9"/>
            <color indexed="81"/>
            <rFont val="Tahoma"/>
          </rPr>
          <t>adi:</t>
        </r>
        <r>
          <rPr>
            <sz val="9"/>
            <color indexed="81"/>
            <rFont val="Tahoma"/>
          </rPr>
          <t xml:space="preserve">
רק יהודים
</t>
        </r>
      </text>
    </comment>
    <comment ref="H9" authorId="0" shapeId="0" xr:uid="{AB7E2748-FC3C-49D0-A8DE-9D761E813308}">
      <text>
        <r>
          <rPr>
            <b/>
            <sz val="9"/>
            <color indexed="81"/>
            <rFont val="Tahoma"/>
            <family val="2"/>
          </rPr>
          <t>יניב שפירא:</t>
        </r>
        <r>
          <rPr>
            <sz val="9"/>
            <color indexed="81"/>
            <rFont val="Tahoma"/>
            <family val="2"/>
          </rPr>
          <t xml:space="preserve">
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r>
      </text>
    </comment>
    <comment ref="A10" authorId="0" shapeId="0" xr:uid="{2F524AA9-295A-4D35-8A13-C7ABF75444C6}">
      <text>
        <r>
          <rPr>
            <b/>
            <sz val="9"/>
            <color indexed="81"/>
            <rFont val="Tahoma"/>
            <family val="2"/>
          </rPr>
          <t>יניב שפירא:</t>
        </r>
        <r>
          <rPr>
            <sz val="9"/>
            <color indexed="81"/>
            <rFont val="Tahoma"/>
            <family val="2"/>
          </rPr>
          <t xml:space="preserve">
יהודים בלבד</t>
        </r>
      </text>
    </comment>
    <comment ref="H10" authorId="0" shapeId="0" xr:uid="{488C6214-031E-4413-9803-E41502570FBC}">
      <text>
        <r>
          <rPr>
            <b/>
            <sz val="9"/>
            <color indexed="81"/>
            <rFont val="Tahoma"/>
            <family val="2"/>
          </rPr>
          <t>יניב שפירא:</t>
        </r>
        <r>
          <rPr>
            <sz val="9"/>
            <color indexed="81"/>
            <rFont val="Tahoma"/>
            <family val="2"/>
          </rPr>
          <t xml:space="preserve">
1 = לא צריכה להחזיק ביהודה ושומרון
2 = כן, כי זו זכותנו על הארץ
3 = כן, משיקולי ביטחון
9 = מסרב</t>
        </r>
      </text>
    </comment>
    <comment ref="H11" authorId="0" shapeId="0" xr:uid="{981E3CED-B6CE-457A-A412-2AAD3BCF6AEB}">
      <text>
        <r>
          <rPr>
            <b/>
            <sz val="9"/>
            <color indexed="81"/>
            <rFont val="Tahoma"/>
            <family val="2"/>
          </rPr>
          <t>יניב שפירא:</t>
        </r>
        <r>
          <rPr>
            <sz val="9"/>
            <color indexed="81"/>
            <rFont val="Tahoma"/>
            <family val="2"/>
          </rPr>
          <t xml:space="preserve">
1 = בהחלט להעביר
2 = להעביר
3 = להמשיך להחזיק
4 = בהחלט להמשיך להחזיק</t>
        </r>
      </text>
    </comment>
    <comment ref="I12" authorId="0" shapeId="0" xr:uid="{9E478C18-DAAF-48F2-A9DA-91B055441900}">
      <text>
        <r>
          <rPr>
            <b/>
            <sz val="9"/>
            <color indexed="81"/>
            <rFont val="Tahoma"/>
            <family val="2"/>
          </rPr>
          <t>יניב שפירא:</t>
        </r>
        <r>
          <rPr>
            <sz val="9"/>
            <color indexed="81"/>
            <rFont val="Tahoma"/>
            <family val="2"/>
          </rPr>
          <t xml:space="preserve">
1 = לא בשום תנאי
2 = כן, יישובים בודדים
3 = כן, את כל היישובים</t>
        </r>
      </text>
    </comment>
    <comment ref="H13" authorId="0" shapeId="0" xr:uid="{CECA8C7A-E6F3-48B0-B3DA-313502ACC6D5}">
      <text>
        <r>
          <rPr>
            <b/>
            <sz val="9"/>
            <color indexed="81"/>
            <rFont val="Tahoma"/>
            <family val="2"/>
          </rPr>
          <t>יניב שפירא:</t>
        </r>
        <r>
          <rPr>
            <sz val="9"/>
            <color indexed="81"/>
            <rFont val="Tahoma"/>
            <family val="2"/>
          </rPr>
          <t xml:space="preserve">
1-7
1 = בכלל לא מסוכן
7 = מאוד מסוכן</t>
        </r>
      </text>
    </comment>
    <comment ref="P14" authorId="0" shapeId="0" xr:uid="{0B62C465-C667-46DE-948A-DE9884378413}">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H17" authorId="0" shapeId="0" xr:uid="{54A90A5D-BEBD-4163-9991-283C08D3DB16}">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J18" authorId="0" shapeId="0" xr:uid="{42959DFB-BF71-4826-87A9-061B0E12E102}">
      <text>
        <r>
          <rPr>
            <b/>
            <sz val="9"/>
            <color indexed="81"/>
            <rFont val="Tahoma"/>
            <family val="2"/>
          </rPr>
          <t>יניב שפירא:</t>
        </r>
        <r>
          <rPr>
            <sz val="9"/>
            <color indexed="81"/>
            <rFont val="Tahoma"/>
            <family val="2"/>
          </rPr>
          <t xml:space="preserve">
1 = סיכויים גבוהים
2 = סיכויים בינוניים
3 = סיכויים נמוכים
4 = סיכוים נמוכים ביותר</t>
        </r>
      </text>
    </comment>
    <comment ref="J19" authorId="0" shapeId="0" xr:uid="{C0AF1E57-3619-4587-A7D9-FC712E4D9FA5}">
      <text>
        <r>
          <rPr>
            <b/>
            <sz val="9"/>
            <color indexed="81"/>
            <rFont val="Tahoma"/>
            <family val="2"/>
          </rPr>
          <t>יניב שפירא:</t>
        </r>
        <r>
          <rPr>
            <sz val="9"/>
            <color indexed="81"/>
            <rFont val="Tahoma"/>
            <family val="2"/>
          </rPr>
          <t xml:space="preserve">
1 = סיכויים גבוהים
2 = סיכויים בינוניים
3 = סיכויים נמוכים
4 = סיכוים נמוכים ביותר</t>
        </r>
      </text>
    </comment>
    <comment ref="J20" authorId="0" shapeId="0" xr:uid="{AF943A10-A672-44B3-BB15-D1BB835A462D}">
      <text>
        <r>
          <rPr>
            <b/>
            <sz val="9"/>
            <color indexed="81"/>
            <rFont val="Tahoma"/>
            <family val="2"/>
          </rPr>
          <t>יניב שפירא:</t>
        </r>
        <r>
          <rPr>
            <sz val="9"/>
            <color indexed="81"/>
            <rFont val="Tahoma"/>
            <family val="2"/>
          </rPr>
          <t xml:space="preserve">
1 = בטוח שיסתיים
2 = חושב שיסתיים
3 = חושב שלא יסתיים
4 = בטוח שלא יסתיים</t>
        </r>
      </text>
    </comment>
    <comment ref="M20" authorId="0" shapeId="0" xr:uid="{23BC305B-0C2C-469D-8401-F2BDD22AF214}">
      <text>
        <r>
          <rPr>
            <b/>
            <sz val="9"/>
            <color indexed="81"/>
            <rFont val="Tahoma"/>
            <family val="2"/>
          </rPr>
          <t>יניב שפירא:</t>
        </r>
        <r>
          <rPr>
            <sz val="9"/>
            <color indexed="81"/>
            <rFont val="Tahoma"/>
            <family val="2"/>
          </rPr>
          <t xml:space="preserve">
1 =בטוח שלא יסתיים
2 = חושב שלא יסתיים
3 = חושב שיסתיים
4 = בטוח שיסתיים</t>
        </r>
      </text>
    </comment>
    <comment ref="O20" authorId="0" shapeId="0" xr:uid="{9908C9CE-B6D9-430D-BEB7-9990930ECD65}">
      <text>
        <r>
          <rPr>
            <b/>
            <sz val="9"/>
            <color indexed="81"/>
            <rFont val="Tahoma"/>
            <family val="2"/>
          </rPr>
          <t>יניב שפירא:</t>
        </r>
        <r>
          <rPr>
            <sz val="9"/>
            <color indexed="81"/>
            <rFont val="Tahoma"/>
            <family val="2"/>
          </rPr>
          <t xml:space="preserve">
1 = בטוח שיסתיים
2 = חושב שיסתיים
3 = חושב שלא יסתיים
4 = בטוח שלא יסתיים</t>
        </r>
      </text>
    </comment>
    <comment ref="J21" authorId="0" shapeId="0" xr:uid="{C3843070-7035-42AE-AB5D-B329C8D66B1F}">
      <text>
        <r>
          <rPr>
            <b/>
            <sz val="9"/>
            <color indexed="81"/>
            <rFont val="Tahoma"/>
            <family val="2"/>
          </rPr>
          <t>יניב שפירא:</t>
        </r>
        <r>
          <rPr>
            <sz val="9"/>
            <color indexed="81"/>
            <rFont val="Tahoma"/>
            <family val="2"/>
          </rPr>
          <t xml:space="preserve">
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r>
      </text>
    </comment>
    <comment ref="P21" authorId="0" shapeId="0" xr:uid="{B778FF49-476F-4A54-A90F-E217D2FEFC37}">
      <text>
        <r>
          <rPr>
            <b/>
            <sz val="9"/>
            <color indexed="81"/>
            <rFont val="Tahoma"/>
            <family val="2"/>
          </rPr>
          <t>יניב שפירא:</t>
        </r>
        <r>
          <rPr>
            <sz val="9"/>
            <color indexed="81"/>
            <rFont val="Tahoma"/>
            <family val="2"/>
          </rPr>
          <t xml:space="preserve">
1 = כן, הכל
2 = כן, חלק
3 = לא צריכה להחזיר כלום</t>
        </r>
      </text>
    </comment>
    <comment ref="O22" authorId="0" shapeId="0" xr:uid="{5A872B3F-EB40-4945-9001-CB4FCD083893}">
      <text>
        <r>
          <rPr>
            <b/>
            <sz val="9"/>
            <color indexed="81"/>
            <rFont val="Tahoma"/>
            <family val="2"/>
          </rPr>
          <t>יניב שפירא:</t>
        </r>
        <r>
          <rPr>
            <sz val="9"/>
            <color indexed="81"/>
            <rFont val="Tahoma"/>
            <family val="2"/>
          </rPr>
          <t xml:space="preserve">
1 = כן, תחזיר
2 = לא תחזיר</t>
        </r>
      </text>
    </comment>
    <comment ref="J23" authorId="0" shapeId="0" xr:uid="{EDBB56F8-6721-4E9E-9A84-2112DFC4559F}">
      <text>
        <r>
          <rPr>
            <b/>
            <sz val="9"/>
            <color indexed="81"/>
            <rFont val="Tahoma"/>
            <family val="2"/>
          </rPr>
          <t>יניב שפירא:</t>
        </r>
        <r>
          <rPr>
            <sz val="9"/>
            <color indexed="81"/>
            <rFont val="Tahoma"/>
            <family val="2"/>
          </rPr>
          <t xml:space="preserve">
1 = בהחלט לא מסכים
2 = לא מסכים
3 = מסכים
4 = מסכים בהחלט</t>
        </r>
      </text>
    </comment>
    <comment ref="N23" authorId="0" shapeId="0" xr:uid="{D962244D-A1A9-4634-84CD-F123E4936D6F}">
      <text>
        <r>
          <rPr>
            <b/>
            <sz val="9"/>
            <color indexed="81"/>
            <rFont val="Tahoma"/>
            <charset val="177"/>
          </rPr>
          <t>יניב שפירא:</t>
        </r>
        <r>
          <rPr>
            <sz val="9"/>
            <color indexed="81"/>
            <rFont val="Tahoma"/>
            <charset val="177"/>
          </rPr>
          <t xml:space="preserve">
1-7
1 = מידה רבה של אי הסכמה
7 = מידה רבה של הסכמה</t>
        </r>
      </text>
    </comment>
    <comment ref="O23" authorId="0" shapeId="0" xr:uid="{8AB4AE54-A8D0-43D7-BAEB-940628C03573}">
      <text>
        <r>
          <rPr>
            <b/>
            <sz val="9"/>
            <color indexed="81"/>
            <rFont val="Tahoma"/>
            <family val="2"/>
          </rPr>
          <t>יניב שפירא:</t>
        </r>
        <r>
          <rPr>
            <sz val="9"/>
            <color indexed="81"/>
            <rFont val="Tahoma"/>
            <family val="2"/>
          </rPr>
          <t xml:space="preserve">
סולם 1-7
1 = מתנגד מאד
7 = מסכים מאד</t>
        </r>
      </text>
    </comment>
    <comment ref="L24" authorId="0" shapeId="0" xr:uid="{A81D9D2F-BD96-48FB-BCA8-8F7B4EF15222}">
      <text>
        <r>
          <rPr>
            <b/>
            <sz val="9"/>
            <color indexed="81"/>
            <rFont val="Tahoma"/>
            <charset val="177"/>
          </rPr>
          <t>יניב שפירא:</t>
        </r>
        <r>
          <rPr>
            <sz val="9"/>
            <color indexed="81"/>
            <rFont val="Tahoma"/>
            <charset val="177"/>
          </rPr>
          <t xml:space="preserve">
1 = מסכים בהחלט
2 = מסכים
3 = לא מסכים
4 = בהחלט לא מסכים</t>
        </r>
      </text>
    </comment>
    <comment ref="N24" authorId="0" shapeId="0" xr:uid="{7B6EAEA7-72DD-4D15-B3A6-F507D49654CA}">
      <text>
        <r>
          <rPr>
            <b/>
            <sz val="9"/>
            <color indexed="81"/>
            <rFont val="Tahoma"/>
            <charset val="177"/>
          </rPr>
          <t>יניב שפירא:</t>
        </r>
        <r>
          <rPr>
            <sz val="9"/>
            <color indexed="81"/>
            <rFont val="Tahoma"/>
            <charset val="177"/>
          </rPr>
          <t xml:space="preserve">
1-7
1 = מידה רבה של אי הסכמה
7 = מידה רבה של הסכמה</t>
        </r>
      </text>
    </comment>
    <comment ref="O24" authorId="0" shapeId="0" xr:uid="{27BEF8D7-3EC7-4BEE-89EF-1C1497154DD5}">
      <text>
        <r>
          <rPr>
            <b/>
            <sz val="9"/>
            <color indexed="81"/>
            <rFont val="Tahoma"/>
            <charset val="177"/>
          </rPr>
          <t xml:space="preserve">יניב שפירא:
</t>
        </r>
        <r>
          <rPr>
            <sz val="9"/>
            <color indexed="81"/>
            <rFont val="Tahoma"/>
            <family val="2"/>
          </rPr>
          <t>סולם 1-7</t>
        </r>
        <r>
          <rPr>
            <sz val="9"/>
            <color indexed="81"/>
            <rFont val="Tahoma"/>
            <charset val="177"/>
          </rPr>
          <t xml:space="preserve">
1 = מתנגד מאד
7 = מסכים מאד</t>
        </r>
      </text>
    </comment>
    <comment ref="A25" authorId="0" shapeId="0" xr:uid="{6FE463E3-88AD-42CA-AA0D-77F9554E3335}">
      <text>
        <r>
          <rPr>
            <b/>
            <sz val="9"/>
            <color indexed="81"/>
            <rFont val="Tahoma"/>
            <family val="2"/>
          </rPr>
          <t>יניב שפירא:</t>
        </r>
        <r>
          <rPr>
            <sz val="9"/>
            <color indexed="81"/>
            <rFont val="Tahoma"/>
            <family val="2"/>
          </rPr>
          <t xml:space="preserve">
ליהודים בלבד</t>
        </r>
      </text>
    </comment>
    <comment ref="M25" authorId="0" shapeId="0" xr:uid="{EA9C4500-7466-49F0-B6CD-AA465A872683}">
      <text>
        <r>
          <rPr>
            <b/>
            <sz val="9"/>
            <color indexed="81"/>
            <rFont val="Tahoma"/>
            <family val="2"/>
          </rPr>
          <t>יניב שפירא:</t>
        </r>
        <r>
          <rPr>
            <sz val="9"/>
            <color indexed="81"/>
            <rFont val="Tahoma"/>
            <family val="2"/>
          </rPr>
          <t xml:space="preserve">
1 = בהחלט לא מסכים
2 = לא מסכים
3 = מסכים
4 = בהחלט מסכים</t>
        </r>
      </text>
    </comment>
    <comment ref="N25" authorId="0" shapeId="0" xr:uid="{CDB2AA97-C5A2-4C0C-8511-3086A64DF014}">
      <text>
        <r>
          <rPr>
            <b/>
            <sz val="9"/>
            <color indexed="81"/>
            <rFont val="Tahoma"/>
            <charset val="177"/>
          </rPr>
          <t>יניב שפירא:</t>
        </r>
        <r>
          <rPr>
            <sz val="9"/>
            <color indexed="81"/>
            <rFont val="Tahoma"/>
            <charset val="177"/>
          </rPr>
          <t xml:space="preserve">
1 = מסכים בהחלט
2 = מסכים
3 = לא מסכים
4 = בהחלט לא מסכים</t>
        </r>
      </text>
    </comment>
    <comment ref="L26" authorId="0" shapeId="0" xr:uid="{921E3CAB-C8C1-421B-A314-CDC4E18EFD04}">
      <text>
        <r>
          <rPr>
            <b/>
            <sz val="9"/>
            <color indexed="81"/>
            <rFont val="Tahoma"/>
            <charset val="177"/>
          </rPr>
          <t>יניב שפירא:</t>
        </r>
        <r>
          <rPr>
            <sz val="9"/>
            <color indexed="81"/>
            <rFont val="Tahoma"/>
            <charset val="177"/>
          </rPr>
          <t xml:space="preserve">
1 = מסכים בהחלט
2 = מסכים
3 = לא מסכים
4 = בהחלט לא מסכים</t>
        </r>
      </text>
    </comment>
    <comment ref="A30" authorId="0" shapeId="0" xr:uid="{13F8F98C-57F0-4F31-ACA6-F5DB9332A0C4}">
      <text>
        <r>
          <rPr>
            <b/>
            <sz val="9"/>
            <color indexed="81"/>
            <rFont val="Tahoma"/>
            <family val="2"/>
          </rPr>
          <t>יניב שפירא:</t>
        </r>
        <r>
          <rPr>
            <sz val="9"/>
            <color indexed="81"/>
            <rFont val="Tahoma"/>
            <family val="2"/>
          </rPr>
          <t xml:space="preserve">
ליהודים בלבד</t>
        </r>
      </text>
    </comment>
    <comment ref="A31" authorId="0" shapeId="0" xr:uid="{14648677-8021-42E2-A385-6AD7F2279857}">
      <text>
        <r>
          <rPr>
            <b/>
            <sz val="9"/>
            <color indexed="81"/>
            <rFont val="Tahoma"/>
            <family val="2"/>
          </rPr>
          <t>יניב שפירא:</t>
        </r>
        <r>
          <rPr>
            <sz val="9"/>
            <color indexed="81"/>
            <rFont val="Tahoma"/>
            <family val="2"/>
          </rPr>
          <t xml:space="preserve">
ליהודים בלבד</t>
        </r>
      </text>
    </comment>
    <comment ref="Q32" authorId="0" shapeId="0" xr:uid="{D64B1D86-AEBC-4149-9A29-8E6B381881BA}">
      <text>
        <r>
          <rPr>
            <b/>
            <sz val="9"/>
            <color indexed="81"/>
            <rFont val="Tahoma"/>
            <family val="2"/>
          </rPr>
          <t>יניב שפירא:</t>
        </r>
        <r>
          <rPr>
            <sz val="9"/>
            <color indexed="81"/>
            <rFont val="Tahoma"/>
            <family val="2"/>
          </rPr>
          <t xml:space="preserve">
1 = מסכים בהחלט
2 = מסכים
3 = לא מסכים
4 = בהחלט לא מסכים</t>
        </r>
      </text>
    </comment>
    <comment ref="E33" authorId="0" shapeId="0" xr:uid="{A726B053-A958-44C4-B5E5-279B23ED0B3A}">
      <text>
        <r>
          <rPr>
            <b/>
            <sz val="9"/>
            <color indexed="81"/>
            <rFont val="Tahoma"/>
            <charset val="177"/>
          </rPr>
          <t>יניב שפירא:</t>
        </r>
        <r>
          <rPr>
            <sz val="9"/>
            <color indexed="81"/>
            <rFont val="Tahoma"/>
            <charset val="177"/>
          </rPr>
          <t xml:space="preserve">
1 = תומך
2 = מתנגד
3 = לא יודע מספיק על התכנית כדי להביע עמדה
4 = לא שמעתי על התכנית</t>
        </r>
      </text>
    </comment>
    <comment ref="K34" authorId="0" shapeId="0" xr:uid="{A1505DAC-C175-4A13-80D4-8C1675393E11}">
      <text>
        <r>
          <rPr>
            <b/>
            <sz val="9"/>
            <color indexed="81"/>
            <rFont val="Tahoma"/>
            <family val="2"/>
          </rPr>
          <t>יניב שפירא:</t>
        </r>
        <r>
          <rPr>
            <sz val="9"/>
            <color indexed="81"/>
            <rFont val="Tahoma"/>
            <family val="2"/>
          </rPr>
          <t xml:space="preserve">
1 = בהחלט צריכה להסכים
2 = חושב שצריכה להסכים
3 = חושב שלא צריכה להסכים
4 = בהחלט לא צריכה להסכים</t>
        </r>
      </text>
    </comment>
    <comment ref="K35" authorId="0" shapeId="0" xr:uid="{C4FF6096-1245-4D6D-95B0-854E2D8747ED}">
      <text>
        <r>
          <rPr>
            <b/>
            <sz val="9"/>
            <color indexed="81"/>
            <rFont val="Tahoma"/>
            <family val="2"/>
          </rPr>
          <t>יניב שפירא:</t>
        </r>
        <r>
          <rPr>
            <sz val="9"/>
            <color indexed="81"/>
            <rFont val="Tahoma"/>
            <family val="2"/>
          </rPr>
          <t xml:space="preserve">
1 = בטוח שכן
2 = חושב שכן
3 = חושב שלא
4 = בטוח שלא</t>
        </r>
      </text>
    </comment>
    <comment ref="K36" authorId="0" shapeId="0" xr:uid="{14BA8DEF-FD6A-468C-9167-D88180AB639D}">
      <text>
        <r>
          <rPr>
            <b/>
            <sz val="9"/>
            <color indexed="81"/>
            <rFont val="Tahoma"/>
            <family val="2"/>
          </rPr>
          <t>יניב שפירא:</t>
        </r>
        <r>
          <rPr>
            <sz val="9"/>
            <color indexed="81"/>
            <rFont val="Tahoma"/>
            <family val="2"/>
          </rPr>
          <t xml:space="preserve">
1 = סיכויים גדולים
2 = סיכויים מסוימים
3 = סיכויים מעטים
4 = אין סיכוי</t>
        </r>
      </text>
    </comment>
    <comment ref="M37" authorId="0" shapeId="0" xr:uid="{0A2D41D2-CB6D-4D64-B0E3-12B37F9CD916}">
      <text>
        <r>
          <rPr>
            <b/>
            <sz val="9"/>
            <color indexed="81"/>
            <rFont val="Tahoma"/>
            <family val="2"/>
          </rPr>
          <t>יניב שפירא:</t>
        </r>
        <r>
          <rPr>
            <sz val="9"/>
            <color indexed="81"/>
            <rFont val="Tahoma"/>
            <family val="2"/>
          </rPr>
          <t xml:space="preserve">
1 = בהחלט מתנגד
2 = מתנגד
3 = תומך
4 = בהחלט תומך</t>
        </r>
      </text>
    </comment>
    <comment ref="M42" authorId="0" shapeId="0" xr:uid="{36824EBB-DCC0-41DC-A18C-B9C9DD33AA7D}">
      <text>
        <r>
          <rPr>
            <b/>
            <sz val="9"/>
            <color indexed="81"/>
            <rFont val="Tahoma"/>
            <family val="2"/>
          </rPr>
          <t>יניב שפירא:</t>
        </r>
        <r>
          <rPr>
            <sz val="9"/>
            <color indexed="81"/>
            <rFont val="Tahoma"/>
            <family val="2"/>
          </rPr>
          <t xml:space="preserve">
1 = בהחלט מתנגד
2 = מתנגד
3 = תומך
4 = בהחלט תומך
9 = לא יודע</t>
        </r>
      </text>
    </comment>
    <comment ref="W43" authorId="0" shapeId="0" xr:uid="{4D9D97AB-6B09-4DA3-A9A0-56ED7610D271}">
      <text>
        <r>
          <rPr>
            <b/>
            <sz val="9"/>
            <color indexed="81"/>
            <rFont val="Tahoma"/>
            <charset val="177"/>
          </rPr>
          <t>יניב שפירא:</t>
        </r>
        <r>
          <rPr>
            <sz val="9"/>
            <color indexed="81"/>
            <rFont val="Tahoma"/>
            <charset val="177"/>
          </rPr>
          <t xml:space="preserve">
1 = מתנגד בהחלט
2 = מתנגד במידה מסויימת
3 = תומך במידה מסויימת
4 = תומך בהחלט</t>
        </r>
      </text>
    </comment>
    <comment ref="M44" authorId="0" shapeId="0" xr:uid="{A67B74A3-84DE-41B4-A398-7034D79B38D0}">
      <text>
        <r>
          <rPr>
            <b/>
            <sz val="9"/>
            <color indexed="81"/>
            <rFont val="Tahoma"/>
            <family val="2"/>
          </rPr>
          <t>יניב שפירא:</t>
        </r>
        <r>
          <rPr>
            <sz val="9"/>
            <color indexed="81"/>
            <rFont val="Tahoma"/>
            <family val="2"/>
          </rPr>
          <t xml:space="preserve">
הניסוח:
"תומכים בהסכם?"</t>
        </r>
      </text>
    </comment>
    <comment ref="O44" authorId="0" shapeId="0" xr:uid="{2668C650-0182-44C0-8930-D838494E1744}">
      <text>
        <r>
          <rPr>
            <b/>
            <sz val="9"/>
            <color indexed="81"/>
            <rFont val="Tahoma"/>
            <family val="2"/>
          </rPr>
          <t>יניב שפירא:</t>
        </r>
        <r>
          <rPr>
            <sz val="9"/>
            <color indexed="81"/>
            <rFont val="Tahoma"/>
            <family val="2"/>
          </rPr>
          <t xml:space="preserve">
הניסוח:
"מסכימים באופן עקרוני לוותר על שטחים תמורת שלום?"</t>
        </r>
      </text>
    </comment>
    <comment ref="M45" authorId="0" shapeId="0" xr:uid="{230252E9-F511-4FE9-98AE-92588989B8F4}">
      <text>
        <r>
          <rPr>
            <b/>
            <sz val="9"/>
            <color indexed="81"/>
            <rFont val="Tahoma"/>
            <family val="2"/>
          </rPr>
          <t>יניב שפירא:</t>
        </r>
        <r>
          <rPr>
            <sz val="9"/>
            <color indexed="81"/>
            <rFont val="Tahoma"/>
            <family val="2"/>
          </rPr>
          <t xml:space="preserve">
1 = יגדל מס' האנשים שתומכים בהסכם
2 = יגדל מס' האנשים שלא תומכים </t>
        </r>
      </text>
    </comment>
    <comment ref="O45" authorId="0" shapeId="0" xr:uid="{7F7CE583-3549-446B-91A3-AD66B44CA88D}">
      <text>
        <r>
          <rPr>
            <b/>
            <sz val="9"/>
            <color indexed="81"/>
            <rFont val="Tahoma"/>
            <family val="2"/>
          </rPr>
          <t>יניב שפירא:</t>
        </r>
        <r>
          <rPr>
            <sz val="9"/>
            <color indexed="81"/>
            <rFont val="Tahoma"/>
            <family val="2"/>
          </rPr>
          <t xml:space="preserve">
הניסוח:
"מסכיים עקרונית לוותר על שטחים תמורת שלום"</t>
        </r>
      </text>
    </comment>
    <comment ref="N47" authorId="0" shapeId="0" xr:uid="{0D4B0067-853E-4AC1-A175-1E32FD46E36F}">
      <text>
        <r>
          <rPr>
            <b/>
            <sz val="9"/>
            <color indexed="81"/>
            <rFont val="Tahoma"/>
            <family val="2"/>
          </rPr>
          <t>יניב שפירא:</t>
        </r>
        <r>
          <rPr>
            <sz val="9"/>
            <color indexed="81"/>
            <rFont val="Tahoma"/>
            <family val="2"/>
          </rPr>
          <t xml:space="preserve">
1 = יגדל מס' האנשים שתומכים
2 = יגדל מס' האנשים שלא תומכים </t>
        </r>
      </text>
    </comment>
    <comment ref="N49" authorId="0" shapeId="0" xr:uid="{68539535-56D5-4161-B602-64D2863FEDAC}">
      <text>
        <r>
          <rPr>
            <b/>
            <sz val="9"/>
            <color indexed="81"/>
            <rFont val="Tahoma"/>
            <family val="2"/>
          </rPr>
          <t>יניב שפירא:</t>
        </r>
        <r>
          <rPr>
            <sz val="9"/>
            <color indexed="81"/>
            <rFont val="Tahoma"/>
            <family val="2"/>
          </rPr>
          <t xml:space="preserve">
1 = יגדל מס' האנשים שתומכים בהסכם
2 = יגדל מס' האנשים שלא תומכים </t>
        </r>
      </text>
    </comment>
    <comment ref="M50" authorId="0" shapeId="0" xr:uid="{9B6CF8DE-4566-434B-84F9-A6E6E35C6EA0}">
      <text>
        <r>
          <rPr>
            <b/>
            <sz val="9"/>
            <color indexed="81"/>
            <rFont val="Tahoma"/>
            <family val="2"/>
          </rPr>
          <t>יניב שפירא:</t>
        </r>
        <r>
          <rPr>
            <sz val="9"/>
            <color indexed="81"/>
            <rFont val="Tahoma"/>
            <family val="2"/>
          </rPr>
          <t xml:space="preserve">
1 = בכלל לא משכנעת
2 = לא כ"כ משכנעת
3 = די משכנעת
4 = מאד משכנעת</t>
        </r>
      </text>
    </comment>
    <comment ref="M55" authorId="0" shapeId="0" xr:uid="{A4B47C77-5F30-4D70-A9E1-66C563EE33AE}">
      <text>
        <r>
          <rPr>
            <b/>
            <sz val="9"/>
            <color indexed="81"/>
            <rFont val="Tahoma"/>
            <family val="2"/>
          </rPr>
          <t>יניב שפירא:</t>
        </r>
        <r>
          <rPr>
            <sz val="9"/>
            <color indexed="81"/>
            <rFont val="Tahoma"/>
            <family val="2"/>
          </rPr>
          <t xml:space="preserve">
25-29
לפי הסיבות לעיל</t>
        </r>
      </text>
    </comment>
    <comment ref="M61" authorId="0" shapeId="0" xr:uid="{1654C9F7-4F8B-4BD9-8A05-C7BE09CDA59A}">
      <text>
        <r>
          <rPr>
            <b/>
            <sz val="9"/>
            <color indexed="81"/>
            <rFont val="Tahoma"/>
            <family val="2"/>
          </rPr>
          <t>יניב שפירא:</t>
        </r>
        <r>
          <rPr>
            <sz val="9"/>
            <color indexed="81"/>
            <rFont val="Tahoma"/>
            <family val="2"/>
          </rPr>
          <t xml:space="preserve">
32-36
לפי הסיבות לעיל</t>
        </r>
      </text>
    </comment>
    <comment ref="N62" authorId="0" shapeId="0" xr:uid="{AA7A6112-78D6-4C8B-B5EE-6744EA04F5D5}">
      <text>
        <r>
          <rPr>
            <b/>
            <sz val="9"/>
            <color indexed="81"/>
            <rFont val="Tahoma"/>
            <charset val="177"/>
          </rPr>
          <t>יניב שפירא:</t>
        </r>
        <r>
          <rPr>
            <sz val="9"/>
            <color indexed="81"/>
            <rFont val="Tahoma"/>
            <charset val="177"/>
          </rPr>
          <t xml:space="preserve">
1 = תומך מאד
2 = תומך
3 = מתנגד
4 = מתנגד מאד</t>
        </r>
      </text>
    </comment>
    <comment ref="N63" authorId="0" shapeId="0" xr:uid="{92BEB82A-0AE8-401D-B509-37F4ABF37142}">
      <text>
        <r>
          <rPr>
            <b/>
            <sz val="9"/>
            <color indexed="81"/>
            <rFont val="Tahoma"/>
            <charset val="177"/>
          </rPr>
          <t>יניב שפירא:</t>
        </r>
        <r>
          <rPr>
            <sz val="9"/>
            <color indexed="81"/>
            <rFont val="Tahoma"/>
            <charset val="177"/>
          </rPr>
          <t xml:space="preserve">
1 = כן, תקום
2 = לא, לא תקום</t>
        </r>
      </text>
    </comment>
    <comment ref="P63" authorId="0" shapeId="0" xr:uid="{EC5768DB-32F7-4EBC-9EAB-8903D4869EAC}">
      <text>
        <r>
          <rPr>
            <b/>
            <sz val="9"/>
            <color indexed="81"/>
            <rFont val="Tahoma"/>
            <family val="2"/>
          </rPr>
          <t>יניב שפירא:</t>
        </r>
        <r>
          <rPr>
            <sz val="9"/>
            <color indexed="81"/>
            <rFont val="Tahoma"/>
            <family val="2"/>
          </rPr>
          <t xml:space="preserve">
1 = סיכוי גבוה
2 = סיכוי נמוך</t>
        </r>
      </text>
    </comment>
    <comment ref="N64" authorId="0" shapeId="0" xr:uid="{ED1BA430-0E54-4790-B4BC-844BDBCB889E}">
      <text>
        <r>
          <rPr>
            <b/>
            <sz val="9"/>
            <color indexed="81"/>
            <rFont val="Tahoma"/>
            <family val="2"/>
          </rPr>
          <t>יניב שפירא:</t>
        </r>
        <r>
          <rPr>
            <sz val="9"/>
            <color indexed="81"/>
            <rFont val="Tahoma"/>
            <family val="2"/>
          </rPr>
          <t xml:space="preserve">
1 = תקום
2 = לא תקום</t>
        </r>
      </text>
    </comment>
    <comment ref="O65" authorId="0" shapeId="0" xr:uid="{915B671A-49AA-4C11-B580-C4429760F552}">
      <text>
        <r>
          <rPr>
            <b/>
            <sz val="9"/>
            <color indexed="81"/>
            <rFont val="Tahoma"/>
            <family val="2"/>
          </rPr>
          <t>יניב שפירא:</t>
        </r>
        <r>
          <rPr>
            <sz val="9"/>
            <color indexed="81"/>
            <rFont val="Tahoma"/>
            <family val="2"/>
          </rPr>
          <t xml:space="preserve">
1 = תומך בהפרדה לטווח ארוך
2 = תומך בהפרדה, אבל רק לזמן מוגבל כפתרון לבעיית הטרור
3 = לא תומך בהפרדה כלל</t>
        </r>
      </text>
    </comment>
    <comment ref="O66" authorId="0" shapeId="0" xr:uid="{6E0738A2-E58F-430B-ACC2-C5207C163EBD}">
      <text>
        <r>
          <rPr>
            <b/>
            <sz val="9"/>
            <color indexed="81"/>
            <rFont val="Tahoma"/>
            <family val="2"/>
          </rPr>
          <t>יניב שפירא:</t>
        </r>
        <r>
          <rPr>
            <sz val="9"/>
            <color indexed="81"/>
            <rFont val="Tahoma"/>
            <family val="2"/>
          </rPr>
          <t xml:space="preserve">
1 = מסוגל בהחלט
2 = מסוגל
3 = לא מסוגל
4 = בהחלט לא מסוגל</t>
        </r>
      </text>
    </comment>
    <comment ref="O67" authorId="0" shapeId="0" xr:uid="{04CD442A-873F-45E3-9149-B416BEAE73C3}">
      <text>
        <r>
          <rPr>
            <b/>
            <sz val="9"/>
            <color indexed="81"/>
            <rFont val="Tahoma"/>
            <family val="2"/>
          </rPr>
          <t>יניב שפירא:</t>
        </r>
        <r>
          <rPr>
            <sz val="9"/>
            <color indexed="81"/>
            <rFont val="Tahoma"/>
            <family val="2"/>
          </rPr>
          <t xml:space="preserve">
1 = אין להמשיך את המו"מ עם אש"ף בגלל הטרור
2 = רק סיום מוצלח של המו"מ יביא להפסקת הטרור</t>
        </r>
      </text>
    </comment>
    <comment ref="P67" authorId="0" shapeId="0" xr:uid="{8D2D20BE-41A6-414B-856E-BA18C2BA23DC}">
      <text>
        <r>
          <rPr>
            <b/>
            <sz val="9"/>
            <color indexed="81"/>
            <rFont val="Tahoma"/>
            <family val="2"/>
          </rPr>
          <t>יניב שפירא:</t>
        </r>
        <r>
          <rPr>
            <sz val="9"/>
            <color indexed="81"/>
            <rFont val="Tahoma"/>
            <family val="2"/>
          </rPr>
          <t xml:space="preserve">
1 = מוכנה למו"מ
2 = לא מוכנה למו"מ</t>
        </r>
      </text>
    </comment>
    <comment ref="P68" authorId="0" shapeId="0" xr:uid="{E981B325-FDB3-4D20-A578-D01DFB998FC0}">
      <text>
        <r>
          <rPr>
            <b/>
            <sz val="9"/>
            <color indexed="81"/>
            <rFont val="Tahoma"/>
            <family val="2"/>
          </rPr>
          <t>יניב שפירא:</t>
        </r>
        <r>
          <rPr>
            <sz val="9"/>
            <color indexed="81"/>
            <rFont val="Tahoma"/>
            <family val="2"/>
          </rPr>
          <t xml:space="preserve">
1 = צריכה להיות מוכנה
2 = לא צריכה להיות מוכנה</t>
        </r>
      </text>
    </comment>
    <comment ref="O69" authorId="0" shapeId="0" xr:uid="{1BA211ED-50F8-41B9-A692-188604D5D529}">
      <text>
        <r>
          <rPr>
            <b/>
            <sz val="9"/>
            <color indexed="81"/>
            <rFont val="Tahoma"/>
            <family val="2"/>
          </rPr>
          <t>יניב שפירא:</t>
        </r>
        <r>
          <rPr>
            <sz val="9"/>
            <color indexed="81"/>
            <rFont val="Tahoma"/>
            <family val="2"/>
          </rPr>
          <t xml:space="preserve">
1 = נכון מאד
2 = נכון
3 = לא כ"כ נכון
4 = לגמרי לא נכון</t>
        </r>
      </text>
    </comment>
    <comment ref="O70" authorId="0" shapeId="0" xr:uid="{CB295274-59A6-428E-B0BF-47BAB3BA803C}">
      <text>
        <r>
          <rPr>
            <b/>
            <sz val="9"/>
            <color indexed="81"/>
            <rFont val="Tahoma"/>
            <family val="2"/>
          </rPr>
          <t>יניב שפירא:</t>
        </r>
        <r>
          <rPr>
            <sz val="9"/>
            <color indexed="81"/>
            <rFont val="Tahoma"/>
            <family val="2"/>
          </rPr>
          <t xml:space="preserve">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r>
      </text>
    </comment>
    <comment ref="O71" authorId="0" shapeId="0" xr:uid="{99CF9C6C-5914-4DF6-9C9B-8475239CCC45}">
      <text>
        <r>
          <rPr>
            <b/>
            <sz val="9"/>
            <color indexed="81"/>
            <rFont val="Tahoma"/>
            <family val="2"/>
          </rPr>
          <t>יניב שפירא:</t>
        </r>
        <r>
          <rPr>
            <sz val="9"/>
            <color indexed="81"/>
            <rFont val="Tahoma"/>
            <family val="2"/>
          </rPr>
          <t xml:space="preserve">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r>
      </text>
    </comment>
    <comment ref="P71" authorId="0" shapeId="0" xr:uid="{79FF0F52-ADEE-4E63-9BD4-A2AADAA00B7B}">
      <text>
        <r>
          <rPr>
            <b/>
            <sz val="9"/>
            <color indexed="81"/>
            <rFont val="Tahoma"/>
            <family val="2"/>
          </rPr>
          <t>יניב שפירא:</t>
        </r>
        <r>
          <rPr>
            <sz val="9"/>
            <color indexed="81"/>
            <rFont val="Tahoma"/>
            <family val="2"/>
          </rPr>
          <t xml:space="preserve">
וגם a472</t>
        </r>
      </text>
    </comment>
    <comment ref="P72" authorId="0" shapeId="0" xr:uid="{4FB989E7-BA8A-4C24-951C-926AFF0EA80B}">
      <text>
        <r>
          <rPr>
            <b/>
            <sz val="9"/>
            <color indexed="81"/>
            <rFont val="Tahoma"/>
            <family val="2"/>
          </rPr>
          <t>יניב שפירא:</t>
        </r>
        <r>
          <rPr>
            <sz val="9"/>
            <color indexed="81"/>
            <rFont val="Tahoma"/>
            <family val="2"/>
          </rPr>
          <t xml:space="preserve">
1 = תמורת הסכם השלום החזרת רוב שטחי יו"ש
2 = סיפוח יו"ש ועזה 
3 = סטטוס קוו</t>
        </r>
      </text>
    </comment>
    <comment ref="P73" authorId="0" shapeId="0" xr:uid="{D118984F-D62B-4CED-BD9C-03C447A2CB38}">
      <text>
        <r>
          <rPr>
            <b/>
            <sz val="9"/>
            <color indexed="81"/>
            <rFont val="Tahoma"/>
            <family val="2"/>
          </rPr>
          <t>יניב שפירא:</t>
        </r>
        <r>
          <rPr>
            <sz val="9"/>
            <color indexed="81"/>
            <rFont val="Tahoma"/>
            <family val="2"/>
          </rPr>
          <t xml:space="preserve">
1 = שלום תמורת שטחים
2 = סיפוח</t>
        </r>
      </text>
    </comment>
    <comment ref="O74" authorId="0" shapeId="0" xr:uid="{4ACD57AD-D965-473E-BF89-00DC3A47A387}">
      <text>
        <r>
          <rPr>
            <b/>
            <sz val="9"/>
            <color indexed="81"/>
            <rFont val="Tahoma"/>
            <family val="2"/>
          </rPr>
          <t>יניב שפירא:</t>
        </r>
        <r>
          <rPr>
            <sz val="9"/>
            <color indexed="81"/>
            <rFont val="Tahoma"/>
            <family val="2"/>
          </rPr>
          <t xml:space="preserve">
1 = בעד
2 = נגד</t>
        </r>
      </text>
    </comment>
    <comment ref="O76" authorId="0" shapeId="0" xr:uid="{D1D4EBD8-3264-4625-B1A3-715BEEB33705}">
      <text>
        <r>
          <rPr>
            <b/>
            <sz val="9"/>
            <color indexed="81"/>
            <rFont val="Tahoma"/>
            <charset val="177"/>
          </rPr>
          <t>יניב שפירא:</t>
        </r>
        <r>
          <rPr>
            <sz val="9"/>
            <color indexed="81"/>
            <rFont val="Tahoma"/>
            <charset val="177"/>
          </rPr>
          <t xml:space="preserve">
1 = יגדל מס' האנשים שמוכנים להחזיר
2 = יגדל מס' האנשים שלא מוכנים להחזיר</t>
        </r>
      </text>
    </comment>
    <comment ref="P77" authorId="0" shapeId="0" xr:uid="{DFB08121-9AA1-4598-BEF5-5F18633CB04A}">
      <text>
        <r>
          <rPr>
            <b/>
            <sz val="9"/>
            <color indexed="81"/>
            <rFont val="Tahoma"/>
            <family val="2"/>
          </rPr>
          <t>יניב שפירא:</t>
        </r>
        <r>
          <rPr>
            <sz val="9"/>
            <color indexed="81"/>
            <rFont val="Tahoma"/>
            <family val="2"/>
          </rPr>
          <t xml:space="preserve">
1 = בטוח שאפשר
2 = חושב שאפשרי
3 = חושב שבלתי אפשרי
4 = בטוח שבלתי אפשרי</t>
        </r>
      </text>
    </comment>
    <comment ref="P78" authorId="0" shapeId="0" xr:uid="{EA0FF274-B6AB-4748-AFFF-1C8AC555226C}">
      <text>
        <r>
          <rPr>
            <b/>
            <sz val="9"/>
            <color indexed="81"/>
            <rFont val="Tahoma"/>
            <family val="2"/>
          </rPr>
          <t>יניב שפירא:</t>
        </r>
        <r>
          <rPr>
            <sz val="9"/>
            <color indexed="81"/>
            <rFont val="Tahoma"/>
            <family val="2"/>
          </rPr>
          <t xml:space="preserve">
1 = בטוח שיכולה
2 = חושב שיכולה
3 = חושב שלא יכולה
4 = בטוח שלא יכולה</t>
        </r>
      </text>
    </comment>
    <comment ref="P79" authorId="0" shapeId="0" xr:uid="{33B64ADD-FD8E-45BD-A602-235596804A27}">
      <text>
        <r>
          <rPr>
            <b/>
            <sz val="9"/>
            <color indexed="81"/>
            <rFont val="Tahoma"/>
            <family val="2"/>
          </rPr>
          <t>יניב שפירא:</t>
        </r>
        <r>
          <rPr>
            <sz val="9"/>
            <color indexed="81"/>
            <rFont val="Tahoma"/>
            <family val="2"/>
          </rPr>
          <t xml:space="preserve">
1 = סיכויים גבוהים
2 = סיכויים בינוניים
3 = סיכויים נמוכים
4 = סיכויים קלושים</t>
        </r>
      </text>
    </comment>
    <comment ref="P80" authorId="0" shapeId="0" xr:uid="{C9F867C0-D4EA-4D62-B17A-324742C4D41D}">
      <text>
        <r>
          <rPr>
            <b/>
            <sz val="9"/>
            <color indexed="81"/>
            <rFont val="Tahoma"/>
            <family val="2"/>
          </rPr>
          <t>יניב שפירא:</t>
        </r>
        <r>
          <rPr>
            <sz val="9"/>
            <color indexed="81"/>
            <rFont val="Tahoma"/>
            <family val="2"/>
          </rPr>
          <t xml:space="preserve">
1 = לסיפוח השטחים
2 = למדינה פלסטינית
3 = לאוטונומיה של הפלסטינים תחת שלטון ישראלי כפתרון קבע</t>
        </r>
      </text>
    </comment>
    <comment ref="P81" authorId="0" shapeId="0" xr:uid="{D49167A5-462F-4E28-9E66-708B7E88D70A}">
      <text>
        <r>
          <rPr>
            <b/>
            <sz val="9"/>
            <color indexed="81"/>
            <rFont val="Tahoma"/>
            <family val="2"/>
          </rPr>
          <t>יניב שפירא:</t>
        </r>
        <r>
          <rPr>
            <sz val="9"/>
            <color indexed="81"/>
            <rFont val="Tahoma"/>
            <family val="2"/>
          </rPr>
          <t xml:space="preserve">
1 = תומך בהחלט
2 = תומך
3 = מתנגד
4 = מתנגד בהחלט</t>
        </r>
      </text>
    </comment>
    <comment ref="P82" authorId="0" shapeId="0" xr:uid="{1497B3CB-BBDD-4B25-9230-A3CEA81E7FCE}">
      <text>
        <r>
          <rPr>
            <b/>
            <sz val="9"/>
            <color indexed="81"/>
            <rFont val="Tahoma"/>
            <family val="2"/>
          </rPr>
          <t>יניב שפירא:</t>
        </r>
        <r>
          <rPr>
            <sz val="9"/>
            <color indexed="81"/>
            <rFont val="Tahoma"/>
            <family val="2"/>
          </rPr>
          <t xml:space="preserve">
1 = תומך בכל תנאי
2 = רק במקומות חשובים מסיבה בטחונית
3 = מתנגד בכל תנאי</t>
        </r>
      </text>
    </comment>
    <comment ref="P83" authorId="0" shapeId="0" xr:uid="{8685F8E2-501B-47E2-B87F-6E397C914C4B}">
      <text>
        <r>
          <rPr>
            <b/>
            <sz val="9"/>
            <color indexed="81"/>
            <rFont val="Tahoma"/>
            <family val="2"/>
          </rPr>
          <t>יניב שפירא:</t>
        </r>
        <r>
          <rPr>
            <sz val="9"/>
            <color indexed="81"/>
            <rFont val="Tahoma"/>
            <family val="2"/>
          </rPr>
          <t xml:space="preserve">
1 = רבין
2 = שמיר</t>
        </r>
      </text>
    </comment>
    <comment ref="P84" authorId="0" shapeId="0" xr:uid="{AA47F849-B8DA-4C7A-919B-5FE06E7E0B4E}">
      <text>
        <r>
          <rPr>
            <b/>
            <sz val="9"/>
            <color indexed="81"/>
            <rFont val="Tahoma"/>
            <family val="2"/>
          </rPr>
          <t>יניב שפירא:</t>
        </r>
        <r>
          <rPr>
            <sz val="9"/>
            <color indexed="81"/>
            <rFont val="Tahoma"/>
            <family val="2"/>
          </rPr>
          <t xml:space="preserve">
1 = סיכוי גבוה
2 = סיכוי נמוך</t>
        </r>
      </text>
    </comment>
    <comment ref="Q85" authorId="0" shapeId="0" xr:uid="{27E18EBE-4E33-4A27-AA4A-18A9005C2B9D}">
      <text>
        <r>
          <rPr>
            <b/>
            <sz val="9"/>
            <color indexed="81"/>
            <rFont val="Tahoma"/>
            <family val="2"/>
          </rPr>
          <t>יניב שפירא:</t>
        </r>
        <r>
          <rPr>
            <sz val="9"/>
            <color indexed="81"/>
            <rFont val="Tahoma"/>
            <family val="2"/>
          </rPr>
          <t xml:space="preserve">
1-4
1 = הכי חשוב
4 = הכי פחות חשוב</t>
        </r>
      </text>
    </comment>
    <comment ref="Q89" authorId="0" shapeId="0" xr:uid="{62C0504C-D140-4623-8763-D7589778D7F1}">
      <text>
        <r>
          <rPr>
            <b/>
            <sz val="9"/>
            <color indexed="81"/>
            <rFont val="Tahoma"/>
            <charset val="177"/>
          </rPr>
          <t>יניב שפירא:</t>
        </r>
        <r>
          <rPr>
            <sz val="9"/>
            <color indexed="81"/>
            <rFont val="Tahoma"/>
            <charset val="177"/>
          </rPr>
          <t xml:space="preserve">
1 = בהחלט כן
2 = חושב שכן
3 = חושב שלא
4 = בטוח שלא</t>
        </r>
      </text>
    </comment>
    <comment ref="Q90" authorId="0" shapeId="0" xr:uid="{CBEF7B9C-1E95-4985-A81E-FEA11815EAD2}">
      <text>
        <r>
          <rPr>
            <b/>
            <sz val="9"/>
            <color indexed="81"/>
            <rFont val="Tahoma"/>
            <family val="2"/>
          </rPr>
          <t>יניב שפירא:</t>
        </r>
        <r>
          <rPr>
            <sz val="9"/>
            <color indexed="81"/>
            <rFont val="Tahoma"/>
            <family val="2"/>
          </rPr>
          <t xml:space="preserve">
1 = מחייב
2 = שולל</t>
        </r>
      </text>
    </comment>
    <comment ref="Q91" authorId="0" shapeId="0" xr:uid="{27425FB4-B744-4855-BBEF-57BB0C094DB0}">
      <text>
        <r>
          <rPr>
            <b/>
            <sz val="9"/>
            <color indexed="81"/>
            <rFont val="Tahoma"/>
            <family val="2"/>
          </rPr>
          <t>יניב שפירא:</t>
        </r>
        <r>
          <rPr>
            <sz val="9"/>
            <color indexed="81"/>
            <rFont val="Tahoma"/>
            <family val="2"/>
          </rPr>
          <t xml:space="preserve">
1 = בעד
2 = נגד</t>
        </r>
      </text>
    </comment>
    <comment ref="M92" authorId="0" shapeId="0" xr:uid="{76413077-F804-49E8-8DA3-3F2352CC2035}">
      <text>
        <r>
          <rPr>
            <b/>
            <sz val="9"/>
            <color indexed="81"/>
            <rFont val="Tahoma"/>
            <family val="2"/>
          </rPr>
          <t>יניב שפירא:</t>
        </r>
        <r>
          <rPr>
            <sz val="9"/>
            <color indexed="81"/>
            <rFont val="Tahoma"/>
            <family val="2"/>
          </rPr>
          <t xml:space="preserve">
1 = כן
2 = לא
3 = לא שירתתי בצבא</t>
        </r>
      </text>
    </comment>
    <comment ref="Q92" authorId="0" shapeId="0" xr:uid="{47C08B73-3834-42AA-86CA-DC292994EF8C}">
      <text>
        <r>
          <rPr>
            <b/>
            <sz val="9"/>
            <color indexed="81"/>
            <rFont val="Tahoma"/>
            <charset val="177"/>
          </rPr>
          <t>יניב שפירא:</t>
        </r>
        <r>
          <rPr>
            <sz val="9"/>
            <color indexed="81"/>
            <rFont val="Tahoma"/>
            <charset val="177"/>
          </rPr>
          <t xml:space="preserve">
1 = כן
2 = לא
3 = לא משרת במילואים</t>
        </r>
      </text>
    </comment>
    <comment ref="Q93" authorId="0" shapeId="0" xr:uid="{DCC30267-771B-49A8-8B99-6C2C1E8DB877}">
      <text>
        <r>
          <rPr>
            <b/>
            <sz val="9"/>
            <color indexed="81"/>
            <rFont val="Tahoma"/>
            <charset val="177"/>
          </rPr>
          <t>יניב שפירא:</t>
        </r>
        <r>
          <rPr>
            <sz val="9"/>
            <color indexed="81"/>
            <rFont val="Tahoma"/>
            <charset val="177"/>
          </rPr>
          <t xml:space="preserve">
1 = לא
2 = כן, בכמה?</t>
        </r>
      </text>
    </comment>
    <comment ref="R94" authorId="0" shapeId="0" xr:uid="{FF730A0A-84AC-4E3A-8324-98D3931EA623}">
      <text>
        <r>
          <rPr>
            <b/>
            <sz val="9"/>
            <color indexed="81"/>
            <rFont val="Tahoma"/>
            <charset val="177"/>
          </rPr>
          <t>יניב שפירא:</t>
        </r>
        <r>
          <rPr>
            <sz val="9"/>
            <color indexed="81"/>
            <rFont val="Tahoma"/>
            <charset val="177"/>
          </rPr>
          <t xml:space="preserve">
1 = אין לותר על שום שטח מיו"ש
2 = יש לוותר על חלק קטן מיו"ש
3 = יש לוותר על חלק מיו"ש
4 = יש לוותר כמעט על כל יו"ש
5 = יש לוותר על כל יו"ש</t>
        </r>
      </text>
    </comment>
    <comment ref="X94" authorId="0" shapeId="0" xr:uid="{38D4FDFD-AE4F-4856-B5EA-9E9E042C447A}">
      <text>
        <r>
          <rPr>
            <b/>
            <sz val="9"/>
            <color indexed="81"/>
            <rFont val="Tahoma"/>
            <charset val="177"/>
          </rPr>
          <t>יניב שפירא:</t>
        </r>
        <r>
          <rPr>
            <sz val="9"/>
            <color indexed="81"/>
            <rFont val="Tahoma"/>
            <charset val="177"/>
          </rPr>
          <t xml:space="preserve">
1 = לוותר על כל יו"ש
2 = לוותר כמעט על כל יו"ש
3 = לוותר על חלק מיו"ש
4 = לוותר על חלק קטן מיו"ש
5 = לא לוותר על שום חלק</t>
        </r>
      </text>
    </comment>
    <comment ref="R95" authorId="0" shapeId="0" xr:uid="{3732CC3A-791C-49EB-B633-6A9BD9C15C50}">
      <text>
        <r>
          <rPr>
            <b/>
            <sz val="9"/>
            <color indexed="81"/>
            <rFont val="Tahoma"/>
            <charset val="177"/>
          </rPr>
          <t>יניב שפירא:</t>
        </r>
        <r>
          <rPr>
            <sz val="9"/>
            <color indexed="81"/>
            <rFont val="Tahoma"/>
            <charset val="177"/>
          </rPr>
          <t xml:space="preserve">
1 = עמדתי לא השתנתה
2 = נעשיתי מוכן יותר לויתורים
3 = נעשיתי מוכן פחות לויתורים</t>
        </r>
      </text>
    </comment>
    <comment ref="R96" authorId="0" shapeId="0" xr:uid="{5EE59733-6D15-4359-BD70-FA6855F89B81}">
      <text>
        <r>
          <rPr>
            <b/>
            <sz val="9"/>
            <color indexed="81"/>
            <rFont val="Tahoma"/>
            <family val="2"/>
          </rPr>
          <t>יניב שפירא:</t>
        </r>
        <r>
          <rPr>
            <sz val="9"/>
            <color indexed="81"/>
            <rFont val="Tahoma"/>
            <family val="2"/>
          </rPr>
          <t xml:space="preserve">
1 = כן
2 = לא</t>
        </r>
      </text>
    </comment>
    <comment ref="U97" authorId="0" shapeId="0" xr:uid="{601849D3-29FF-4098-BB4B-0011842D4551}">
      <text>
        <r>
          <rPr>
            <b/>
            <sz val="9"/>
            <color indexed="81"/>
            <rFont val="Tahoma"/>
            <charset val="177"/>
          </rPr>
          <t>יניב שפירא:</t>
        </r>
        <r>
          <rPr>
            <sz val="9"/>
            <color indexed="81"/>
            <rFont val="Tahoma"/>
            <charset val="177"/>
          </rPr>
          <t xml:space="preserve">
1 = חשוב מאד
2 = חשוב
3 = לא חשוב
4 = לגמרי לא חשוב</t>
        </r>
      </text>
    </comment>
    <comment ref="U98" authorId="0" shapeId="0" xr:uid="{09354B7B-5369-48DF-AF80-7EB6EF544A70}">
      <text>
        <r>
          <rPr>
            <b/>
            <sz val="9"/>
            <color indexed="81"/>
            <rFont val="Tahoma"/>
            <charset val="177"/>
          </rPr>
          <t>יניב שפירא:</t>
        </r>
        <r>
          <rPr>
            <sz val="9"/>
            <color indexed="81"/>
            <rFont val="Tahoma"/>
            <charset val="177"/>
          </rPr>
          <t xml:space="preserve">
1 = מסכים בהחלט
2 = מסכים
3 = לא מסכים
4 = לגמרי לא מסכים</t>
        </r>
      </text>
    </comment>
    <comment ref="AE98" authorId="0" shapeId="0" xr:uid="{5D626A85-4F37-458D-8B90-6959A11BB128}">
      <text>
        <r>
          <rPr>
            <b/>
            <sz val="9"/>
            <color indexed="81"/>
            <rFont val="Tahoma"/>
            <family val="2"/>
          </rPr>
          <t>יניב שפירא:</t>
        </r>
        <r>
          <rPr>
            <sz val="9"/>
            <color indexed="81"/>
            <rFont val="Tahoma"/>
            <family val="2"/>
          </rPr>
          <t xml:space="preserve">
1 = לדעתי, אין להחזיר כלום
2 = יש להחזיר חלק קטן
3 = יש להחזיר חלק גדול
4 = יש להחזיר הכל</t>
        </r>
      </text>
    </comment>
    <comment ref="AF98" authorId="0" shapeId="0" xr:uid="{B4A53DB7-4B2A-4DBE-8F4E-067BE8F9E1B6}">
      <text>
        <r>
          <rPr>
            <b/>
            <sz val="9"/>
            <color indexed="81"/>
            <rFont val="Tahoma"/>
            <family val="2"/>
          </rPr>
          <t>יניב שפירא:</t>
        </r>
        <r>
          <rPr>
            <sz val="9"/>
            <color indexed="81"/>
            <rFont val="Tahoma"/>
            <family val="2"/>
          </rPr>
          <t xml:space="preserve">
1 = יש להחזיר הכל
2 = יש להחזיר חלק גדול
3 = יש להחזיר חלק קטן
4 = אין להחזיר  כלום</t>
        </r>
      </text>
    </comment>
    <comment ref="U99" authorId="0" shapeId="0" xr:uid="{5CC73121-73DA-4C27-9C03-AEDC6EBF6FF4}">
      <text>
        <r>
          <rPr>
            <b/>
            <sz val="9"/>
            <color indexed="81"/>
            <rFont val="Tahoma"/>
            <charset val="177"/>
          </rPr>
          <t>יניב שפירא:</t>
        </r>
        <r>
          <rPr>
            <sz val="9"/>
            <color indexed="81"/>
            <rFont val="Tahoma"/>
            <charset val="177"/>
          </rPr>
          <t xml:space="preserve">
1 = בעד ויתור על כל השטחים
2 = בעד ויתור על חלק גדול מהשטחים
3 = בעד ויתור על חלק קטן מהשטחים
4 = אין להחזיר שטחים כלל</t>
        </r>
      </text>
    </comment>
    <comment ref="L100" authorId="0" shapeId="0" xr:uid="{E1F4753C-244E-46BC-BD22-F8FDE7544E78}">
      <text>
        <r>
          <rPr>
            <b/>
            <sz val="9"/>
            <color indexed="81"/>
            <rFont val="Tahoma"/>
            <family val="2"/>
          </rPr>
          <t>יניב שפירא:</t>
        </r>
        <r>
          <rPr>
            <sz val="9"/>
            <color indexed="81"/>
            <rFont val="Tahoma"/>
            <family val="2"/>
          </rPr>
          <t xml:space="preserve">
סולם 1-10
1 = רחוק ביותר
10 = קרוב ביותר</t>
        </r>
      </text>
    </comment>
    <comment ref="N103" authorId="0" shapeId="0" xr:uid="{674EB3E7-E21B-4CC5-82D1-E28ED3B55914}">
      <text>
        <r>
          <rPr>
            <b/>
            <sz val="9"/>
            <color indexed="81"/>
            <rFont val="Tahoma"/>
            <family val="2"/>
          </rPr>
          <t>יניב שפירא:</t>
        </r>
        <r>
          <rPr>
            <sz val="9"/>
            <color indexed="81"/>
            <rFont val="Tahoma"/>
            <family val="2"/>
          </rPr>
          <t xml:space="preserve">
סולם 1-10
1 = רחוק ביותר
10 = קרוב ביותר</t>
        </r>
      </text>
    </comment>
    <comment ref="V108" authorId="0" shapeId="0" xr:uid="{B9E50FBD-177A-4B30-8AC9-7D7B45075C39}">
      <text>
        <r>
          <rPr>
            <b/>
            <sz val="9"/>
            <color indexed="81"/>
            <rFont val="Tahoma"/>
            <charset val="177"/>
          </rPr>
          <t>יניב שפירא:</t>
        </r>
        <r>
          <rPr>
            <sz val="9"/>
            <color indexed="81"/>
            <rFont val="Tahoma"/>
            <charset val="177"/>
          </rPr>
          <t xml:space="preserve">
1 = במידה רבה מאד
2 = במידה רבה
3 = במידה מסויימת
4 = במידה מועטה
5 = בכלל לא</t>
        </r>
      </text>
    </comment>
    <comment ref="W109" authorId="0" shapeId="0" xr:uid="{54260BA3-7E83-4171-8C3E-4EACA182325D}">
      <text>
        <r>
          <rPr>
            <b/>
            <sz val="9"/>
            <color indexed="81"/>
            <rFont val="Tahoma"/>
            <charset val="177"/>
          </rPr>
          <t>יניב שפירא:</t>
        </r>
        <r>
          <rPr>
            <sz val="9"/>
            <color indexed="81"/>
            <rFont val="Tahoma"/>
            <charset val="177"/>
          </rPr>
          <t xml:space="preserve">
1 = לא צריכה להיות מוכנה כלל
2 = צריכה להיות במידה מועטה
3 = צריכה במידה מסויימת
4 = צריכה להיות מוכנה במידה רבה</t>
        </r>
      </text>
    </comment>
    <comment ref="AA109" authorId="0" shapeId="0" xr:uid="{707BCD48-7360-470E-847B-452A6EE30799}">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X110" authorId="0" shapeId="0" xr:uid="{E2E948CC-DF54-4ECF-A2C5-57A57291ED25}">
      <text>
        <r>
          <rPr>
            <b/>
            <sz val="9"/>
            <color indexed="81"/>
            <rFont val="Tahoma"/>
            <charset val="177"/>
          </rPr>
          <t>יניב שפירא:</t>
        </r>
        <r>
          <rPr>
            <sz val="9"/>
            <color indexed="81"/>
            <rFont val="Tahoma"/>
            <charset val="177"/>
          </rPr>
          <t xml:space="preserve">
1 = תקרב במידה רבה
2 = תקרב במידה מסוימת
3 = תרחיק במידה מסוימת
4 = תרחיק במידה רבה
5 = לא תחזק ולא תחליש</t>
        </r>
      </text>
    </comment>
    <comment ref="Y111" authorId="0" shapeId="0" xr:uid="{7260D5A7-0BBA-499D-95D3-3134B3BAD812}">
      <text>
        <r>
          <rPr>
            <b/>
            <sz val="9"/>
            <color indexed="81"/>
            <rFont val="Tahoma"/>
            <charset val="177"/>
          </rPr>
          <t>יניב שפירא:</t>
        </r>
        <r>
          <rPr>
            <sz val="9"/>
            <color indexed="81"/>
            <rFont val="Tahoma"/>
            <charset val="177"/>
          </rPr>
          <t xml:space="preserve">
1 = בהחלט יש לקיים בחירות
2 = אני חושב שיש לקיים בחירות
3 = אני חושב שהממשלה מוסמכת להחליט
4 = אני בטוח שהממשלה מוסמכת להחליט</t>
        </r>
      </text>
    </comment>
    <comment ref="AB112" authorId="0" shapeId="0" xr:uid="{4D28A443-D7B3-4027-8E07-0306B2CC2650}">
      <text>
        <r>
          <rPr>
            <b/>
            <sz val="9"/>
            <color indexed="81"/>
            <rFont val="Tahoma"/>
            <family val="2"/>
          </rPr>
          <t>יניב שפירא:</t>
        </r>
        <r>
          <rPr>
            <sz val="9"/>
            <color indexed="81"/>
            <rFont val="Tahoma"/>
            <family val="2"/>
          </rPr>
          <t xml:space="preserve">
1 = בטוח שאתמוך
2 = חושב שאתמוך
3 = חושב שאתנגד
4 = בטוח שאתנגד</t>
        </r>
      </text>
    </comment>
    <comment ref="AB114" authorId="0" shapeId="0" xr:uid="{EE12C23E-E9A5-41B7-823E-7BC3015BE646}">
      <text>
        <r>
          <rPr>
            <b/>
            <sz val="9"/>
            <color indexed="81"/>
            <rFont val="Tahoma"/>
            <charset val="177"/>
          </rPr>
          <t>יניב שפירא:</t>
        </r>
        <r>
          <rPr>
            <sz val="9"/>
            <color indexed="81"/>
            <rFont val="Tahoma"/>
            <charset val="177"/>
          </rPr>
          <t xml:space="preserve">
1 = בטוח שאתמוך
2 = חושב שאתמוך
3 = חושב שאתנגד
4 = בטוח שאתנגד</t>
        </r>
      </text>
    </comment>
    <comment ref="AB116" authorId="0" shapeId="0" xr:uid="{1FB384EB-674E-4BAE-BC60-1D927B336B12}">
      <text>
        <r>
          <rPr>
            <b/>
            <sz val="9"/>
            <color indexed="81"/>
            <rFont val="Tahoma"/>
            <charset val="177"/>
          </rPr>
          <t>יניב שפירא:</t>
        </r>
        <r>
          <rPr>
            <sz val="9"/>
            <color indexed="81"/>
            <rFont val="Tahoma"/>
            <charset val="177"/>
          </rPr>
          <t xml:space="preserve">
1 = בהחלט מאמין
2 = מאמין
3 = לא כ"כ מאמין
4 = בכלל לא מאמין</t>
        </r>
      </text>
    </comment>
    <comment ref="AC117" authorId="0" shapeId="0" xr:uid="{37A83CD3-BFD8-4FB4-A060-6822C07DF378}">
      <text>
        <r>
          <rPr>
            <b/>
            <sz val="9"/>
            <color indexed="81"/>
            <rFont val="Tahoma"/>
            <charset val="177"/>
          </rPr>
          <t>יניב שפירא:</t>
        </r>
        <r>
          <rPr>
            <sz val="9"/>
            <color indexed="81"/>
            <rFont val="Tahoma"/>
            <charset val="177"/>
          </rPr>
          <t xml:space="preserve">
1 = מסכים בהחלט
2 = מסכים
3 = מתנגד
4 = מתנגד בהחלט</t>
        </r>
      </text>
    </comment>
    <comment ref="AC118" authorId="0" shapeId="0" xr:uid="{AD8C3971-B3D8-4332-AF16-70B4D70146E5}">
      <text>
        <r>
          <rPr>
            <b/>
            <sz val="9"/>
            <color indexed="81"/>
            <rFont val="Tahoma"/>
            <charset val="177"/>
          </rPr>
          <t>יניב שפירא:</t>
        </r>
        <r>
          <rPr>
            <sz val="9"/>
            <color indexed="81"/>
            <rFont val="Tahoma"/>
            <charset val="177"/>
          </rPr>
          <t xml:space="preserve">
1 = מסכים בהחלט
2 = מסכים
3 = מתנגד
4 = מתנגד בהחלט</t>
        </r>
      </text>
    </comment>
    <comment ref="AH119" authorId="0" shapeId="0" xr:uid="{6F62925F-7A15-4939-AB7F-5EE2CA20103C}">
      <text>
        <r>
          <rPr>
            <b/>
            <sz val="9"/>
            <color indexed="81"/>
            <rFont val="Tahoma"/>
            <family val="2"/>
          </rPr>
          <t>יניב שפירא:</t>
        </r>
        <r>
          <rPr>
            <sz val="9"/>
            <color indexed="81"/>
            <rFont val="Tahoma"/>
            <family val="2"/>
          </rPr>
          <t xml:space="preserve">
1 = כן, חשבתי הרבה
2 = כן, חשבתי קצת
3 = כמעט ולא חשבתי
4 = לא חשבתי כלל</t>
        </r>
      </text>
    </comment>
    <comment ref="AI120" authorId="0" shapeId="0" xr:uid="{9DFCA085-80C5-4C30-817B-053EEC9DA801}">
      <text>
        <r>
          <rPr>
            <b/>
            <sz val="9"/>
            <color indexed="81"/>
            <rFont val="Tahoma"/>
            <family val="2"/>
          </rPr>
          <t>יניב שפירא:</t>
        </r>
        <r>
          <rPr>
            <sz val="9"/>
            <color indexed="81"/>
            <rFont val="Tahoma"/>
            <family val="2"/>
          </rPr>
          <t xml:space="preserve">
1 = בהחלט להכריז
2 = אולי כדאי להכריז
3 = אולי לא כדאי להכריז
4 = בהחלט לא להכריז
5 = אין דעה</t>
        </r>
      </text>
    </comment>
    <comment ref="AI121" authorId="0" shapeId="0" xr:uid="{88426C59-104A-410A-A8C8-36422F191B22}">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I122" authorId="0" shapeId="0" xr:uid="{79CFF4DE-61B8-4FCB-8C2C-47AF56FC0932}">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I123" authorId="0" shapeId="0" xr:uid="{9C685B6A-59A7-4300-91CE-3B71B5A18687}">
      <text>
        <r>
          <rPr>
            <b/>
            <sz val="9"/>
            <color indexed="81"/>
            <rFont val="Tahoma"/>
            <charset val="177"/>
          </rPr>
          <t>יניב שפירא:</t>
        </r>
        <r>
          <rPr>
            <sz val="9"/>
            <color indexed="81"/>
            <rFont val="Tahoma"/>
            <charset val="177"/>
          </rPr>
          <t xml:space="preserve">
1 = בהחלט מסכים
2 = מסכים
3 = מסתייג
4 = לא מסכים
5 = בהחלט לא מסכים</t>
        </r>
      </text>
    </comment>
    <comment ref="AI124" authorId="0" shapeId="0" xr:uid="{3ABC4AE3-1692-4718-8D57-7404A87BDAFC}">
      <text>
        <r>
          <rPr>
            <b/>
            <sz val="9"/>
            <color indexed="81"/>
            <rFont val="Tahoma"/>
            <charset val="177"/>
          </rPr>
          <t>יניב שפירא:</t>
        </r>
        <r>
          <rPr>
            <sz val="9"/>
            <color indexed="81"/>
            <rFont val="Tahoma"/>
            <charset val="177"/>
          </rPr>
          <t xml:space="preserve">
1 = כל ערביי ישראל עוינים את היהודים
2 = רוב ערביי ישראל עוינים את היהודים
3 = חלק מערביי ישראל עוינים את היהודים
4 = אף אחד מערביי ישראל אינו עוין את היהודים</t>
        </r>
      </text>
    </comment>
    <comment ref="AI125" authorId="0" shapeId="0" xr:uid="{757CF2F9-F8E3-4ABC-85BD-601BAFF15290}">
      <text>
        <r>
          <rPr>
            <b/>
            <sz val="9"/>
            <color indexed="81"/>
            <rFont val="Tahoma"/>
            <charset val="177"/>
          </rPr>
          <t>יניב שפירא:</t>
        </r>
        <r>
          <rPr>
            <sz val="9"/>
            <color indexed="81"/>
            <rFont val="Tahoma"/>
            <charset val="177"/>
          </rPr>
          <t xml:space="preserve">
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r>
      </text>
    </comment>
    <comment ref="AI126" authorId="0" shapeId="0" xr:uid="{3ACDC6E2-4C52-4D19-B171-601CFD8ADFC2}">
      <text>
        <r>
          <rPr>
            <b/>
            <sz val="9"/>
            <color indexed="81"/>
            <rFont val="Tahoma"/>
            <charset val="177"/>
          </rPr>
          <t>יניב שפירא:</t>
        </r>
        <r>
          <rPr>
            <sz val="9"/>
            <color indexed="81"/>
            <rFont val="Tahoma"/>
            <charset val="177"/>
          </rPr>
          <t xml:space="preserve">
1 = לדעתי אין להחזיר כלום
2 = להחזיר חלק קטן
3 = להחזיר את רוב השטחים
4 = להחזיר את כל השטחים</t>
        </r>
      </text>
    </comment>
    <comment ref="C127" authorId="1" shapeId="0" xr:uid="{9C877F9D-3566-4550-9F87-350670581643}">
      <text>
        <r>
          <rPr>
            <b/>
            <sz val="9"/>
            <color indexed="81"/>
            <rFont val="Tahoma"/>
          </rPr>
          <t>adi:</t>
        </r>
        <r>
          <rPr>
            <sz val="9"/>
            <color indexed="81"/>
            <rFont val="Tahoma"/>
          </rPr>
          <t xml:space="preserve">
1 = שתי מדינות
2 = מדינה אחת מהירדן לים עם שוויון זכויות מלא לפלסטינים
3 = מדינה אחת מהירדן לים בשלטון ישראל ללא זכויות פוליטיות לפלסטינים
4 = אחר (פרט):_______</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X1" authorId="0" shapeId="0" xr:uid="{CB1EAFEE-5CD9-4367-AB9C-FF0C65A28FE4}">
      <text>
        <r>
          <rPr>
            <b/>
            <sz val="9"/>
            <color indexed="81"/>
            <rFont val="Tahoma"/>
            <charset val="177"/>
          </rPr>
          <t>יניב שפירא:</t>
        </r>
        <r>
          <rPr>
            <sz val="9"/>
            <color indexed="81"/>
            <rFont val="Tahoma"/>
            <charset val="177"/>
          </rPr>
          <t xml:space="preserve">
post election</t>
        </r>
      </text>
    </comment>
    <comment ref="AB1" authorId="0" shapeId="0" xr:uid="{DCBE12CA-036B-40C4-9317-AD6FD326EE5C}">
      <text>
        <r>
          <rPr>
            <b/>
            <sz val="9"/>
            <color indexed="81"/>
            <rFont val="Tahoma"/>
            <charset val="177"/>
          </rPr>
          <t>יניב שפירא:</t>
        </r>
        <r>
          <rPr>
            <sz val="9"/>
            <color indexed="81"/>
            <rFont val="Tahoma"/>
            <charset val="177"/>
          </rPr>
          <t xml:space="preserve">
post Kippur + post election</t>
        </r>
      </text>
    </comment>
    <comment ref="AC1" authorId="0" shapeId="0" xr:uid="{ADD8BBA3-7261-472E-8154-E1F10D7FDD36}">
      <text>
        <r>
          <rPr>
            <b/>
            <sz val="9"/>
            <color indexed="81"/>
            <rFont val="Tahoma"/>
            <charset val="177"/>
          </rPr>
          <t>יניב שפירא:</t>
        </r>
        <r>
          <rPr>
            <sz val="9"/>
            <color indexed="81"/>
            <rFont val="Tahoma"/>
            <charset val="177"/>
          </rPr>
          <t xml:space="preserve">
post Kippur</t>
        </r>
      </text>
    </comment>
    <comment ref="AD1" authorId="0" shapeId="0" xr:uid="{56437F1D-1E18-42B4-AC17-41B8C65D5D26}">
      <text>
        <r>
          <rPr>
            <b/>
            <sz val="9"/>
            <color indexed="81"/>
            <rFont val="Tahoma"/>
            <charset val="177"/>
          </rPr>
          <t>יניב שפירא:</t>
        </r>
        <r>
          <rPr>
            <sz val="9"/>
            <color indexed="81"/>
            <rFont val="Tahoma"/>
            <charset val="177"/>
          </rPr>
          <t xml:space="preserve">
post Kippur</t>
        </r>
      </text>
    </comment>
    <comment ref="AG1" authorId="0" shapeId="0" xr:uid="{137EB126-FD31-48DC-BB12-745C190F9E39}">
      <text>
        <r>
          <rPr>
            <b/>
            <sz val="9"/>
            <color indexed="81"/>
            <rFont val="Tahoma"/>
            <charset val="177"/>
          </rPr>
          <t>יניב שפירא:</t>
        </r>
        <r>
          <rPr>
            <sz val="9"/>
            <color indexed="81"/>
            <rFont val="Tahoma"/>
            <charset val="177"/>
          </rPr>
          <t xml:space="preserve">
pre + post election</t>
        </r>
      </text>
    </comment>
    <comment ref="E2" authorId="0" shapeId="0" xr:uid="{CE643869-5517-4B14-BA12-6EEC45339090}">
      <text>
        <r>
          <rPr>
            <b/>
            <sz val="9"/>
            <color indexed="81"/>
            <rFont val="Tahoma"/>
            <family val="2"/>
          </rPr>
          <t>יניב שפירא:</t>
        </r>
        <r>
          <rPr>
            <sz val="9"/>
            <color indexed="81"/>
            <rFont val="Tahoma"/>
            <family val="2"/>
          </rPr>
          <t xml:space="preserve">
1-10
1 = כלל לא דמוקרטית
10 = דמוקרטית לגמרי</t>
        </r>
      </text>
    </comment>
    <comment ref="A3" authorId="0" shapeId="0" xr:uid="{D9FDF648-B509-4DC9-85CD-9C9AA640613C}">
      <text>
        <r>
          <rPr>
            <b/>
            <sz val="9"/>
            <color indexed="81"/>
            <rFont val="Tahoma"/>
            <family val="2"/>
          </rPr>
          <t>יניב שפירא:</t>
        </r>
        <r>
          <rPr>
            <sz val="9"/>
            <color indexed="81"/>
            <rFont val="Tahoma"/>
            <family val="2"/>
          </rPr>
          <t xml:space="preserve">
שאלות 119-128
לא מקודדות אצלי בstata
גם ב2020 וגם ב2019
* ב2019 השאלה בכחול
* גם ב2021</t>
        </r>
      </text>
    </comment>
    <comment ref="E3" authorId="0" shapeId="0" xr:uid="{C320BE49-54F1-4599-83D0-1C039350684D}">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H7" authorId="0" shapeId="0" xr:uid="{08763899-92B6-4C8B-B44A-C320E86E853F}">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E9" authorId="0" shapeId="0" xr:uid="{E313C171-D05D-4B62-AB55-0399B8A287B1}">
      <text>
        <r>
          <rPr>
            <b/>
            <sz val="9"/>
            <color indexed="81"/>
            <rFont val="Tahoma"/>
            <family val="2"/>
          </rPr>
          <t>יניב שפירא:</t>
        </r>
        <r>
          <rPr>
            <sz val="9"/>
            <color indexed="81"/>
            <rFont val="Tahoma"/>
            <family val="2"/>
          </rPr>
          <t xml:space="preserve">
1 = כלל אין אמון
2 = אמון מועט
3 = אמון רב
4 = אמון רב מאד</t>
        </r>
      </text>
    </comment>
    <comment ref="N11" authorId="0" shapeId="0" xr:uid="{28B1F81D-28AD-4180-9AD9-2E71834B9756}">
      <text>
        <r>
          <rPr>
            <b/>
            <sz val="9"/>
            <color indexed="81"/>
            <rFont val="Tahoma"/>
            <charset val="177"/>
          </rPr>
          <t>יניב שפירא:</t>
        </r>
        <r>
          <rPr>
            <sz val="9"/>
            <color indexed="81"/>
            <rFont val="Tahoma"/>
            <charset val="177"/>
          </rPr>
          <t xml:space="preserve">
1 = כלל אין לי אמון
2 = במידה מועטה
3 = במידה מסוימת
4 = במידה רבה</t>
        </r>
      </text>
    </comment>
    <comment ref="N20" authorId="0" shapeId="0" xr:uid="{F495B698-D01D-48BD-B419-10A85FD56CA2}">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E25" authorId="0" shapeId="0" xr:uid="{E949E793-ADF0-4521-94A9-CB8A63FC384A}">
      <text>
        <r>
          <rPr>
            <b/>
            <sz val="9"/>
            <color indexed="81"/>
            <rFont val="Tahoma"/>
            <family val="2"/>
          </rPr>
          <t>יניב שפירא:</t>
        </r>
        <r>
          <rPr>
            <sz val="9"/>
            <color indexed="81"/>
            <rFont val="Tahoma"/>
            <family val="2"/>
          </rPr>
          <t xml:space="preserve">
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r>
      </text>
    </comment>
    <comment ref="E26" authorId="0" shapeId="0" xr:uid="{386F0547-BCC4-48E8-A12C-9C6FADF2B464}">
      <text>
        <r>
          <rPr>
            <b/>
            <sz val="9"/>
            <color indexed="81"/>
            <rFont val="Tahoma"/>
            <family val="2"/>
          </rPr>
          <t>יניב שפירא:</t>
        </r>
        <r>
          <rPr>
            <sz val="9"/>
            <color indexed="81"/>
            <rFont val="Tahoma"/>
            <family val="2"/>
          </rPr>
          <t xml:space="preserve">
1 = מאד לא מרוצה
2 = לא מרוצה
3 = מרוצה
4 = מרוצה מאד
8 = לא יודע
9 = מסרב</t>
        </r>
      </text>
    </comment>
    <comment ref="N26" authorId="0" shapeId="0" xr:uid="{6F94E253-EBD8-41F5-A2A0-D1532B5C6D2A}">
      <text>
        <r>
          <rPr>
            <b/>
            <sz val="9"/>
            <color indexed="81"/>
            <rFont val="Tahoma"/>
            <charset val="177"/>
          </rPr>
          <t>יניב שפירא:</t>
        </r>
        <r>
          <rPr>
            <sz val="9"/>
            <color indexed="81"/>
            <rFont val="Tahoma"/>
            <charset val="177"/>
          </rPr>
          <t xml:space="preserve">
1 = מאד מרוצה
2 = מרוצה
3 = לא מרוצה
4 = מאד לא מרוצה</t>
        </r>
      </text>
    </comment>
    <comment ref="N27" authorId="0" shapeId="0" xr:uid="{8BAA90C6-2D72-474F-A211-36A9BEC96349}">
      <text>
        <r>
          <rPr>
            <b/>
            <sz val="9"/>
            <color indexed="81"/>
            <rFont val="Tahoma"/>
            <family val="2"/>
          </rPr>
          <t>יניב שפירא:</t>
        </r>
        <r>
          <rPr>
            <sz val="9"/>
            <color indexed="81"/>
            <rFont val="Tahoma"/>
            <family val="2"/>
          </rPr>
          <t xml:space="preserve">
1 = מאד לא מרוצה
2 = לא מרוצה
3 = מרוצה
4 = מרוצה מאד</t>
        </r>
      </text>
    </comment>
    <comment ref="G28" authorId="0" shapeId="0" xr:uid="{2B843AC2-17C0-4214-83BB-FAB0A334079B}">
      <text>
        <r>
          <rPr>
            <b/>
            <sz val="9"/>
            <color indexed="81"/>
            <rFont val="Tahoma"/>
            <family val="2"/>
          </rPr>
          <t>יניב שפירא:</t>
        </r>
        <r>
          <rPr>
            <sz val="9"/>
            <color indexed="81"/>
            <rFont val="Tahoma"/>
            <family val="2"/>
          </rPr>
          <t xml:space="preserve">
1-10
1 = כלל לא חשוב
1 = חשוב לחלוטין</t>
        </r>
      </text>
    </comment>
    <comment ref="P29" authorId="0" shapeId="0" xr:uid="{252C0CB1-DB24-458A-8B07-5E830753EE9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P30" authorId="0" shapeId="0" xr:uid="{7B39951F-5037-4E39-A56A-CB647BF90541}">
      <text>
        <r>
          <rPr>
            <b/>
            <sz val="9"/>
            <color indexed="81"/>
            <rFont val="Tahoma"/>
            <family val="2"/>
          </rPr>
          <t>יניב שפירא:</t>
        </r>
        <r>
          <rPr>
            <sz val="9"/>
            <color indexed="81"/>
            <rFont val="Tahoma"/>
            <family val="2"/>
          </rPr>
          <t xml:space="preserve">
1 = סיכוי גבוה
2 = סיכוי נמוך</t>
        </r>
      </text>
    </comment>
    <comment ref="J31" authorId="0" shapeId="0" xr:uid="{1D98297C-4F6E-42E2-8C9F-8D97E45D5C67}">
      <text>
        <r>
          <rPr>
            <b/>
            <sz val="9"/>
            <color indexed="81"/>
            <rFont val="Tahoma"/>
            <family val="2"/>
          </rPr>
          <t>יניב שפירא:</t>
        </r>
        <r>
          <rPr>
            <sz val="9"/>
            <color indexed="81"/>
            <rFont val="Tahoma"/>
            <family val="2"/>
          </rPr>
          <t xml:space="preserve">
1 = בהחלט לא מסכים
2 = לא מסכים
3 = מסכים
4 = מסכים בהחלט</t>
        </r>
      </text>
    </comment>
    <comment ref="R31" authorId="0" shapeId="0" xr:uid="{7668D09B-9A28-431B-B2BD-A4A51B62B17A}">
      <text>
        <r>
          <rPr>
            <b/>
            <sz val="9"/>
            <color indexed="81"/>
            <rFont val="Tahoma"/>
            <family val="2"/>
          </rPr>
          <t>יניב שפירא:</t>
        </r>
        <r>
          <rPr>
            <sz val="9"/>
            <color indexed="81"/>
            <rFont val="Tahoma"/>
            <family val="2"/>
          </rPr>
          <t xml:space="preserve">
1 = מסכים בהחלט
2 = מסכים
3 = לא בטוח
4 = לא מסכים
5 = כלל לא מסכים</t>
        </r>
      </text>
    </comment>
    <comment ref="V31" authorId="0" shapeId="0" xr:uid="{E45E0E03-9DEE-4FD6-9E23-519BB1C4A107}">
      <text>
        <r>
          <rPr>
            <b/>
            <sz val="9"/>
            <color indexed="81"/>
            <rFont val="Tahoma"/>
            <charset val="177"/>
          </rPr>
          <t>יניב שפירא:</t>
        </r>
        <r>
          <rPr>
            <sz val="9"/>
            <color indexed="81"/>
            <rFont val="Tahoma"/>
            <charset val="177"/>
          </rPr>
          <t xml:space="preserve">
1 = מסכים בהחלט
2 = מסכים
3 = לא בטוח
4 = לא מסכים
5 = בהחלט לא מסכים</t>
        </r>
      </text>
    </comment>
    <comment ref="J32" authorId="0" shapeId="0" xr:uid="{896BA699-2277-46C7-98DC-F5FF42C32128}">
      <text>
        <r>
          <rPr>
            <b/>
            <sz val="9"/>
            <color indexed="81"/>
            <rFont val="Tahoma"/>
            <family val="2"/>
          </rPr>
          <t>יניב שפירא:</t>
        </r>
        <r>
          <rPr>
            <sz val="9"/>
            <color indexed="81"/>
            <rFont val="Tahoma"/>
            <family val="2"/>
          </rPr>
          <t xml:space="preserve">
1 = בהחלט לא מסכים
2 = לא מסכים
3 = מסכים
4 = מסכים בהחלט</t>
        </r>
      </text>
    </comment>
    <comment ref="A33" authorId="0" shapeId="0" xr:uid="{6129FB11-5770-4433-8D09-FB8D4B217C90}">
      <text>
        <r>
          <rPr>
            <b/>
            <sz val="9"/>
            <color indexed="81"/>
            <rFont val="Tahoma"/>
            <family val="2"/>
          </rPr>
          <t>יניב שפירא:</t>
        </r>
        <r>
          <rPr>
            <sz val="9"/>
            <color indexed="81"/>
            <rFont val="Tahoma"/>
            <family val="2"/>
          </rPr>
          <t xml:space="preserve">
יהודים בלבד</t>
        </r>
      </text>
    </comment>
    <comment ref="M33" authorId="0" shapeId="0" xr:uid="{52554985-303D-4586-975A-3AF5CB51A568}">
      <text>
        <r>
          <rPr>
            <b/>
            <sz val="9"/>
            <color indexed="81"/>
            <rFont val="Tahoma"/>
            <family val="2"/>
          </rPr>
          <t>יניב שפירא:</t>
        </r>
        <r>
          <rPr>
            <sz val="9"/>
            <color indexed="81"/>
            <rFont val="Tahoma"/>
            <family val="2"/>
          </rPr>
          <t xml:space="preserve">
1 = בטוח שרק יהודים
2 = חושב שרק יהודים
3 = חושב שגם ערבים
4 = בטוח שגם ערבים</t>
        </r>
      </text>
    </comment>
    <comment ref="N34" authorId="0" shapeId="0" xr:uid="{0821E600-C47C-4E6D-9B69-4C9EB1BE801F}">
      <text>
        <r>
          <rPr>
            <b/>
            <sz val="9"/>
            <color indexed="81"/>
            <rFont val="Tahoma"/>
            <charset val="177"/>
          </rPr>
          <t>יניב שפירא:</t>
        </r>
        <r>
          <rPr>
            <sz val="9"/>
            <color indexed="81"/>
            <rFont val="Tahoma"/>
            <charset val="177"/>
          </rPr>
          <t xml:space="preserve">
1 = מאד מרוצה
2 = מרוצה
3 = לא מרוצה
4 = מאד לא מרוצה</t>
        </r>
      </text>
    </comment>
    <comment ref="O35" authorId="0" shapeId="0" xr:uid="{C9A07354-A6C1-4AE3-8C4F-D1BFAB7253AB}">
      <text>
        <r>
          <rPr>
            <b/>
            <sz val="9"/>
            <color indexed="81"/>
            <rFont val="Tahoma"/>
            <family val="2"/>
          </rPr>
          <t>יניב שפירא:</t>
        </r>
        <r>
          <rPr>
            <sz val="9"/>
            <color indexed="81"/>
            <rFont val="Tahoma"/>
            <family val="2"/>
          </rPr>
          <t xml:space="preserve">
1 = מסכים בהחלט
2 = די מסכים
3 = די מתנגד
4 = מתנגד בהחלט</t>
        </r>
      </text>
    </comment>
    <comment ref="T36" authorId="0" shapeId="0" xr:uid="{0E280A75-4250-4E24-A0C4-CDDF2D11BE8E}">
      <text>
        <r>
          <rPr>
            <b/>
            <sz val="9"/>
            <color indexed="81"/>
            <rFont val="Tahoma"/>
            <charset val="177"/>
          </rPr>
          <t>יניב שפירא:</t>
        </r>
        <r>
          <rPr>
            <sz val="9"/>
            <color indexed="81"/>
            <rFont val="Tahoma"/>
            <charset val="177"/>
          </rPr>
          <t xml:space="preserve">
1 = הגדלת זכויות אזרח, כולל מתן זכות הצבעה לכנסת
2 = הגדלת זכויות אזרח, אך בלי להצביע בכנסת
3 = השארת המצב כמו שהוא
4 = הפחתת זכויות אזרח</t>
        </r>
      </text>
    </comment>
    <comment ref="P37" authorId="0" shapeId="0" xr:uid="{7F5EB167-AB17-406B-9427-AC3CA58E3206}">
      <text>
        <r>
          <rPr>
            <b/>
            <sz val="9"/>
            <color indexed="81"/>
            <rFont val="Tahoma"/>
            <family val="2"/>
          </rPr>
          <t>יניב שפירא:</t>
        </r>
        <r>
          <rPr>
            <sz val="9"/>
            <color indexed="81"/>
            <rFont val="Tahoma"/>
            <family val="2"/>
          </rPr>
          <t xml:space="preserve">
1 = זכויות אזרח מלאות כולל זכות הצבעה
2 = זכויות אזרח ללא זכות הצבעה
3 = השארת המצב כמו שהוא
4 = הפחתת הזכויות הניתנות כיום</t>
        </r>
      </text>
    </comment>
    <comment ref="J38" authorId="0" shapeId="0" xr:uid="{72D6A039-3592-4660-9FC6-A14A46DB8915}">
      <text>
        <r>
          <rPr>
            <b/>
            <sz val="9"/>
            <color indexed="81"/>
            <rFont val="Tahoma"/>
            <family val="2"/>
          </rPr>
          <t>יניב שפירא:</t>
        </r>
        <r>
          <rPr>
            <sz val="9"/>
            <color indexed="81"/>
            <rFont val="Tahoma"/>
            <family val="2"/>
          </rPr>
          <t xml:space="preserve">
1 = תומך בפסילת שתי המפלגות
2 = תומך רק בפסילת בל"ד
3 = תומך רק בפסילת רע"ם-תע"ל
4 = מתנגד לפסילת שתי המפלגות</t>
        </r>
      </text>
    </comment>
    <comment ref="Q39" authorId="0" shapeId="0" xr:uid="{9B832D92-B1EE-457B-9C62-F97E5A31B01E}">
      <text>
        <r>
          <rPr>
            <b/>
            <sz val="9"/>
            <color indexed="81"/>
            <rFont val="Tahoma"/>
            <charset val="177"/>
          </rPr>
          <t>יניב שפירא:</t>
        </r>
        <r>
          <rPr>
            <sz val="9"/>
            <color indexed="81"/>
            <rFont val="Tahoma"/>
            <charset val="177"/>
          </rPr>
          <t xml:space="preserve">
1 = בעד
2 = נגד</t>
        </r>
      </text>
    </comment>
    <comment ref="Q40" authorId="0" shapeId="0" xr:uid="{EC69B397-260C-43D9-8B79-777936838057}">
      <text>
        <r>
          <rPr>
            <b/>
            <sz val="9"/>
            <color indexed="81"/>
            <rFont val="Tahoma"/>
            <charset val="177"/>
          </rPr>
          <t>יניב שפירא:</t>
        </r>
        <r>
          <rPr>
            <sz val="9"/>
            <color indexed="81"/>
            <rFont val="Tahoma"/>
            <charset val="177"/>
          </rPr>
          <t xml:space="preserve">
1 = יותר מדי פיקוח
2 = מידה מתאימה
3 = פחות מדי פיקוח</t>
        </r>
      </text>
    </comment>
    <comment ref="R41" authorId="0" shapeId="0" xr:uid="{09B4D72E-B4E2-4C5C-AA6F-589037ED22CF}">
      <text>
        <r>
          <rPr>
            <b/>
            <sz val="9"/>
            <color indexed="81"/>
            <rFont val="Tahoma"/>
            <family val="2"/>
          </rPr>
          <t>יניב שפירא:</t>
        </r>
        <r>
          <rPr>
            <sz val="9"/>
            <color indexed="81"/>
            <rFont val="Tahoma"/>
            <family val="2"/>
          </rPr>
          <t xml:space="preserve">
1 = מסכים בהחלט
2 = מסכים
3 = לא בטוח
4 = לא מסכים
5 = בהחלט לא מסכים</t>
        </r>
      </text>
    </comment>
    <comment ref="R46" authorId="0" shapeId="0" xr:uid="{537A4877-4544-4C52-82C8-374A23FD04E7}">
      <text>
        <r>
          <rPr>
            <b/>
            <sz val="9"/>
            <color indexed="81"/>
            <rFont val="Tahoma"/>
            <family val="2"/>
          </rPr>
          <t>יניב שפירא:</t>
        </r>
        <r>
          <rPr>
            <sz val="9"/>
            <color indexed="81"/>
            <rFont val="Tahoma"/>
            <family val="2"/>
          </rPr>
          <t xml:space="preserve">
1 = בהחלט בעד הוצאתה
2 = בעד הוצאתה
3 = לא בטוח
4 = נגד הוצאתה
5 = בהחלט נגד הוצאתה</t>
        </r>
      </text>
    </comment>
    <comment ref="R51" authorId="0" shapeId="0" xr:uid="{B8986C95-F17F-451D-80CE-285A1119D559}">
      <text>
        <r>
          <rPr>
            <b/>
            <sz val="9"/>
            <color indexed="81"/>
            <rFont val="Tahoma"/>
            <family val="2"/>
          </rPr>
          <t>יניב שפירא:</t>
        </r>
        <r>
          <rPr>
            <sz val="9"/>
            <color indexed="81"/>
            <rFont val="Tahoma"/>
            <family val="2"/>
          </rPr>
          <t xml:space="preserve">
1 = בהחלט מסכים
2 = מסכים
3 = לא בטוח
4 = לא מסכים
5 = בהחלט לא מסכים</t>
        </r>
      </text>
    </comment>
    <comment ref="R56" authorId="0" shapeId="0" xr:uid="{9B3730BA-ACF0-4AA6-9E12-D8C0AA8AD0A5}">
      <text>
        <r>
          <rPr>
            <b/>
            <sz val="9"/>
            <color indexed="81"/>
            <rFont val="Tahoma"/>
            <family val="2"/>
          </rPr>
          <t>יניב שפירא:</t>
        </r>
        <r>
          <rPr>
            <sz val="9"/>
            <color indexed="81"/>
            <rFont val="Tahoma"/>
            <family val="2"/>
          </rPr>
          <t xml:space="preserve">
1 = מסכים בהחלט
2 = מסכים
3 = לא בטוח
4 = לא מסכים
5 = כלל לא מסכים</t>
        </r>
      </text>
    </comment>
    <comment ref="W57" authorId="0" shapeId="0" xr:uid="{DB0F4C82-30B2-4E5E-98FE-2BDE0A9DC3E7}">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T64" authorId="0" shapeId="0" xr:uid="{438BEFF8-075E-45AE-A14C-89B2613C3FD5}">
      <text>
        <r>
          <rPr>
            <b/>
            <sz val="9"/>
            <color indexed="81"/>
            <rFont val="Tahoma"/>
            <charset val="177"/>
          </rPr>
          <t>יניב שפירא:</t>
        </r>
        <r>
          <rPr>
            <sz val="9"/>
            <color indexed="81"/>
            <rFont val="Tahoma"/>
            <charset val="177"/>
          </rPr>
          <t xml:space="preserve">
1 = קולותיהם של הבוחרים יכולים במידה רבה לשנות את המדיניות
2 = יכולים לשנות במידה מסוימת
3 = במידה מועטה
4 = בכלל לא יכולים לשנות</t>
        </r>
      </text>
    </comment>
    <comment ref="AG64" authorId="0" shapeId="0" xr:uid="{FA1797BA-785A-451F-8350-9FA24EC1B649}">
      <text>
        <r>
          <rPr>
            <b/>
            <sz val="9"/>
            <color indexed="81"/>
            <rFont val="Tahoma"/>
            <family val="2"/>
          </rPr>
          <t>יניב שפירא:</t>
        </r>
        <r>
          <rPr>
            <sz val="9"/>
            <color indexed="81"/>
            <rFont val="Tahoma"/>
            <family val="2"/>
          </rPr>
          <t xml:space="preserve">
1 = מאוד מסכים עם הטענה
2 = מסכים עם הטענה
3 = מסתייג מהטענה
4 = מתנגד בהחלט לטענה</t>
        </r>
      </text>
    </comment>
    <comment ref="W65" authorId="0" shapeId="0" xr:uid="{3092FB2F-1292-4A08-AE80-5D55E1F4FAA6}">
      <text>
        <r>
          <rPr>
            <b/>
            <sz val="9"/>
            <color indexed="81"/>
            <rFont val="Tahoma"/>
            <charset val="177"/>
          </rPr>
          <t>יניב שפירא:</t>
        </r>
        <r>
          <rPr>
            <sz val="9"/>
            <color indexed="81"/>
            <rFont val="Tahoma"/>
            <charset val="177"/>
          </rPr>
          <t xml:space="preserve">
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r>
      </text>
    </comment>
    <comment ref="AC66" authorId="0" shapeId="0" xr:uid="{29B4FA92-E48F-4CC7-BE27-24ED287F59A8}">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E66" authorId="0" shapeId="0" xr:uid="{7561B139-9076-48B0-B400-883B06565743}">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67" authorId="0" shapeId="0" xr:uid="{83E70AB0-E8DB-4A0B-A7EC-35B5FBA9B539}">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C68" authorId="0" shapeId="0" xr:uid="{9D0748E0-3971-485D-93CC-D1E11D239E93}">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68" authorId="0" shapeId="0" xr:uid="{BF36F97C-47D1-4868-82EA-8DF532E15868}">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69" authorId="0" shapeId="0" xr:uid="{8F5C42F1-123C-4228-8027-B0617AC652D1}">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70" authorId="0" shapeId="0" xr:uid="{8CEFD707-AC8F-4820-A53A-DC598235370B}">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71" authorId="0" shapeId="0" xr:uid="{918F54BC-0C66-40F7-82C7-4DB0E2892725}">
      <text>
        <r>
          <rPr>
            <b/>
            <sz val="9"/>
            <color indexed="81"/>
            <rFont val="Tahoma"/>
            <family val="2"/>
          </rPr>
          <t>יניב שפירא:</t>
        </r>
        <r>
          <rPr>
            <sz val="9"/>
            <color indexed="81"/>
            <rFont val="Tahoma"/>
            <family val="2"/>
          </rPr>
          <t xml:space="preserve">
1 = בהחלט צריך להצביע
2 = יתכן שצריך
3 = יתכן שלא צריך
4 = בהחלט לא צריך</t>
        </r>
      </text>
    </comment>
    <comment ref="AC72" authorId="0" shapeId="0" xr:uid="{B0C8C9FA-4F0E-4588-BF8C-7A86E933F5E4}">
      <text>
        <r>
          <rPr>
            <b/>
            <sz val="9"/>
            <color indexed="81"/>
            <rFont val="Tahoma"/>
            <charset val="177"/>
          </rPr>
          <t>יניב שפירא:</t>
        </r>
        <r>
          <rPr>
            <sz val="9"/>
            <color indexed="81"/>
            <rFont val="Tahoma"/>
            <charset val="177"/>
          </rPr>
          <t xml:space="preserve">
1 = מסכים בהחלט
2 = מסכים
3 = לא כ"כ מסכים
4 = לא מסכים כלל</t>
        </r>
      </text>
    </comment>
    <comment ref="AE73" authorId="0" shapeId="0" xr:uid="{701A8ADB-BECE-4FEB-8B91-BCEA0AD1108F}">
      <text>
        <r>
          <rPr>
            <b/>
            <sz val="9"/>
            <color indexed="81"/>
            <rFont val="Tahoma"/>
            <family val="2"/>
          </rPr>
          <t>יניב שפירא:</t>
        </r>
        <r>
          <rPr>
            <sz val="9"/>
            <color indexed="81"/>
            <rFont val="Tahoma"/>
            <family val="2"/>
          </rPr>
          <t xml:space="preserve">
1 = בהחלט מסכים
2 = מסכים
3 = לא כ"כ מסכים
4 = בכלל לא מסכים</t>
        </r>
      </text>
    </comment>
    <comment ref="AE74" authorId="0" shapeId="0" xr:uid="{4CB940A7-2390-4ADB-BAD7-48FBBCA26DC6}">
      <text>
        <r>
          <rPr>
            <b/>
            <sz val="9"/>
            <color indexed="81"/>
            <rFont val="Tahoma"/>
            <charset val="177"/>
          </rPr>
          <t>יניב שפירא:</t>
        </r>
        <r>
          <rPr>
            <sz val="9"/>
            <color indexed="81"/>
            <rFont val="Tahoma"/>
            <charset val="177"/>
          </rPr>
          <t xml:space="preserve">
1 = בהחלט כן
2 = אולי כן
3 = אולי לא
4 = בהחלט לא</t>
        </r>
      </text>
    </comment>
    <comment ref="AE75" authorId="0" shapeId="0" xr:uid="{D11B81C3-14B8-4D2F-90E9-6B4FE29D7721}">
      <text>
        <r>
          <rPr>
            <b/>
            <sz val="9"/>
            <color indexed="81"/>
            <rFont val="Tahoma"/>
            <charset val="177"/>
          </rPr>
          <t>יניב שפירא:</t>
        </r>
        <r>
          <rPr>
            <sz val="9"/>
            <color indexed="81"/>
            <rFont val="Tahoma"/>
            <charset val="177"/>
          </rPr>
          <t xml:space="preserve">
1 = בהחלט מסכים
2 = מסכים
3 = לא כ"כ מסכים
4 = בהחלט לא מסכים</t>
        </r>
      </text>
    </comment>
    <comment ref="AE76" authorId="0" shapeId="0" xr:uid="{49D230B1-FE0C-4A85-96B6-28820F402EF6}">
      <text>
        <r>
          <rPr>
            <b/>
            <sz val="9"/>
            <color indexed="81"/>
            <rFont val="Tahoma"/>
            <charset val="177"/>
          </rPr>
          <t>יניב שפירא:</t>
        </r>
        <r>
          <rPr>
            <sz val="9"/>
            <color indexed="81"/>
            <rFont val="Tahoma"/>
            <charset val="177"/>
          </rPr>
          <t xml:space="preserve">
1 = מאוד חשוב
2 = חשוב
3 = לא כ"כ חשוב
4 = לא חשוב כלל</t>
        </r>
      </text>
    </comment>
    <comment ref="AE77" authorId="0" shapeId="0" xr:uid="{4EFB03F3-9380-4327-9E49-F021B04EE032}">
      <text>
        <r>
          <rPr>
            <b/>
            <sz val="9"/>
            <color indexed="81"/>
            <rFont val="Tahoma"/>
            <family val="2"/>
          </rPr>
          <t>יניב שפירא:</t>
        </r>
        <r>
          <rPr>
            <sz val="9"/>
            <color indexed="81"/>
            <rFont val="Tahoma"/>
            <family val="2"/>
          </rPr>
          <t xml:space="preserve">
1 = מוטב מפלגה אחת
2 = מוטב מס' מפלגות
3 = הבחירות אינן פוגעות בליכוד העם</t>
        </r>
      </text>
    </comment>
    <comment ref="AF78" authorId="0" shapeId="0" xr:uid="{413E0D87-8E20-4677-A26E-711A82A29AAA}">
      <text>
        <r>
          <rPr>
            <b/>
            <sz val="9"/>
            <color indexed="81"/>
            <rFont val="Tahoma"/>
            <charset val="177"/>
          </rPr>
          <t>יניב שפירא:</t>
        </r>
        <r>
          <rPr>
            <sz val="9"/>
            <color indexed="81"/>
            <rFont val="Tahoma"/>
            <charset val="177"/>
          </rPr>
          <t xml:space="preserve">
1 = בהחלט כן
2 = אולי כן
3 = אולי לא
4 = בהחלט לא</t>
        </r>
      </text>
    </comment>
    <comment ref="AE79" authorId="0" shapeId="0" xr:uid="{31075F01-86DA-4504-A9C4-14F995D98CA5}">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80" authorId="0" shapeId="0" xr:uid="{F72CF6F7-4142-4A2C-838E-FF2295FAE053}">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81" authorId="0" shapeId="0" xr:uid="{41D2F9E7-222B-4B14-A255-1046D29F2B13}">
      <text>
        <r>
          <rPr>
            <b/>
            <sz val="9"/>
            <color indexed="81"/>
            <rFont val="Tahoma"/>
            <family val="2"/>
          </rPr>
          <t>יניב שפירא:</t>
        </r>
        <r>
          <rPr>
            <sz val="9"/>
            <color indexed="81"/>
            <rFont val="Tahoma"/>
            <family val="2"/>
          </rPr>
          <t xml:space="preserve">
1 = כלל לא ברור לי
2 = לא כ"כ ברור
3 = ברור לי
4 = ברור בהחלט</t>
        </r>
      </text>
    </comment>
    <comment ref="D82" authorId="0" shapeId="0" xr:uid="{D725A2B3-08D3-458B-B7CC-21C8E3DBC762}">
      <text>
        <r>
          <rPr>
            <b/>
            <sz val="9"/>
            <color indexed="81"/>
            <rFont val="Tahoma"/>
            <family val="2"/>
          </rPr>
          <t>יניב שפירא:</t>
        </r>
        <r>
          <rPr>
            <sz val="9"/>
            <color indexed="81"/>
            <rFont val="Tahoma"/>
            <family val="2"/>
          </rPr>
          <t xml:space="preserve">
1 = יציבה מאוד
2 = יציבה
3 = כמו אחרות
4 = לא יציבה
5 = מאד לא יציבה</t>
        </r>
      </text>
    </comment>
    <comment ref="AA83" authorId="0" shapeId="0" xr:uid="{0CFE1DF1-0DF7-47AA-9C3F-003FD64D9C2B}">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C83" authorId="0" shapeId="0" xr:uid="{4FD0F723-5F17-4375-9749-51B4170B0919}">
      <text>
        <r>
          <rPr>
            <b/>
            <sz val="9"/>
            <color indexed="81"/>
            <rFont val="Tahoma"/>
            <charset val="177"/>
          </rPr>
          <t>יניב שפירא:</t>
        </r>
        <r>
          <rPr>
            <sz val="9"/>
            <color indexed="81"/>
            <rFont val="Tahoma"/>
            <charset val="177"/>
          </rPr>
          <t xml:space="preserve">
1 = רוצה להשפיע
2 = בהחלט רוצה להשפיע
3 = לא כ"כ רוצה
3 = בכלל לא רוצה</t>
        </r>
      </text>
    </comment>
    <comment ref="W84" authorId="0" shapeId="0" xr:uid="{664F89FF-50A5-4E9F-AAF7-AA4D48A1D358}">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H85" authorId="0" shapeId="0" xr:uid="{3A6D885C-1071-4F43-B3E2-21361A68D46B}">
      <text>
        <r>
          <rPr>
            <b/>
            <sz val="9"/>
            <color indexed="81"/>
            <rFont val="Tahoma"/>
            <family val="2"/>
          </rPr>
          <t>יניב שפירא:</t>
        </r>
        <r>
          <rPr>
            <sz val="9"/>
            <color indexed="81"/>
            <rFont val="Tahoma"/>
            <family val="2"/>
          </rPr>
          <t xml:space="preserve">
1 = בהחלט צריכה לשנות
2 = חשוב שצריכה לשנות
3 = חושב שלא צריכה לשנות
4 = בהחלט לא צריכה לשנות</t>
        </r>
      </text>
    </comment>
    <comment ref="AA87" authorId="0" shapeId="0" xr:uid="{05A3169B-58E3-44A4-B78B-8517C75D7526}">
      <text>
        <r>
          <rPr>
            <b/>
            <sz val="9"/>
            <color indexed="81"/>
            <rFont val="Tahoma"/>
            <family val="2"/>
          </rPr>
          <t>יניב שפירא:</t>
        </r>
        <r>
          <rPr>
            <sz val="9"/>
            <color indexed="81"/>
            <rFont val="Tahoma"/>
            <family val="2"/>
          </rPr>
          <t xml:space="preserve">
1 = בהחלט להמשיך בשיטה הקיימת
2 = חושב להמשיך
3 = חושב שצריך לשנות
4 = בטוח שצריך לשנות
5 = אין לי דעה
6 = שתי השיטות לא טובות, צריך בכלל לעבור לשיטה אזורית</t>
        </r>
      </text>
    </comment>
    <comment ref="AI88" authorId="0" shapeId="0" xr:uid="{4ACB9AA3-BE56-4970-BACA-C93D22492182}">
      <text>
        <r>
          <rPr>
            <b/>
            <sz val="9"/>
            <color indexed="81"/>
            <rFont val="Tahoma"/>
            <family val="2"/>
          </rPr>
          <t>יניב שפירא:</t>
        </r>
        <r>
          <rPr>
            <sz val="9"/>
            <color indexed="81"/>
            <rFont val="Tahoma"/>
            <family val="2"/>
          </rPr>
          <t xml:space="preserve">
1 = בהחלט עדיף בחירות אישיות
2 = עדיף בחירות אישיות
3 = עדיף רשימה מפלגתית
4 = בהחלט עדיף רשימה מפלגתית
5 = אין דעה</t>
        </r>
      </text>
    </comment>
    <comment ref="AA89" authorId="0" shapeId="0" xr:uid="{55A877B7-8F46-4212-8F3D-751FC67F688E}">
      <text>
        <r>
          <rPr>
            <b/>
            <sz val="9"/>
            <color indexed="81"/>
            <rFont val="Tahoma"/>
            <family val="2"/>
          </rPr>
          <t>יניב שפירא:</t>
        </r>
        <r>
          <rPr>
            <sz val="9"/>
            <color indexed="81"/>
            <rFont val="Tahoma"/>
            <family val="2"/>
          </rPr>
          <t xml:space="preserve">
1 = תגביר במידה רבה
2 = תגביר במידה מסוימת
3 = תגביר במידה מועטה
4 = תקטין במידה מועטה
5 = תקטין במידה מסוימת
6 = תקטין במידה רבה
7 = לא תשנה
8 = לא יודע</t>
        </r>
      </text>
    </comment>
    <comment ref="D90" authorId="0" shapeId="0" xr:uid="{338DA9AE-0B27-4A6C-B1BA-3782C357AAE1}">
      <text>
        <r>
          <rPr>
            <b/>
            <sz val="9"/>
            <color indexed="81"/>
            <rFont val="Tahoma"/>
            <family val="2"/>
          </rPr>
          <t>יניב שפירא:</t>
        </r>
        <r>
          <rPr>
            <sz val="9"/>
            <color indexed="81"/>
            <rFont val="Tahoma"/>
            <family val="2"/>
          </rPr>
          <t xml:space="preserve">
1 = זמן ארוך מאד
2 = זמן ארוך
3 = דומה למדינות אחרות
4 = זמן קצר
5 = זמן קצר מאוד</t>
        </r>
      </text>
    </comment>
    <comment ref="D91" authorId="0" shapeId="0" xr:uid="{C0F1A5D0-4874-42EA-8925-937236E06A30}">
      <text>
        <r>
          <rPr>
            <b/>
            <sz val="9"/>
            <color indexed="81"/>
            <rFont val="Tahoma"/>
            <family val="2"/>
          </rPr>
          <t>יניב שפירא:</t>
        </r>
        <r>
          <rPr>
            <sz val="9"/>
            <color indexed="81"/>
            <rFont val="Tahoma"/>
            <family val="2"/>
          </rPr>
          <t xml:space="preserve">
1 = מצליחות מאד
2 = מצליחות
3 = כמו אחרות
4 = לא מצליחות
5 = לא מצליחות כלל</t>
        </r>
      </text>
    </comment>
    <comment ref="B93" authorId="1" shapeId="0" xr:uid="{A1DF5358-82EC-42E9-9B8B-9658B66F57E4}">
      <text>
        <r>
          <rPr>
            <b/>
            <sz val="9"/>
            <color indexed="81"/>
            <rFont val="Tahoma"/>
          </rPr>
          <t>adi:</t>
        </r>
        <r>
          <rPr>
            <sz val="9"/>
            <color indexed="81"/>
            <rFont val="Tahoma"/>
          </rPr>
          <t xml:space="preserve">
סקאלה השתנתה משתי תשובות לעשר</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X1" authorId="0" shapeId="0" xr:uid="{0526DA23-A73C-4A23-B825-A09EE754BA89}">
      <text>
        <r>
          <rPr>
            <b/>
            <sz val="9"/>
            <color indexed="81"/>
            <rFont val="Tahoma"/>
            <charset val="177"/>
          </rPr>
          <t>יניב שפירא:</t>
        </r>
        <r>
          <rPr>
            <sz val="9"/>
            <color indexed="81"/>
            <rFont val="Tahoma"/>
            <charset val="177"/>
          </rPr>
          <t xml:space="preserve">
post election</t>
        </r>
      </text>
    </comment>
    <comment ref="AB1" authorId="0" shapeId="0" xr:uid="{DBF32650-33FD-4E43-BB26-912FCE3553AE}">
      <text>
        <r>
          <rPr>
            <b/>
            <sz val="9"/>
            <color indexed="81"/>
            <rFont val="Tahoma"/>
            <charset val="177"/>
          </rPr>
          <t>יניב שפירא:</t>
        </r>
        <r>
          <rPr>
            <sz val="9"/>
            <color indexed="81"/>
            <rFont val="Tahoma"/>
            <charset val="177"/>
          </rPr>
          <t xml:space="preserve">
post Kippur + post election</t>
        </r>
      </text>
    </comment>
    <comment ref="AC1" authorId="0" shapeId="0" xr:uid="{EFFA4C27-56E0-4894-ACAD-72432B9B1D4D}">
      <text>
        <r>
          <rPr>
            <b/>
            <sz val="9"/>
            <color indexed="81"/>
            <rFont val="Tahoma"/>
            <charset val="177"/>
          </rPr>
          <t>יניב שפירא:</t>
        </r>
        <r>
          <rPr>
            <sz val="9"/>
            <color indexed="81"/>
            <rFont val="Tahoma"/>
            <charset val="177"/>
          </rPr>
          <t xml:space="preserve">
post Kippur</t>
        </r>
      </text>
    </comment>
    <comment ref="AD1" authorId="0" shapeId="0" xr:uid="{C42F41CB-BA53-49D1-B2BC-5E5CB2735EA1}">
      <text>
        <r>
          <rPr>
            <b/>
            <sz val="9"/>
            <color indexed="81"/>
            <rFont val="Tahoma"/>
            <charset val="177"/>
          </rPr>
          <t>יניב שפירא:</t>
        </r>
        <r>
          <rPr>
            <sz val="9"/>
            <color indexed="81"/>
            <rFont val="Tahoma"/>
            <charset val="177"/>
          </rPr>
          <t xml:space="preserve">
post Kippur</t>
        </r>
      </text>
    </comment>
    <comment ref="AG1" authorId="0" shapeId="0" xr:uid="{6A1B467B-988E-47C4-A3DB-D4D84EE807FF}">
      <text>
        <r>
          <rPr>
            <b/>
            <sz val="9"/>
            <color indexed="81"/>
            <rFont val="Tahoma"/>
            <charset val="177"/>
          </rPr>
          <t>יניב שפירא:</t>
        </r>
        <r>
          <rPr>
            <sz val="9"/>
            <color indexed="81"/>
            <rFont val="Tahoma"/>
            <charset val="177"/>
          </rPr>
          <t xml:space="preserve">
pre + post election</t>
        </r>
      </text>
    </comment>
    <comment ref="D2" authorId="0" shapeId="0" xr:uid="{A164C094-3E35-4DF4-9776-8768C9A2E3A0}">
      <text>
        <r>
          <rPr>
            <b/>
            <sz val="9"/>
            <color indexed="81"/>
            <rFont val="Tahoma"/>
            <family val="2"/>
          </rPr>
          <t>יניב שפירא:</t>
        </r>
        <r>
          <rPr>
            <sz val="9"/>
            <color indexed="81"/>
            <rFont val="Tahoma"/>
            <family val="2"/>
          </rPr>
          <t xml:space="preserve">
1 = אף פעם
2 = פעם בשבוע
3 = פעמים-שלוש בשבוע
4 = כמעט כל יום
5 = יותר מפעם ביום</t>
        </r>
      </text>
    </comment>
    <comment ref="E2" authorId="0" shapeId="0" xr:uid="{9889F420-21AA-4E7E-BDE0-E312025447A6}">
      <text>
        <r>
          <rPr>
            <b/>
            <sz val="9"/>
            <color indexed="81"/>
            <rFont val="Tahoma"/>
            <family val="2"/>
          </rPr>
          <t>יניב שפירא:</t>
        </r>
        <r>
          <rPr>
            <sz val="9"/>
            <color indexed="81"/>
            <rFont val="Tahoma"/>
            <family val="2"/>
          </rPr>
          <t xml:space="preserve">
1 = כמעט אף פעם לא
2 = לעיתים רחוקות בלבד
3 = פעם בשבוע בערך
4 = פעמיים-שלוש בשבוע
5 = כמעט כל יום
6 = יותר מפעם ביום</t>
        </r>
      </text>
    </comment>
    <comment ref="E3" authorId="0" shapeId="0" xr:uid="{7249DC00-6157-48F0-8E92-A8AE3B467FD1}">
      <text>
        <r>
          <rPr>
            <b/>
            <sz val="9"/>
            <color indexed="81"/>
            <rFont val="Tahoma"/>
            <family val="2"/>
          </rPr>
          <t>יניב שפירא:</t>
        </r>
        <r>
          <rPr>
            <sz val="9"/>
            <color indexed="81"/>
            <rFont val="Tahoma"/>
            <family val="2"/>
          </rPr>
          <t xml:space="preserve">
0 = לא משתמש ברשתות חברתיות
1 = אף פעם
2 = פעם אחת בשבוע
3 = פעמיים-שלוש בשבוע
4 = כמעט כל יום
5 = יותר מפעם ביום</t>
        </r>
      </text>
    </comment>
    <comment ref="A4" authorId="0" shapeId="0" xr:uid="{7847E714-20E1-4CB6-AC33-7ECB223D971F}">
      <text>
        <r>
          <rPr>
            <b/>
            <sz val="9"/>
            <color indexed="81"/>
            <rFont val="Tahoma"/>
            <family val="2"/>
          </rPr>
          <t>יניב שפירא:</t>
        </r>
        <r>
          <rPr>
            <sz val="9"/>
            <color indexed="81"/>
            <rFont val="Tahoma"/>
            <family val="2"/>
          </rPr>
          <t xml:space="preserve">
שאלה 92 לא מקודדת בstata
(ב2019, אין אותה ב2020)</t>
        </r>
      </text>
    </comment>
    <comment ref="G4" authorId="0" shapeId="0" xr:uid="{AC4B14C7-8AC5-4745-A5B0-2972C1A1D747}">
      <text>
        <r>
          <rPr>
            <b/>
            <sz val="9"/>
            <color indexed="81"/>
            <rFont val="Tahoma"/>
            <family val="2"/>
          </rPr>
          <t>יניב שפירא:</t>
        </r>
        <r>
          <rPr>
            <sz val="9"/>
            <color indexed="81"/>
            <rFont val="Tahoma"/>
            <family val="2"/>
          </rPr>
          <t xml:space="preserve">
1 = לא
2 = כן</t>
        </r>
      </text>
    </comment>
    <comment ref="G5" authorId="0" shapeId="0" xr:uid="{9BF89D19-D208-4ABB-AED8-1BCC5C8D37A5}">
      <text>
        <r>
          <rPr>
            <b/>
            <sz val="9"/>
            <color indexed="81"/>
            <rFont val="Tahoma"/>
            <family val="2"/>
          </rPr>
          <t>יניב שפירא:</t>
        </r>
        <r>
          <rPr>
            <sz val="9"/>
            <color indexed="81"/>
            <rFont val="Tahoma"/>
            <family val="2"/>
          </rPr>
          <t xml:space="preserve">
1 = כלל לא
2 = לעתים רחוקות
3 = מדי פעם
4 = לעתים קרובות
5 = בקביעות</t>
        </r>
      </text>
    </comment>
    <comment ref="I6" authorId="0" shapeId="0" xr:uid="{67C78511-38C8-404D-B81C-8B8CEC6FE3E9}">
      <text>
        <r>
          <rPr>
            <b/>
            <sz val="9"/>
            <color indexed="81"/>
            <rFont val="Tahoma"/>
            <charset val="177"/>
          </rPr>
          <t>יניב שפירא:</t>
        </r>
        <r>
          <rPr>
            <sz val="9"/>
            <color indexed="81"/>
            <rFont val="Tahoma"/>
            <charset val="177"/>
          </rPr>
          <t xml:space="preserve">
1 = כמעט אף פעם לא
2 = לעיתים רחוקות בלבד
3 = פעם בשבוע בערך
4 = פעמיים-שלוש בשבוע
5 = קורא עיתון יומי אחד כמעט כל יום
6 = קורא יותר מעיתון יומי אחד כמעט כל יום</t>
        </r>
      </text>
    </comment>
    <comment ref="K7" authorId="0" shapeId="0" xr:uid="{3D629A81-F57B-4F3F-AFA6-BB138FF040EA}">
      <text>
        <r>
          <rPr>
            <b/>
            <sz val="9"/>
            <color indexed="81"/>
            <rFont val="Tahoma"/>
            <charset val="177"/>
          </rPr>
          <t>יניב שפירא:</t>
        </r>
        <r>
          <rPr>
            <sz val="9"/>
            <color indexed="81"/>
            <rFont val="Tahoma"/>
            <charset val="177"/>
          </rPr>
          <t xml:space="preserve">
1 = ידיעות אחרונות
2 = מעריב
3 = הארץ
4 = וסטי
5 = נובוסטי נדלי
6 = כל אל-ערב
7 = אל-סינארה
8 = אל-אתחאד
9 = פנורמה
10 = אחר</t>
        </r>
      </text>
    </comment>
    <comment ref="M7" authorId="0" shapeId="0" xr:uid="{D7FB1C38-E5E7-4AD0-9BE0-591170E06441}">
      <text>
        <r>
          <rPr>
            <b/>
            <sz val="9"/>
            <color indexed="81"/>
            <rFont val="Tahoma"/>
            <family val="2"/>
          </rPr>
          <t>יניב שפירא:</t>
        </r>
        <r>
          <rPr>
            <sz val="9"/>
            <color indexed="81"/>
            <rFont val="Tahoma"/>
            <family val="2"/>
          </rPr>
          <t xml:space="preserve">
רק ערבים</t>
        </r>
      </text>
    </comment>
    <comment ref="U7" authorId="0" shapeId="0" xr:uid="{4B8D0E54-1E58-4A1C-B98A-8B829ECEDFE5}">
      <text>
        <r>
          <rPr>
            <b/>
            <sz val="9"/>
            <color indexed="81"/>
            <rFont val="Tahoma"/>
            <charset val="177"/>
          </rPr>
          <t>יניב שפירא:</t>
        </r>
        <r>
          <rPr>
            <sz val="9"/>
            <color indexed="81"/>
            <rFont val="Tahoma"/>
            <charset val="177"/>
          </rPr>
          <t xml:space="preserve">
כולל b153 וb154
1 = מעריב
2 = ידיעות אחרונות
3 = הארץ
4 = דבר
5 = עיתון עברי אחר
6 = עיתון לועזי
7 = לא קורא עיתונים</t>
        </r>
      </text>
    </comment>
    <comment ref="W7" authorId="0" shapeId="0" xr:uid="{97F86B6A-A44E-41D2-BA64-E57AF730C8D7}">
      <text>
        <r>
          <rPr>
            <b/>
            <sz val="9"/>
            <color indexed="81"/>
            <rFont val="Tahoma"/>
            <charset val="177"/>
          </rPr>
          <t>יניב שפירא:</t>
        </r>
        <r>
          <rPr>
            <sz val="9"/>
            <color indexed="81"/>
            <rFont val="Tahoma"/>
            <charset val="177"/>
          </rPr>
          <t xml:space="preserve">
גם
v147
v148</t>
        </r>
      </text>
    </comment>
    <comment ref="I8" authorId="0" shapeId="0" xr:uid="{93E22A1C-F3C8-4294-A9CC-FB428556FB71}">
      <text>
        <r>
          <rPr>
            <b/>
            <sz val="9"/>
            <color indexed="81"/>
            <rFont val="Tahoma"/>
            <charset val="177"/>
          </rPr>
          <t>יניב שפירא:</t>
        </r>
        <r>
          <rPr>
            <sz val="9"/>
            <color indexed="81"/>
            <rFont val="Tahoma"/>
            <charset val="177"/>
          </rPr>
          <t xml:space="preserve">
1 = כמעט אף פעם לא
2 = לעיתים רחוקות בלבד
3 = פעם בשבוע בערך
4 = פעמיים-שלוש בשבוע
5 = כמעט כל יום
6 = יותר מפעם ביום</t>
        </r>
      </text>
    </comment>
    <comment ref="I9" authorId="0" shapeId="0" xr:uid="{D4276387-14BD-44B9-9B9D-9044EAEE37CF}">
      <text>
        <r>
          <rPr>
            <b/>
            <sz val="9"/>
            <color indexed="81"/>
            <rFont val="Tahoma"/>
            <charset val="177"/>
          </rPr>
          <t>יניב שפירא:</t>
        </r>
        <r>
          <rPr>
            <sz val="9"/>
            <color indexed="81"/>
            <rFont val="Tahoma"/>
            <charset val="177"/>
          </rPr>
          <t xml:space="preserve">
1 = כמעט אף פעם לא
2 = לעיתים רחוקות בלבד
3 = פעם בשבוע בערך
4 = פעמיים-שלוש בשבוע
5 = אני צופה בחדשות לפחות פעם ביום
6 = אני צופה בחדשות יותר מפעם ביום</t>
        </r>
      </text>
    </comment>
    <comment ref="K10" authorId="0" shapeId="0" xr:uid="{A1C82BB6-1259-467F-AC83-B15A686DD882}">
      <text>
        <r>
          <rPr>
            <b/>
            <sz val="9"/>
            <color indexed="81"/>
            <rFont val="Tahoma"/>
            <charset val="177"/>
          </rPr>
          <t>יניב שפירא:</t>
        </r>
        <r>
          <rPr>
            <sz val="9"/>
            <color indexed="81"/>
            <rFont val="Tahoma"/>
            <charset val="177"/>
          </rPr>
          <t xml:space="preserve">
1 = ערוץ 1
2 = ערוץ 2
3 = ערוץ 9
4 = ערוץ 10
5 = RTVi
6 = אל-ג'זירה
7 = MBC דובאי
8 = אחר</t>
        </r>
      </text>
    </comment>
    <comment ref="M10" authorId="0" shapeId="0" xr:uid="{FA6E5E0B-DA82-4030-9DBA-01BAACD69099}">
      <text>
        <r>
          <rPr>
            <b/>
            <sz val="9"/>
            <color indexed="81"/>
            <rFont val="Tahoma"/>
            <family val="2"/>
          </rPr>
          <t>יניב שפירא:</t>
        </r>
        <r>
          <rPr>
            <sz val="9"/>
            <color indexed="81"/>
            <rFont val="Tahoma"/>
            <family val="2"/>
          </rPr>
          <t xml:space="preserve">
רק ערבים</t>
        </r>
      </text>
    </comment>
    <comment ref="A12" authorId="0" shapeId="0" xr:uid="{1F480D38-12F1-4CE9-959E-00F3EF30FC8C}">
      <text>
        <r>
          <rPr>
            <b/>
            <sz val="9"/>
            <color indexed="81"/>
            <rFont val="Tahoma"/>
            <family val="2"/>
          </rPr>
          <t>יניב שפירא:</t>
        </r>
        <r>
          <rPr>
            <sz val="9"/>
            <color indexed="81"/>
            <rFont val="Tahoma"/>
            <family val="2"/>
          </rPr>
          <t xml:space="preserve">
שאלות 96-103 לא מקודדת בstata
(ב2019, אין אותה ב2020)</t>
        </r>
      </text>
    </comment>
    <comment ref="G13" authorId="0" shapeId="0" xr:uid="{CCDCE1A0-E076-4BE2-870F-4D551A55BB96}">
      <text>
        <r>
          <rPr>
            <b/>
            <sz val="9"/>
            <color indexed="81"/>
            <rFont val="Tahoma"/>
            <charset val="177"/>
          </rPr>
          <t>יניב שפירא:</t>
        </r>
        <r>
          <rPr>
            <sz val="9"/>
            <color indexed="81"/>
            <rFont val="Tahoma"/>
            <charset val="177"/>
          </rPr>
          <t xml:space="preserve">
1 = אף פעם
2 = פעם אחת בשבוע
3 = פעמיים-שלוש בשבוע
4 = כמעט כל יום
5 = כמה פעמים ביום</t>
        </r>
      </text>
    </comment>
    <comment ref="D20" authorId="0" shapeId="0" xr:uid="{2D109A20-02F9-48B4-9DB5-EB8C8FBD2D83}">
      <text>
        <r>
          <rPr>
            <b/>
            <sz val="9"/>
            <color indexed="81"/>
            <rFont val="Tahoma"/>
            <family val="2"/>
          </rPr>
          <t>יניב שפירא:</t>
        </r>
        <r>
          <rPr>
            <sz val="9"/>
            <color indexed="81"/>
            <rFont val="Tahoma"/>
            <family val="2"/>
          </rPr>
          <t xml:space="preserve">
0 = לא משתמש כלל
1 = עקבת אחר מפלגת/מועמד ברשתות חברתיות
2 = כתבת בנושא הבחירות או שיתפת תוכן
3 = גם עקבת וגם כתבת
4 = משתמש באינטרהט אך לא עשיתי את הפעולות הללו</t>
        </r>
      </text>
    </comment>
    <comment ref="H20" authorId="0" shapeId="0" xr:uid="{647D3CC9-2FE9-4E6B-AD43-C7B191D98E23}">
      <text>
        <r>
          <rPr>
            <b/>
            <sz val="9"/>
            <color indexed="81"/>
            <rFont val="Tahoma"/>
            <family val="2"/>
          </rPr>
          <t>יניב שפירא:</t>
        </r>
        <r>
          <rPr>
            <sz val="9"/>
            <color indexed="81"/>
            <rFont val="Tahoma"/>
            <family val="2"/>
          </rPr>
          <t xml:space="preserve">
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r>
      </text>
    </comment>
    <comment ref="J21" authorId="0" shapeId="0" xr:uid="{A3ECB6F4-5199-4326-9D5F-D1052B7DF6BC}">
      <text>
        <r>
          <rPr>
            <b/>
            <sz val="9"/>
            <color indexed="81"/>
            <rFont val="Tahoma"/>
            <family val="2"/>
          </rPr>
          <t>יניב שפירא:</t>
        </r>
        <r>
          <rPr>
            <sz val="9"/>
            <color indexed="81"/>
            <rFont val="Tahoma"/>
            <family val="2"/>
          </rPr>
          <t xml:space="preserve">
1 = כל יום
2 = לעיתים קרובות
3 = לפעמים
4 = לעיתים רחוקות
5 = בכלל לא</t>
        </r>
      </text>
    </comment>
    <comment ref="Y21" authorId="0" shapeId="0" xr:uid="{C8FE2756-2284-4D57-9C15-5EBBD94CF364}">
      <text>
        <r>
          <rPr>
            <b/>
            <sz val="9"/>
            <color indexed="81"/>
            <rFont val="Tahoma"/>
            <charset val="177"/>
          </rPr>
          <t>יניב שפירא:</t>
        </r>
        <r>
          <rPr>
            <sz val="9"/>
            <color indexed="81"/>
            <rFont val="Tahoma"/>
            <charset val="177"/>
          </rPr>
          <t xml:space="preserve">
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r>
      </text>
    </comment>
    <comment ref="AE21" authorId="0" shapeId="0" xr:uid="{EB4E406D-D742-493E-A413-0A4C0117659B}">
      <text>
        <r>
          <rPr>
            <b/>
            <sz val="9"/>
            <color indexed="81"/>
            <rFont val="Tahoma"/>
            <family val="2"/>
          </rPr>
          <t>יניב שפירא:</t>
        </r>
        <r>
          <rPr>
            <sz val="9"/>
            <color indexed="81"/>
            <rFont val="Tahoma"/>
            <family val="2"/>
          </rPr>
          <t xml:space="preserve">
1 = כן
2 = לא</t>
        </r>
      </text>
    </comment>
    <comment ref="AG21" authorId="0" shapeId="0" xr:uid="{B5C4535A-4A54-44FD-8C71-1D1DD115EFA8}">
      <text>
        <r>
          <rPr>
            <b/>
            <sz val="9"/>
            <color indexed="81"/>
            <rFont val="Tahoma"/>
            <charset val="177"/>
          </rPr>
          <t>יניב שפירא:</t>
        </r>
        <r>
          <rPr>
            <sz val="9"/>
            <color indexed="81"/>
            <rFont val="Tahoma"/>
            <charset val="177"/>
          </rPr>
          <t xml:space="preserve">
1 = כן, של כל המפלגות
2 = כן, של חלק מהמפלגות
3 = כן, רק של המפלגה שאני תומך בה
4 = לא, למרות שיש לי מקלט
5 = לא, אין לי מקלט</t>
        </r>
      </text>
    </comment>
    <comment ref="AG23" authorId="0" shapeId="0" xr:uid="{785C810D-CB5A-4392-9123-A8BB9C98B26B}">
      <text>
        <r>
          <rPr>
            <b/>
            <sz val="9"/>
            <color indexed="81"/>
            <rFont val="Tahoma"/>
            <charset val="177"/>
          </rPr>
          <t>יניב שפירא:</t>
        </r>
        <r>
          <rPr>
            <sz val="9"/>
            <color indexed="81"/>
            <rFont val="Tahoma"/>
            <charset val="177"/>
          </rPr>
          <t xml:space="preserve">
1 = יותר
2 = כמו עכשיו
3 = פחות
4 = בכלל לא רוצה לראות
5 = לא ראיתי אבל רוצה לראות</t>
        </r>
      </text>
    </comment>
    <comment ref="J24" authorId="0" shapeId="0" xr:uid="{EFF68C23-0F09-4051-B2E3-12FB384D3A8D}">
      <text>
        <r>
          <rPr>
            <b/>
            <sz val="9"/>
            <color indexed="81"/>
            <rFont val="Tahoma"/>
            <family val="2"/>
          </rPr>
          <t>יניב שפירא:</t>
        </r>
        <r>
          <rPr>
            <sz val="9"/>
            <color indexed="81"/>
            <rFont val="Tahoma"/>
            <family val="2"/>
          </rPr>
          <t xml:space="preserve">
1 = כן
2 = משתמש באינטרנט אבל לא בהקשר לבחירות
3 = לא משתמש באינטרנט כלל</t>
        </r>
      </text>
    </comment>
    <comment ref="A25" authorId="0" shapeId="0" xr:uid="{B34D207E-0ED2-4CFE-82F9-5E9228F479D6}">
      <text>
        <r>
          <rPr>
            <b/>
            <sz val="9"/>
            <color indexed="81"/>
            <rFont val="Tahoma"/>
            <family val="2"/>
          </rPr>
          <t>יניב שפירא:</t>
        </r>
        <r>
          <rPr>
            <sz val="9"/>
            <color indexed="81"/>
            <rFont val="Tahoma"/>
            <family val="2"/>
          </rPr>
          <t xml:space="preserve">
רק מי שענה 1 בשאלה הקודמת</t>
        </r>
      </text>
    </comment>
    <comment ref="J25" authorId="0" shapeId="0" xr:uid="{4EE1BA0B-E727-460B-9784-DD96F70E5ADE}">
      <text>
        <r>
          <rPr>
            <b/>
            <sz val="9"/>
            <color indexed="81"/>
            <rFont val="Tahoma"/>
            <family val="2"/>
          </rPr>
          <t>יניב שפירא:</t>
        </r>
        <r>
          <rPr>
            <sz val="9"/>
            <color indexed="81"/>
            <rFont val="Tahoma"/>
            <family val="2"/>
          </rPr>
          <t xml:space="preserve">
1 = לא משתמש
2 = מקבל מידע באמצעותו
3 = מפיץ מידע באמצעותו
4 = גם מקבל וגם מפיץ</t>
        </r>
      </text>
    </comment>
    <comment ref="J34" authorId="0" shapeId="0" xr:uid="{CB48E318-F461-4E70-91E6-F718CF1776DC}">
      <text>
        <r>
          <rPr>
            <b/>
            <sz val="9"/>
            <color indexed="81"/>
            <rFont val="Tahoma"/>
            <family val="2"/>
          </rPr>
          <t>יניב שפירא:</t>
        </r>
        <r>
          <rPr>
            <sz val="9"/>
            <color indexed="81"/>
            <rFont val="Tahoma"/>
            <family val="2"/>
          </rPr>
          <t xml:space="preserve">
1 = כן
2 = לא</t>
        </r>
      </text>
    </comment>
    <comment ref="J35" authorId="0" shapeId="0" xr:uid="{10053935-664D-4DD2-9FDB-EDE936866796}">
      <text>
        <r>
          <rPr>
            <b/>
            <sz val="9"/>
            <color indexed="81"/>
            <rFont val="Tahoma"/>
            <charset val="177"/>
          </rPr>
          <t>יניב שפירא:</t>
        </r>
        <r>
          <rPr>
            <sz val="9"/>
            <color indexed="81"/>
            <rFont val="Tahoma"/>
            <charset val="177"/>
          </rPr>
          <t xml:space="preserve">
1 = כל ערב
2 = כמעט כל ערב
3 = מספר פעמים
4 = פעם אחת
5 = אף פעם</t>
        </r>
      </text>
    </comment>
    <comment ref="AC35" authorId="0" shapeId="0" xr:uid="{B35A6453-3E86-4902-B067-8F3B783743D5}">
      <text>
        <r>
          <rPr>
            <b/>
            <sz val="9"/>
            <color indexed="81"/>
            <rFont val="Tahoma"/>
            <charset val="177"/>
          </rPr>
          <t>יניב שפירא:</t>
        </r>
        <r>
          <rPr>
            <sz val="9"/>
            <color indexed="81"/>
            <rFont val="Tahoma"/>
            <charset val="177"/>
          </rPr>
          <t xml:space="preserve">
1 = כן, כל ערב
2 = לעיתים קרובות
3 = לעיתים רחוקות
4 = כלל לא</t>
        </r>
      </text>
    </comment>
    <comment ref="K37" authorId="0" shapeId="0" xr:uid="{5C2C30DC-68E6-4F3D-B0ED-A5D4290C7563}">
      <text>
        <r>
          <rPr>
            <b/>
            <sz val="9"/>
            <color indexed="81"/>
            <rFont val="Tahoma"/>
            <charset val="177"/>
          </rPr>
          <t>יניב שפירא:</t>
        </r>
        <r>
          <rPr>
            <sz val="9"/>
            <color indexed="81"/>
            <rFont val="Tahoma"/>
            <charset val="177"/>
          </rPr>
          <t xml:space="preserve">
1 = לא גולש באינטרנט כלל
2 = כו, לעיתים רחוקות
3 = גולש, אבל לא באתרים של מפלגות
4 = כן, לעיתים קרובות</t>
        </r>
      </text>
    </comment>
    <comment ref="A38" authorId="0" shapeId="0" xr:uid="{335C7ACE-C4BC-452B-ABFA-9480491E8C15}">
      <text>
        <r>
          <rPr>
            <b/>
            <sz val="9"/>
            <color indexed="81"/>
            <rFont val="Tahoma"/>
            <charset val="177"/>
          </rPr>
          <t>יניב שפירא:</t>
        </r>
        <r>
          <rPr>
            <sz val="9"/>
            <color indexed="81"/>
            <rFont val="Tahoma"/>
            <charset val="177"/>
          </rPr>
          <t xml:space="preserve">
רק מי שענה 3 או 4 
בשאלה קודמת</t>
        </r>
      </text>
    </comment>
    <comment ref="K38" authorId="0" shapeId="0" xr:uid="{5011014F-3578-4914-B508-2DC22228FB12}">
      <text>
        <r>
          <rPr>
            <b/>
            <sz val="9"/>
            <color indexed="81"/>
            <rFont val="Tahoma"/>
            <charset val="177"/>
          </rPr>
          <t>יניב שפירא:</t>
        </r>
        <r>
          <rPr>
            <sz val="9"/>
            <color indexed="81"/>
            <rFont val="Tahoma"/>
            <charset val="177"/>
          </rPr>
          <t xml:space="preserve">
1 = רק מפלגות שאני אוהד
2 = רק מפלגות שאני סולד מהן
3 = כל המפלגות</t>
        </r>
      </text>
    </comment>
    <comment ref="M39" authorId="0" shapeId="0" xr:uid="{98C5558D-3F46-4060-BBF3-0607946F4D03}">
      <text>
        <r>
          <rPr>
            <b/>
            <sz val="9"/>
            <color indexed="81"/>
            <rFont val="Tahoma"/>
            <family val="2"/>
          </rPr>
          <t>יניב שפירא:</t>
        </r>
        <r>
          <rPr>
            <sz val="9"/>
            <color indexed="81"/>
            <rFont val="Tahoma"/>
            <family val="2"/>
          </rPr>
          <t xml:space="preserve">
1 = בהחלט לא
2 = לא
3 = לא בטוח
4 = כן
5 = בהחלט כן</t>
        </r>
      </text>
    </comment>
    <comment ref="O39" authorId="0" shapeId="0" xr:uid="{A9E16BB9-FEB8-4ADA-A5A2-3A5CCD4D1854}">
      <text>
        <r>
          <rPr>
            <b/>
            <sz val="9"/>
            <color indexed="81"/>
            <rFont val="Tahoma"/>
            <family val="2"/>
          </rPr>
          <t>יניב שפירא:</t>
        </r>
        <r>
          <rPr>
            <sz val="9"/>
            <color indexed="81"/>
            <rFont val="Tahoma"/>
            <family val="2"/>
          </rPr>
          <t xml:space="preserve">
1 = בהחלט כן
2 = כן
3 = לא בטוח
4 = לא
5 = בהחלט לא</t>
        </r>
      </text>
    </comment>
    <comment ref="M40" authorId="0" shapeId="0" xr:uid="{729DD68D-E9CF-4DC6-B445-BD1699A4753E}">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N40" authorId="0" shapeId="0" xr:uid="{F272BC86-E366-4588-AC96-DA38DEDDF6F9}">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U40" authorId="0" shapeId="0" xr:uid="{2D2DB636-F3E3-4403-BDCB-30D5838DB06B}">
      <text>
        <r>
          <rPr>
            <b/>
            <sz val="9"/>
            <color indexed="81"/>
            <rFont val="Tahoma"/>
            <family val="2"/>
          </rPr>
          <t>יניב שפירא:</t>
        </r>
        <r>
          <rPr>
            <sz val="9"/>
            <color indexed="81"/>
            <rFont val="Tahoma"/>
            <family val="2"/>
          </rPr>
          <t xml:space="preserve">
1 = לעיתים קרובות
2 = לעיתים רחוקות
3 = אף פעם
4 = לא יודע על קיום סקרים</t>
        </r>
      </text>
    </comment>
    <comment ref="AB40" authorId="0" shapeId="0" xr:uid="{3B2A65C2-7795-4A92-810B-ABADB81C3049}">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G40" authorId="0" shapeId="0" xr:uid="{C02F4440-AE8A-4442-96A8-7DFF071CCEE1}">
      <text>
        <r>
          <rPr>
            <b/>
            <sz val="9"/>
            <color indexed="81"/>
            <rFont val="Tahoma"/>
            <family val="2"/>
          </rPr>
          <t>יניב שפירא:</t>
        </r>
        <r>
          <rPr>
            <sz val="9"/>
            <color indexed="81"/>
            <rFont val="Tahoma"/>
            <family val="2"/>
          </rPr>
          <t xml:space="preserve">
1 = לעיתים קרובות
2 = לעיתים רחוקות
3 = אף פעם לא
4 = לא יודע על קיומם</t>
        </r>
      </text>
    </comment>
    <comment ref="M41" authorId="0" shapeId="0" xr:uid="{7597FD43-1C0F-47B9-A62E-F1600275C3AC}">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N41" authorId="0" shapeId="0" xr:uid="{6B63A6E4-50D2-4276-9E07-ABB0A2512339}">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U41" authorId="0" shapeId="0" xr:uid="{7FA24864-10D0-4E4F-8C80-E5FF4605A049}">
      <text>
        <r>
          <rPr>
            <b/>
            <sz val="9"/>
            <color indexed="81"/>
            <rFont val="Tahoma"/>
            <family val="2"/>
          </rPr>
          <t>יניב שפירא:</t>
        </r>
        <r>
          <rPr>
            <sz val="9"/>
            <color indexed="81"/>
            <rFont val="Tahoma"/>
            <family val="2"/>
          </rPr>
          <t xml:space="preserve">
1 = כן תמיד
2 = כן בדר"כ
3 = לא בדר"כ
4 = אף פעם לא
5 = לא יודע על קיום סקרים</t>
        </r>
      </text>
    </comment>
    <comment ref="AG41" authorId="0" shapeId="0" xr:uid="{88C96833-279A-44FF-82A5-77ACBA6794FD}">
      <text>
        <r>
          <rPr>
            <b/>
            <sz val="9"/>
            <color indexed="81"/>
            <rFont val="Tahoma"/>
            <family val="2"/>
          </rPr>
          <t>יניב שפירא:</t>
        </r>
        <r>
          <rPr>
            <sz val="9"/>
            <color indexed="81"/>
            <rFont val="Tahoma"/>
            <family val="2"/>
          </rPr>
          <t xml:space="preserve">
1 = כן, תמיד
2 = בדר"כ כן
3 = בדר"כ לא
4 = אף פעם לא</t>
        </r>
      </text>
    </comment>
    <comment ref="U42" authorId="0" shapeId="0" xr:uid="{80328008-7261-4F87-A3B5-D6510CC032F6}">
      <text>
        <r>
          <rPr>
            <b/>
            <sz val="9"/>
            <color indexed="81"/>
            <rFont val="Tahoma"/>
            <family val="2"/>
          </rPr>
          <t>יניב שפירא:</t>
        </r>
        <r>
          <rPr>
            <sz val="9"/>
            <color indexed="81"/>
            <rFont val="Tahoma"/>
            <family val="2"/>
          </rPr>
          <t xml:space="preserve">
1 = השפעה גדולה
2 = השפעה מסויימת
3 = השפעה מועטה
4 = כלל לא
5 = לא יודע על קיום סקרים</t>
        </r>
      </text>
    </comment>
    <comment ref="AG42" authorId="0" shapeId="0" xr:uid="{B470D168-4A2A-4047-9219-8FCFACB3D79B}">
      <text>
        <r>
          <rPr>
            <b/>
            <sz val="9"/>
            <color indexed="81"/>
            <rFont val="Tahoma"/>
            <family val="2"/>
          </rPr>
          <t>יניב שפירא:</t>
        </r>
        <r>
          <rPr>
            <sz val="9"/>
            <color indexed="81"/>
            <rFont val="Tahoma"/>
            <family val="2"/>
          </rPr>
          <t xml:space="preserve">
1 = השפעה רבה
2 = השפעה בינונית
3 = השפעה מועטה
4 = אין השפעה
5 = לא יודע על קיומם</t>
        </r>
      </text>
    </comment>
    <comment ref="AG43" authorId="0" shapeId="0" xr:uid="{7773BC23-D421-4993-973B-101EA675A6B2}">
      <text>
        <r>
          <rPr>
            <b/>
            <sz val="9"/>
            <color indexed="81"/>
            <rFont val="Tahoma"/>
            <family val="2"/>
          </rPr>
          <t>יניב שפירא:</t>
        </r>
        <r>
          <rPr>
            <sz val="9"/>
            <color indexed="81"/>
            <rFont val="Tahoma"/>
            <family val="2"/>
          </rPr>
          <t xml:space="preserve">
1 = השפעה רבה
2 = השפעה בינונית
3 = השפעה מועטה
4 = אין השפעה
5 = לא יודע על קיומם</t>
        </r>
      </text>
    </comment>
    <comment ref="O44" authorId="0" shapeId="0" xr:uid="{8ECD07F0-DCA3-4F14-807D-F92D8F5D6BEB}">
      <text>
        <r>
          <rPr>
            <b/>
            <sz val="9"/>
            <color indexed="81"/>
            <rFont val="Tahoma"/>
            <family val="2"/>
          </rPr>
          <t>יניב שפירא:</t>
        </r>
        <r>
          <rPr>
            <sz val="9"/>
            <color indexed="81"/>
            <rFont val="Tahoma"/>
            <family val="2"/>
          </rPr>
          <t xml:space="preserve">
1 = בהחלט לאסור
2 = נוטה לאסור
3 = נוטה להתיר
4 = בהחלט להתיר</t>
        </r>
      </text>
    </comment>
    <comment ref="AI45" authorId="0" shapeId="0" xr:uid="{F670ADD3-AB8E-408E-A5B7-730ABA264AA6}">
      <text>
        <r>
          <rPr>
            <b/>
            <sz val="9"/>
            <color indexed="81"/>
            <rFont val="Tahoma"/>
            <charset val="177"/>
          </rPr>
          <t>יניב שפירא:</t>
        </r>
        <r>
          <rPr>
            <sz val="9"/>
            <color indexed="81"/>
            <rFont val="Tahoma"/>
            <charset val="177"/>
          </rPr>
          <t xml:space="preserve">
1 = כן
2 = לא</t>
        </r>
      </text>
    </comment>
    <comment ref="P46" authorId="0" shapeId="0" xr:uid="{4EDF9479-7D48-48E7-B2CA-EB86D99645F7}">
      <text>
        <r>
          <rPr>
            <b/>
            <sz val="9"/>
            <color indexed="81"/>
            <rFont val="Tahoma"/>
            <family val="2"/>
          </rPr>
          <t>יניב שפירא:</t>
        </r>
        <r>
          <rPr>
            <sz val="9"/>
            <color indexed="81"/>
            <rFont val="Tahoma"/>
            <family val="2"/>
          </rPr>
          <t xml:space="preserve">
1 = כן
2 = לא
3 = אין לנו טלוויזיה</t>
        </r>
      </text>
    </comment>
    <comment ref="U49" authorId="0" shapeId="0" xr:uid="{2C2745F8-A065-484F-95CD-FDB5BBA915F7}">
      <text>
        <r>
          <rPr>
            <b/>
            <sz val="9"/>
            <color indexed="81"/>
            <rFont val="Tahoma"/>
            <charset val="177"/>
          </rPr>
          <t>יניב שפירא:</t>
        </r>
        <r>
          <rPr>
            <sz val="9"/>
            <color indexed="81"/>
            <rFont val="Tahoma"/>
            <charset val="177"/>
          </rPr>
          <t xml:space="preserve">
1 = קורא לעיתים קרובות
2 = קורא לעיתים רחוקות
3 = לא קורא כלל</t>
        </r>
      </text>
    </comment>
    <comment ref="AI50" authorId="0" shapeId="0" xr:uid="{6B097F0D-35A6-4CFF-87D0-0F59F0D02305}">
      <text>
        <r>
          <rPr>
            <b/>
            <sz val="9"/>
            <color indexed="81"/>
            <rFont val="Tahoma"/>
            <charset val="177"/>
          </rPr>
          <t>יניב שפירא:</t>
        </r>
        <r>
          <rPr>
            <sz val="9"/>
            <color indexed="81"/>
            <rFont val="Tahoma"/>
            <charset val="177"/>
          </rPr>
          <t xml:space="preserve">
1 = כן, 8 שעות +
2 = כן, 5-8 שעות
3 = 3-5 שעות
4 = 1-5 שעות
5 = פחות משעה ביום
6 = לא מאזין כל יום</t>
        </r>
      </text>
    </comment>
    <comment ref="U51" authorId="0" shapeId="0" xr:uid="{C2A430E0-81C4-4B00-9BF8-5EBBD11D1C3D}">
      <text>
        <r>
          <rPr>
            <b/>
            <sz val="9"/>
            <color indexed="81"/>
            <rFont val="Tahoma"/>
            <charset val="177"/>
          </rPr>
          <t>יניב שפירא:</t>
        </r>
        <r>
          <rPr>
            <sz val="9"/>
            <color indexed="81"/>
            <rFont val="Tahoma"/>
            <charset val="177"/>
          </rPr>
          <t xml:space="preserve">
1 = הגל הקל
2 = גל ג'
3 = גלי צה"ל
4 = גל א'
5 = קול העם
6 = לא מאזין לרדיו</t>
        </r>
      </text>
    </comment>
    <comment ref="AI52" authorId="0" shapeId="0" xr:uid="{BC1285A7-61A8-4B64-BF60-017F300005C7}">
      <text>
        <r>
          <rPr>
            <b/>
            <sz val="9"/>
            <color indexed="81"/>
            <rFont val="Tahoma"/>
            <charset val="177"/>
          </rPr>
          <t>יניב שפירא:</t>
        </r>
        <r>
          <rPr>
            <sz val="9"/>
            <color indexed="81"/>
            <rFont val="Tahoma"/>
            <charset val="177"/>
          </rPr>
          <t xml:space="preserve">
1 = בידור, תרבות, ידיעות
2 = בידור, ידיעות, תרבות
3 = תרבות, ידיעות, בידור
4 = תרבות, בידור, ידיעות
5 = ידיעות, בידור, תרבות
6 = ידיעות, תרבות, בידור</t>
        </r>
      </text>
    </comment>
    <comment ref="W53" authorId="0" shapeId="0" xr:uid="{441CA93E-AE20-4F84-AFBF-EFA1AD875F02}">
      <text>
        <r>
          <rPr>
            <b/>
            <sz val="9"/>
            <color indexed="81"/>
            <rFont val="Tahoma"/>
            <charset val="177"/>
          </rPr>
          <t>יניב שפירא:</t>
        </r>
        <r>
          <rPr>
            <sz val="9"/>
            <color indexed="81"/>
            <rFont val="Tahoma"/>
            <charset val="177"/>
          </rPr>
          <t xml:space="preserve">
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r>
      </text>
    </comment>
    <comment ref="W54" authorId="0" shapeId="0" xr:uid="{FE404A62-DC69-4715-BD06-9A4FD28BCDA0}">
      <text>
        <r>
          <rPr>
            <b/>
            <sz val="9"/>
            <color indexed="81"/>
            <rFont val="Tahoma"/>
            <charset val="177"/>
          </rPr>
          <t>יניב שפירא:</t>
        </r>
        <r>
          <rPr>
            <sz val="9"/>
            <color indexed="81"/>
            <rFont val="Tahoma"/>
            <charset val="177"/>
          </rPr>
          <t xml:space="preserve">
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r>
      </text>
    </comment>
    <comment ref="X55" authorId="0" shapeId="0" xr:uid="{7DACEEDF-6E1A-4A24-B3C7-4E11510597E2}">
      <text>
        <r>
          <rPr>
            <b/>
            <sz val="9"/>
            <color indexed="81"/>
            <rFont val="Tahoma"/>
            <charset val="177"/>
          </rPr>
          <t>יניב שפירא:</t>
        </r>
        <r>
          <rPr>
            <sz val="9"/>
            <color indexed="81"/>
            <rFont val="Tahoma"/>
            <charset val="177"/>
          </rPr>
          <t xml:space="preserve">
1 = מוצלחת מאד
2 = מוצלחת
3 = לא כ"כ מוצלחת
4 = בכלל לא מוצלחת</t>
        </r>
      </text>
    </comment>
    <comment ref="Z57" authorId="0" shapeId="0" xr:uid="{D1AC193C-F852-4C81-A991-EAFB9FBD97F6}">
      <text>
        <r>
          <rPr>
            <b/>
            <sz val="9"/>
            <color indexed="81"/>
            <rFont val="Tahoma"/>
            <charset val="177"/>
          </rPr>
          <t>יניב שפירא:</t>
        </r>
        <r>
          <rPr>
            <sz val="9"/>
            <color indexed="81"/>
            <rFont val="Tahoma"/>
            <charset val="177"/>
          </rPr>
          <t xml:space="preserve">
1 = קורא את רוב/כל המודעות
2 = הרוב של הליכוד
3 = הרוב של המערך
4 = הרוב של ד"ש
5 = קורא מעט מכל המפלגות
6 = קורא רק ליכוד
7 = קורא רק מערך
8 = קורא רק ד"ש
9 = לא קורא כלל</t>
        </r>
      </text>
    </comment>
    <comment ref="AE57" authorId="0" shapeId="0" xr:uid="{5A56995E-D690-48D1-A72B-2C506B8010EE}">
      <text>
        <r>
          <rPr>
            <b/>
            <sz val="9"/>
            <color indexed="81"/>
            <rFont val="Tahoma"/>
            <family val="2"/>
          </rPr>
          <t>יניב שפירא:</t>
        </r>
        <r>
          <rPr>
            <sz val="9"/>
            <color indexed="81"/>
            <rFont val="Tahoma"/>
            <family val="2"/>
          </rPr>
          <t xml:space="preserve">
1 = לעיתים קרובות
2 = לעיתים
3 = לעיתים רחוקות
4 = כלל לא</t>
        </r>
      </text>
    </comment>
    <comment ref="AC58" authorId="0" shapeId="0" xr:uid="{FC5FF08C-87D8-4DCD-9F2D-0EFD2772C7F2}">
      <text>
        <r>
          <rPr>
            <b/>
            <sz val="9"/>
            <color indexed="81"/>
            <rFont val="Tahoma"/>
            <charset val="177"/>
          </rPr>
          <t>יניב שפירא:</t>
        </r>
        <r>
          <rPr>
            <sz val="9"/>
            <color indexed="81"/>
            <rFont val="Tahoma"/>
            <charset val="177"/>
          </rPr>
          <t xml:space="preserve">
1 = כן במידה רבה
2 = במידה מסוימת
3 = במידה מועטה
4 = כלל לא</t>
        </r>
      </text>
    </comment>
    <comment ref="AB59" authorId="0" shapeId="0" xr:uid="{3C4C86AE-1770-4DF7-BD24-A8BADC04C8AC}">
      <text>
        <r>
          <rPr>
            <b/>
            <sz val="9"/>
            <color indexed="81"/>
            <rFont val="Tahoma"/>
            <charset val="177"/>
          </rPr>
          <t>יניב שפירא:</t>
        </r>
        <r>
          <rPr>
            <sz val="9"/>
            <color indexed="81"/>
            <rFont val="Tahoma"/>
            <charset val="177"/>
          </rPr>
          <t xml:space="preserve">
1 = דרושה בהחלט
2 = דרושה
3 = לא כ"כ דרושה
4 = בהחלט לא דרושה</t>
        </r>
      </text>
    </comment>
    <comment ref="AC60" authorId="0" shapeId="0" xr:uid="{67F06D53-660E-45A9-A20E-B1BE34B695D0}">
      <text>
        <r>
          <rPr>
            <b/>
            <sz val="9"/>
            <color indexed="81"/>
            <rFont val="Tahoma"/>
            <charset val="177"/>
          </rPr>
          <t>יניב שפירא:</t>
        </r>
        <r>
          <rPr>
            <sz val="9"/>
            <color indexed="81"/>
            <rFont val="Tahoma"/>
            <charset val="177"/>
          </rPr>
          <t xml:space="preserve">
1 = קורא הרבה יותר
2 = קורא יותר
3 = קורא פחות
4 = קורא הרבה פחות</t>
        </r>
      </text>
    </comment>
    <comment ref="AC61" authorId="0" shapeId="0" xr:uid="{5BA8E860-9396-458C-86B7-EF8429327588}">
      <text>
        <r>
          <rPr>
            <b/>
            <sz val="9"/>
            <color indexed="81"/>
            <rFont val="Tahoma"/>
            <charset val="177"/>
          </rPr>
          <t>יניב שפירא:</t>
        </r>
        <r>
          <rPr>
            <sz val="9"/>
            <color indexed="81"/>
            <rFont val="Tahoma"/>
            <charset val="177"/>
          </rPr>
          <t xml:space="preserve">
1 = כן, בכל יום
2 = לעיתים קרובות
3 = לעיתים רחוקות
4 = אף פעם לא</t>
        </r>
      </text>
    </comment>
    <comment ref="AC62" authorId="0" shapeId="0" xr:uid="{CB9BE676-2C01-4532-A25D-F890B52E8DD8}">
      <text>
        <r>
          <rPr>
            <b/>
            <sz val="9"/>
            <color indexed="81"/>
            <rFont val="Tahoma"/>
            <charset val="177"/>
          </rPr>
          <t>יניב שפירא:</t>
        </r>
        <r>
          <rPr>
            <sz val="9"/>
            <color indexed="81"/>
            <rFont val="Tahoma"/>
            <charset val="177"/>
          </rPr>
          <t xml:space="preserve">
1 = כן, בכל יום
2 = לעיתים קרובות
3 = לעיתים רחוקות
4 = אף פעם לא</t>
        </r>
      </text>
    </comment>
    <comment ref="AC63" authorId="0" shapeId="0" xr:uid="{E1B6F1DB-3DF5-4D27-A487-F14E8F3D2274}">
      <text>
        <r>
          <rPr>
            <b/>
            <sz val="9"/>
            <color indexed="81"/>
            <rFont val="Tahoma"/>
            <charset val="177"/>
          </rPr>
          <t>יניב שפירא:</t>
        </r>
        <r>
          <rPr>
            <sz val="9"/>
            <color indexed="81"/>
            <rFont val="Tahoma"/>
            <charset val="177"/>
          </rPr>
          <t xml:space="preserve">
1 = כן, בכל יום
2 = לעיתים קרובות
3 = לעיתים רחוקות
4 = אף פעם לא</t>
        </r>
      </text>
    </comment>
    <comment ref="AE63" authorId="0" shapeId="0" xr:uid="{C759F09A-6B1E-4299-93C8-8AB21B860776}">
      <text>
        <r>
          <rPr>
            <b/>
            <sz val="9"/>
            <color indexed="81"/>
            <rFont val="Tahoma"/>
            <family val="2"/>
          </rPr>
          <t>יניב שפירא:</t>
        </r>
        <r>
          <rPr>
            <sz val="9"/>
            <color indexed="81"/>
            <rFont val="Tahoma"/>
            <family val="2"/>
          </rPr>
          <t xml:space="preserve">
1 = כן 
2 = לא</t>
        </r>
      </text>
    </comment>
    <comment ref="AE67" authorId="0" shapeId="0" xr:uid="{4B85A228-1C54-4F14-80B7-B1FFFA85E2FD}">
      <text>
        <r>
          <rPr>
            <b/>
            <sz val="9"/>
            <color indexed="81"/>
            <rFont val="Tahoma"/>
            <family val="2"/>
          </rPr>
          <t>יניב שפירא:</t>
        </r>
        <r>
          <rPr>
            <sz val="9"/>
            <color indexed="81"/>
            <rFont val="Tahoma"/>
            <family val="2"/>
          </rPr>
          <t xml:space="preserve">
1 = בפעילות פוליטית
2 = כאדם פרטי</t>
        </r>
      </text>
    </comment>
    <comment ref="AD69" authorId="0" shapeId="0" xr:uid="{BA90C934-83EF-466A-AF4A-EA776362A4FA}">
      <text>
        <r>
          <rPr>
            <b/>
            <sz val="9"/>
            <color indexed="81"/>
            <rFont val="Tahoma"/>
            <charset val="177"/>
          </rPr>
          <t>יניב שפירא:</t>
        </r>
        <r>
          <rPr>
            <sz val="9"/>
            <color indexed="81"/>
            <rFont val="Tahoma"/>
            <charset val="177"/>
          </rPr>
          <t xml:space="preserve">
1 = שידורים לכל אחת מהמפלגות בנפרד
2 = דיונים בהשתתפות נציגים של מס' מפלגות שונות</t>
        </r>
      </text>
    </comment>
    <comment ref="AE70" authorId="0" shapeId="0" xr:uid="{583E88AE-A43C-47FF-ABCE-30A9A070BB76}">
      <text>
        <r>
          <rPr>
            <b/>
            <sz val="9"/>
            <color indexed="81"/>
            <rFont val="Tahoma"/>
            <family val="2"/>
          </rPr>
          <t>יניב שפירא:</t>
        </r>
        <r>
          <rPr>
            <sz val="9"/>
            <color indexed="81"/>
            <rFont val="Tahoma"/>
            <family val="2"/>
          </rPr>
          <t xml:space="preserve">
1 = לעיתים קרובות
2 = לעיתים
3 = לעיתים רחוקות
4 = כלל לא</t>
        </r>
      </text>
    </comment>
    <comment ref="AF71" authorId="0" shapeId="0" xr:uid="{394BEF13-4830-4B22-8258-F2087E25D5E3}">
      <text>
        <r>
          <rPr>
            <b/>
            <sz val="9"/>
            <color indexed="81"/>
            <rFont val="Tahoma"/>
            <charset val="177"/>
          </rPr>
          <t>יניב שפירא:</t>
        </r>
        <r>
          <rPr>
            <sz val="9"/>
            <color indexed="81"/>
            <rFont val="Tahoma"/>
            <charset val="177"/>
          </rPr>
          <t xml:space="preserve">
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r>
      </text>
    </comment>
    <comment ref="V72" authorId="0" shapeId="0" xr:uid="{EE6BBDB7-E8E2-406B-A1E1-35E8AB032081}">
      <text>
        <r>
          <rPr>
            <b/>
            <sz val="9"/>
            <color indexed="81"/>
            <rFont val="Tahoma"/>
            <charset val="177"/>
          </rPr>
          <t>יניב שפירא:</t>
        </r>
        <r>
          <rPr>
            <sz val="9"/>
            <color indexed="81"/>
            <rFont val="Tahoma"/>
            <charset val="177"/>
          </rPr>
          <t xml:space="preserve">
1 = כן
2 = לא</t>
        </r>
      </text>
    </comment>
    <comment ref="AF73" authorId="0" shapeId="0" xr:uid="{643093D2-A89D-46BD-8570-CBB202803F98}">
      <text>
        <r>
          <rPr>
            <b/>
            <sz val="9"/>
            <color indexed="81"/>
            <rFont val="Tahoma"/>
            <family val="2"/>
          </rPr>
          <t>יניב שפירא:</t>
        </r>
        <r>
          <rPr>
            <sz val="9"/>
            <color indexed="81"/>
            <rFont val="Tahoma"/>
            <family val="2"/>
          </rPr>
          <t xml:space="preserve">
1 = לא צופה כלל
2 = 1-2 שעות
3 = 3-5
4 = 6-10
5 = 11-15
6 = 16-20
7 = 21 +</t>
        </r>
      </text>
    </comment>
    <comment ref="AI73" authorId="0" shapeId="0" xr:uid="{215E6235-B597-4C83-87C2-CD4CAEAFA482}">
      <text>
        <r>
          <rPr>
            <b/>
            <sz val="9"/>
            <color indexed="81"/>
            <rFont val="Tahoma"/>
            <family val="2"/>
          </rPr>
          <t>יניב שפירא:</t>
        </r>
        <r>
          <rPr>
            <sz val="9"/>
            <color indexed="81"/>
            <rFont val="Tahoma"/>
            <family val="2"/>
          </rPr>
          <t xml:space="preserve">
1 = בכל יום
2 = 2-3 פעמים בשבוע
3 = אחת לשבוע
4 = 2-3 פעמים בחודש
5 = אחת לחודש
6 = לעיתים רחוקות יותר
7 = לא צופה כלל</t>
        </r>
      </text>
    </comment>
    <comment ref="AI74" authorId="0" shapeId="0" xr:uid="{FB6E8C27-9DCE-44FD-97F1-4FC52E1605F3}">
      <text>
        <r>
          <rPr>
            <b/>
            <sz val="9"/>
            <color indexed="81"/>
            <rFont val="Tahoma"/>
            <family val="2"/>
          </rPr>
          <t>יניב שפירא:</t>
        </r>
        <r>
          <rPr>
            <sz val="9"/>
            <color indexed="81"/>
            <rFont val="Tahoma"/>
            <family val="2"/>
          </rPr>
          <t xml:space="preserve">
1 = בידור, תרבות, ידיעות
2 = בידור, ידיעות, תרבות
3 = תרבות, ידיעות, בידור
4 = תרבות, בידור, ידיעות
5 = ידיעות, בידור, תרבות
6 = ידיעות, תרבות, בידור</t>
        </r>
      </text>
    </comment>
    <comment ref="AG75" authorId="0" shapeId="0" xr:uid="{70879ADF-8C55-45A3-9F5F-89B8DB329427}">
      <text>
        <r>
          <rPr>
            <b/>
            <sz val="9"/>
            <color indexed="81"/>
            <rFont val="Tahoma"/>
            <family val="2"/>
          </rPr>
          <t>יניב שפירא:</t>
        </r>
        <r>
          <rPr>
            <sz val="9"/>
            <color indexed="81"/>
            <rFont val="Tahoma"/>
            <family val="2"/>
          </rPr>
          <t xml:space="preserve">
1 = חשוב מאוד
2 = חשוב
3 = לא כ"כ חשוב
4 = כלל לא חשוב</t>
        </r>
      </text>
    </comment>
    <comment ref="AG84" authorId="0" shapeId="0" xr:uid="{1A2FA5A8-A94B-4D69-BBD4-2D9F1CC1DAB0}">
      <text>
        <r>
          <rPr>
            <b/>
            <sz val="9"/>
            <color indexed="81"/>
            <rFont val="Tahoma"/>
            <family val="2"/>
          </rPr>
          <t>יניב שפירא:</t>
        </r>
        <r>
          <rPr>
            <sz val="9"/>
            <color indexed="81"/>
            <rFont val="Tahoma"/>
            <family val="2"/>
          </rPr>
          <t xml:space="preserve">
1 = קובעת מאוד
2 = קובעת
3 = לא כ"כ קובעת
4 = לא קובעת כלל</t>
        </r>
      </text>
    </comment>
    <comment ref="AG93" authorId="0" shapeId="0" xr:uid="{69881C48-1077-431D-B351-3570A9B78AE4}">
      <text>
        <r>
          <rPr>
            <b/>
            <sz val="9"/>
            <color indexed="81"/>
            <rFont val="Tahoma"/>
            <family val="2"/>
          </rPr>
          <t>יניב שפירא:</t>
        </r>
        <r>
          <rPr>
            <sz val="9"/>
            <color indexed="81"/>
            <rFont val="Tahoma"/>
            <family val="2"/>
          </rPr>
          <t xml:space="preserve">
1 = שידורים שבהם מופיע מנהיג פוליטי ומציג את עמדת המפלגה
2 = שידור שבו מוצג סרט מחיי הארץ המציג את עמדת המפלגה
3 = אחר</t>
        </r>
      </text>
    </comment>
    <comment ref="AG94" authorId="0" shapeId="0" xr:uid="{D0CA0EEA-E652-484E-9F89-A6D2C72E9A31}">
      <text>
        <r>
          <rPr>
            <b/>
            <sz val="9"/>
            <color indexed="81"/>
            <rFont val="Tahoma"/>
            <family val="2"/>
          </rPr>
          <t>יניב שפירא:</t>
        </r>
        <r>
          <rPr>
            <sz val="9"/>
            <color indexed="81"/>
            <rFont val="Tahoma"/>
            <family val="2"/>
          </rPr>
          <t xml:space="preserve">
1 = שידורים שבהם מופיע מנהיג פוליטי ומציג את עמדת המפלגה
2 = שידור שבו מוצג סרט מחיי הארץ המציג את עמדת המפלגה
3 = אחר</t>
        </r>
      </text>
    </comment>
    <comment ref="AH95" authorId="0" shapeId="0" xr:uid="{E2F5F321-8339-4BBA-A047-0EA17DB31D13}">
      <text>
        <r>
          <rPr>
            <b/>
            <sz val="9"/>
            <color indexed="81"/>
            <rFont val="Tahoma"/>
            <charset val="177"/>
          </rPr>
          <t>יניב שפירא:</t>
        </r>
        <r>
          <rPr>
            <sz val="9"/>
            <color indexed="81"/>
            <rFont val="Tahoma"/>
            <charset val="177"/>
          </rPr>
          <t xml:space="preserve">
</t>
        </r>
      </text>
    </comment>
    <comment ref="AI96" authorId="0" shapeId="0" xr:uid="{D9A4288B-7834-4DB0-B84C-40EA19EC0905}">
      <text>
        <r>
          <rPr>
            <b/>
            <sz val="9"/>
            <color indexed="81"/>
            <rFont val="Tahoma"/>
            <family val="2"/>
          </rPr>
          <t>יניב שפירא:</t>
        </r>
        <r>
          <rPr>
            <sz val="9"/>
            <color indexed="81"/>
            <rFont val="Tahoma"/>
            <family val="2"/>
          </rPr>
          <t xml:space="preserve">
1 = כל יום
2 = כמה פעמים בשבוע
3 = פעם בשבוע
4 = לעיתים רחוקות יותר
5 = לא קורא</t>
        </r>
      </text>
    </comment>
    <comment ref="AI109" authorId="0" shapeId="0" xr:uid="{F682BCE3-4693-4B94-BCE4-C6BCC18845E6}">
      <text>
        <r>
          <rPr>
            <b/>
            <sz val="9"/>
            <color indexed="81"/>
            <rFont val="Tahoma"/>
            <family val="2"/>
          </rPr>
          <t>יניב שפירא:</t>
        </r>
        <r>
          <rPr>
            <sz val="9"/>
            <color indexed="81"/>
            <rFont val="Tahoma"/>
            <family val="2"/>
          </rPr>
          <t xml:space="preserve">
1 = בדר"כ כן
2 = לפעמים כן לפעמים לא
3 = בדר"כ לא
4 = לא מקבל אינפורמציה</t>
        </r>
      </text>
    </comment>
    <comment ref="AI110" authorId="0" shapeId="0" xr:uid="{9F259D52-5C2B-4898-A974-C0F07D4EBE8D}">
      <text>
        <r>
          <rPr>
            <b/>
            <sz val="9"/>
            <color indexed="81"/>
            <rFont val="Tahoma"/>
            <family val="2"/>
          </rPr>
          <t>יניב שפירא:</t>
        </r>
        <r>
          <rPr>
            <sz val="9"/>
            <color indexed="81"/>
            <rFont val="Tahoma"/>
            <family val="2"/>
          </rPr>
          <t xml:space="preserve">
1 = בדר"כ כן
2 = לפעמים כן לפעמים לא
3 = בדר"כ לא
4 = לא מקבל אינפורמציה</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DE8F610F-41D0-4108-AD21-1577530F8478}">
      <text>
        <r>
          <rPr>
            <b/>
            <sz val="9"/>
            <color indexed="81"/>
            <rFont val="Tahoma"/>
            <charset val="177"/>
          </rPr>
          <t>יניב שפירא:</t>
        </r>
        <r>
          <rPr>
            <sz val="9"/>
            <color indexed="81"/>
            <rFont val="Tahoma"/>
            <charset val="177"/>
          </rPr>
          <t xml:space="preserve">
post election</t>
        </r>
      </text>
    </comment>
    <comment ref="AA1" authorId="0" shapeId="0" xr:uid="{9E3A4B91-C328-459E-BB65-7EED2D79EF32}">
      <text>
        <r>
          <rPr>
            <b/>
            <sz val="9"/>
            <color indexed="81"/>
            <rFont val="Tahoma"/>
            <charset val="177"/>
          </rPr>
          <t>יניב שפירא:</t>
        </r>
        <r>
          <rPr>
            <sz val="9"/>
            <color indexed="81"/>
            <rFont val="Tahoma"/>
            <charset val="177"/>
          </rPr>
          <t xml:space="preserve">
post Kippur + post election</t>
        </r>
      </text>
    </comment>
    <comment ref="AB1" authorId="0" shapeId="0" xr:uid="{6A79853C-843F-42C8-BC00-04CBF05E5CB6}">
      <text>
        <r>
          <rPr>
            <b/>
            <sz val="9"/>
            <color indexed="81"/>
            <rFont val="Tahoma"/>
            <charset val="177"/>
          </rPr>
          <t>יניב שפירא:</t>
        </r>
        <r>
          <rPr>
            <sz val="9"/>
            <color indexed="81"/>
            <rFont val="Tahoma"/>
            <charset val="177"/>
          </rPr>
          <t xml:space="preserve">
post Kippur</t>
        </r>
      </text>
    </comment>
    <comment ref="AC1" authorId="0" shapeId="0" xr:uid="{95E93660-D4A9-4B50-B937-8C55D762110F}">
      <text>
        <r>
          <rPr>
            <b/>
            <sz val="9"/>
            <color indexed="81"/>
            <rFont val="Tahoma"/>
            <charset val="177"/>
          </rPr>
          <t>יניב שפירא:</t>
        </r>
        <r>
          <rPr>
            <sz val="9"/>
            <color indexed="81"/>
            <rFont val="Tahoma"/>
            <charset val="177"/>
          </rPr>
          <t xml:space="preserve">
post Kippur</t>
        </r>
      </text>
    </comment>
    <comment ref="AF1" authorId="0" shapeId="0" xr:uid="{324A6CB2-3D5F-443A-AA90-5A2E27DE2FC3}">
      <text>
        <r>
          <rPr>
            <b/>
            <sz val="9"/>
            <color indexed="81"/>
            <rFont val="Tahoma"/>
            <charset val="177"/>
          </rPr>
          <t>יניב שפירא:</t>
        </r>
        <r>
          <rPr>
            <sz val="9"/>
            <color indexed="81"/>
            <rFont val="Tahoma"/>
            <charset val="177"/>
          </rPr>
          <t xml:space="preserve">
pre + post election</t>
        </r>
      </text>
    </comment>
    <comment ref="D2" authorId="0" shapeId="0" xr:uid="{B4570898-A40F-4077-B750-C6286DC053AA}">
      <text>
        <r>
          <rPr>
            <b/>
            <sz val="9"/>
            <color indexed="81"/>
            <rFont val="Tahoma"/>
            <family val="2"/>
          </rPr>
          <t>יניב שפירא:</t>
        </r>
        <r>
          <rPr>
            <sz val="9"/>
            <color indexed="81"/>
            <rFont val="Tahoma"/>
            <family val="2"/>
          </rPr>
          <t xml:space="preserve">
1 = תשובה נכונה
2 = תשובה לא נכונה
3 = לא יודע</t>
        </r>
      </text>
    </comment>
    <comment ref="D3" authorId="0" shapeId="0" xr:uid="{8AC75F70-0722-435B-B42C-CBE2371DBA38}">
      <text>
        <r>
          <rPr>
            <b/>
            <sz val="9"/>
            <color indexed="81"/>
            <rFont val="Tahoma"/>
            <family val="2"/>
          </rPr>
          <t>יניב שפירא:</t>
        </r>
        <r>
          <rPr>
            <sz val="9"/>
            <color indexed="81"/>
            <rFont val="Tahoma"/>
            <family val="2"/>
          </rPr>
          <t xml:space="preserve">
1 = תשובה נכונה (אסתר חיות)
2 = תשובה לא נכונה
3 = לא יודע</t>
        </r>
      </text>
    </comment>
    <comment ref="D4" authorId="0" shapeId="0" xr:uid="{A4E67861-3528-41C0-9C87-097655B78895}">
      <text>
        <r>
          <rPr>
            <b/>
            <sz val="9"/>
            <color indexed="81"/>
            <rFont val="Tahoma"/>
            <family val="2"/>
          </rPr>
          <t>יניב שפירא:</t>
        </r>
        <r>
          <rPr>
            <sz val="9"/>
            <color indexed="81"/>
            <rFont val="Tahoma"/>
            <family val="2"/>
          </rPr>
          <t xml:space="preserve">
1 = לא יודע
2 = בינוי ושיכון
3 = בריאות
4 = חינוך
5 = תחבורה</t>
        </r>
      </text>
    </comment>
    <comment ref="F5" authorId="0" shapeId="0" xr:uid="{013F31C1-F48B-4507-AB63-0D8DB690F079}">
      <text>
        <r>
          <rPr>
            <b/>
            <sz val="9"/>
            <color indexed="81"/>
            <rFont val="Tahoma"/>
            <family val="2"/>
          </rPr>
          <t>יניב שפירא:</t>
        </r>
        <r>
          <rPr>
            <sz val="9"/>
            <color indexed="81"/>
            <rFont val="Tahoma"/>
            <family val="2"/>
          </rPr>
          <t xml:space="preserve">
1 = יולי אדלשטיין
2 = תשובה לא נכונה
3 = לא יודע</t>
        </r>
      </text>
    </comment>
    <comment ref="G5" authorId="0" shapeId="0" xr:uid="{5290948A-0DFD-4A4F-BE9E-98732D8CE391}">
      <text>
        <r>
          <rPr>
            <b/>
            <sz val="9"/>
            <color indexed="81"/>
            <rFont val="Tahoma"/>
            <charset val="177"/>
          </rPr>
          <t>יניב שפירא:</t>
        </r>
        <r>
          <rPr>
            <sz val="9"/>
            <color indexed="81"/>
            <rFont val="Tahoma"/>
            <charset val="177"/>
          </rPr>
          <t xml:space="preserve">
1 = יולי אדלשטיין
2 = לא נכון
8 = לא יודע</t>
        </r>
      </text>
    </comment>
    <comment ref="F6" authorId="0" shapeId="0" xr:uid="{DF4A6427-923D-4B3C-8962-0C36DD5B18F2}">
      <text>
        <r>
          <rPr>
            <b/>
            <sz val="9"/>
            <color indexed="81"/>
            <rFont val="Tahoma"/>
            <family val="2"/>
          </rPr>
          <t>יניב שפירא:</t>
        </r>
        <r>
          <rPr>
            <sz val="9"/>
            <color indexed="81"/>
            <rFont val="Tahoma"/>
            <family val="2"/>
          </rPr>
          <t xml:space="preserve">
1 = לא יודע
2 = ברזיל
3 = סעודיה
4 = צפון קוריאה
5 = צ'אד (תשובה נכונה)</t>
        </r>
      </text>
    </comment>
    <comment ref="G7" authorId="0" shapeId="0" xr:uid="{B5BE2FE4-9AEE-4014-B29F-EEED30097DFC}">
      <text>
        <r>
          <rPr>
            <b/>
            <sz val="9"/>
            <color indexed="81"/>
            <rFont val="Tahoma"/>
            <charset val="177"/>
          </rPr>
          <t>יניב שפירא:</t>
        </r>
        <r>
          <rPr>
            <sz val="9"/>
            <color indexed="81"/>
            <rFont val="Tahoma"/>
            <charset val="177"/>
          </rPr>
          <t xml:space="preserve">
1 = פחות מ10%
2 = בין 10% ל40%
3 = בין 40% ל75%
4 = יותר מ75%
8 = לא יודע</t>
        </r>
      </text>
    </comment>
    <comment ref="P8" authorId="0" shapeId="0" xr:uid="{A686A7A4-4F8A-46E1-88AD-31C7070B7774}">
      <text>
        <r>
          <rPr>
            <b/>
            <sz val="9"/>
            <color indexed="81"/>
            <rFont val="Tahoma"/>
            <family val="2"/>
          </rPr>
          <t>יניב שפירא:</t>
        </r>
        <r>
          <rPr>
            <sz val="9"/>
            <color indexed="81"/>
            <rFont val="Tahoma"/>
            <family val="2"/>
          </rPr>
          <t xml:space="preserve">
1 = ישראל
2 = צרפת
3 = ארה"ב
4 = בריטניה</t>
        </r>
      </text>
    </comment>
    <comment ref="P9" authorId="0" shapeId="0" xr:uid="{BEE8C0B0-EE22-4C0A-B8CE-7EBF845F0FFD}">
      <text>
        <r>
          <rPr>
            <b/>
            <sz val="9"/>
            <color indexed="81"/>
            <rFont val="Tahoma"/>
            <family val="2"/>
          </rPr>
          <t>יניב שפירא:</t>
        </r>
        <r>
          <rPr>
            <sz val="9"/>
            <color indexed="81"/>
            <rFont val="Tahoma"/>
            <family val="2"/>
          </rPr>
          <t xml:space="preserve">
1 = פחות ממיליארד דולר בשנה
2 = בין 1-2 מיליארד דולר בשנה
3 = בין 3-5 מיליארד דולר בשנה
4 = יותר מ-5 מיליארד דולר בשנה</t>
        </r>
      </text>
    </comment>
    <comment ref="P10" authorId="0" shapeId="0" xr:uid="{E5BBF757-8E0F-4B4A-80A6-DBE2301AC5CA}">
      <text>
        <r>
          <rPr>
            <b/>
            <sz val="9"/>
            <color indexed="81"/>
            <rFont val="Tahoma"/>
            <family val="2"/>
          </rPr>
          <t>יניב שפירא:</t>
        </r>
        <r>
          <rPr>
            <sz val="9"/>
            <color indexed="81"/>
            <rFont val="Tahoma"/>
            <family val="2"/>
          </rPr>
          <t xml:space="preserve">
1 = בטוח שיש
2 = חושב שיש
3 = חושב שאין
4 = בטוח שאין</t>
        </r>
      </text>
    </comment>
    <comment ref="P11" authorId="0" shapeId="0" xr:uid="{9D49604C-7029-42E1-BBAC-4F539E75D286}">
      <text>
        <r>
          <rPr>
            <b/>
            <sz val="9"/>
            <color indexed="81"/>
            <rFont val="Tahoma"/>
            <family val="2"/>
          </rPr>
          <t>יניב שפירא:</t>
        </r>
        <r>
          <rPr>
            <sz val="9"/>
            <color indexed="81"/>
            <rFont val="Tahoma"/>
            <family val="2"/>
          </rPr>
          <t xml:space="preserve">
1 = 58
2 = 140
3 = 485
4 = 1150
5 = 3900</t>
        </r>
      </text>
    </comment>
    <comment ref="P12" authorId="0" shapeId="0" xr:uid="{1E908FC8-EC27-4079-AC0C-9C8BF538A13B}">
      <text>
        <r>
          <rPr>
            <b/>
            <sz val="9"/>
            <color indexed="81"/>
            <rFont val="Tahoma"/>
            <family val="2"/>
          </rPr>
          <t>יניב שפירא:</t>
        </r>
        <r>
          <rPr>
            <sz val="9"/>
            <color indexed="81"/>
            <rFont val="Tahoma"/>
            <family val="2"/>
          </rPr>
          <t xml:space="preserve">
1 = בטוח שיש
2 = חושב שיש
3 = חושב שאין
4 = בטוח שאין</t>
        </r>
      </text>
    </comment>
    <comment ref="P13" authorId="0" shapeId="0" xr:uid="{06A264B4-2094-49DE-B8F6-ACB8D2510E5C}">
      <text>
        <r>
          <rPr>
            <b/>
            <sz val="9"/>
            <color indexed="81"/>
            <rFont val="Tahoma"/>
            <family val="2"/>
          </rPr>
          <t>יניב שפירא:</t>
        </r>
        <r>
          <rPr>
            <sz val="9"/>
            <color indexed="81"/>
            <rFont val="Tahoma"/>
            <family val="2"/>
          </rPr>
          <t xml:space="preserve">
1 = בטוח שיש
2 = חושב שיש
3 = חושב שאין
4 = בטוח שאין</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D5CC14F2-E964-4CE5-B515-52CC826ED8C5}">
      <text>
        <r>
          <rPr>
            <b/>
            <sz val="9"/>
            <color indexed="81"/>
            <rFont val="Tahoma"/>
            <charset val="177"/>
          </rPr>
          <t>יניב שפירא:</t>
        </r>
        <r>
          <rPr>
            <sz val="9"/>
            <color indexed="81"/>
            <rFont val="Tahoma"/>
            <charset val="177"/>
          </rPr>
          <t xml:space="preserve">
post election</t>
        </r>
      </text>
    </comment>
    <comment ref="AA1" authorId="0" shapeId="0" xr:uid="{A674A44F-C6D6-4493-AC9F-8A1C11944D39}">
      <text>
        <r>
          <rPr>
            <b/>
            <sz val="9"/>
            <color indexed="81"/>
            <rFont val="Tahoma"/>
            <charset val="177"/>
          </rPr>
          <t>יניב שפירא:</t>
        </r>
        <r>
          <rPr>
            <sz val="9"/>
            <color indexed="81"/>
            <rFont val="Tahoma"/>
            <charset val="177"/>
          </rPr>
          <t xml:space="preserve">
post Kippur + post election</t>
        </r>
      </text>
    </comment>
    <comment ref="AB1" authorId="0" shapeId="0" xr:uid="{4A490D98-2B4D-464E-BB63-AA5CBD1BB639}">
      <text>
        <r>
          <rPr>
            <b/>
            <sz val="9"/>
            <color indexed="81"/>
            <rFont val="Tahoma"/>
            <charset val="177"/>
          </rPr>
          <t>יניב שפירא:</t>
        </r>
        <r>
          <rPr>
            <sz val="9"/>
            <color indexed="81"/>
            <rFont val="Tahoma"/>
            <charset val="177"/>
          </rPr>
          <t xml:space="preserve">
post Kippur</t>
        </r>
      </text>
    </comment>
    <comment ref="AC1" authorId="0" shapeId="0" xr:uid="{B4F1DC7A-FF2A-4F5F-B8B1-5EC187458FB5}">
      <text>
        <r>
          <rPr>
            <b/>
            <sz val="9"/>
            <color indexed="81"/>
            <rFont val="Tahoma"/>
            <charset val="177"/>
          </rPr>
          <t>יניב שפירא:</t>
        </r>
        <r>
          <rPr>
            <sz val="9"/>
            <color indexed="81"/>
            <rFont val="Tahoma"/>
            <charset val="177"/>
          </rPr>
          <t xml:space="preserve">
post Kippur</t>
        </r>
      </text>
    </comment>
    <comment ref="AF1" authorId="0" shapeId="0" xr:uid="{001FB9CB-C334-4262-80FE-4F7D01D96AB6}">
      <text>
        <r>
          <rPr>
            <b/>
            <sz val="9"/>
            <color indexed="81"/>
            <rFont val="Tahoma"/>
            <charset val="177"/>
          </rPr>
          <t>יניב שפירא:</t>
        </r>
        <r>
          <rPr>
            <sz val="9"/>
            <color indexed="81"/>
            <rFont val="Tahoma"/>
            <charset val="177"/>
          </rPr>
          <t xml:space="preserve">
pre + post election</t>
        </r>
      </text>
    </comment>
    <comment ref="G2" authorId="0" shapeId="0" xr:uid="{ADF1EC93-E782-4615-AA0B-7FB16DC5EAC0}">
      <text>
        <r>
          <rPr>
            <b/>
            <sz val="9"/>
            <color indexed="81"/>
            <rFont val="Tahoma"/>
            <charset val="177"/>
          </rPr>
          <t>יניב שפירא:</t>
        </r>
        <r>
          <rPr>
            <sz val="9"/>
            <color indexed="81"/>
            <rFont val="Tahoma"/>
            <charset val="177"/>
          </rPr>
          <t xml:space="preserve">
1 = בכלל לא
2 = במידה מועטה
3 = במידה רבה
4 = במידה רבה מאד</t>
        </r>
      </text>
    </comment>
    <comment ref="G3" authorId="0" shapeId="0" xr:uid="{AA505A8E-3502-4A91-9A26-924F42096BEB}">
      <text>
        <r>
          <rPr>
            <b/>
            <sz val="9"/>
            <color indexed="81"/>
            <rFont val="Tahoma"/>
            <family val="2"/>
          </rPr>
          <t>יניב שפירא:</t>
        </r>
        <r>
          <rPr>
            <sz val="9"/>
            <color indexed="81"/>
            <rFont val="Tahoma"/>
            <family val="2"/>
          </rPr>
          <t xml:space="preserve">
1 = בכלל לא חשוב
2 = חשוב במידה מועטה
3 = די חשוב
4 = חשוב מאד</t>
        </r>
      </text>
    </comment>
    <comment ref="H4" authorId="0" shapeId="0" xr:uid="{D73D6109-7CA7-4405-A658-D96BA970C019}">
      <text>
        <r>
          <rPr>
            <b/>
            <sz val="9"/>
            <color indexed="81"/>
            <rFont val="Tahoma"/>
            <family val="2"/>
          </rPr>
          <t>יניב שפירא:</t>
        </r>
        <r>
          <rPr>
            <sz val="9"/>
            <color indexed="81"/>
            <rFont val="Tahoma"/>
            <family val="2"/>
          </rPr>
          <t xml:space="preserve">
1 = בהחלט לא מסכים
2 = לא מסכים
3 = מסכים
4 = בהחלט מסכים</t>
        </r>
      </text>
    </comment>
    <comment ref="H10" authorId="0" shapeId="0" xr:uid="{76C1DA6B-B644-4E43-8E7B-9047B1BB0DF3}">
      <text>
        <r>
          <rPr>
            <b/>
            <sz val="9"/>
            <color indexed="81"/>
            <rFont val="Tahoma"/>
            <family val="2"/>
          </rPr>
          <t>יניב שפירא:</t>
        </r>
        <r>
          <rPr>
            <sz val="9"/>
            <color indexed="81"/>
            <rFont val="Tahoma"/>
            <family val="2"/>
          </rPr>
          <t xml:space="preserve">
1 = אני עושה יותר מבן/בת זוגי
2 = החלוקה פחות או יותר שוויונית
3 = אני עושה פחות מבן/בת זוגי</t>
        </r>
      </text>
    </comment>
    <comment ref="H11" authorId="0" shapeId="0" xr:uid="{ADA83B03-D727-4ED7-A8EE-636B9DF108AA}">
      <text>
        <r>
          <rPr>
            <b/>
            <sz val="9"/>
            <color indexed="81"/>
            <rFont val="Tahoma"/>
            <family val="2"/>
          </rPr>
          <t>יניב שפירא:</t>
        </r>
        <r>
          <rPr>
            <sz val="9"/>
            <color indexed="81"/>
            <rFont val="Tahoma"/>
            <family val="2"/>
          </rPr>
          <t xml:space="preserve">
1 = בטוח שכן
2 = חושב שכן
3 = ככה ככה
4 = חושב שלא
5 = בטוח שלא</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X1" authorId="0" shapeId="0" xr:uid="{0A9A4332-7D69-4B69-A44E-10A7A78AEBBC}">
      <text>
        <r>
          <rPr>
            <b/>
            <sz val="9"/>
            <color indexed="81"/>
            <rFont val="Tahoma"/>
            <charset val="177"/>
          </rPr>
          <t>יניב שפירא:</t>
        </r>
        <r>
          <rPr>
            <sz val="9"/>
            <color indexed="81"/>
            <rFont val="Tahoma"/>
            <charset val="177"/>
          </rPr>
          <t xml:space="preserve">
post election</t>
        </r>
      </text>
    </comment>
    <comment ref="AB1" authorId="0" shapeId="0" xr:uid="{285BF299-E354-4C62-B44F-0FC5EDFDE4A5}">
      <text>
        <r>
          <rPr>
            <b/>
            <sz val="9"/>
            <color indexed="81"/>
            <rFont val="Tahoma"/>
            <charset val="177"/>
          </rPr>
          <t>יניב שפירא:</t>
        </r>
        <r>
          <rPr>
            <sz val="9"/>
            <color indexed="81"/>
            <rFont val="Tahoma"/>
            <charset val="177"/>
          </rPr>
          <t xml:space="preserve">
post Kippur + post election</t>
        </r>
      </text>
    </comment>
    <comment ref="AC1" authorId="0" shapeId="0" xr:uid="{0A601A34-6A2F-4C93-99D5-94D8337585AE}">
      <text>
        <r>
          <rPr>
            <b/>
            <sz val="9"/>
            <color indexed="81"/>
            <rFont val="Tahoma"/>
            <charset val="177"/>
          </rPr>
          <t>יניב שפירא:</t>
        </r>
        <r>
          <rPr>
            <sz val="9"/>
            <color indexed="81"/>
            <rFont val="Tahoma"/>
            <charset val="177"/>
          </rPr>
          <t xml:space="preserve">
post Kippur</t>
        </r>
      </text>
    </comment>
    <comment ref="AD1" authorId="0" shapeId="0" xr:uid="{86E06CF1-993C-4E35-A4AE-8B99BA58A9C3}">
      <text>
        <r>
          <rPr>
            <b/>
            <sz val="9"/>
            <color indexed="81"/>
            <rFont val="Tahoma"/>
            <charset val="177"/>
          </rPr>
          <t>יניב שפירא:</t>
        </r>
        <r>
          <rPr>
            <sz val="9"/>
            <color indexed="81"/>
            <rFont val="Tahoma"/>
            <charset val="177"/>
          </rPr>
          <t xml:space="preserve">
post Kippur</t>
        </r>
      </text>
    </comment>
    <comment ref="AG1" authorId="0" shapeId="0" xr:uid="{4DECF788-C7B1-40EA-9261-C4144A8B347A}">
      <text>
        <r>
          <rPr>
            <b/>
            <sz val="9"/>
            <color indexed="81"/>
            <rFont val="Tahoma"/>
            <charset val="177"/>
          </rPr>
          <t>יניב שפירא:</t>
        </r>
        <r>
          <rPr>
            <sz val="9"/>
            <color indexed="81"/>
            <rFont val="Tahoma"/>
            <charset val="177"/>
          </rPr>
          <t xml:space="preserve">
pre + post election</t>
        </r>
      </text>
    </comment>
    <comment ref="A2" authorId="0" shapeId="0" xr:uid="{DE6AC2BB-0F3A-4A36-ABF4-01FCE30008E1}">
      <text>
        <r>
          <rPr>
            <b/>
            <sz val="9"/>
            <color indexed="81"/>
            <rFont val="Tahoma"/>
            <family val="2"/>
          </rPr>
          <t>יניב שפירא:</t>
        </r>
        <r>
          <rPr>
            <sz val="9"/>
            <color indexed="81"/>
            <rFont val="Tahoma"/>
            <family val="2"/>
          </rPr>
          <t xml:space="preserve">
שאלות: 31,33,34,36,37,39,40,42,43,44
אין קידוד בstata, האם אבד??
גם ב2020 וגם ב2019
גם ב2021</t>
        </r>
      </text>
    </comment>
    <comment ref="E2" authorId="0" shapeId="0" xr:uid="{3C32675A-96A6-40F6-9449-6C9758C1BE05}">
      <text>
        <r>
          <rPr>
            <b/>
            <sz val="9"/>
            <color indexed="81"/>
            <rFont val="Tahoma"/>
            <family val="2"/>
          </rPr>
          <t>יניב שפירא:</t>
        </r>
        <r>
          <rPr>
            <sz val="9"/>
            <color indexed="81"/>
            <rFont val="Tahoma"/>
            <family val="2"/>
          </rPr>
          <t xml:space="preserve">
1 = בטוח שלא
2 = חושב שלא
3 = חושב שכן
4 = בטוח שכן</t>
        </r>
      </text>
    </comment>
    <comment ref="E10" authorId="0" shapeId="0" xr:uid="{70D49FA9-C1C0-4424-8913-4EE0785CEF81}">
      <text>
        <r>
          <rPr>
            <b/>
            <sz val="9"/>
            <color indexed="81"/>
            <rFont val="Tahoma"/>
            <family val="2"/>
          </rPr>
          <t>יניב שפירא:</t>
        </r>
        <r>
          <rPr>
            <sz val="9"/>
            <color indexed="81"/>
            <rFont val="Tahoma"/>
            <family val="2"/>
          </rPr>
          <t xml:space="preserve">
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r>
      </text>
    </comment>
    <comment ref="E11" authorId="0" shapeId="0" xr:uid="{B608C858-C739-425E-BD16-8C19DB69D2BE}">
      <text>
        <r>
          <rPr>
            <b/>
            <sz val="9"/>
            <color indexed="81"/>
            <rFont val="Tahoma"/>
            <family val="2"/>
          </rPr>
          <t>יניב שפירא:</t>
        </r>
        <r>
          <rPr>
            <sz val="9"/>
            <color indexed="81"/>
            <rFont val="Tahoma"/>
            <family val="2"/>
          </rPr>
          <t xml:space="preserve">
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r>
      </text>
    </comment>
    <comment ref="A12" authorId="0" shapeId="0" xr:uid="{C98A5A6F-340A-4757-B6D0-595E4E7AAD05}">
      <text>
        <r>
          <rPr>
            <b/>
            <sz val="9"/>
            <color indexed="81"/>
            <rFont val="Tahoma"/>
            <family val="2"/>
          </rPr>
          <t>יניב שפירא:</t>
        </r>
        <r>
          <rPr>
            <sz val="9"/>
            <color indexed="81"/>
            <rFont val="Tahoma"/>
            <family val="2"/>
          </rPr>
          <t xml:space="preserve">
שאלות 109 + 110
לא מקודדות אצלי בstata
גם ב2020 וגם ב2019
גם ב2021</t>
        </r>
      </text>
    </comment>
    <comment ref="E12" authorId="0" shapeId="0" xr:uid="{7A509F49-D60C-4B7F-9E8E-D0949E4A199F}">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E13" authorId="0" shapeId="0" xr:uid="{8DCCD631-ADD9-437E-B329-D128FB54593A}">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A14" authorId="0" shapeId="0" xr:uid="{73E713B9-E70A-4C9E-A599-51D418D137C0}">
      <text>
        <r>
          <rPr>
            <b/>
            <sz val="9"/>
            <color indexed="81"/>
            <rFont val="Tahoma"/>
            <family val="2"/>
          </rPr>
          <t>יניב שפירא:</t>
        </r>
        <r>
          <rPr>
            <sz val="9"/>
            <color indexed="81"/>
            <rFont val="Tahoma"/>
            <family val="2"/>
          </rPr>
          <t xml:space="preserve">
שאלה של אחרי הבחירות.
שאלה E110 לא מקודדת בstata
גם ב2020 וגם ב2019
גם ב2021</t>
        </r>
      </text>
    </comment>
    <comment ref="E14" authorId="0" shapeId="0" xr:uid="{51645FA1-BD74-4B4C-B54D-8A128324B975}">
      <text>
        <r>
          <rPr>
            <b/>
            <sz val="9"/>
            <color indexed="81"/>
            <rFont val="Tahoma"/>
            <family val="2"/>
          </rPr>
          <t>יניב שפירא:</t>
        </r>
        <r>
          <rPr>
            <sz val="9"/>
            <color indexed="81"/>
            <rFont val="Tahoma"/>
            <family val="2"/>
          </rPr>
          <t xml:space="preserve">
1 = במידה רבה
2 = במידה מסוימת
3 = במידה מועטה
4 = בכלל לא
8 = לא יודע
9 = מסרב</t>
        </r>
      </text>
    </comment>
    <comment ref="G15" authorId="0" shapeId="0" xr:uid="{9E20383D-9133-4A53-B42A-AD305CE9EF46}">
      <text>
        <r>
          <rPr>
            <b/>
            <sz val="9"/>
            <color indexed="81"/>
            <rFont val="Tahoma"/>
            <family val="2"/>
          </rPr>
          <t>יניב שפירא:</t>
        </r>
        <r>
          <rPr>
            <sz val="9"/>
            <color indexed="81"/>
            <rFont val="Tahoma"/>
            <family val="2"/>
          </rPr>
          <t xml:space="preserve">
1 = כלל לא מסכים
2 = לא כ"כ מסכים
3 = די מסכים
4 = מסכים מאד</t>
        </r>
      </text>
    </comment>
    <comment ref="R15" authorId="0" shapeId="0" xr:uid="{3455E853-C372-4173-A321-0512020DEA7B}">
      <text>
        <r>
          <rPr>
            <b/>
            <sz val="9"/>
            <color indexed="81"/>
            <rFont val="Tahoma"/>
            <family val="2"/>
          </rPr>
          <t>יניב שפירא:</t>
        </r>
        <r>
          <rPr>
            <sz val="9"/>
            <color indexed="81"/>
            <rFont val="Tahoma"/>
            <family val="2"/>
          </rPr>
          <t xml:space="preserve">
1 = מסכים בהחלט
2 = מסכים
3 = לא בטוח
4 = לא מסכים
5 = כלל לא מסכים</t>
        </r>
      </text>
    </comment>
    <comment ref="W15" authorId="0" shapeId="0" xr:uid="{4ABF1528-E035-4648-B12B-E024875A0D8C}">
      <text>
        <r>
          <rPr>
            <b/>
            <sz val="9"/>
            <color indexed="81"/>
            <rFont val="Tahoma"/>
            <family val="2"/>
          </rPr>
          <t>יניב שפירא:</t>
        </r>
        <r>
          <rPr>
            <sz val="9"/>
            <color indexed="81"/>
            <rFont val="Tahoma"/>
            <family val="2"/>
          </rPr>
          <t xml:space="preserve">
1 = בכלל לא מתחשב
2 = מתחשב במידה מועטה
3 = מתחשב במידה מסויימת
4 = מתחשב במידה רבה</t>
        </r>
      </text>
    </comment>
    <comment ref="AH15" authorId="0" shapeId="0" xr:uid="{6C057748-AB5B-432A-9830-3B29B46A5699}">
      <text>
        <r>
          <rPr>
            <b/>
            <sz val="9"/>
            <color indexed="81"/>
            <rFont val="Tahoma"/>
            <family val="2"/>
          </rPr>
          <t>יניב שפירא:</t>
        </r>
        <r>
          <rPr>
            <sz val="9"/>
            <color indexed="81"/>
            <rFont val="Tahoma"/>
            <family val="2"/>
          </rPr>
          <t xml:space="preserve">
1 = בהחלט לא מתחשב
2 = אולי לא מתחשב
3 = אולי מתחשב
4 = בהחלט מתחשב</t>
        </r>
      </text>
    </comment>
    <comment ref="G16" authorId="0" shapeId="0" xr:uid="{06AB5C4D-B6C5-40E3-BB4F-D7D25042FA6D}">
      <text>
        <r>
          <rPr>
            <b/>
            <sz val="9"/>
            <color indexed="81"/>
            <rFont val="Tahoma"/>
            <family val="2"/>
          </rPr>
          <t>יניב שפירא:</t>
        </r>
        <r>
          <rPr>
            <sz val="9"/>
            <color indexed="81"/>
            <rFont val="Tahoma"/>
            <family val="2"/>
          </rPr>
          <t xml:space="preserve">
קידוד 29 מפלגות</t>
        </r>
      </text>
    </comment>
    <comment ref="A17" authorId="0" shapeId="0" xr:uid="{77D5B861-2BE1-4AB6-9D47-E7723C266986}">
      <text>
        <r>
          <rPr>
            <b/>
            <sz val="9"/>
            <color indexed="81"/>
            <rFont val="Tahoma"/>
            <family val="2"/>
          </rPr>
          <t>יניב שפירא:</t>
        </r>
        <r>
          <rPr>
            <sz val="9"/>
            <color indexed="81"/>
            <rFont val="Tahoma"/>
            <family val="2"/>
          </rPr>
          <t xml:space="preserve">
שאלות 80-85 לא מקודדות בstata
(בשנת 2019, אין אותם ב2020)</t>
        </r>
      </text>
    </comment>
    <comment ref="G17" authorId="0" shapeId="0" xr:uid="{311BCC0B-EBE1-4A57-8A6A-922A27AD305F}">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A23" authorId="0" shapeId="0" xr:uid="{DA2A443E-41EA-4E2F-8997-69614A82EC9B}">
      <text>
        <r>
          <rPr>
            <b/>
            <sz val="9"/>
            <color indexed="81"/>
            <rFont val="Tahoma"/>
            <family val="2"/>
          </rPr>
          <t>יניב שפירא:</t>
        </r>
        <r>
          <rPr>
            <sz val="9"/>
            <color indexed="81"/>
            <rFont val="Tahoma"/>
            <family val="2"/>
          </rPr>
          <t xml:space="preserve">
שאלה 91 לא מקודדת בstata
(בשנת 2019, אין אותה ב2020)</t>
        </r>
      </text>
    </comment>
    <comment ref="G23" authorId="0" shapeId="0" xr:uid="{0EC6C46A-032A-494D-A204-EA82E8CF130C}">
      <text>
        <r>
          <rPr>
            <b/>
            <sz val="9"/>
            <color indexed="81"/>
            <rFont val="Tahoma"/>
            <family val="2"/>
          </rPr>
          <t>יניב שפירא:</t>
        </r>
        <r>
          <rPr>
            <sz val="9"/>
            <color indexed="81"/>
            <rFont val="Tahoma"/>
            <family val="2"/>
          </rPr>
          <t xml:space="preserve">
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r>
      </text>
    </comment>
    <comment ref="H24" authorId="0" shapeId="0" xr:uid="{80025F00-DBF8-4477-9978-DE5AC325A983}">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A25" authorId="0" shapeId="0" xr:uid="{E9FA7006-AA6D-4C33-AEFC-F9E9B8A2AB95}">
      <text>
        <r>
          <rPr>
            <b/>
            <sz val="9"/>
            <color indexed="81"/>
            <rFont val="Tahoma"/>
            <family val="2"/>
          </rPr>
          <t>יניב שפירא:</t>
        </r>
        <r>
          <rPr>
            <sz val="9"/>
            <color indexed="81"/>
            <rFont val="Tahoma"/>
            <family val="2"/>
          </rPr>
          <t xml:space="preserve">
שאלות 86-90
לא מקודדות אצלי בstata
גם ב2020 וגם ב2019
גם ב2021</t>
        </r>
      </text>
    </comment>
    <comment ref="E25" authorId="0" shapeId="0" xr:uid="{FD199D00-EF19-4924-BC4A-D77C7C5E6DEB}">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A29" authorId="0" shapeId="0" xr:uid="{54AA8F14-0141-4BBE-BF0E-F6DDB2D84827}">
      <text>
        <r>
          <rPr>
            <b/>
            <sz val="9"/>
            <color indexed="81"/>
            <rFont val="Tahoma"/>
            <family val="2"/>
          </rPr>
          <t>יניב שפירא:</t>
        </r>
        <r>
          <rPr>
            <sz val="9"/>
            <color indexed="81"/>
            <rFont val="Tahoma"/>
            <family val="2"/>
          </rPr>
          <t xml:space="preserve">
רק ליהודים</t>
        </r>
      </text>
    </comment>
    <comment ref="M29" authorId="0" shapeId="0" xr:uid="{11FBA2C6-93C0-4AB3-8E55-AD280420F002}">
      <text>
        <r>
          <rPr>
            <b/>
            <sz val="9"/>
            <color indexed="81"/>
            <rFont val="Tahoma"/>
            <family val="2"/>
          </rPr>
          <t>יניב שפירא:</t>
        </r>
        <r>
          <rPr>
            <sz val="9"/>
            <color indexed="81"/>
            <rFont val="Tahoma"/>
            <family val="2"/>
          </rPr>
          <t xml:space="preserve">
סולם 1-5
1 = לא משנה עבור מי מצביעים
5 = כן משנה</t>
        </r>
      </text>
    </comment>
    <comment ref="J30" authorId="0" shapeId="0" xr:uid="{BB1099B8-26CA-4A82-A8EC-ABAC218C6A87}">
      <text>
        <r>
          <rPr>
            <b/>
            <sz val="9"/>
            <color indexed="81"/>
            <rFont val="Tahoma"/>
            <charset val="177"/>
          </rPr>
          <t>יניב שפירא:</t>
        </r>
        <r>
          <rPr>
            <sz val="9"/>
            <color indexed="81"/>
            <rFont val="Tahoma"/>
            <charset val="177"/>
          </rPr>
          <t xml:space="preserve">
1 = היא קודם כל מפלגה שמייצגת את העולים מברה"מ לשעבר
2 = היא לא מפלגה כזו</t>
        </r>
      </text>
    </comment>
    <comment ref="A31" authorId="0" shapeId="0" xr:uid="{69814127-C8D7-43CD-94F6-CDF22AD255C6}">
      <text>
        <r>
          <rPr>
            <b/>
            <sz val="9"/>
            <color indexed="81"/>
            <rFont val="Tahoma"/>
            <family val="2"/>
          </rPr>
          <t>יניב שפירא:</t>
        </r>
        <r>
          <rPr>
            <sz val="9"/>
            <color indexed="81"/>
            <rFont val="Tahoma"/>
            <family val="2"/>
          </rPr>
          <t xml:space="preserve">
רק לעולי ברה"מ</t>
        </r>
      </text>
    </comment>
    <comment ref="K31" authorId="0" shapeId="0" xr:uid="{F93B7B8E-50A3-466D-BDB9-0CBB6C7F673E}">
      <text>
        <r>
          <rPr>
            <b/>
            <sz val="9"/>
            <color indexed="81"/>
            <rFont val="Tahoma"/>
            <family val="2"/>
          </rPr>
          <t>יניב שפירא:</t>
        </r>
        <r>
          <rPr>
            <sz val="9"/>
            <color indexed="81"/>
            <rFont val="Tahoma"/>
            <family val="2"/>
          </rPr>
          <t xml:space="preserve">
1 = בטוח שכן
2 = חושב שכן
3 = חושב שלא
4 = בטוח שלא</t>
        </r>
      </text>
    </comment>
    <comment ref="W32" authorId="0" shapeId="0" xr:uid="{0B6851A9-AB39-4431-9232-4E3F35D6747C}">
      <text>
        <r>
          <rPr>
            <b/>
            <sz val="9"/>
            <color indexed="81"/>
            <rFont val="Tahoma"/>
            <family val="2"/>
          </rPr>
          <t>יניב שפירא:</t>
        </r>
        <r>
          <rPr>
            <sz val="9"/>
            <color indexed="81"/>
            <rFont val="Tahoma"/>
            <family val="2"/>
          </rPr>
          <t xml:space="preserve">
1 = צעירים
2 = נשים
3 = עדות המזרח
4 = אנשי רוח
5 = פועלים
6 = אנשי צבא
7 = אנשי עסקים
8 = עולים חדשים
9 = אף קבוצה</t>
        </r>
      </text>
    </comment>
    <comment ref="W33" authorId="0" shapeId="0" xr:uid="{88EF79F3-CB0C-40F4-AF7C-B427060C5B43}">
      <text>
        <r>
          <rPr>
            <b/>
            <sz val="9"/>
            <color indexed="81"/>
            <rFont val="Tahoma"/>
            <family val="2"/>
          </rPr>
          <t>יניב שפירא:</t>
        </r>
        <r>
          <rPr>
            <sz val="9"/>
            <color indexed="81"/>
            <rFont val="Tahoma"/>
            <family val="2"/>
          </rPr>
          <t xml:space="preserve">
1 = צעירים
2 = נשים
3 = עדות המזרח
4 = אנשי רוח
5 = פועלים
6 = אנשי צבא
7 = אנשי עסקים
8 = עולים חדשים
9 = אף קבוצה</t>
        </r>
      </text>
    </comment>
    <comment ref="A34" authorId="0" shapeId="0" xr:uid="{8B2A28F3-00F7-494B-9F2A-AE9FF1EC3C56}">
      <text>
        <r>
          <rPr>
            <b/>
            <sz val="9"/>
            <color indexed="81"/>
            <rFont val="Tahoma"/>
            <family val="2"/>
          </rPr>
          <t>יניב שפירא:</t>
        </r>
        <r>
          <rPr>
            <sz val="9"/>
            <color indexed="81"/>
            <rFont val="Tahoma"/>
            <family val="2"/>
          </rPr>
          <t xml:space="preserve">
אין קידוד
2021</t>
        </r>
      </text>
    </comment>
    <comment ref="D34" authorId="0" shapeId="0" xr:uid="{878574E9-3F91-4BA6-8549-FF59F29BEB57}">
      <text>
        <r>
          <rPr>
            <b/>
            <sz val="9"/>
            <color indexed="81"/>
            <rFont val="Tahoma"/>
            <family val="2"/>
          </rPr>
          <t>יניב שפירא:</t>
        </r>
        <r>
          <rPr>
            <sz val="9"/>
            <color indexed="81"/>
            <rFont val="Tahoma"/>
            <family val="2"/>
          </rPr>
          <t xml:space="preserve">
1 = מי שהצביע לו
2 = מי שלא הצביע לו
3 = גם וגם
4 = אף אחד
5 = לא הצביע</t>
        </r>
      </text>
    </comment>
    <comment ref="A35" authorId="0" shapeId="0" xr:uid="{70290F82-6AB0-4A10-BBC0-61DC137F2F8F}">
      <text>
        <r>
          <rPr>
            <b/>
            <sz val="9"/>
            <color indexed="81"/>
            <rFont val="Tahoma"/>
            <family val="2"/>
          </rPr>
          <t>יניב שפירא:</t>
        </r>
        <r>
          <rPr>
            <sz val="9"/>
            <color indexed="81"/>
            <rFont val="Tahoma"/>
            <family val="2"/>
          </rPr>
          <t xml:space="preserve">
אין קידוד
2021</t>
        </r>
      </text>
    </comment>
    <comment ref="D35" authorId="0" shapeId="0" xr:uid="{A1EBE2FB-4E1D-469F-AC01-4306F0336481}">
      <text>
        <r>
          <rPr>
            <b/>
            <sz val="9"/>
            <color indexed="81"/>
            <rFont val="Tahoma"/>
            <family val="2"/>
          </rPr>
          <t>יניב שפירא:</t>
        </r>
        <r>
          <rPr>
            <sz val="9"/>
            <color indexed="81"/>
            <rFont val="Tahoma"/>
            <family val="2"/>
          </rPr>
          <t xml:space="preserve">
1 = מפלגות ופוליטיקאים מהמערכת הפוליטית
2 = גופים ואנשים מחוץ למערכת הפוליטית
3 = גם וגם
4 = אף אחד מהם</t>
        </r>
      </text>
    </comment>
    <comment ref="A36" authorId="0" shapeId="0" xr:uid="{DC40417C-F236-406C-A62D-0674CFC17B54}">
      <text>
        <r>
          <rPr>
            <b/>
            <sz val="9"/>
            <color indexed="81"/>
            <rFont val="Tahoma"/>
            <family val="2"/>
          </rPr>
          <t>יניב שפירא:</t>
        </r>
        <r>
          <rPr>
            <sz val="9"/>
            <color indexed="81"/>
            <rFont val="Tahoma"/>
            <family val="2"/>
          </rPr>
          <t xml:space="preserve">
מי שענה 2/3 בשאלה הקודמת
אין קידוד
2021</t>
        </r>
      </text>
    </comment>
    <comment ref="D36" authorId="0" shapeId="0" xr:uid="{393EAD1F-446A-459D-A4F8-5408E050F9B2}">
      <text>
        <r>
          <rPr>
            <b/>
            <sz val="9"/>
            <color indexed="81"/>
            <rFont val="Tahoma"/>
            <family val="2"/>
          </rPr>
          <t>יניב שפירא:</t>
        </r>
        <r>
          <rPr>
            <sz val="9"/>
            <color indexed="81"/>
            <rFont val="Tahoma"/>
            <family val="2"/>
          </rPr>
          <t xml:space="preserve">
שאלה פתוחה</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972FA1DC-3D31-42C7-9A3B-32FE9AFBA0AD}">
      <text>
        <r>
          <rPr>
            <b/>
            <sz val="9"/>
            <color indexed="81"/>
            <rFont val="Tahoma"/>
            <charset val="177"/>
          </rPr>
          <t>יניב שפירא:</t>
        </r>
        <r>
          <rPr>
            <sz val="9"/>
            <color indexed="81"/>
            <rFont val="Tahoma"/>
            <charset val="177"/>
          </rPr>
          <t xml:space="preserve">
post election</t>
        </r>
      </text>
    </comment>
    <comment ref="AA1" authorId="0" shapeId="0" xr:uid="{EAE2594C-F1C4-465D-A829-971F2D3A8F36}">
      <text>
        <r>
          <rPr>
            <b/>
            <sz val="9"/>
            <color indexed="81"/>
            <rFont val="Tahoma"/>
            <charset val="177"/>
          </rPr>
          <t>יניב שפירא:</t>
        </r>
        <r>
          <rPr>
            <sz val="9"/>
            <color indexed="81"/>
            <rFont val="Tahoma"/>
            <charset val="177"/>
          </rPr>
          <t xml:space="preserve">
post Kippur + post election</t>
        </r>
      </text>
    </comment>
    <comment ref="AB1" authorId="0" shapeId="0" xr:uid="{17F60622-B4C5-433B-B124-0E24D397EAD7}">
      <text>
        <r>
          <rPr>
            <b/>
            <sz val="9"/>
            <color indexed="81"/>
            <rFont val="Tahoma"/>
            <charset val="177"/>
          </rPr>
          <t>יניב שפירא:</t>
        </r>
        <r>
          <rPr>
            <sz val="9"/>
            <color indexed="81"/>
            <rFont val="Tahoma"/>
            <charset val="177"/>
          </rPr>
          <t xml:space="preserve">
post Kippur</t>
        </r>
      </text>
    </comment>
    <comment ref="AC1" authorId="0" shapeId="0" xr:uid="{DC3D9118-DB77-48E0-A3AC-61FC765B9702}">
      <text>
        <r>
          <rPr>
            <b/>
            <sz val="9"/>
            <color indexed="81"/>
            <rFont val="Tahoma"/>
            <charset val="177"/>
          </rPr>
          <t>יניב שפירא:</t>
        </r>
        <r>
          <rPr>
            <sz val="9"/>
            <color indexed="81"/>
            <rFont val="Tahoma"/>
            <charset val="177"/>
          </rPr>
          <t xml:space="preserve">
post Kippur</t>
        </r>
      </text>
    </comment>
    <comment ref="AF1" authorId="0" shapeId="0" xr:uid="{03D1F82C-E013-477C-AB82-9BCC11716AD3}">
      <text>
        <r>
          <rPr>
            <b/>
            <sz val="9"/>
            <color indexed="81"/>
            <rFont val="Tahoma"/>
            <charset val="177"/>
          </rPr>
          <t>יניב שפירא:</t>
        </r>
        <r>
          <rPr>
            <sz val="9"/>
            <color indexed="81"/>
            <rFont val="Tahoma"/>
            <charset val="177"/>
          </rPr>
          <t xml:space="preserve">
pre + post election</t>
        </r>
      </text>
    </comment>
    <comment ref="D2" authorId="0" shapeId="0" xr:uid="{7D016B48-B923-4333-8E8C-5A6FEFB5B0A9}">
      <text>
        <r>
          <rPr>
            <b/>
            <sz val="9"/>
            <color indexed="81"/>
            <rFont val="Tahoma"/>
            <family val="2"/>
          </rPr>
          <t>יניב שפירא:</t>
        </r>
        <r>
          <rPr>
            <sz val="9"/>
            <color indexed="81"/>
            <rFont val="Tahoma"/>
            <family val="2"/>
          </rPr>
          <t xml:space="preserve">
1 = בהחלט יכול
2 = יכול
3 = לא יכול
4 = בהחלט לא יכול</t>
        </r>
      </text>
    </comment>
    <comment ref="D3" authorId="0" shapeId="0" xr:uid="{B4A2BCCA-418F-4794-B39A-D27636897125}">
      <text>
        <r>
          <rPr>
            <b/>
            <sz val="9"/>
            <color indexed="81"/>
            <rFont val="Tahoma"/>
            <family val="2"/>
          </rPr>
          <t>יניב שפירא:</t>
        </r>
        <r>
          <rPr>
            <sz val="9"/>
            <color indexed="81"/>
            <rFont val="Tahoma"/>
            <family val="2"/>
          </rPr>
          <t xml:space="preserve">
1 = כלל לא מסכים
2 = לא כ"כ מסכים
3 = די מסכים
4 = מאוד מסכים</t>
        </r>
      </text>
    </comment>
    <comment ref="D4" authorId="0" shapeId="0" xr:uid="{D6F7D432-AFB1-4714-8FC8-4AFA1F705219}">
      <text>
        <r>
          <rPr>
            <b/>
            <sz val="9"/>
            <color indexed="81"/>
            <rFont val="Tahoma"/>
            <family val="2"/>
          </rPr>
          <t>יניב שפירא:</t>
        </r>
        <r>
          <rPr>
            <sz val="9"/>
            <color indexed="81"/>
            <rFont val="Tahoma"/>
            <family val="2"/>
          </rPr>
          <t xml:space="preserve">
1 = שכתב האישום נגד ראש הממשלה הוא חלק ממסע רדיפה נגדו
2 = שהגופים הללו פועלים כנדרש</t>
        </r>
      </text>
    </comment>
    <comment ref="F4" authorId="0" shapeId="0" xr:uid="{0D9D13C2-E854-4F38-86FB-C8221CD7FDA1}">
      <text>
        <r>
          <rPr>
            <b/>
            <sz val="9"/>
            <color indexed="81"/>
            <rFont val="Tahoma"/>
            <family val="2"/>
          </rPr>
          <t>יניב שפירא:</t>
        </r>
        <r>
          <rPr>
            <sz val="9"/>
            <color indexed="81"/>
            <rFont val="Tahoma"/>
            <family val="2"/>
          </rPr>
          <t xml:space="preserve">
1 = שחקירות ראש הממשלה הן חלק ממסע רדיפה שמנהלות נגדו התקשורת, מערכת המשפט והמשטרה
2 = שהתקשורת, מערכת המשפט והמשטרה פועלים כנדרש</t>
        </r>
      </text>
    </comment>
    <comment ref="AD5" authorId="0" shapeId="0" xr:uid="{DE4E70E8-BD06-4FE3-842B-B03552E4E876}">
      <text>
        <r>
          <rPr>
            <b/>
            <sz val="9"/>
            <color indexed="81"/>
            <rFont val="Tahoma"/>
            <family val="2"/>
          </rPr>
          <t>יניב שפירא:</t>
        </r>
        <r>
          <rPr>
            <sz val="9"/>
            <color indexed="81"/>
            <rFont val="Tahoma"/>
            <family val="2"/>
          </rPr>
          <t xml:space="preserve">
1 = בהחלט מסכים
2 = מסכים
3 = לא כ"כ מסכים
4 = כלל לא מסכים</t>
        </r>
      </text>
    </comment>
    <comment ref="AD6" authorId="0" shapeId="0" xr:uid="{36E5B6E0-6F2A-4244-AD95-7BB21611E3B9}">
      <text>
        <r>
          <rPr>
            <b/>
            <sz val="9"/>
            <color indexed="81"/>
            <rFont val="Tahoma"/>
            <family val="2"/>
          </rPr>
          <t>יניב שפירא:</t>
        </r>
        <r>
          <rPr>
            <sz val="9"/>
            <color indexed="81"/>
            <rFont val="Tahoma"/>
            <family val="2"/>
          </rPr>
          <t xml:space="preserve">
1 = במצב של פיתוח כלכלי אין להמנע ממקרים כאלה
2 = מקרים אלה מראים על הדרדרות מוסרית ויש לעקור אותם מן השורש</t>
        </r>
      </text>
    </comment>
    <comment ref="AD8" authorId="0" shapeId="0" xr:uid="{88A15258-77EA-4046-B9CE-7FD5257E9D73}">
      <text>
        <r>
          <rPr>
            <b/>
            <sz val="9"/>
            <color indexed="81"/>
            <rFont val="Tahoma"/>
            <charset val="177"/>
          </rPr>
          <t>יניב שפירא:</t>
        </r>
        <r>
          <rPr>
            <sz val="9"/>
            <color indexed="81"/>
            <rFont val="Tahoma"/>
            <charset val="177"/>
          </rPr>
          <t xml:space="preserve">
1 = שינוי לטובה
2 = המצב ישאר כמו שהוא
3 = שינוי לרעה</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X1" authorId="0" shapeId="0" xr:uid="{1EB2D2E0-B9B4-48EA-8533-EB2830F46CE7}">
      <text>
        <r>
          <rPr>
            <b/>
            <sz val="9"/>
            <color indexed="81"/>
            <rFont val="Tahoma"/>
            <charset val="177"/>
          </rPr>
          <t>יניב שפירא:</t>
        </r>
        <r>
          <rPr>
            <sz val="9"/>
            <color indexed="81"/>
            <rFont val="Tahoma"/>
            <charset val="177"/>
          </rPr>
          <t xml:space="preserve">
post election</t>
        </r>
      </text>
    </comment>
    <comment ref="AB1" authorId="0" shapeId="0" xr:uid="{1D67752A-2026-457D-9A34-9393B438ED80}">
      <text>
        <r>
          <rPr>
            <b/>
            <sz val="9"/>
            <color indexed="81"/>
            <rFont val="Tahoma"/>
            <charset val="177"/>
          </rPr>
          <t>יניב שפירא:</t>
        </r>
        <r>
          <rPr>
            <sz val="9"/>
            <color indexed="81"/>
            <rFont val="Tahoma"/>
            <charset val="177"/>
          </rPr>
          <t xml:space="preserve">
post Kippur + post election</t>
        </r>
      </text>
    </comment>
    <comment ref="AC1" authorId="0" shapeId="0" xr:uid="{1EF9A092-23CA-4A4D-B874-379E2E0847FA}">
      <text>
        <r>
          <rPr>
            <b/>
            <sz val="9"/>
            <color indexed="81"/>
            <rFont val="Tahoma"/>
            <charset val="177"/>
          </rPr>
          <t>יניב שפירא:</t>
        </r>
        <r>
          <rPr>
            <sz val="9"/>
            <color indexed="81"/>
            <rFont val="Tahoma"/>
            <charset val="177"/>
          </rPr>
          <t xml:space="preserve">
post Kippur</t>
        </r>
      </text>
    </comment>
    <comment ref="AD1" authorId="0" shapeId="0" xr:uid="{E1292EA1-2F04-43B1-8600-AF1884F834DB}">
      <text>
        <r>
          <rPr>
            <b/>
            <sz val="9"/>
            <color indexed="81"/>
            <rFont val="Tahoma"/>
            <charset val="177"/>
          </rPr>
          <t>יניב שפירא:</t>
        </r>
        <r>
          <rPr>
            <sz val="9"/>
            <color indexed="81"/>
            <rFont val="Tahoma"/>
            <charset val="177"/>
          </rPr>
          <t xml:space="preserve">
post Kippur</t>
        </r>
      </text>
    </comment>
    <comment ref="AG1" authorId="0" shapeId="0" xr:uid="{7935D535-AFE2-4508-9035-FA7E4CFCAF0B}">
      <text>
        <r>
          <rPr>
            <b/>
            <sz val="9"/>
            <color indexed="81"/>
            <rFont val="Tahoma"/>
            <charset val="177"/>
          </rPr>
          <t>יניב שפירא:</t>
        </r>
        <r>
          <rPr>
            <sz val="9"/>
            <color indexed="81"/>
            <rFont val="Tahoma"/>
            <charset val="177"/>
          </rPr>
          <t xml:space="preserve">
pre + post election</t>
        </r>
      </text>
    </comment>
    <comment ref="E2" authorId="0" shapeId="0" xr:uid="{A66E9803-6586-42DA-8CF4-CFB048C86AAF}">
      <text>
        <r>
          <rPr>
            <b/>
            <sz val="9"/>
            <color indexed="81"/>
            <rFont val="Tahoma"/>
            <family val="2"/>
          </rPr>
          <t>יניב שפירא:</t>
        </r>
        <r>
          <rPr>
            <sz val="9"/>
            <color indexed="81"/>
            <rFont val="Tahoma"/>
            <family val="2"/>
          </rPr>
          <t xml:space="preserve">
1 = מדינה פלסטינית לצד מדינת ישראל היא הדרך הטובה ביותר
2 = מדינה אחת בין הים לירדן היא הדרך הטובה ביותר</t>
        </r>
      </text>
    </comment>
    <comment ref="H3" authorId="0" shapeId="0" xr:uid="{90224D77-06B3-4960-B39B-790BE7FD2F3A}">
      <text>
        <r>
          <rPr>
            <b/>
            <sz val="9"/>
            <color indexed="81"/>
            <rFont val="Tahoma"/>
            <charset val="177"/>
          </rPr>
          <t>יניב שפירא:</t>
        </r>
        <r>
          <rPr>
            <sz val="9"/>
            <color indexed="81"/>
            <rFont val="Tahoma"/>
            <charset val="177"/>
          </rPr>
          <t xml:space="preserve">
1 = כלל לא מסכים
2 = לא מסכים
3 = מסכים
4 = מסכים מאוד</t>
        </r>
      </text>
    </comment>
    <comment ref="E4" authorId="0" shapeId="0" xr:uid="{31BF6E55-E760-4D2F-AC43-266B05A5E85C}">
      <text>
        <r>
          <rPr>
            <b/>
            <sz val="9"/>
            <color indexed="81"/>
            <rFont val="Tahoma"/>
            <family val="2"/>
          </rPr>
          <t>יניב שפירא:</t>
        </r>
        <r>
          <rPr>
            <sz val="9"/>
            <color indexed="81"/>
            <rFont val="Tahoma"/>
            <family val="2"/>
          </rPr>
          <t xml:space="preserve">
1 = כלל לא מסכים
2 = לא כ"כ מסכים
3 = די מסכים
4 = מאוד מסכים </t>
        </r>
      </text>
    </comment>
    <comment ref="A10" authorId="0" shapeId="0" xr:uid="{DC4FE9EE-ACCD-4AE7-B917-60DB9DB2C297}">
      <text>
        <r>
          <rPr>
            <b/>
            <sz val="9"/>
            <color indexed="81"/>
            <rFont val="Tahoma"/>
            <family val="2"/>
          </rPr>
          <t>יניב שפירא:</t>
        </r>
        <r>
          <rPr>
            <sz val="9"/>
            <color indexed="81"/>
            <rFont val="Tahoma"/>
            <family val="2"/>
          </rPr>
          <t xml:space="preserve">
שאלות 12B-14B בפוסט בחירות 2019 לא מקודדות בstata</t>
        </r>
      </text>
    </comment>
    <comment ref="J13" authorId="0" shapeId="0" xr:uid="{F5B1952A-7B86-40CA-BCD4-E4097BA5AFC2}">
      <text>
        <r>
          <rPr>
            <b/>
            <sz val="9"/>
            <color indexed="81"/>
            <rFont val="Tahoma"/>
            <family val="2"/>
          </rPr>
          <t>יניב שפירא:</t>
        </r>
        <r>
          <rPr>
            <sz val="9"/>
            <color indexed="81"/>
            <rFont val="Tahoma"/>
            <family val="2"/>
          </rPr>
          <t xml:space="preserve">
1 = ישראלי
2 = פלסטיני
3 = ערבי
4 = הדת שלי</t>
        </r>
      </text>
    </comment>
    <comment ref="D17" authorId="0" shapeId="0" xr:uid="{6CBA2A87-B6EB-4125-972D-16630B70C80B}">
      <text>
        <r>
          <rPr>
            <b/>
            <sz val="9"/>
            <color indexed="81"/>
            <rFont val="Tahoma"/>
            <charset val="177"/>
          </rPr>
          <t>יניב שפירא:</t>
        </r>
        <r>
          <rPr>
            <sz val="9"/>
            <color indexed="81"/>
            <rFont val="Tahoma"/>
            <charset val="177"/>
          </rPr>
          <t xml:space="preserve">
1 = מאד מסכים
2 = די מסכים
3 = לא כ"כ מסכים
4 = לא מסכים כלל</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<sst xmlns="http://schemas.openxmlformats.org/spreadsheetml/2006/main" count="31798" uniqueCount="7944">
  <si>
    <t>שאלה</t>
  </si>
  <si>
    <t>age</t>
  </si>
  <si>
    <t>לאיזו קבוצת גיל אתה משתייך?</t>
  </si>
  <si>
    <t>agegroup</t>
  </si>
  <si>
    <t>gender</t>
  </si>
  <si>
    <t>מהי השכלתך?</t>
  </si>
  <si>
    <t>educ</t>
  </si>
  <si>
    <t>האם אתה אזרח ישראלי?</t>
  </si>
  <si>
    <t>v5</t>
  </si>
  <si>
    <t>v6</t>
  </si>
  <si>
    <t>v12</t>
  </si>
  <si>
    <t>v13</t>
  </si>
  <si>
    <t>v15</t>
  </si>
  <si>
    <t>v16</t>
  </si>
  <si>
    <t>v19</t>
  </si>
  <si>
    <t>v20</t>
  </si>
  <si>
    <t>v21</t>
  </si>
  <si>
    <t>v22</t>
  </si>
  <si>
    <t>מהו לדעתך מצבה של ישראל באופן כללי?</t>
  </si>
  <si>
    <t>מהי לדעתך הבעיה החשובה ביותר שעל הממשלה לטפל בה?</t>
  </si>
  <si>
    <t>v8_code</t>
  </si>
  <si>
    <t>ישראל הולכת עכשיו בפעם השלישית לבחירות בתוך פחות משנה. מבין הדברים הבאים, מה הכי מפריע לך, אם בכלל, במצב שנוצר:</t>
  </si>
  <si>
    <t>v501</t>
  </si>
  <si>
    <t>מה דעתך על תכנית השלום של טראמפ, המכונה תכנית המאה, שכוללת החלת ריבונות ישראלית בבקעת הירדן ובישובים היהודים ביהודה ושומרון, ובהמשך מדינה פלסטינית בכ-70% משטח יהודה ושומרון. האם אתה תומך או מתנגד?</t>
  </si>
  <si>
    <t>v514</t>
  </si>
  <si>
    <t>האם לדעתך ניתן להגיע להסכם שלום עם הפלסטינים?</t>
  </si>
  <si>
    <t>על מה אתה חושב שישראל צריכה לשים את הדגש כדי למנוע מלחמה בינה לבין שכנותיה?</t>
  </si>
  <si>
    <r>
      <t xml:space="preserve">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t>
    </r>
    <r>
      <rPr>
        <b/>
        <sz val="11"/>
        <color theme="1"/>
        <rFont val="Calibri"/>
        <family val="2"/>
        <scheme val="minor"/>
      </rPr>
      <t>איזה החשוב לך ביותר</t>
    </r>
    <r>
      <rPr>
        <sz val="11"/>
        <color theme="1"/>
        <rFont val="Calibri"/>
        <family val="2"/>
        <charset val="177"/>
        <scheme val="minor"/>
      </rPr>
      <t>?</t>
    </r>
  </si>
  <si>
    <t>ואיזה שני בחשיבותו?</t>
  </si>
  <si>
    <t>האם לפי דעתך על ישראל להסכים או לא להקמת מדינה פלסטינית ביהודה, שומרון וחבל עזה במסגרת הסדר קבע?</t>
  </si>
  <si>
    <t>בקשר למבנה החיים הכלכליים בארץ, האם אתה תומך יותר בגישה הסוציאליסטית או בגישה הקפיטליסטית?</t>
  </si>
  <si>
    <t>האם לדעתך ממשלת ישראל צריכה או לא צריכה לדאוג לכך שהחיים הציבורים במדינה יתנהלו על פי המסורת הדתית היהודית?</t>
  </si>
  <si>
    <t>יש הטוענים שמדינה פלסטינית לצד מדינת ישראל היא הדרך הטובה ביותר לפתרון הסכסוך הישראלי-פלסטיני. אחרים טוענים שמדינה אחת בין הים לירדן היא הדרך הטובה ביותר לפתרון הסכסוך. מבין שתי הטענות, לאיזו טענה אתה נוטה להסכים?</t>
  </si>
  <si>
    <t>v26</t>
  </si>
  <si>
    <t>v27</t>
  </si>
  <si>
    <t>ניתן להשיג שוויון אזרחי לאזרחים הערבים בעיקר באמצעות המאבק הפוליטי בכנסת</t>
  </si>
  <si>
    <t>v28</t>
  </si>
  <si>
    <t>v29</t>
  </si>
  <si>
    <t>השתתפות בבחירות לכנסת פוגעת במאבק להשגת הזכויות הלאומיות הפלסטיניות</t>
  </si>
  <si>
    <t>v30</t>
  </si>
  <si>
    <t>v502</t>
  </si>
  <si>
    <t>בעקבות כתב האישום נגד ראש הממשלה, האם לדעתך נתניהו יכול להמשיך ולכהן כראש ממשלה בזמן שמתנהל נגדו משפט?</t>
  </si>
  <si>
    <t>v503A</t>
  </si>
  <si>
    <t>יש לאפשר למנהיג פוליטי, שמבצע את תפקידו בצורה מוצלחת, להמשיך בתפקידו, גם אם הורשע בעבירה של שחיתות ציבורית</t>
  </si>
  <si>
    <t>v25</t>
  </si>
  <si>
    <t>יש טענות כי כתב האישום שהוגש נגד ראש הממשלה הוא חלק ממסע רדיפה שמנהלים נגדו מערכת המשפט, התקשורת והמשטרה, כדי להביא לסיום שלטונו. מנגד, נטען כי הגופים הללו פועלים כפי שנדרש מהם כאשר יש חשד לשחיתות ציבורית. מבין שתי הטענות, עם איזו מהטענות אתה נוטה להסכים?</t>
  </si>
  <si>
    <t>בישראל כמו בעולם כולו, אי אפשר שכל האזרחים ישבו יחד ויקבלו החלטות, ולכן יש נציגים ומוסדות שעושים את זה בשמנו ועבורנו. האם יש בארץ מפלגה ו/או פוליטיקאי שמייצגים את העמדה שלך?</t>
  </si>
  <si>
    <t>האם החוקים שעוברים בכנסת בסך הכל מייצגים את העמדות שלך?</t>
  </si>
  <si>
    <t>האם יש בארץ מפלגה שיש בה נציגים שדומים לך מבחינת המאפיינים והרקע שלך?</t>
  </si>
  <si>
    <t>האם הכנסת מייצגת אנשים עם מאפיינים ורקע כמו שלך?</t>
  </si>
  <si>
    <t>האם יש מפלגה ו/או פוליטיקאי שגורמים לך להרגיש שייכות וגאווה בזהות שלך?</t>
  </si>
  <si>
    <t>האם הכנסת גורמת לך להרגיש שייכות וגאווה בזהות שלך?</t>
  </si>
  <si>
    <t>האם המפלגה ו/או הפוליטיקאי שהצגת עבורם משתמשים בסמכות שנתת להם בצורה אחראית?</t>
  </si>
  <si>
    <t>האם הכנסת משתמש בסמכות שאנחנו נתנו לה בצורה אחראית למעם האזרחים?</t>
  </si>
  <si>
    <t>כעת חשוב על ההצבעה שלך למפלגה מסוימת בבחירות. מבין הגורמים הבאים מה הכי חשוב לך?</t>
  </si>
  <si>
    <t>ולגבי הכנסת, מבין הגורים הבאים, מה ההכי חשוב לך?</t>
  </si>
  <si>
    <t>באיזו מידה אתה נוהג לשוחח עם חבריך ובני משפחתך על עניינים פוליטיים?</t>
  </si>
  <si>
    <t>v45</t>
  </si>
  <si>
    <t>v65</t>
  </si>
  <si>
    <t>v115</t>
  </si>
  <si>
    <t>v135</t>
  </si>
  <si>
    <t>באיזו מידה אתה וחבריך יכולים להשפיע על מדיניות הממשלה?</t>
  </si>
  <si>
    <t>v46</t>
  </si>
  <si>
    <t>v47</t>
  </si>
  <si>
    <t>v48</t>
  </si>
  <si>
    <r>
      <t xml:space="preserve">מה יחסך לכל אחת מן המפלגות הבאות? </t>
    </r>
    <r>
      <rPr>
        <b/>
        <sz val="11"/>
        <color theme="1"/>
        <rFont val="Calibri"/>
        <family val="2"/>
        <scheme val="minor"/>
      </rPr>
      <t>הליכוד</t>
    </r>
  </si>
  <si>
    <t>v49A</t>
  </si>
  <si>
    <r>
      <t xml:space="preserve">מה יחסך לכל אחת מן המפלגות הבאות? </t>
    </r>
    <r>
      <rPr>
        <b/>
        <sz val="11"/>
        <color theme="1"/>
        <rFont val="Calibri"/>
        <family val="2"/>
        <scheme val="minor"/>
      </rPr>
      <t>כחול-לבן</t>
    </r>
  </si>
  <si>
    <t>v49B</t>
  </si>
  <si>
    <t>v49C</t>
  </si>
  <si>
    <r>
      <t xml:space="preserve">מה יחסך לכל אחת מן המפלגות הבאות? </t>
    </r>
    <r>
      <rPr>
        <b/>
        <sz val="11"/>
        <color theme="1"/>
        <rFont val="Calibri"/>
        <family val="2"/>
        <scheme val="minor"/>
      </rPr>
      <t>ימינה</t>
    </r>
  </si>
  <si>
    <t>v49D</t>
  </si>
  <si>
    <r>
      <t xml:space="preserve">מה יחסך לכל אחת מן המפלגות הבאות? </t>
    </r>
    <r>
      <rPr>
        <b/>
        <sz val="11"/>
        <color theme="1"/>
        <rFont val="Calibri"/>
        <family val="2"/>
        <scheme val="minor"/>
      </rPr>
      <t>ישראל ביתנו</t>
    </r>
  </si>
  <si>
    <t>v49H</t>
  </si>
  <si>
    <r>
      <t xml:space="preserve">מה יחסך לכל אחת מן המפלגות הבאות? </t>
    </r>
    <r>
      <rPr>
        <b/>
        <sz val="11"/>
        <color theme="1"/>
        <rFont val="Calibri"/>
        <family val="2"/>
        <scheme val="minor"/>
      </rPr>
      <t>ש"ס</t>
    </r>
  </si>
  <si>
    <t>v49I</t>
  </si>
  <si>
    <r>
      <t xml:space="preserve">מה יחסך לכל אחת מן המפלגות הבאות? </t>
    </r>
    <r>
      <rPr>
        <b/>
        <sz val="11"/>
        <color theme="1"/>
        <rFont val="Calibri"/>
        <family val="2"/>
        <scheme val="minor"/>
      </rPr>
      <t>עוצמה יהודית</t>
    </r>
  </si>
  <si>
    <t>v49S</t>
  </si>
  <si>
    <r>
      <t xml:space="preserve">מה יחסך לכל אחת מן המפלגות הבאות? </t>
    </r>
    <r>
      <rPr>
        <b/>
        <sz val="11"/>
        <color theme="1"/>
        <rFont val="Calibri"/>
        <family val="2"/>
        <scheme val="minor"/>
      </rPr>
      <t>יהדות התורה</t>
    </r>
  </si>
  <si>
    <t>v49K</t>
  </si>
  <si>
    <r>
      <t xml:space="preserve">מה יחסך לכל אחת מן המפלגות הבאות? </t>
    </r>
    <r>
      <rPr>
        <b/>
        <sz val="11"/>
        <color theme="1"/>
        <rFont val="Calibri"/>
        <family val="2"/>
        <scheme val="minor"/>
      </rPr>
      <t>הרשימה המשותפת</t>
    </r>
  </si>
  <si>
    <t>v49J</t>
  </si>
  <si>
    <t>v50</t>
  </si>
  <si>
    <r>
      <t xml:space="preserve">על סולם שבו 0 משמעו דחייה ושנאה, 10 משמעו תמיכה ואהדה ו-5 משמעו אמצע, </t>
    </r>
    <r>
      <rPr>
        <b/>
        <sz val="11"/>
        <color theme="1"/>
        <rFont val="Calibri"/>
        <family val="2"/>
        <scheme val="minor"/>
      </rPr>
      <t>מה יחסך לימנים?</t>
    </r>
  </si>
  <si>
    <r>
      <t xml:space="preserve">על סולם שבו 0 משמעו דחייה ושנאה, 10 משמעו תמיכה ואהדה ו-5 משמעו אמצע, </t>
    </r>
    <r>
      <rPr>
        <b/>
        <sz val="11"/>
        <color theme="1"/>
        <rFont val="Calibri"/>
        <family val="2"/>
        <scheme val="minor"/>
      </rPr>
      <t>מה יחסך לשמאלנים?</t>
    </r>
  </si>
  <si>
    <r>
      <t xml:space="preserve">ועל אותו סולם, מה יחסך לאישים הבאים? </t>
    </r>
    <r>
      <rPr>
        <b/>
        <sz val="11"/>
        <color theme="1"/>
        <rFont val="Calibri"/>
        <family val="2"/>
        <scheme val="minor"/>
      </rPr>
      <t>בנימין נתניהו</t>
    </r>
  </si>
  <si>
    <t>v52A</t>
  </si>
  <si>
    <r>
      <t xml:space="preserve">ועל אותו סולם, מה יחסך לאישים הבאים? </t>
    </r>
    <r>
      <rPr>
        <b/>
        <sz val="11"/>
        <color theme="1"/>
        <rFont val="Calibri"/>
        <family val="2"/>
        <scheme val="minor"/>
      </rPr>
      <t>בני גנץ</t>
    </r>
  </si>
  <si>
    <t>v52B</t>
  </si>
  <si>
    <r>
      <t xml:space="preserve">ועל אותו סולם, מה יחסך לאישים הבאים? </t>
    </r>
    <r>
      <rPr>
        <b/>
        <sz val="11"/>
        <color theme="1"/>
        <rFont val="Calibri"/>
        <family val="2"/>
        <scheme val="minor"/>
      </rPr>
      <t>אביגדור ליברמן</t>
    </r>
  </si>
  <si>
    <t>v52I</t>
  </si>
  <si>
    <r>
      <t xml:space="preserve">ועל אותו סולם, מה יחסך לאישים הבאים? </t>
    </r>
    <r>
      <rPr>
        <b/>
        <sz val="11"/>
        <color theme="1"/>
        <rFont val="Calibri"/>
        <family val="2"/>
        <scheme val="minor"/>
      </rPr>
      <t>איימן עודה</t>
    </r>
  </si>
  <si>
    <t>v52K</t>
  </si>
  <si>
    <r>
      <t xml:space="preserve">ועל אותו סולם, מה יחסך לאישים הבאים? </t>
    </r>
    <r>
      <rPr>
        <b/>
        <sz val="11"/>
        <color theme="1"/>
        <rFont val="Calibri"/>
        <family val="2"/>
        <scheme val="minor"/>
      </rPr>
      <t>אחמד טיבי</t>
    </r>
  </si>
  <si>
    <t>v52R</t>
  </si>
  <si>
    <t>ישנם גורמים שונים בגללם אנשים יצביעו דווקא למפלגה מסוימת בכנסת. מבין הגורמים הבאים, מהוא הגורם העיקרי המשפיע עליך להצבעה למפלגה מסוימת?</t>
  </si>
  <si>
    <t>v63</t>
  </si>
  <si>
    <t>v64</t>
  </si>
  <si>
    <t>v66</t>
  </si>
  <si>
    <t>v67</t>
  </si>
  <si>
    <t>v68</t>
  </si>
  <si>
    <t>v69</t>
  </si>
  <si>
    <t>v504</t>
  </si>
  <si>
    <t>למיטב ידיעתך, מהו אחוז החסימה בבחירות לכנסת?</t>
  </si>
  <si>
    <t>v73</t>
  </si>
  <si>
    <r>
      <t xml:space="preserve">באיזו מידה אתה מסכים או לא מסכים עם המשפטים הבאים: </t>
    </r>
    <r>
      <rPr>
        <b/>
        <sz val="11"/>
        <color theme="1"/>
        <rFont val="Calibri"/>
        <family val="2"/>
        <scheme val="minor"/>
      </rPr>
      <t>פוליטיקאים מבטיחים במערכת הבחירות דברים שאין להם שום כוונה לקיים</t>
    </r>
  </si>
  <si>
    <r>
      <t xml:space="preserve">באיזו מידה אתה מסכים או לא מסכים עם המשפטים הבאים: </t>
    </r>
    <r>
      <rPr>
        <b/>
        <sz val="11"/>
        <color theme="1"/>
        <rFont val="Calibri"/>
        <family val="2"/>
        <scheme val="minor"/>
      </rPr>
      <t>רוב הפוליטיקאים נקיים משחיתות</t>
    </r>
  </si>
  <si>
    <r>
      <t xml:space="preserve">באיזו מידה אתה מסכים או לא מסכים עם המשפטים הבאים: </t>
    </r>
    <r>
      <rPr>
        <b/>
        <sz val="11"/>
        <color theme="1"/>
        <rFont val="Calibri"/>
        <family val="2"/>
        <scheme val="minor"/>
      </rPr>
      <t>יותר מדי גורמים מתערבים בבחירות כך שהתוצאה לא מייצגת את רצון הבוחר</t>
    </r>
  </si>
  <si>
    <r>
      <t xml:space="preserve">באיזו מידה אתה מסכים או לא מסכים עם המשפטים הבאים: </t>
    </r>
    <r>
      <rPr>
        <b/>
        <sz val="11"/>
        <color theme="1"/>
        <rFont val="Calibri"/>
        <family val="2"/>
        <scheme val="minor"/>
      </rPr>
      <t>שיטת הבחירות מעוותת את רצון הבוחר</t>
    </r>
  </si>
  <si>
    <t>מבין הדברים הבאים, מה לדעתך הכי מאיים על המערכת הפוליטית כיום?</t>
  </si>
  <si>
    <t>v51</t>
  </si>
  <si>
    <t>באיזו תדירות אתה נוהג להתעדכן בחדשות בעיתון יומי, בטלוויזיה, ברדיו או באינטרנט?</t>
  </si>
  <si>
    <t>v505</t>
  </si>
  <si>
    <t>כמה פעמים בשבוע האחרון קראת מידע פוליטי וחדשותי ברשתות החברתיות שאתה פעיל בהן (כמו פייסבוק, וואטספ, אינסטגרם וכד')</t>
  </si>
  <si>
    <t>v506</t>
  </si>
  <si>
    <t>לו הבחירות לכנסת היו נערכות היום, עבור איזו רשימה היית מצביע?</t>
  </si>
  <si>
    <t>v104E</t>
  </si>
  <si>
    <t>לדעתך, האם אחרי הבחירות הממשלה תתבסס על:</t>
  </si>
  <si>
    <t>v106</t>
  </si>
  <si>
    <t>ואיזו ממשלה מבין הבאות אתה מעדיף?</t>
  </si>
  <si>
    <t>v107</t>
  </si>
  <si>
    <t>v507</t>
  </si>
  <si>
    <t>v508</t>
  </si>
  <si>
    <t>v509</t>
  </si>
  <si>
    <t>באופן כללי, באיזו מידה אתה מרגיש שיש בארץ מפלגה ו/או פוליטיקאי שמייצגים אותך?</t>
  </si>
  <si>
    <t>ובאופן כללי, באיזו מידה אתה מרגיש שהמערכת הפוליטית הישראלית מייצגת אותך?</t>
  </si>
  <si>
    <t>הרבה מדברים על שמאל וימין בפוליטיקה. היכן היית מדרג את עצמך על פני רצף שמאל-ימין, כאשר 1 הקצה הימני ו-7 הקצה השמאלי?</t>
  </si>
  <si>
    <t>v111</t>
  </si>
  <si>
    <t>למיטב ידיעתך, מי עומד בראש בית המשפט העליון כיום?</t>
  </si>
  <si>
    <t>v510</t>
  </si>
  <si>
    <t>v511</t>
  </si>
  <si>
    <t>באיזו מידה ישראל מתנהלת כיום בצורה דמוקרטית?</t>
  </si>
  <si>
    <t>באיזו מידה אתה מרוצה מהאופן בו המערכת הפוליטית בישראל מתפקדת כיום?</t>
  </si>
  <si>
    <t>v116</t>
  </si>
  <si>
    <r>
      <t xml:space="preserve">באיזו מידה אתה מסכים או לא מסכים, עם המשפטים הבאים: </t>
    </r>
    <r>
      <rPr>
        <b/>
        <sz val="11"/>
        <color theme="1"/>
        <rFont val="Calibri"/>
        <family val="2"/>
        <scheme val="minor"/>
      </rPr>
      <t>אתה מרגיש מחויב למשטר הדמוקרטי בישראל, גם אם יש תקופות שבהן ההחלטות לא מוצאות חן בעיניך?</t>
    </r>
  </si>
  <si>
    <r>
      <t xml:space="preserve">באיזו מידה אתה מסכים או לא מסכים, עם המשפטים הבאים: </t>
    </r>
    <r>
      <rPr>
        <b/>
        <sz val="11"/>
        <color theme="1"/>
        <rFont val="Calibri"/>
        <family val="2"/>
        <scheme val="minor"/>
      </rPr>
      <t>כדי לטפל בבעיות המיוחדות של ישראל יש צורך במנהיג חזק שלא יתחשב בכנסת ובבחירות</t>
    </r>
  </si>
  <si>
    <r>
      <t xml:space="preserve">באיזו מידה אתה מסכים או לא מסכים, עם המשפטים הבאים: </t>
    </r>
    <r>
      <rPr>
        <b/>
        <sz val="11"/>
        <color theme="1"/>
        <rFont val="Calibri"/>
        <family val="2"/>
        <scheme val="minor"/>
      </rPr>
      <t>יש פעמים שנדמה שעדיף לחרוג מכללי המשחק הדמוקרטיים כדי להשיג שינוי משמעותי</t>
    </r>
  </si>
  <si>
    <r>
      <t xml:space="preserve">באיזו מידה אתה מסכים או לא מסכים, עם המשפטים הבאים: </t>
    </r>
    <r>
      <rPr>
        <b/>
        <sz val="11"/>
        <color theme="1"/>
        <rFont val="Calibri"/>
        <family val="2"/>
        <scheme val="minor"/>
      </rPr>
      <t>המדינה צריכה להבטיח שוויון זכויות חברתי ופוליטי מלא לכל האזרחים ללא הבדל זת גזע ומין</t>
    </r>
  </si>
  <si>
    <r>
      <t xml:space="preserve">באיזו מידה אתה מסכים או לא מסכים, עם המשפטים הבאים: </t>
    </r>
    <r>
      <rPr>
        <b/>
        <sz val="11"/>
        <color theme="1"/>
        <rFont val="Calibri"/>
        <family val="2"/>
        <scheme val="minor"/>
      </rPr>
      <t>יש להבטיח חופש ביטוי גם לאנשים המתבטאים נגד המדינה</t>
    </r>
  </si>
  <si>
    <r>
      <t xml:space="preserve">באיזו מידה אתה מסכים או לא מסכים, עם המשפטים הבאים: </t>
    </r>
    <r>
      <rPr>
        <b/>
        <sz val="11"/>
        <color theme="1"/>
        <rFont val="Calibri"/>
        <family val="2"/>
        <scheme val="minor"/>
      </rPr>
      <t>מי שמתפשר בפוליטיקה בעצם מוכר את העקרונות שלו</t>
    </r>
  </si>
  <si>
    <r>
      <t xml:space="preserve">מה מידת האמון שיש לך ב: </t>
    </r>
    <r>
      <rPr>
        <b/>
        <sz val="11"/>
        <color theme="1"/>
        <rFont val="Calibri"/>
        <family val="2"/>
        <scheme val="minor"/>
      </rPr>
      <t>ממשלה</t>
    </r>
  </si>
  <si>
    <r>
      <t xml:space="preserve">מה מידת האמון שיש לך ב: </t>
    </r>
    <r>
      <rPr>
        <b/>
        <sz val="11"/>
        <color theme="1"/>
        <rFont val="Calibri"/>
        <family val="2"/>
        <scheme val="minor"/>
      </rPr>
      <t>כנסת</t>
    </r>
  </si>
  <si>
    <r>
      <t xml:space="preserve">מה מידת האמון שיש לך ב: </t>
    </r>
    <r>
      <rPr>
        <b/>
        <sz val="11"/>
        <color theme="1"/>
        <rFont val="Calibri"/>
        <family val="2"/>
        <scheme val="minor"/>
      </rPr>
      <t>בית המשפט העליון</t>
    </r>
  </si>
  <si>
    <r>
      <t xml:space="preserve">מה מידת האמון שיש לך ב: </t>
    </r>
    <r>
      <rPr>
        <b/>
        <sz val="11"/>
        <color theme="1"/>
        <rFont val="Calibri"/>
        <family val="2"/>
        <scheme val="minor"/>
      </rPr>
      <t>פוליטיקאים</t>
    </r>
  </si>
  <si>
    <t>אנשים שונים מייחסים משמעות שונה למונח "דמוקרטיה". במילה אחת או שתיים מהו לדעתך המאפיין החשוב והמהותי ביותר של המשטר הדמוקרטי?</t>
  </si>
  <si>
    <t>v512_code</t>
  </si>
  <si>
    <t>v513</t>
  </si>
  <si>
    <t>אם לא נולד בארץ, באיזו שנה עלית ארצה?</t>
  </si>
  <si>
    <t>v134</t>
  </si>
  <si>
    <t>האם למדת את לימודייך התיכוניים או העל-תיכוניים במסגרת דתית כלשהי?</t>
  </si>
  <si>
    <t>v137</t>
  </si>
  <si>
    <t>v139</t>
  </si>
  <si>
    <t xml:space="preserve">ההוצאה החודשית הממוצעת של משפחה בישראל היא כ-16,500 ₪. בהתחשב בכל ההוצאות של משפחתכם, האם אתם מוציאים: </t>
  </si>
  <si>
    <t>מה מספר החדרים שיש לכם בבית?</t>
  </si>
  <si>
    <t>v140</t>
  </si>
  <si>
    <t>מה מספר הנפשות המתגוררות בבית? (כולל חיילים)</t>
  </si>
  <si>
    <t>v141</t>
  </si>
  <si>
    <t>מהי דתך?</t>
  </si>
  <si>
    <t>v143_code</t>
  </si>
  <si>
    <t>כיצד היית מגדיר את עצמך מבחינה דתית?</t>
  </si>
  <si>
    <t>v144</t>
  </si>
  <si>
    <t>v147</t>
  </si>
  <si>
    <t>האם הצבעת בבחירות האחרונות לכנסת?</t>
  </si>
  <si>
    <t>E1_after</t>
  </si>
  <si>
    <t>E2_after</t>
  </si>
  <si>
    <t>עבור איזו רשימה הצבעת בבחירות האחרונות לכנסת?</t>
  </si>
  <si>
    <t>באיזו מידה ביום הבחירות היה חשוב לך באופן אישי אם הממשלה הבאה תהיה ממשלת ימין או ממשלת שמאל?</t>
  </si>
  <si>
    <t>E4_after</t>
  </si>
  <si>
    <t>E7_after</t>
  </si>
  <si>
    <r>
      <t xml:space="preserve">בבחירות האלה דיברו הרבה על ימין ועל שמאל בפוליטיקה, </t>
    </r>
    <r>
      <rPr>
        <b/>
        <sz val="11"/>
        <color theme="1"/>
        <rFont val="Calibri"/>
        <family val="2"/>
        <scheme val="minor"/>
      </rPr>
      <t>מה זה להבנתך ימין?</t>
    </r>
  </si>
  <si>
    <r>
      <t xml:space="preserve">בבחירות האלה דיברו הרבה על ימין ועל שמאל בפוליטיקה, </t>
    </r>
    <r>
      <rPr>
        <b/>
        <sz val="11"/>
        <color theme="1"/>
        <rFont val="Calibri"/>
        <family val="2"/>
        <scheme val="minor"/>
      </rPr>
      <t>מה זה להבנתך שמאל?</t>
    </r>
  </si>
  <si>
    <t>E8A_after</t>
  </si>
  <si>
    <t>E8B_after</t>
  </si>
  <si>
    <t>ועתה, לאחר תוצאות הבחירות - איזו קואליציה אתה הכי מעדיף?</t>
  </si>
  <si>
    <t>E9_after</t>
  </si>
  <si>
    <t>באיזו מידה אתה מרגיש שהמערכת הפוליטית מייצגת אותך?</t>
  </si>
  <si>
    <t>באיזו מידה אתה מרוצה או לא מרוצה מהדמוקרטיה בישראל?</t>
  </si>
  <si>
    <t>E10_after</t>
  </si>
  <si>
    <t>מה דעתך על הדרך שבה מטפלת הממשלה בבעיות שישנן כיום במדינה?</t>
  </si>
  <si>
    <t>v7</t>
  </si>
  <si>
    <t>האם לדעתך המצב הכלכלי במדינה ב-4 השנים האחרונות השתפר, לא השתנה או נעשה גרוע יותר?</t>
  </si>
  <si>
    <t>v9</t>
  </si>
  <si>
    <t>ומה לגבי מצבך האישי; האם היית אומר שב-4 השנים האחרונות מצבך האישי:</t>
  </si>
  <si>
    <t>v10</t>
  </si>
  <si>
    <t>ומה לגבי המצב הביטחוני במדינה - האם לדעתך ב-4 השנים האחרונות הוא השתפר, לא השתנה או נעשה גרוע יותר?</t>
  </si>
  <si>
    <t>v11</t>
  </si>
  <si>
    <t>באיזו מידה אתה מודאג או לא מודאג מגך שאתה או בני משפחתך עלולים להיפגע בדי מחבלים בחיי היום יום שלכם?</t>
  </si>
  <si>
    <t>v14</t>
  </si>
  <si>
    <t>ומה השלישי בחשיבותו?</t>
  </si>
  <si>
    <t>v17</t>
  </si>
  <si>
    <t>v18</t>
  </si>
  <si>
    <r>
      <t xml:space="preserve">באיזו מידה אה מסכים או לא מסכים למשפטים הבאים? </t>
    </r>
    <r>
      <rPr>
        <b/>
        <sz val="11"/>
        <color theme="1"/>
        <rFont val="Calibri"/>
        <family val="2"/>
        <scheme val="minor"/>
      </rPr>
      <t>אנשים עם הכנסה גבוהה צריכים לשלם יותר מיסים ממה שהם משלמים היום</t>
    </r>
  </si>
  <si>
    <t>v23</t>
  </si>
  <si>
    <r>
      <t xml:space="preserve">באיזו מידה אתה מסכים או לא מסכים למשפטים הבאים? </t>
    </r>
    <r>
      <rPr>
        <b/>
        <sz val="11"/>
        <color theme="1"/>
        <rFont val="Calibri"/>
        <family val="2"/>
        <scheme val="minor"/>
      </rPr>
      <t>פוליטיקאי אינו נוטה להתחשב בדעתו של האזרח ברחוב</t>
    </r>
  </si>
  <si>
    <t>v24</t>
  </si>
  <si>
    <t>v49E</t>
  </si>
  <si>
    <r>
      <t xml:space="preserve">מה יחסך לכל אחת מן המפלגות הבאות? </t>
    </r>
    <r>
      <rPr>
        <b/>
        <sz val="11"/>
        <color theme="1"/>
        <rFont val="Calibri"/>
        <family val="2"/>
        <scheme val="minor"/>
      </rPr>
      <t>מרצ</t>
    </r>
  </si>
  <si>
    <t>v49F</t>
  </si>
  <si>
    <r>
      <t xml:space="preserve">מה יחסך לכל אחת מן המפלגות הבאות? </t>
    </r>
    <r>
      <rPr>
        <b/>
        <sz val="11"/>
        <color theme="1"/>
        <rFont val="Calibri"/>
        <family val="2"/>
        <scheme val="minor"/>
      </rPr>
      <t>כולנו</t>
    </r>
  </si>
  <si>
    <t>v49G</t>
  </si>
  <si>
    <r>
      <t xml:space="preserve">מה יחסך לכל אחת מן המפלגות הבאות? </t>
    </r>
    <r>
      <rPr>
        <b/>
        <sz val="11"/>
        <color theme="1"/>
        <rFont val="Calibri"/>
        <family val="2"/>
        <scheme val="minor"/>
      </rPr>
      <t>רע"מ-בל"ד</t>
    </r>
  </si>
  <si>
    <t>v49R</t>
  </si>
  <si>
    <r>
      <t xml:space="preserve">ועל אותו סולם, מה יחסך לאישים הבאים? </t>
    </r>
    <r>
      <rPr>
        <b/>
        <sz val="11"/>
        <color theme="1"/>
        <rFont val="Calibri"/>
        <family val="2"/>
        <scheme val="minor"/>
      </rPr>
      <t>יאיר לפיד</t>
    </r>
  </si>
  <si>
    <t>v52C</t>
  </si>
  <si>
    <r>
      <t xml:space="preserve">ועל אותו סולם, מה יחסך לאישים הבאים? </t>
    </r>
    <r>
      <rPr>
        <b/>
        <sz val="11"/>
        <color theme="1"/>
        <rFont val="Calibri"/>
        <family val="2"/>
        <scheme val="minor"/>
      </rPr>
      <t>אבי גבאי</t>
    </r>
  </si>
  <si>
    <t>v52D</t>
  </si>
  <si>
    <r>
      <t xml:space="preserve">ועל אותו סולם, מה יחסך לאישים הבאים? </t>
    </r>
    <r>
      <rPr>
        <b/>
        <sz val="11"/>
        <color theme="1"/>
        <rFont val="Calibri"/>
        <family val="2"/>
        <scheme val="minor"/>
      </rPr>
      <t>נפתלי בנט</t>
    </r>
  </si>
  <si>
    <t>v52E</t>
  </si>
  <si>
    <r>
      <t xml:space="preserve">ועל אותו סולם, מה יחסך לאישים הבאים? </t>
    </r>
    <r>
      <rPr>
        <b/>
        <sz val="11"/>
        <color theme="1"/>
        <rFont val="Calibri"/>
        <family val="2"/>
        <scheme val="minor"/>
      </rPr>
      <t>בצלאל סמוטריץ'</t>
    </r>
  </si>
  <si>
    <t>v52F</t>
  </si>
  <si>
    <r>
      <t xml:space="preserve">ועל אותו סולם, מה יחסך לאישים הבאים? </t>
    </r>
    <r>
      <rPr>
        <b/>
        <sz val="11"/>
        <color theme="1"/>
        <rFont val="Calibri"/>
        <family val="2"/>
        <scheme val="minor"/>
      </rPr>
      <t>תמר זנדברג</t>
    </r>
  </si>
  <si>
    <t>v52G</t>
  </si>
  <si>
    <r>
      <t xml:space="preserve">ועל אותו סולם, מה יחסך לאישים הבאים? </t>
    </r>
    <r>
      <rPr>
        <b/>
        <sz val="11"/>
        <color theme="1"/>
        <rFont val="Calibri"/>
        <family val="2"/>
        <scheme val="minor"/>
      </rPr>
      <t>משה כחלון</t>
    </r>
  </si>
  <si>
    <t>v52H</t>
  </si>
  <si>
    <r>
      <t>ועל אותו סולם, מה יחסך לאישים הבאים?</t>
    </r>
    <r>
      <rPr>
        <b/>
        <sz val="11"/>
        <color theme="1"/>
        <rFont val="Calibri"/>
        <family val="2"/>
        <scheme val="minor"/>
      </rPr>
      <t xml:space="preserve"> אריה דרעי</t>
    </r>
  </si>
  <si>
    <t>v52J</t>
  </si>
  <si>
    <r>
      <t>ועל אותו סולם, מה יחסך לאישים הבאים?</t>
    </r>
    <r>
      <rPr>
        <b/>
        <sz val="11"/>
        <color theme="1"/>
        <rFont val="Calibri"/>
        <family val="2"/>
        <scheme val="minor"/>
      </rPr>
      <t xml:space="preserve"> מנסור עבאס</t>
    </r>
  </si>
  <si>
    <t>v52S</t>
  </si>
  <si>
    <r>
      <t>ועל אותו סולם, מה יחסך לאישים הבאים?</t>
    </r>
    <r>
      <rPr>
        <b/>
        <sz val="11"/>
        <color theme="1"/>
        <rFont val="Calibri"/>
        <family val="2"/>
        <scheme val="minor"/>
      </rPr>
      <t xml:space="preserve"> מטאנס שחאדה</t>
    </r>
  </si>
  <si>
    <t>v52T</t>
  </si>
  <si>
    <r>
      <t>ועל אותו סולם, מה יחסך לאישים הבאים?</t>
    </r>
    <r>
      <rPr>
        <b/>
        <sz val="11"/>
        <color theme="1"/>
        <rFont val="Calibri"/>
        <family val="2"/>
        <scheme val="minor"/>
      </rPr>
      <t xml:space="preserve"> עאידה תומא-סולימן</t>
    </r>
  </si>
  <si>
    <t>v52U</t>
  </si>
  <si>
    <t>v53</t>
  </si>
  <si>
    <t>עד כמה חשובה לך הזהות שלך כ(ימני/שמאלני/תומך מרכז)?</t>
  </si>
  <si>
    <t>v54</t>
  </si>
  <si>
    <t>באיזו מידה אתה מסכים או לא מסכים עם כל אחת מן הטענות הבאות: כשמישהו מעביר ביקורת על (ימנים/שמאלנים/תומכים של המרכז) זה מרגיש לך כמו עלבון אישי</t>
  </si>
  <si>
    <t>v55</t>
  </si>
  <si>
    <t>כשאתה פוגש תומך אחר של (הימין/שמאל/מרכז) אתה מרגיש קשור אליו</t>
  </si>
  <si>
    <t>v56</t>
  </si>
  <si>
    <t>כשאנשים אומרים דברים טובים על (ימנים/שמאלנים/תומכים של המרכז) זה גורם לך הרגשה טובה</t>
  </si>
  <si>
    <t>v57</t>
  </si>
  <si>
    <r>
      <t xml:space="preserve">האם לדעתך קיימים או לא קיימים הבדלים בעמדותיהן של המפלגות העיקריות בארץ בנושאים הבאים: </t>
    </r>
    <r>
      <rPr>
        <b/>
        <sz val="11"/>
        <color theme="1"/>
        <rFont val="Calibri"/>
        <family val="2"/>
        <scheme val="minor"/>
      </rPr>
      <t>מדיניות כלכלית-חברתית</t>
    </r>
  </si>
  <si>
    <t>v58</t>
  </si>
  <si>
    <r>
      <t xml:space="preserve">האם לדעתך קיימים או לא קיימים הבדלים בעמדותיהן של המפלגות העיקריות בארץ בנושאים הבאים: </t>
    </r>
    <r>
      <rPr>
        <b/>
        <sz val="11"/>
        <color theme="1"/>
        <rFont val="Calibri"/>
        <family val="2"/>
        <scheme val="minor"/>
      </rPr>
      <t>דת ומדינה</t>
    </r>
  </si>
  <si>
    <t>v59</t>
  </si>
  <si>
    <r>
      <t xml:space="preserve">האם לדעתך קיימים או לא קיימים הבדלים בעמדותיהן של המפלגות העיקריות בארץ בנושאים הבאים: </t>
    </r>
    <r>
      <rPr>
        <b/>
        <sz val="11"/>
        <color theme="1"/>
        <rFont val="Calibri"/>
        <family val="2"/>
        <scheme val="minor"/>
      </rPr>
      <t>שלום ושטחים</t>
    </r>
  </si>
  <si>
    <r>
      <t xml:space="preserve">האם לדעתך קיימים או לא קיימים הבדלים בעמדותיהן של המפלגות העיקריות בארץ בנושאים הבאים: </t>
    </r>
    <r>
      <rPr>
        <b/>
        <sz val="11"/>
        <color theme="1"/>
        <rFont val="Calibri"/>
        <family val="2"/>
        <scheme val="minor"/>
      </rPr>
      <t>בטחון וטרור</t>
    </r>
  </si>
  <si>
    <r>
      <t xml:space="preserve">האם לדעתך קיימים או לא קיימים הבדלים בעמדותיהן של המפלגות העיקריות בארץ בנושאים הבאים: </t>
    </r>
    <r>
      <rPr>
        <b/>
        <sz val="11"/>
        <color theme="1"/>
        <rFont val="Calibri"/>
        <family val="2"/>
        <scheme val="minor"/>
      </rPr>
      <t>ביחס שלהן לדמוקרטיה</t>
    </r>
  </si>
  <si>
    <t>v60</t>
  </si>
  <si>
    <t>v61</t>
  </si>
  <si>
    <t>v62</t>
  </si>
  <si>
    <t>v70</t>
  </si>
  <si>
    <t>v71</t>
  </si>
  <si>
    <t>v72</t>
  </si>
  <si>
    <t>לאיזו מפלגה אתה מרגיש הכי קרוב?</t>
  </si>
  <si>
    <t>v75</t>
  </si>
  <si>
    <t>עד כמה חשובה לך הזהות שלך כתומך ב(המפלגה שציין המרואיין)?</t>
  </si>
  <si>
    <t>v76</t>
  </si>
  <si>
    <r>
      <t xml:space="preserve">באיזו מידה אתה מסכים או לא מסכים עם כל אחת מן הטענות הבאות: </t>
    </r>
    <r>
      <rPr>
        <b/>
        <sz val="11"/>
        <color theme="1"/>
        <rFont val="Calibri"/>
        <family val="2"/>
        <scheme val="minor"/>
      </rPr>
      <t>כשמישהו מעביר ביקורת על תומכים של (המפלגה שציין) זה מרגיש לך כמו עלבון אישי</t>
    </r>
  </si>
  <si>
    <t>v77</t>
  </si>
  <si>
    <t>כשאתה פוגש מישהו שתומך ב(המפלגה שציין) אתה מרגיש קשור אליו</t>
  </si>
  <si>
    <t>v78</t>
  </si>
  <si>
    <t>כשאנשים אומרים דברים טובים על תומכים של (המפלגה שציין) זה גורם לך להרגשה טובה</t>
  </si>
  <si>
    <t>v79</t>
  </si>
  <si>
    <r>
      <t xml:space="preserve">באיזו מידה אתה מסכים או לא מסכים עם המשפטים הבאים לגבי הממשלה: </t>
    </r>
    <r>
      <rPr>
        <b/>
        <sz val="11"/>
        <color theme="1"/>
        <rFont val="Calibri"/>
        <family val="2"/>
        <scheme val="minor"/>
      </rPr>
      <t>חברי הממשלה מגיעים מכל חלקי החברה</t>
    </r>
  </si>
  <si>
    <t>הממשלה בישראל מתאימה את המדיניות שלה לעמדות הציבור</t>
  </si>
  <si>
    <t>הממשלה גורמת לרוב האזרחים להרגיש שייכות וגאווה</t>
  </si>
  <si>
    <t>יש בכנסת הנוכחית ייצוג לקבוצות השונות בחברה הישראלית</t>
  </si>
  <si>
    <t>ההרכב של הכנסת מייצג היטב את הדעות הרבות הקיימות בציבור הישראלי</t>
  </si>
  <si>
    <t>הכנסת מעוררת אצל רוב הישראלים תחושת שייכות וגאווה</t>
  </si>
  <si>
    <t>אם יכולת לבחור פוליטיקאי אחד שייצג אותך בכנסת, מה מתוך רשימת המאפיינים הבאה היה חשוב לך ביותר?</t>
  </si>
  <si>
    <t>למיטב ידיעתך, לאיזה משרד ממשלתי שאיננו משרד הביטחון יש את התקציב הגבוה ביותר?</t>
  </si>
  <si>
    <t>האם אתה משתמש ברשתות חברתיות כמו וואטספ, פייסבוק, טוויטר, אינסטגרם, טלגרם וכד'?</t>
  </si>
  <si>
    <r>
      <t xml:space="preserve">בדרך כלל, באיזו מידה אתה משתמש בכל אחד מאמצעי התקשרות הבאים לצריכת חדשות ומידע פוליטי: </t>
    </r>
    <r>
      <rPr>
        <b/>
        <sz val="11"/>
        <color theme="1"/>
        <rFont val="Calibri"/>
        <family val="2"/>
        <scheme val="minor"/>
      </rPr>
      <t>אתרי חדשות או עיתונים</t>
    </r>
  </si>
  <si>
    <t>v93</t>
  </si>
  <si>
    <t>v94</t>
  </si>
  <si>
    <t>חדשות ברדיו</t>
  </si>
  <si>
    <t>v95</t>
  </si>
  <si>
    <t>רשתות חברתיות כמו ווטאספ, פייסבוק, טוויטר, אינסטגרם, טלגרם וכו'</t>
  </si>
  <si>
    <t>בשבוע האחרון, כמה פעמים הופיעו לך תכנים מפוליטיקאים וממפלגות בחשבונות שלך ברשתות החברתיות שאתה פעיל בהן?</t>
  </si>
  <si>
    <r>
      <t xml:space="preserve">בשבוע האחרון, כמה פעמים יצא לך לעשות את הפעולות הבאות ברשתות החברתיות שאתה פעיל בהן, כמו וואטספ, פייסבוק, טוויטר, אינסטגרם, טלגרם וכו': </t>
    </r>
    <r>
      <rPr>
        <b/>
        <sz val="11"/>
        <color theme="1"/>
        <rFont val="Calibri"/>
        <family val="2"/>
        <scheme val="minor"/>
      </rPr>
      <t>כתבת בעמוד הפייסבוק או הטוויטר של פוליטיקאי או מפלגה</t>
    </r>
  </si>
  <si>
    <t>הגבת לתכנים שפוליטיקאים או מפלגות העלו</t>
  </si>
  <si>
    <t>שיתפת תכנים של מפלגות או פוליטיקאים</t>
  </si>
  <si>
    <t>קראת תכנים מפוליטיקאים ומפלגות שהופיעו בחשבון שלך</t>
  </si>
  <si>
    <t>עקבת (עשית לייק או follow) אחרי עמודים של פוליטיקאים או מפלגות ברשתות חברתיות או שצטרפת לקבוצה של מפלגה או פוליטיקאי בוואטסאפ</t>
  </si>
  <si>
    <t>כתבת את דעתך על נושא פוליטי ברשתות החברתיות או שיתפת דברים שאחרים כתבו בנושאים פוליטיים</t>
  </si>
  <si>
    <t>v104</t>
  </si>
  <si>
    <t>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t>
  </si>
  <si>
    <t>v105</t>
  </si>
  <si>
    <t>לאיזו מפלגה תעבור?</t>
  </si>
  <si>
    <t>v105E</t>
  </si>
  <si>
    <t>v108</t>
  </si>
  <si>
    <t>למיטב ידיעתך, מיהו יושב ראש הכנסת היום?</t>
  </si>
  <si>
    <t>v112</t>
  </si>
  <si>
    <t>למיטב ידיעתך, עם איזו מדינה ישראל חידשה לאחרונה את היחסים הדיפלומטיים?</t>
  </si>
  <si>
    <t>v113</t>
  </si>
  <si>
    <t>באיזו מידה חשוב לך לחיות במדינה שמתנהלת באופן דמוקרטי?</t>
  </si>
  <si>
    <t>v114</t>
  </si>
  <si>
    <t>עד כמה חשובה לך הזהות שלך כישראלי?</t>
  </si>
  <si>
    <t>v117</t>
  </si>
  <si>
    <t>v118</t>
  </si>
  <si>
    <t>ועד כמה חשובה לך הזהות שלך כיהודי (לערבים "כפלשתיני")?</t>
  </si>
  <si>
    <t>מהו מצבך המשפחתי?</t>
  </si>
  <si>
    <t>v129</t>
  </si>
  <si>
    <t>באיזו מידה אתה נוהג לשמור על המסורת הדתית?</t>
  </si>
  <si>
    <t>v130</t>
  </si>
  <si>
    <t>v131</t>
  </si>
  <si>
    <t>היכן נולד אביך?</t>
  </si>
  <si>
    <t>v132</t>
  </si>
  <si>
    <t>היכן נולדה אמך?</t>
  </si>
  <si>
    <t>v133</t>
  </si>
  <si>
    <t>תאר בצורה מפורטת את עיסוקך או את עבודתך העיקרית</t>
  </si>
  <si>
    <t>v138_code</t>
  </si>
  <si>
    <t>לאיזה מעמד חברתי אתה משייך את עצמך?</t>
  </si>
  <si>
    <t>v142</t>
  </si>
  <si>
    <t>v1_after</t>
  </si>
  <si>
    <t>v2_after</t>
  </si>
  <si>
    <t>מתי קיבלת את החלטתך הסופית (להצביע עבור המפלגה שהצביע)</t>
  </si>
  <si>
    <t>v3_after</t>
  </si>
  <si>
    <t>v4_after</t>
  </si>
  <si>
    <t>באיזו מידה הסקרים שהתפרסמו כמה ימים לפני הבחירות היוו גורם בהחלטה שלך כיצד להצביע?</t>
  </si>
  <si>
    <t>v5_after</t>
  </si>
  <si>
    <r>
      <t xml:space="preserve">יש כל מיני דעות "על מה" היו הבחירות האחרונות. באיזו מידה אתה מסכים או לא מסכים עם כל אחד מהמשפטים הבאים: </t>
    </r>
    <r>
      <rPr>
        <b/>
        <sz val="11"/>
        <color theme="1"/>
        <rFont val="Calibri"/>
        <family val="2"/>
        <scheme val="minor"/>
      </rPr>
      <t>הבחירות האלה היו משאל עם על נתניהו</t>
    </r>
  </si>
  <si>
    <t>v6A_after</t>
  </si>
  <si>
    <t>הבחירות האלה היו בעיקר על עתיד הדמוקרטיה בישראל</t>
  </si>
  <si>
    <t>v6B_after</t>
  </si>
  <si>
    <t>הבחירות מצביעות בעיקר על כך שלעם נמאס שהתקשורת נגד נתניהו</t>
  </si>
  <si>
    <t>v6C_after</t>
  </si>
  <si>
    <t>הבחירות היו בעיקר על איך להתמודד עם האיומים הביטחוניים שמסביבנו</t>
  </si>
  <si>
    <t>v6D_after</t>
  </si>
  <si>
    <t>הבחירות הראו שהעם מרוצה מהמצב הכלכלי-חברתי</t>
  </si>
  <si>
    <t>v6E_after</t>
  </si>
  <si>
    <t>הבחירות היו על מקומם של האזרחים הערבים בישראל לאור חוק הלאום</t>
  </si>
  <si>
    <t>v6F_after</t>
  </si>
  <si>
    <t>הבחירות מצביעות על כך שהעם רוצה מפלגות גדולות</t>
  </si>
  <si>
    <t>v6G_after</t>
  </si>
  <si>
    <t>הבחירות מצביעות על כך שהעם רוצה ימין</t>
  </si>
  <si>
    <t>v6H_after</t>
  </si>
  <si>
    <t>v6I_after</t>
  </si>
  <si>
    <t>v7_after</t>
  </si>
  <si>
    <t>v9_after</t>
  </si>
  <si>
    <t>v10_after</t>
  </si>
  <si>
    <t>V8A_after</t>
  </si>
  <si>
    <t>V8B_after</t>
  </si>
  <si>
    <t>באיזו מידה את גאה להיות ישראלי?</t>
  </si>
  <si>
    <t>v11_after</t>
  </si>
  <si>
    <t>כאשר אתה חושב על תולדות מדינת ישראל ועם ישראל, איזה אירוע מהעבר נראה לך החשוב ביותר?</t>
  </si>
  <si>
    <t>כאשר אתה חושב על העתיד של מדינת ישראל ועם ישראל, איזה אירוע או התרחשות הייתה רוצה לראות?</t>
  </si>
  <si>
    <t>מיהי, לדעתך, הדמות המשמעותית ביותר בתולדות מדינת ישראל ועם ישראל?</t>
  </si>
  <si>
    <t>כאשר אתה חושב על תולדות מדינת ישראל ועל הערבים אזרח ישראל, איזה אירוע מהעבר נראה לך החשוב ביותר?</t>
  </si>
  <si>
    <t>כאשר אתה חושב על העתיד של מדינת ישראל ושל הערבים אזרחי ישראל, איזה אירוע או התרחשות היית רוצה לראות?</t>
  </si>
  <si>
    <t>מיהי, לדעתך, הדמות המשמעותית ביותר בתולדות מדינת ישראל והערבים אזרחי ישראל?</t>
  </si>
  <si>
    <r>
      <t xml:space="preserve">נתחיל מהאירועים שהובילו לבחירות החוזרות ב-17 בספטמבר, לאחר שנתניהו לא הצליח להרכיב ממשלה. עד כמה לדעתך, כל אחד מהדברים הבאים, היה ראוי או לא ראוי בעינייך: </t>
    </r>
    <r>
      <rPr>
        <b/>
        <sz val="11"/>
        <color theme="1"/>
        <rFont val="Calibri"/>
        <family val="2"/>
        <scheme val="minor"/>
      </rPr>
      <t>שהכנסת החליטה לפזר עצמה ולקיים בחירות חדשות</t>
    </r>
  </si>
  <si>
    <t>c301</t>
  </si>
  <si>
    <t>שנתניהו לא החזיר את המנדט לנשיא בתום התקופה שקיבל להרכיב קואליציה</t>
  </si>
  <si>
    <t>c302</t>
  </si>
  <si>
    <t>שליברמן לא נכנס לקואליציה למרות שהתחייב לקואליציית ימין בראשות נתניהו</t>
  </si>
  <si>
    <t>c303</t>
  </si>
  <si>
    <t>שמפלגות מהמרכז ומהשמאל פסלו ישיבה בממשלה בראשות נתניהו בשל כתבי האישום נגדו</t>
  </si>
  <si>
    <t>c304</t>
  </si>
  <si>
    <t>שהמשא ומתן הקואליציוני התמקד בנושאים האישיים של נתניהו ולא בנושאי מדיניות</t>
  </si>
  <si>
    <t>c305</t>
  </si>
  <si>
    <r>
      <t xml:space="preserve">לאנשים יש רגשות שונים כלפי מה שקרה אחרי הבחירות באפריל האחרון. באיזו מידה אתה מרגיש: </t>
    </r>
    <r>
      <rPr>
        <b/>
        <sz val="11"/>
        <color theme="1"/>
        <rFont val="Calibri"/>
        <family val="2"/>
        <scheme val="minor"/>
      </rPr>
      <t>כעס</t>
    </r>
  </si>
  <si>
    <t>c306</t>
  </si>
  <si>
    <t>c307</t>
  </si>
  <si>
    <t>c308</t>
  </si>
  <si>
    <t>c309</t>
  </si>
  <si>
    <r>
      <t xml:space="preserve">לאנשים יש רגשות שונים כלפי מה שקרה אחרי הבחירות באפריל האחרון. באיזו מידה אתה מרגיש: </t>
    </r>
    <r>
      <rPr>
        <b/>
        <sz val="11"/>
        <color theme="1"/>
        <rFont val="Calibri"/>
        <family val="2"/>
        <scheme val="minor"/>
      </rPr>
      <t>גועל</t>
    </r>
  </si>
  <si>
    <r>
      <t xml:space="preserve">לאנשים יש רגשות שונים כלפי מה שקרה אחרי הבחירות באפריל האחרון. באיזו מידה אתה מרגיש: </t>
    </r>
    <r>
      <rPr>
        <b/>
        <sz val="11"/>
        <color theme="1"/>
        <rFont val="Calibri"/>
        <family val="2"/>
        <scheme val="minor"/>
      </rPr>
      <t>תקווה</t>
    </r>
  </si>
  <si>
    <r>
      <t xml:space="preserve">לאנשים יש רגשות שונים כלפי מה שקרה אחרי הבחירות באפריל האחרון. באיזו מידה אתה מרגיש: </t>
    </r>
    <r>
      <rPr>
        <b/>
        <sz val="11"/>
        <color theme="1"/>
        <rFont val="Calibri"/>
        <family val="2"/>
        <scheme val="minor"/>
      </rPr>
      <t>ייאוש</t>
    </r>
  </si>
  <si>
    <t>c104</t>
  </si>
  <si>
    <t>c8_code</t>
  </si>
  <si>
    <t>c19</t>
  </si>
  <si>
    <t>c20</t>
  </si>
  <si>
    <t>c21</t>
  </si>
  <si>
    <t>c25</t>
  </si>
  <si>
    <t>c28</t>
  </si>
  <si>
    <t>c29</t>
  </si>
  <si>
    <t>c49_a</t>
  </si>
  <si>
    <t>c49_b</t>
  </si>
  <si>
    <t>c49_d</t>
  </si>
  <si>
    <t>c49_f</t>
  </si>
  <si>
    <t>c49_h</t>
  </si>
  <si>
    <t>c49_j</t>
  </si>
  <si>
    <t>c52_a</t>
  </si>
  <si>
    <t>c52_b</t>
  </si>
  <si>
    <r>
      <t xml:space="preserve">ועל אותו סולם, מה יחסך לאישים הבאים? </t>
    </r>
    <r>
      <rPr>
        <b/>
        <sz val="11"/>
        <color theme="1"/>
        <rFont val="Calibri"/>
        <family val="2"/>
        <scheme val="minor"/>
      </rPr>
      <t>עמיר פרץ</t>
    </r>
  </si>
  <si>
    <t>c52_d</t>
  </si>
  <si>
    <r>
      <t xml:space="preserve">ועל אותו סולם, מה יחסך לאישים הבאים? </t>
    </r>
    <r>
      <rPr>
        <b/>
        <sz val="11"/>
        <color theme="1"/>
        <rFont val="Calibri"/>
        <family val="2"/>
        <scheme val="minor"/>
      </rPr>
      <t>איילת שקד</t>
    </r>
  </si>
  <si>
    <t>c52_e</t>
  </si>
  <si>
    <r>
      <t xml:space="preserve">ועל אותו סולם, מה יחסך לאישים הבאים? </t>
    </r>
    <r>
      <rPr>
        <b/>
        <sz val="11"/>
        <color theme="1"/>
        <rFont val="Calibri"/>
        <family val="2"/>
        <scheme val="minor"/>
      </rPr>
      <t>ניצן הורוביץ</t>
    </r>
  </si>
  <si>
    <t>c52_g</t>
  </si>
  <si>
    <t>c52_i</t>
  </si>
  <si>
    <t>c52_k</t>
  </si>
  <si>
    <t>c106</t>
  </si>
  <si>
    <t>c107</t>
  </si>
  <si>
    <t>c111</t>
  </si>
  <si>
    <t>D1</t>
  </si>
  <si>
    <t>D2</t>
  </si>
  <si>
    <t>D4</t>
  </si>
  <si>
    <t>D7</t>
  </si>
  <si>
    <t>D9</t>
  </si>
  <si>
    <t>ID</t>
  </si>
  <si>
    <t>id</t>
  </si>
  <si>
    <t>תאריך</t>
  </si>
  <si>
    <t>date</t>
  </si>
  <si>
    <t>תאריך פוסט בחירות</t>
  </si>
  <si>
    <t>date_after</t>
  </si>
  <si>
    <t>סקטור</t>
  </si>
  <si>
    <t>sector</t>
  </si>
  <si>
    <t>resp_id</t>
  </si>
  <si>
    <t>גרסה</t>
  </si>
  <si>
    <t>version</t>
  </si>
  <si>
    <t>v149</t>
  </si>
  <si>
    <t>c_resp_id_~e</t>
  </si>
  <si>
    <t>c_date_before</t>
  </si>
  <si>
    <t>girsa_c</t>
  </si>
  <si>
    <t>c149</t>
  </si>
  <si>
    <t>d_date_after</t>
  </si>
  <si>
    <t>sex</t>
  </si>
  <si>
    <t>v8</t>
  </si>
  <si>
    <t>האם לדעתך ישראל צריכה להמשיך ולהחזיק ביהודה ושומרון?</t>
  </si>
  <si>
    <t>באיזו מידה אתה מודאג או לא מודאג מכך שאתה או בני משפחתך עלולים להיפגע מפשיעה או אלימות ברחובות?</t>
  </si>
  <si>
    <t>יש מצבים בהם קיימת סתירה בין הדמוקרטיה לבין ההלכה היהודית. במקרה של סתירה, האם יש להעדיף את השמירה על עקרונות הדמוקרטיה, או שיש להעדיף את השמירה על ציווי ההלכה היהודית?</t>
  </si>
  <si>
    <t>יש החושבים כי על הממשלה לדאוג שלכל אדם תהיה עבודה ורמת חיים סבירה. אחרים חושבים שעל הממשלה לא להתערב ולתת לכל אדם להסתדר בעצמו. ומה דעתך?</t>
  </si>
  <si>
    <t>יש מצבים בהם קיימת סתירה בין שמירה על העיקרון של שלטון החוק לבין הצורך להגן על האינרטסיים הביטחוניים. במקרה של סתירה, האם יש להעדיף את האינטרס הביטחוני או להעדיף את השמירה על שלטון החוק?</t>
  </si>
  <si>
    <t>האם ישראל צריכה להיות מוכנה להעביר לפלסטינים את השכונות הערביות בירושלים או שהיא צריכה להמשיך להחזיק בהן גם אם זה ימנע הסדר קבע עם הפלסטינים?</t>
  </si>
  <si>
    <t>האם לדעתך מבצע "צוק איתן" בעזה היה מוצלח או לא מוצלח?</t>
  </si>
  <si>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scheme val="minor"/>
      </rPr>
      <t>החזרת שטחים במסגרת הסכם שלום</t>
    </r>
  </si>
  <si>
    <t>הקמת מדינה פלסטינית</t>
  </si>
  <si>
    <t>חידוש האינתיפדה והפיגועים</t>
  </si>
  <si>
    <t>v31</t>
  </si>
  <si>
    <t>v32</t>
  </si>
  <si>
    <r>
      <t xml:space="preserve">באיזו מידה אתה מסכים או לא מסכים עם המשפטים הבאים: </t>
    </r>
    <r>
      <rPr>
        <b/>
        <sz val="11"/>
        <color theme="1"/>
        <rFont val="Calibri"/>
        <family val="2"/>
        <scheme val="minor"/>
      </rPr>
      <t>לפעמים הפוליטיקה נראית כ"כ מסובכת שאדם כמוני לא יכול להבין באמת מה קורה</t>
    </r>
  </si>
  <si>
    <t>v33</t>
  </si>
  <si>
    <t>v34</t>
  </si>
  <si>
    <r>
      <t xml:space="preserve">באיזו מידה אתה מסכים או לא מסכים עם המשפטים הבאים: </t>
    </r>
    <r>
      <rPr>
        <b/>
        <sz val="11"/>
        <color theme="1"/>
        <rFont val="Calibri"/>
        <family val="2"/>
        <scheme val="minor"/>
      </rPr>
      <t>לא חשוב עבור מי מצביעים, זה לא משנה את המצב</t>
    </r>
  </si>
  <si>
    <t>v35</t>
  </si>
  <si>
    <t>v36</t>
  </si>
  <si>
    <r>
      <t xml:space="preserve">באיזו מידה אתה מסכים או לא מסכים עם המשפטים הבאים: </t>
    </r>
    <r>
      <rPr>
        <b/>
        <sz val="11"/>
        <color theme="1"/>
        <rFont val="Calibri"/>
        <family val="2"/>
        <scheme val="minor"/>
      </rPr>
      <t>יש להנהיג נישואים אזרחיים בנוסף לנישואים דתיים בישראל</t>
    </r>
  </si>
  <si>
    <r>
      <t xml:space="preserve">באיזו מידה אתה מסכים או לא מסכים עם המשפטים הבאים: </t>
    </r>
    <r>
      <rPr>
        <b/>
        <sz val="11"/>
        <color theme="1"/>
        <rFont val="Calibri"/>
        <family val="2"/>
        <scheme val="minor"/>
      </rPr>
      <t>על ישראל לעשות את מה שטוב בשביל ביטחונה גם במחיר של עימות עם הממשל האמריקאי</t>
    </r>
  </si>
  <si>
    <t>v37</t>
  </si>
  <si>
    <t>v38</t>
  </si>
  <si>
    <t>v39</t>
  </si>
  <si>
    <r>
      <t xml:space="preserve">באיזו מידה אתה מסכים או לא מסכים עם המשפטים הבאים: </t>
    </r>
    <r>
      <rPr>
        <b/>
        <sz val="11"/>
        <color theme="1"/>
        <rFont val="Calibri"/>
        <family val="2"/>
        <scheme val="minor"/>
      </rPr>
      <t>במהלך מלחמה צה"ל צריך להמנע מפגיעה באוכלוסיה אזרחית</t>
    </r>
  </si>
  <si>
    <r>
      <t xml:space="preserve">באיזו מידה אתה מסכים או לא מסכים עם המשפטים הבאים: </t>
    </r>
    <r>
      <rPr>
        <b/>
        <sz val="11"/>
        <color theme="1"/>
        <rFont val="Calibri"/>
        <family val="2"/>
        <scheme val="minor"/>
      </rPr>
      <t>אם יכשלו המאמצעים הדיפלומטים, על ישראל לתקוף צבאית את מתקני הגרעין האיראניים</t>
    </r>
  </si>
  <si>
    <r>
      <t xml:space="preserve">באיזו מידה אתה מסכים או לא מסכים עם המשפטים הבאים: </t>
    </r>
    <r>
      <rPr>
        <b/>
        <sz val="11"/>
        <color theme="1"/>
        <rFont val="Calibri"/>
        <family val="2"/>
        <scheme val="minor"/>
      </rPr>
      <t>אפשר להגיע להסדר שלום עם הפלסטינים בלי להחזיר שטחים</t>
    </r>
  </si>
  <si>
    <t>v40</t>
  </si>
  <si>
    <r>
      <t xml:space="preserve">באיזה מידה אתה מסכים או לא מסכים למשפטים הבאים: </t>
    </r>
    <r>
      <rPr>
        <b/>
        <sz val="11"/>
        <color theme="1"/>
        <rFont val="Calibri"/>
        <family val="2"/>
        <scheme val="minor"/>
      </rPr>
      <t>השאיפה העיקרית של האזרחים הערבים בישראל היא שוויון אזרחי מלא</t>
    </r>
  </si>
  <si>
    <r>
      <t xml:space="preserve">באיזה מידה אתה מסכים או לא מסכים למשפטים הבאים: </t>
    </r>
    <r>
      <rPr>
        <b/>
        <sz val="11"/>
        <color theme="1"/>
        <rFont val="Calibri"/>
        <family val="2"/>
        <scheme val="minor"/>
      </rPr>
      <t>מדינה פלסטינית לצד מדינת ישראל היא הדרך הטובה ביותר לפתרון הסכסוך הישראלי-פלסטיני</t>
    </r>
  </si>
  <si>
    <t>v41</t>
  </si>
  <si>
    <t>v42</t>
  </si>
  <si>
    <t>v43</t>
  </si>
  <si>
    <t>v44</t>
  </si>
  <si>
    <t>v49</t>
  </si>
  <si>
    <t>v51A</t>
  </si>
  <si>
    <t>v56A</t>
  </si>
  <si>
    <t>v51B</t>
  </si>
  <si>
    <t>v51C</t>
  </si>
  <si>
    <t>v51D</t>
  </si>
  <si>
    <t>v51E</t>
  </si>
  <si>
    <r>
      <t>מה יחסך לכל אחת מן המפלגות הבאות?</t>
    </r>
    <r>
      <rPr>
        <b/>
        <sz val="11"/>
        <color theme="1"/>
        <rFont val="Calibri"/>
        <family val="2"/>
        <scheme val="minor"/>
      </rPr>
      <t xml:space="preserve"> יש עתיד</t>
    </r>
  </si>
  <si>
    <t>v51F</t>
  </si>
  <si>
    <t>v51G</t>
  </si>
  <si>
    <t>v51H</t>
  </si>
  <si>
    <t>v51I</t>
  </si>
  <si>
    <t>v51J</t>
  </si>
  <si>
    <r>
      <t xml:space="preserve">מה יחסך לכל אחת מן המפלגות הבאות? </t>
    </r>
    <r>
      <rPr>
        <b/>
        <sz val="11"/>
        <color theme="1"/>
        <rFont val="Calibri"/>
        <family val="2"/>
        <scheme val="minor"/>
      </rPr>
      <t>חד"ש</t>
    </r>
  </si>
  <si>
    <r>
      <t xml:space="preserve">מה יחסך לכל אחת מן המפלגות הבאות? </t>
    </r>
    <r>
      <rPr>
        <b/>
        <sz val="11"/>
        <color theme="1"/>
        <rFont val="Calibri"/>
        <family val="2"/>
        <scheme val="minor"/>
      </rPr>
      <t>תע"ל</t>
    </r>
  </si>
  <si>
    <r>
      <t xml:space="preserve">מה יחסך לכל אחת מן המפלגות הבאות? </t>
    </r>
    <r>
      <rPr>
        <b/>
        <sz val="11"/>
        <color theme="1"/>
        <rFont val="Calibri"/>
        <family val="2"/>
        <scheme val="minor"/>
      </rPr>
      <t>רע"מ</t>
    </r>
  </si>
  <si>
    <r>
      <t xml:space="preserve">מה יחסך לכל אחת מן המפלגות הבאות? </t>
    </r>
    <r>
      <rPr>
        <b/>
        <sz val="11"/>
        <color theme="1"/>
        <rFont val="Calibri"/>
        <family val="2"/>
        <scheme val="minor"/>
      </rPr>
      <t>בל"ד</t>
    </r>
  </si>
  <si>
    <t>v51K</t>
  </si>
  <si>
    <t>v51L</t>
  </si>
  <si>
    <t>v51M</t>
  </si>
  <si>
    <t>v51N</t>
  </si>
  <si>
    <r>
      <t xml:space="preserve">ועל אותו סולם, מה יחסך לאישים הבאים? </t>
    </r>
    <r>
      <rPr>
        <b/>
        <sz val="11"/>
        <color theme="1"/>
        <rFont val="Calibri"/>
        <family val="2"/>
        <scheme val="minor"/>
      </rPr>
      <t>יצחק הרצוג</t>
    </r>
  </si>
  <si>
    <t>v56B</t>
  </si>
  <si>
    <r>
      <t xml:space="preserve">ועל אותו סולם, מה יחסך לאישים הבאים? </t>
    </r>
    <r>
      <rPr>
        <b/>
        <sz val="11"/>
        <color theme="1"/>
        <rFont val="Calibri"/>
        <family val="2"/>
        <scheme val="minor"/>
      </rPr>
      <t>ציפי לבני</t>
    </r>
  </si>
  <si>
    <t>v56C</t>
  </si>
  <si>
    <t>v56Z</t>
  </si>
  <si>
    <t>v56D</t>
  </si>
  <si>
    <t>v56E</t>
  </si>
  <si>
    <t>v56F</t>
  </si>
  <si>
    <r>
      <t xml:space="preserve">ועל אותו סולם, מה יחסך לאישים הבאים? </t>
    </r>
    <r>
      <rPr>
        <b/>
        <sz val="11"/>
        <color theme="1"/>
        <rFont val="Calibri"/>
        <family val="2"/>
        <scheme val="minor"/>
      </rPr>
      <t>זהבה גלאון</t>
    </r>
  </si>
  <si>
    <t>v56G</t>
  </si>
  <si>
    <t>v56H</t>
  </si>
  <si>
    <r>
      <t>ועל אותו סולם, מה יחסך לאישים הבאים?</t>
    </r>
    <r>
      <rPr>
        <b/>
        <sz val="11"/>
        <color theme="1"/>
        <rFont val="Calibri"/>
        <family val="2"/>
        <scheme val="minor"/>
      </rPr>
      <t xml:space="preserve"> אלי ישי</t>
    </r>
  </si>
  <si>
    <t>v56I</t>
  </si>
  <si>
    <t>v56J</t>
  </si>
  <si>
    <t>v56L</t>
  </si>
  <si>
    <r>
      <t>ועל אותו סולם, מה יחסך לאישים הבאים?</t>
    </r>
    <r>
      <rPr>
        <b/>
        <sz val="11"/>
        <color theme="1"/>
        <rFont val="Calibri"/>
        <family val="2"/>
        <scheme val="minor"/>
      </rPr>
      <t xml:space="preserve"> מסעוד גנאים</t>
    </r>
  </si>
  <si>
    <t>v56M</t>
  </si>
  <si>
    <r>
      <t>ועל אותו סולם, מה יחסך לאישים הבאים?</t>
    </r>
    <r>
      <rPr>
        <b/>
        <sz val="11"/>
        <color theme="1"/>
        <rFont val="Calibri"/>
        <family val="2"/>
        <scheme val="minor"/>
      </rPr>
      <t xml:space="preserve"> ג'מאל זחאלקה</t>
    </r>
  </si>
  <si>
    <t>v56N</t>
  </si>
  <si>
    <r>
      <t>ועל אותו סולם, מה יחסך לאישים הבאים?</t>
    </r>
    <r>
      <rPr>
        <b/>
        <sz val="11"/>
        <color theme="1"/>
        <rFont val="Calibri"/>
        <family val="2"/>
        <scheme val="minor"/>
      </rPr>
      <t xml:space="preserve"> חנין זועבי</t>
    </r>
  </si>
  <si>
    <t>v56O</t>
  </si>
  <si>
    <t>v56P</t>
  </si>
  <si>
    <t>האם אתה מוכן או לא מוכן שיעלו בארץ את המסים, כלומר שגם אתה תשלם יותר, כדי לטפל בבעיות השונות שהמדינה ניצבת בפניהן?</t>
  </si>
  <si>
    <r>
      <t xml:space="preserve">לגבי כל אחד מהסעיפים הבאים, ציין האם לדעתך על המדינה להוציא יותר כספים, פחות כספים או כמו עכשיו: </t>
    </r>
    <r>
      <rPr>
        <b/>
        <sz val="11"/>
        <color theme="1"/>
        <rFont val="Calibri"/>
        <family val="2"/>
        <scheme val="minor"/>
      </rPr>
      <t>חינוך</t>
    </r>
  </si>
  <si>
    <t>מוסדות דת וישיבות</t>
  </si>
  <si>
    <t>v74</t>
  </si>
  <si>
    <t>בריאות</t>
  </si>
  <si>
    <t>משטרה</t>
  </si>
  <si>
    <t>צבא ובטחון</t>
  </si>
  <si>
    <t>קיצבאות (אבטלה, זקנה, נכות, ילדים)</t>
  </si>
  <si>
    <t>התיישבות בשטחים</t>
  </si>
  <si>
    <t>המגזר הערבי</t>
  </si>
  <si>
    <t>v80</t>
  </si>
  <si>
    <t>האם אתה מסכים או לא מסכים לכך שיש להעביר כספים מתקציב הבטחון לנושאים חברתיים, כמו חינוך ובריאות?</t>
  </si>
  <si>
    <t>v81</t>
  </si>
  <si>
    <t>v82</t>
  </si>
  <si>
    <t>v83</t>
  </si>
  <si>
    <t>v84</t>
  </si>
  <si>
    <t>v85</t>
  </si>
  <si>
    <t>v86</t>
  </si>
  <si>
    <t>אילו מהפעולות הבאות באינטרנט עשית בשבוע האחרון?</t>
  </si>
  <si>
    <t>v88</t>
  </si>
  <si>
    <t>האם אתה חבר, אוהד או פעיל של מפלגה כלשהי?</t>
  </si>
  <si>
    <t>v89</t>
  </si>
  <si>
    <t>האם תמכת או השתתפת במחאה החברתית של קיץ 2011?</t>
  </si>
  <si>
    <t>v90</t>
  </si>
  <si>
    <t>יש אנשים שלא מצביעים בבחירות מסיבה כזו או אחרת. האם אתה מתכוון להצביע בבחירות לכנסת?</t>
  </si>
  <si>
    <t>v91</t>
  </si>
  <si>
    <t>v92</t>
  </si>
  <si>
    <t>אם הסקרים שיפורסמו בימים האחרונים של מערכת הבחירות יראו שהליכוד והמחנה הציוני מקבלים פחות או יותר אותו מספר של מנדטים, האם זה יגרום לך לשנות את הצבעתך?</t>
  </si>
  <si>
    <t>v97</t>
  </si>
  <si>
    <t>מדוע זה לא ישנה את הצבעתך?</t>
  </si>
  <si>
    <t>v96</t>
  </si>
  <si>
    <t>לאחרונה התפרסמו בתקשורת ידיעות רבות על חקירות בחשד לשחיתות של פוליטיקאים ועובדים בכירים במשרדי הממשלה וברשויות הממשלתיות. האם בעקבות ידיעות אלה שינית את החלטתך כיצד שלהצביע בבחירות?</t>
  </si>
  <si>
    <t>v98</t>
  </si>
  <si>
    <t>v99</t>
  </si>
  <si>
    <t>v100</t>
  </si>
  <si>
    <t>v101</t>
  </si>
  <si>
    <t>אם הליכוד וישראל ביתנו היו רצות בנפרד בבחירות הקודמות ב2013, עבור מי מהשניים היית מצביע?</t>
  </si>
  <si>
    <t>v102</t>
  </si>
  <si>
    <t>v103</t>
  </si>
  <si>
    <t>בהנחה שיש שני מועמדים מוכשרים ומתאימים באותה מידה לתפקיד פוליטי בכיר, האחד גבר והשנייה אישה, למי היית נוטה להצביע?</t>
  </si>
  <si>
    <t>בהנחה שיש שני מועמדים מוכשרים ומתאימים באותה מידה לתפקיד פוליטי בכיר, האחד אשכנזי והשני מזרחי, למי הית נוטה להצביע?</t>
  </si>
  <si>
    <t>באיזו מידה אתה מגדיר את עצמך כפמיניסט?</t>
  </si>
  <si>
    <t>לפעמים, אנשים שואלים את עצמם מה צריכות להיות המטרות של המדינה לעשר השנים הבאות? מבין המטרות הבאות, מה לדעתך, המטרה החשובה ביותר של המדינה?</t>
  </si>
  <si>
    <t>ומה לדעתך, המטרה השנייה בחשיבותה?</t>
  </si>
  <si>
    <t>למיטב ידיעתך, איזה חלק מכלל התקציב הממשלתי תופס כיום תקציב הביטחון?</t>
  </si>
  <si>
    <t>v109</t>
  </si>
  <si>
    <t>v110</t>
  </si>
  <si>
    <t>האם יש לך ילדים?</t>
  </si>
  <si>
    <t>אם כן, כמה ילדים?</t>
  </si>
  <si>
    <t>v112_a</t>
  </si>
  <si>
    <t>האם יש לך ילדים שחיים איתך בבית?</t>
  </si>
  <si>
    <t>באיזו ארץ נולדת?</t>
  </si>
  <si>
    <t>v120</t>
  </si>
  <si>
    <t>עד כמה חשוב לך המוצא העדתי שלך?</t>
  </si>
  <si>
    <t>v121</t>
  </si>
  <si>
    <t>עד כמה חשוב לך היותך גבר/אישה?</t>
  </si>
  <si>
    <t>v122</t>
  </si>
  <si>
    <r>
      <t xml:space="preserve">באיזו מידה משפיע או לא משפיע כל אחד מהנושאים הבאים על ההצבעה שלך: </t>
    </r>
    <r>
      <rPr>
        <b/>
        <sz val="11"/>
        <color theme="1"/>
        <rFont val="Calibri"/>
        <family val="2"/>
        <scheme val="minor"/>
      </rPr>
      <t>אם אישה עומדת בראש הרשימה</t>
    </r>
  </si>
  <si>
    <t>v123</t>
  </si>
  <si>
    <r>
      <t xml:space="preserve">באיזו מידה משפיע או לא משפיע כל אחד מהנושאים הבאים על ההצבעה שלך: </t>
    </r>
    <r>
      <rPr>
        <b/>
        <sz val="11"/>
        <color theme="1"/>
        <rFont val="Calibri"/>
        <family val="2"/>
        <scheme val="minor"/>
      </rPr>
      <t>אם מזרחי עומד בראש הרשימה</t>
    </r>
  </si>
  <si>
    <t>v124</t>
  </si>
  <si>
    <r>
      <t xml:space="preserve">באיזו מידה משפיע או לא משפיע כל אחד מהנושאים הבאים על ההצבעה שלך: </t>
    </r>
    <r>
      <rPr>
        <b/>
        <sz val="11"/>
        <color theme="1"/>
        <rFont val="Calibri"/>
        <family val="2"/>
        <scheme val="minor"/>
      </rPr>
      <t>מספר הנשים ברשימה לכנסת</t>
    </r>
  </si>
  <si>
    <t>v125</t>
  </si>
  <si>
    <r>
      <t xml:space="preserve">באיזו מידה משפיע או לא משפיע כל אחד מהנושאים הבאים על ההצבעה שלך: </t>
    </r>
    <r>
      <rPr>
        <b/>
        <sz val="11"/>
        <color theme="1"/>
        <rFont val="Calibri"/>
        <family val="2"/>
        <scheme val="minor"/>
      </rPr>
      <t>מספר המזרחים ברשימה לכנסת</t>
    </r>
  </si>
  <si>
    <t>v126</t>
  </si>
  <si>
    <t>v127</t>
  </si>
  <si>
    <t>v128</t>
  </si>
  <si>
    <t>מהו מצבך התעסוקתי?</t>
  </si>
  <si>
    <t>האם אתה עובד במשרה מלאה או חלקית?</t>
  </si>
  <si>
    <t>באיזה מגזר אתה עובד או עבדת?</t>
  </si>
  <si>
    <t>v136</t>
  </si>
  <si>
    <t>v138</t>
  </si>
  <si>
    <t>v148</t>
  </si>
  <si>
    <r>
      <t xml:space="preserve">ציין באיזו מידה כל אחד מהמשפטים הבאים נכון או לא נכון לגביך: </t>
    </r>
    <r>
      <rPr>
        <b/>
        <sz val="11"/>
        <color theme="1"/>
        <rFont val="Calibri"/>
        <family val="2"/>
        <scheme val="minor"/>
      </rPr>
      <t>אתה אדם שמתאים לו לקחת סיכונים</t>
    </r>
  </si>
  <si>
    <t>קשה לך לשים את עצמך במקומו של מישהו אחר</t>
  </si>
  <si>
    <t>אתה נוטה להימנע ממצבים שאין להם תוצאות ברורות</t>
  </si>
  <si>
    <t>אנשים אומרים שאתה טוב בלהבין איך הם מרגישים ומה הם חושבים</t>
  </si>
  <si>
    <t>במהלך מבצע "צוק איתן" בקיץ האחרון התמלאת חרדה כששמעת אזעקה</t>
  </si>
  <si>
    <t>אתה מלא חרדה כאשר אתה חושב על חידוש האינתיפאדה והפיגועים</t>
  </si>
  <si>
    <t>v143</t>
  </si>
  <si>
    <t>v145</t>
  </si>
  <si>
    <t>v146</t>
  </si>
  <si>
    <t>after_date</t>
  </si>
  <si>
    <t>after_v1</t>
  </si>
  <si>
    <t>after_v2</t>
  </si>
  <si>
    <t>after_v3</t>
  </si>
  <si>
    <t>after_v5</t>
  </si>
  <si>
    <t>מה בסופו של דבר הביא אותך להצביע כמו שהצבעת?</t>
  </si>
  <si>
    <t>after_v4a</t>
  </si>
  <si>
    <t>מדוע החלטת לא להצביע בבחירות/לשים פתק לבן?</t>
  </si>
  <si>
    <t>after_v4b</t>
  </si>
  <si>
    <t>after_v6</t>
  </si>
  <si>
    <t>after_v7a</t>
  </si>
  <si>
    <t>הבחירות מצביעות על כך שהעם רוצה מדיניות כלכלית שתהיה חברתית יותר</t>
  </si>
  <si>
    <t>after_v7b</t>
  </si>
  <si>
    <t>הבחירות מצביעות על כך שהעם לא רוצה שכסף ממדיניות זרות יקבע את תוצאות הבחירות</t>
  </si>
  <si>
    <t>after_v7c</t>
  </si>
  <si>
    <t>after_v7d</t>
  </si>
  <si>
    <t>הבחירות היו בעיקר על הנושאים המדיניים - המו"מ עם הפלסטינים והמדינה הפלסטינית</t>
  </si>
  <si>
    <t>after_v7e</t>
  </si>
  <si>
    <t>after_v7f</t>
  </si>
  <si>
    <t>הבחירות היו בעיקר על הגרעין האיראני</t>
  </si>
  <si>
    <t>after_v7g</t>
  </si>
  <si>
    <t>הבחירות היו בעיקר על יוקר המחייה ובעיות הדיור</t>
  </si>
  <si>
    <t>after_v7h</t>
  </si>
  <si>
    <t>הבחירות מצביעות על כך שהעם התגייס כדי שערבים לא יקבעו את תוצאות הבחירות</t>
  </si>
  <si>
    <t>after_v7i</t>
  </si>
  <si>
    <t>after_v7j</t>
  </si>
  <si>
    <t>after_v7k</t>
  </si>
  <si>
    <t>after_v8</t>
  </si>
  <si>
    <t>after_v9</t>
  </si>
  <si>
    <t>באופן כללי, האם אתה רואה את עצמך קרוב למפלגה מסוימת?</t>
  </si>
  <si>
    <t>after_v10</t>
  </si>
  <si>
    <t>לאיזו מפלגה אתה חש הכי קרוב?</t>
  </si>
  <si>
    <t>after_v11</t>
  </si>
  <si>
    <t>האם אתה חש קרוב מאוד ל(מפלגה שציין) , די קרוב או לא מאוד קרוב?</t>
  </si>
  <si>
    <t>after_v12</t>
  </si>
  <si>
    <t>בבחירות האלה דיברו הרבה על ימין ושמאל בפוליטיקה. מהם לדעתך הדברים העיקריים שמבחינים בין שמאל לימין?</t>
  </si>
  <si>
    <t>after_v13a</t>
  </si>
  <si>
    <t>מחקר בינלאומי שנערך לאחרונה מראה שמשך הזמן הממוצע בין בחירות במדינות מערב אירופה עומד על שלוש וחצי שנים וממשלות במדינות אלה מכהנות בממוצע שנתיים. כלומר ישראל לא יוצאת דופן. האם לדעתך על ישראל לשנות או לא לשנות את שיטת הממשל?</t>
  </si>
  <si>
    <t>after_v14a</t>
  </si>
  <si>
    <t>מחקר בינלאומי שנערך לאחרונה מראה שבעשורים האחרונים יש בישראל חוסר יציבות פוליטית, אנחנו הולכים לבחירות לעיתים תכופות וממשלות מתחלפות בתדירות גבוהה. האם לדעתך על ישראל לשנות או לא לשנות את שיטת הממשל?</t>
  </si>
  <si>
    <t>after_v14b</t>
  </si>
  <si>
    <t>after_v13b_1</t>
  </si>
  <si>
    <t>after_v13b_2</t>
  </si>
  <si>
    <t>after_v15</t>
  </si>
  <si>
    <t>age_group</t>
  </si>
  <si>
    <t>יש מקרים בהם קיימת סתירה בין היות מדינת ישראל מדינה יהודית והיותה המדינה של כל האזרחים החיים בה. במקרה של סתירה, האם יש להעדיף את העקרון של מדינה יהודית או את העקרון של מדינת כל אזרחיה?</t>
  </si>
  <si>
    <t>מה עמדתך לגבי פינוי יישובים יהודים ביהודה ושומרון במסגרת הסדר קבע עם הפלסטינים?</t>
  </si>
  <si>
    <r>
      <t xml:space="preserve">באיזו מידה אתה מסכים או לא מסכים עם המשפטים הבאים: </t>
    </r>
    <r>
      <rPr>
        <b/>
        <sz val="11"/>
        <color theme="1"/>
        <rFont val="Calibri"/>
        <family val="2"/>
        <scheme val="minor"/>
      </rPr>
      <t>יש להרחיב את סמכויות המשטרה לשם הגנה על הסדר הציבורי</t>
    </r>
  </si>
  <si>
    <r>
      <t xml:space="preserve">באיזו מידה אתה מסכים או לא מסכים עם המשפטים הבאים: </t>
    </r>
    <r>
      <rPr>
        <b/>
        <sz val="11"/>
        <color theme="1"/>
        <rFont val="Calibri"/>
        <family val="2"/>
        <scheme val="minor"/>
      </rPr>
      <t>יש לגרש מהארץ את העובדים הזרים שאין להם רשיון עבודה וגם את ילדיהם</t>
    </r>
  </si>
  <si>
    <r>
      <t xml:space="preserve">באיזו מידה אתה מסכים או לא מסכים עם המשפטים הבאים: </t>
    </r>
    <r>
      <rPr>
        <b/>
        <sz val="11"/>
        <color theme="1"/>
        <rFont val="Calibri"/>
        <family val="2"/>
        <scheme val="minor"/>
      </rPr>
      <t>יש לחייב את החרדים לשרת בצה"ל או בשירות הלאומי</t>
    </r>
  </si>
  <si>
    <t>v45A</t>
  </si>
  <si>
    <t>v45B</t>
  </si>
  <si>
    <r>
      <t xml:space="preserve">מה יחסך לכל אחת מן המפלגות הבאות? </t>
    </r>
    <r>
      <rPr>
        <b/>
        <sz val="11"/>
        <color theme="1"/>
        <rFont val="Calibri"/>
        <family val="2"/>
        <scheme val="minor"/>
      </rPr>
      <t>התנועה</t>
    </r>
  </si>
  <si>
    <t>v45D</t>
  </si>
  <si>
    <t>v45E</t>
  </si>
  <si>
    <t>v45F</t>
  </si>
  <si>
    <t>v45G</t>
  </si>
  <si>
    <t>v45H</t>
  </si>
  <si>
    <t>v45J</t>
  </si>
  <si>
    <r>
      <t xml:space="preserve">מה יחסך לכל אחת מן המפלגות הבאות? </t>
    </r>
    <r>
      <rPr>
        <b/>
        <sz val="11"/>
        <color theme="1"/>
        <rFont val="Calibri"/>
        <family val="2"/>
        <scheme val="minor"/>
      </rPr>
      <t>רע"מ-תע"ל</t>
    </r>
  </si>
  <si>
    <t>v45I</t>
  </si>
  <si>
    <t>v46A</t>
  </si>
  <si>
    <r>
      <t xml:space="preserve">ועל אותו סולם, מה יחסך לאישים הבאים? </t>
    </r>
    <r>
      <rPr>
        <b/>
        <sz val="11"/>
        <color theme="1"/>
        <rFont val="Calibri"/>
        <family val="2"/>
        <scheme val="minor"/>
      </rPr>
      <t>שלי יחימוביץ</t>
    </r>
  </si>
  <si>
    <t>v46B</t>
  </si>
  <si>
    <t>v46C</t>
  </si>
  <si>
    <t>v46D</t>
  </si>
  <si>
    <t>v46E</t>
  </si>
  <si>
    <t>v46F</t>
  </si>
  <si>
    <t>v46G</t>
  </si>
  <si>
    <t>v46H</t>
  </si>
  <si>
    <r>
      <t>ועל אותו סולם, מה יחסך לאישים הבאים?</t>
    </r>
    <r>
      <rPr>
        <b/>
        <sz val="11"/>
        <color theme="1"/>
        <rFont val="Calibri"/>
        <family val="2"/>
        <scheme val="minor"/>
      </rPr>
      <t xml:space="preserve"> מוחמד בראכה</t>
    </r>
  </si>
  <si>
    <t>v46I</t>
  </si>
  <si>
    <t>v46K</t>
  </si>
  <si>
    <r>
      <t>ועל אותו סולם, מה יחסך לאישים הבאים?</t>
    </r>
    <r>
      <rPr>
        <b/>
        <sz val="11"/>
        <color theme="1"/>
        <rFont val="Calibri"/>
        <family val="2"/>
        <scheme val="minor"/>
      </rPr>
      <t xml:space="preserve"> איברהים צרצור</t>
    </r>
  </si>
  <si>
    <t>v46J</t>
  </si>
  <si>
    <r>
      <t xml:space="preserve">מי לדעתך יטפל יותר טוב בבעיות </t>
    </r>
    <r>
      <rPr>
        <b/>
        <sz val="11"/>
        <color theme="1"/>
        <rFont val="Calibri"/>
        <family val="2"/>
        <scheme val="minor"/>
      </rPr>
      <t>החברתיות</t>
    </r>
    <r>
      <rPr>
        <sz val="11"/>
        <color theme="1"/>
        <rFont val="Calibri"/>
        <family val="2"/>
        <charset val="177"/>
        <scheme val="minor"/>
      </rPr>
      <t xml:space="preserve"> של המדינה?</t>
    </r>
  </si>
  <si>
    <r>
      <t xml:space="preserve">מי לדעתך יטפל יותר טוב בבעיות </t>
    </r>
    <r>
      <rPr>
        <b/>
        <sz val="11"/>
        <color theme="1"/>
        <rFont val="Calibri"/>
        <family val="2"/>
        <scheme val="minor"/>
      </rPr>
      <t>הכלכליות</t>
    </r>
    <r>
      <rPr>
        <sz val="11"/>
        <color theme="1"/>
        <rFont val="Calibri"/>
        <family val="2"/>
        <charset val="177"/>
        <scheme val="minor"/>
      </rPr>
      <t xml:space="preserve"> של המדינה?</t>
    </r>
  </si>
  <si>
    <r>
      <t xml:space="preserve">מי לדעתך יטפל טוב יותר בבעיית </t>
    </r>
    <r>
      <rPr>
        <b/>
        <sz val="11"/>
        <color theme="1"/>
        <rFont val="Calibri"/>
        <family val="2"/>
        <scheme val="minor"/>
      </rPr>
      <t>הכלכלה והחברה</t>
    </r>
    <r>
      <rPr>
        <sz val="11"/>
        <color theme="1"/>
        <rFont val="Calibri"/>
        <family val="2"/>
        <charset val="177"/>
        <scheme val="minor"/>
      </rPr>
      <t xml:space="preserve"> של המדינה?</t>
    </r>
  </si>
  <si>
    <r>
      <t xml:space="preserve">האם לדעתך קיימים או לא קיימים הבדלים בעמדותיהן של המפלגות העיקריות בארץ בנושאים הבאים: </t>
    </r>
    <r>
      <rPr>
        <b/>
        <sz val="11"/>
        <color theme="1"/>
        <rFont val="Calibri"/>
        <family val="2"/>
        <scheme val="minor"/>
      </rPr>
      <t>כלכלה</t>
    </r>
  </si>
  <si>
    <r>
      <t xml:space="preserve">האם לדעתך קיימים או לא קיימים הבדלים בעמדותיהן של המפלגות העיקריות בארץ בנושאים הבאים: </t>
    </r>
    <r>
      <rPr>
        <b/>
        <sz val="11"/>
        <color theme="1"/>
        <rFont val="Calibri"/>
        <family val="2"/>
        <scheme val="minor"/>
      </rPr>
      <t>מדיניות חברתית</t>
    </r>
  </si>
  <si>
    <t>v52</t>
  </si>
  <si>
    <t>מדברים היום הרבה גם על נושאי כלכלה וחברה. כיצד היית מדרג את עצמך על פני הרצף הכלכלי-חברתי, כאשר 0 משמעו גישה סוציאל-דמוקרטית; 10 משמעו גישה קפיטליסטית ו-5 משמעו אמצע</t>
  </si>
  <si>
    <t>קיצבאות אבטלה</t>
  </si>
  <si>
    <t>קיצבאות זקנה</t>
  </si>
  <si>
    <t>קיצבאות ילדים</t>
  </si>
  <si>
    <t>פתרונות לבעיית הדיור</t>
  </si>
  <si>
    <t>יצירת מקומות תעסוקה</t>
  </si>
  <si>
    <t>v87</t>
  </si>
  <si>
    <t>האם אתה נוהג לקרוא עיתון יומי?</t>
  </si>
  <si>
    <t>האם אתה נוהג להתעדכן בחדשות באינטרנט?</t>
  </si>
  <si>
    <t>v98_B</t>
  </si>
  <si>
    <t>v119</t>
  </si>
  <si>
    <r>
      <t xml:space="preserve">באיזו מידה אתה מסכים או לא מסכים עם המשפטים הבאים: </t>
    </r>
    <r>
      <rPr>
        <b/>
        <sz val="11"/>
        <color theme="1"/>
        <rFont val="Calibri"/>
        <family val="2"/>
        <scheme val="minor"/>
      </rPr>
      <t>נשים בישראל מופלות בשכר ובקידום במקום העבודה</t>
    </r>
  </si>
  <si>
    <t>יש לאסור על שירת נשים בצבא אם זה מפריע לחיילים הנוכחים באירוע</t>
  </si>
  <si>
    <t>אישה מוטרדת מינית מביאה זאת על עצמה</t>
  </si>
  <si>
    <t>לכל אישה צריכה להיות זכות לבצע הפלה אם היא רוצה בכך</t>
  </si>
  <si>
    <t>יש להפעיל העדפות מתקנות לקידום נשים במועצות מנהלים, דירקטוריונים ותפקידים בכירים אחרים</t>
  </si>
  <si>
    <t>פוליטיקה מתאימה יותר לגבר מאשר לאישה</t>
  </si>
  <si>
    <t>כיצד היית מתאר את חלוקת העבודה בינך לבן/בת זוגך?</t>
  </si>
  <si>
    <t>v129_B</t>
  </si>
  <si>
    <t>האם נראה לך שהקשר הזוגי שלך ישמך גם בעתיד הנראה לעין?</t>
  </si>
  <si>
    <t>לו הבחירות לכנסת היו נערכות היום, עבור איזו רשימה, למיטב ידיעתך, היה בן/בת הזוג שלך מצביע?</t>
  </si>
  <si>
    <t>חשוב על הכנסותיהם של כל בני הבית ועל כל ההכנסות במתקבלות במשק הבית בכללו. מהו מקור ההכנסה העיקרי של משק הבית שלך?</t>
  </si>
  <si>
    <t xml:space="preserve">מהי ההכנסה של משק הבית שלך מכל המקורות, אחרי ניכוי מיסים וניכויי חובה אחרים? </t>
  </si>
  <si>
    <t>v150</t>
  </si>
  <si>
    <t>v151</t>
  </si>
  <si>
    <t>v153</t>
  </si>
  <si>
    <t>a_date</t>
  </si>
  <si>
    <t>a_v1</t>
  </si>
  <si>
    <t>a_v2</t>
  </si>
  <si>
    <t>ומה לגבי בן/בת זוגך, אם יש לך, כיצד למיטב ידיעתך הוא/היא הצביע/ה?</t>
  </si>
  <si>
    <t>a_v4</t>
  </si>
  <si>
    <t>a_v3</t>
  </si>
  <si>
    <t>a_v5A</t>
  </si>
  <si>
    <t>הבחירות מצביעות על כך שהעם רוצה פוליטיקה אחרת ומנהיגים חדשים</t>
  </si>
  <si>
    <t>a_v6</t>
  </si>
  <si>
    <t>a_v7A</t>
  </si>
  <si>
    <t>הבחירות מצביעות על כך שהעם רוצה מתונים ולא קיצונים</t>
  </si>
  <si>
    <t>a_v8</t>
  </si>
  <si>
    <t>a_v9</t>
  </si>
  <si>
    <t>הבחירות היו בעיקר על המדיניות הכלכלית והתקציב המתאימים לישראל בימים אלה</t>
  </si>
  <si>
    <t>a_v10</t>
  </si>
  <si>
    <t>a_v11</t>
  </si>
  <si>
    <t>a_v12</t>
  </si>
  <si>
    <t>a_v13</t>
  </si>
  <si>
    <t>הבחירות היו בעיקר על חלוקת הנטל ושרות צבאי או לאומי לכל</t>
  </si>
  <si>
    <t>a_v14</t>
  </si>
  <si>
    <t>הבחירות מצביעות על חוסר אמון בנתניהו</t>
  </si>
  <si>
    <t>1_v5B</t>
  </si>
  <si>
    <t>הבחירות מצביעות על כך שהעם רוצה מרכז</t>
  </si>
  <si>
    <t>a_v7B</t>
  </si>
  <si>
    <t>a_v15</t>
  </si>
  <si>
    <t>a_v16</t>
  </si>
  <si>
    <t>a_v17</t>
  </si>
  <si>
    <t>a_v18</t>
  </si>
  <si>
    <t>a_v19</t>
  </si>
  <si>
    <t>age_1</t>
  </si>
  <si>
    <t>agegroup_1</t>
  </si>
  <si>
    <t>sex_1</t>
  </si>
  <si>
    <t>ולפני חמש שנים, מה היה מצב המדינה מבחינת הבטחון הלאומי?</t>
  </si>
  <si>
    <t>ובעוד חמש שנים, מה יהיה מצב המדינה מבחינת הבטחון הלאומי?</t>
  </si>
  <si>
    <t>מהם לדעתך הסיכויים שיתחזק השלום בין ישראל למדינות ערב בשלוש השנים הקרובות?</t>
  </si>
  <si>
    <t>ומהם לדעתך הסיכויים שתפרוץ מלחמה בין ישראל לבין מדינה ערבית בשלוש השנים הקרובות?</t>
  </si>
  <si>
    <t>האם לדעתך מבצע "עופרת יצוקה" בעזה היה מוצלח או לא מוצלח?</t>
  </si>
  <si>
    <t>v16a</t>
  </si>
  <si>
    <t>כיצד ישראל צריכה להגיב במידה והירי על היישובים הישראליים מרצועת עזה יימשך?</t>
  </si>
  <si>
    <t>v16b</t>
  </si>
  <si>
    <t>אם יהיה הסכם שלום עם הפלסטינים ועם מדינות ערב, האם לדעתך יסתיים או לא יסתיים בכך הסכסוך הישראלי-ערבי?</t>
  </si>
  <si>
    <t>מלחמה בצפון</t>
  </si>
  <si>
    <t>התנתקות חד צדדית מהפלסטינים</t>
  </si>
  <si>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scheme val="minor"/>
      </rPr>
      <t>נשק כימי וביולוגי בידי מדינת אויב</t>
    </r>
  </si>
  <si>
    <t>נשק גרעיני בידי מדינת אויב</t>
  </si>
  <si>
    <t>האם ישראל צריכה להחזיר לסוריה שטחים ברמת הגולן תמורת חוזה שלום וסידורי בטחון המקובלים על צה"ל?</t>
  </si>
  <si>
    <r>
      <t xml:space="preserve">האם לדעתך קיימים או לא קיימים הבדלים בעמדותיהן של המפלגות העיקריות בארץ בנושאים הבאים: </t>
    </r>
    <r>
      <rPr>
        <b/>
        <sz val="11"/>
        <color theme="1"/>
        <rFont val="Calibri"/>
        <family val="2"/>
        <scheme val="minor"/>
      </rPr>
      <t>האיום האיראני</t>
    </r>
  </si>
  <si>
    <r>
      <t xml:space="preserve">באיזו מידה אתה מסכים או לא מסכים עם המשפטים הבאים: </t>
    </r>
    <r>
      <rPr>
        <b/>
        <sz val="11"/>
        <color theme="1"/>
        <rFont val="Calibri"/>
        <family val="2"/>
        <scheme val="minor"/>
      </rPr>
      <t>יש להפסיק את תהליך השלום אפילו אם נסתכן במלחמה נוספת</t>
    </r>
  </si>
  <si>
    <r>
      <t xml:space="preserve">באיזו מידה אתה מסכים או לא מסכים עם המשפטים הבאים: </t>
    </r>
    <r>
      <rPr>
        <b/>
        <sz val="11"/>
        <color theme="1"/>
        <rFont val="Calibri"/>
        <family val="2"/>
        <scheme val="minor"/>
      </rPr>
      <t>יש להחזיר שטחים תמורת שלום</t>
    </r>
  </si>
  <si>
    <r>
      <t xml:space="preserve">באיזו מידה אתה מסכים או לא מסכים עם המשפטים הבאים: </t>
    </r>
    <r>
      <rPr>
        <b/>
        <sz val="11"/>
        <color theme="1"/>
        <rFont val="Calibri"/>
        <family val="2"/>
        <scheme val="minor"/>
      </rPr>
      <t>על הממשלה לעודד הגירת ערבים מהארץ</t>
    </r>
  </si>
  <si>
    <r>
      <t>באיזו מידה אתה מסכים או לא מסכים עם המשפטים הבאים:</t>
    </r>
    <r>
      <rPr>
        <b/>
        <sz val="11"/>
        <color theme="1"/>
        <rFont val="Calibri"/>
        <family val="2"/>
        <scheme val="minor"/>
      </rPr>
      <t xml:space="preserve"> לבית המשפט העליון צריכה להיות הסמכות לבטל חוק שחוקקה הכנסת</t>
    </r>
  </si>
  <si>
    <t>כיצד היית מדרג את מצבך האישי בימים אלו?</t>
  </si>
  <si>
    <t>ולפני 5 שנים מה היה מצבך האישי?</t>
  </si>
  <si>
    <t>ובעוד 5 שנים מה יהיה מצבך האישי?</t>
  </si>
  <si>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scheme val="minor"/>
      </rPr>
      <t>משטר לא דמוקרטי בישראל</t>
    </r>
  </si>
  <si>
    <r>
      <t xml:space="preserve">מה יחסך לכל אחת מן המפלגות הבאות? </t>
    </r>
    <r>
      <rPr>
        <b/>
        <sz val="11"/>
        <color theme="1"/>
        <rFont val="Calibri"/>
        <family val="2"/>
        <scheme val="minor"/>
      </rPr>
      <t>קדימה</t>
    </r>
  </si>
  <si>
    <t>ועדת הבחירות המרכזית החליטה לפסול את הרשימות הערביות בל"ד ורע"ם-תע"ל מהתמודדות בבחירות הקרובות. האם האתה תומך או מתנגד להחלטה זו?</t>
  </si>
  <si>
    <t>v68a</t>
  </si>
  <si>
    <r>
      <t xml:space="preserve">ועל אותו סולם, מה יחסך לאישים הבאים? </t>
    </r>
    <r>
      <rPr>
        <b/>
        <sz val="11"/>
        <color theme="1"/>
        <rFont val="Calibri"/>
        <family val="2"/>
        <scheme val="minor"/>
      </rPr>
      <t>אהוד ברק</t>
    </r>
  </si>
  <si>
    <t>v72a</t>
  </si>
  <si>
    <t>ומי במקום השני?</t>
  </si>
  <si>
    <t>v72b</t>
  </si>
  <si>
    <t>v73a</t>
  </si>
  <si>
    <t>v73b</t>
  </si>
  <si>
    <t>v74a</t>
  </si>
  <si>
    <t>v74b</t>
  </si>
  <si>
    <r>
      <t xml:space="preserve">האם לדעתך קיימים או לא קיימים הבדלים בעמדותיהן של המפלגות העיקריות בארץ בנושאים הבאים: </t>
    </r>
    <r>
      <rPr>
        <b/>
        <sz val="11"/>
        <color theme="1"/>
        <rFont val="Calibri"/>
        <family val="2"/>
        <scheme val="minor"/>
      </rPr>
      <t>ירושלים</t>
    </r>
  </si>
  <si>
    <t>מבין הנושאים הבאים מה הדבר שהכי שישפיע ביותר על ההצבעה שלך בבחירות הקרובות?</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</si>
  <si>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ליכוד</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</si>
  <si>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עבודה</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</si>
  <si>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קדימה</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</si>
  <si>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ש"ס</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</si>
  <si>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הבית היהודי</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</si>
  <si>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ישראל ביתנו</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</si>
  <si>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מרצ</t>
    </r>
  </si>
  <si>
    <t>שמירת הטבע והאקולוגיה</t>
  </si>
  <si>
    <t>כבישים ותאונות דרכים</t>
  </si>
  <si>
    <r>
      <t xml:space="preserve">לפניך רשימה של תכונות שונות של מפלגות. לגבי כל אחת מהן, ציין לאיזו מפלגה היא מתאימה ביותר: </t>
    </r>
    <r>
      <rPr>
        <b/>
        <sz val="11"/>
        <color theme="1"/>
        <rFont val="Calibri"/>
        <family val="2"/>
        <scheme val="minor"/>
      </rPr>
      <t xml:space="preserve">מפלגה שתדע לעמוד בתוקף במו"מ על שטחים ושלום </t>
    </r>
  </si>
  <si>
    <t>ולמי הכי פחות?</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</si>
  <si>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שתשמור על המשטר הדמוקרטי במדינה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</si>
  <si>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שתוכל להוביל לשלום אמת עם הערבים</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</si>
  <si>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לטפל בטרור</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</si>
  <si>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שתבטיח רוב יהודי במדינה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</si>
  <si>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שיש בה שחיתות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</si>
  <si>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שתצמצם פערים חברתיים</t>
    </r>
  </si>
  <si>
    <r>
      <t xml:space="preserve">האם </t>
    </r>
    <r>
      <rPr>
        <b/>
        <sz val="11"/>
        <color theme="1"/>
        <rFont val="Calibri"/>
        <family val="2"/>
        <scheme val="minor"/>
      </rPr>
      <t>"אכפתיות מאנשים כמוך"</t>
    </r>
    <r>
      <rPr>
        <sz val="11"/>
        <color theme="1"/>
        <rFont val="Calibri"/>
        <family val="2"/>
        <charset val="177"/>
        <scheme val="minor"/>
      </rPr>
      <t xml:space="preserve"> מתאימה יותר ל:</t>
    </r>
  </si>
  <si>
    <r>
      <t xml:space="preserve">האם </t>
    </r>
    <r>
      <rPr>
        <b/>
        <sz val="11"/>
        <color theme="1"/>
        <rFont val="Calibri"/>
        <family val="2"/>
        <scheme val="minor"/>
      </rPr>
      <t>"יושר והגינות"</t>
    </r>
    <r>
      <rPr>
        <sz val="11"/>
        <color theme="1"/>
        <rFont val="Calibri"/>
        <family val="2"/>
        <charset val="177"/>
        <scheme val="minor"/>
      </rPr>
      <t xml:space="preserve"> מתאים יותר ל:</t>
    </r>
  </si>
  <si>
    <r>
      <t xml:space="preserve">האם </t>
    </r>
    <r>
      <rPr>
        <b/>
        <sz val="11"/>
        <color theme="1"/>
        <rFont val="Calibri"/>
        <family val="2"/>
        <scheme val="minor"/>
      </rPr>
      <t>"אמין"</t>
    </r>
    <r>
      <rPr>
        <sz val="11"/>
        <color theme="1"/>
        <rFont val="Calibri"/>
        <family val="2"/>
        <charset val="177"/>
        <scheme val="minor"/>
      </rPr>
      <t xml:space="preserve"> מתאים יותר ל:</t>
    </r>
  </si>
  <si>
    <r>
      <t xml:space="preserve">האם </t>
    </r>
    <r>
      <rPr>
        <b/>
        <sz val="11"/>
        <color theme="1"/>
        <rFont val="Calibri"/>
        <family val="2"/>
        <scheme val="minor"/>
      </rPr>
      <t>"יעדיף את טובת המדינה על פני שיקולים אחרים"</t>
    </r>
    <r>
      <rPr>
        <sz val="11"/>
        <color theme="1"/>
        <rFont val="Calibri"/>
        <family val="2"/>
        <charset val="177"/>
        <scheme val="minor"/>
      </rPr>
      <t xml:space="preserve"> מתאים יותר ל:</t>
    </r>
  </si>
  <si>
    <r>
      <t xml:space="preserve">האם </t>
    </r>
    <r>
      <rPr>
        <b/>
        <sz val="11"/>
        <color theme="1"/>
        <rFont val="Calibri"/>
        <family val="2"/>
        <scheme val="minor"/>
      </rPr>
      <t>"יכולת טובה לניהול משא ומתן"</t>
    </r>
    <r>
      <rPr>
        <sz val="11"/>
        <color theme="1"/>
        <rFont val="Calibri"/>
        <family val="2"/>
        <charset val="177"/>
        <scheme val="minor"/>
      </rPr>
      <t xml:space="preserve"> מתאים יותר ל:</t>
    </r>
  </si>
  <si>
    <r>
      <t xml:space="preserve">האם </t>
    </r>
    <r>
      <rPr>
        <b/>
        <sz val="11"/>
        <color theme="1"/>
        <rFont val="Calibri"/>
        <family val="2"/>
        <scheme val="minor"/>
      </rPr>
      <t>"ישמור על שלטון החוק"</t>
    </r>
    <r>
      <rPr>
        <sz val="11"/>
        <color theme="1"/>
        <rFont val="Calibri"/>
        <family val="2"/>
        <charset val="177"/>
        <scheme val="minor"/>
      </rPr>
      <t xml:space="preserve"> מתאים יותר ל:</t>
    </r>
  </si>
  <si>
    <r>
      <t xml:space="preserve">לפניך רשימה של תכונות של מנהיגים. לגבי כל אחת מהתכונות ציין למי היא מתאימה יותר? </t>
    </r>
    <r>
      <rPr>
        <sz val="11"/>
        <color theme="1"/>
        <rFont val="Calibri"/>
        <family val="2"/>
        <scheme val="minor"/>
      </rPr>
      <t>האם</t>
    </r>
    <r>
      <rPr>
        <b/>
        <sz val="11"/>
        <color theme="1"/>
        <rFont val="Calibri"/>
        <family val="2"/>
        <scheme val="minor"/>
      </rPr>
      <t xml:space="preserve"> "כושר מנהיגות" </t>
    </r>
    <r>
      <rPr>
        <sz val="11"/>
        <color theme="1"/>
        <rFont val="Calibri"/>
        <family val="2"/>
        <scheme val="minor"/>
      </rPr>
      <t>מתאים יותר ל:</t>
    </r>
  </si>
  <si>
    <t xml:space="preserve">מבין הנושאים הבאים, איזה נושא לדעתך עומד במרכז מערכת הבחירות? </t>
  </si>
  <si>
    <t>v154</t>
  </si>
  <si>
    <t>v164</t>
  </si>
  <si>
    <t>v174</t>
  </si>
  <si>
    <t>v184</t>
  </si>
  <si>
    <t>הרבה מדברים על "שמאל" ו-"ימין" בפוליטיקה. כיצד היית מדרג את עצמך על פני רצף "שמאל-ימין" כאשר 0 משמעו שמאל, 10 משמעו ימין ו-5 משמעו אמצע?</t>
  </si>
  <si>
    <t>באיזו מידה לדעתך מערכת הבחירות תעזור לך להחליט בעד מי להצביע?</t>
  </si>
  <si>
    <t>האם אתה צופה בתשדירי הבחירות בטלוויזיה?</t>
  </si>
  <si>
    <t>האם בתקופת הבחירות אתה משתמש באינטרנט בהקשר של הבחירות?</t>
  </si>
  <si>
    <r>
      <t xml:space="preserve">באילו מהאמצעים הבאים של האינטרנט יצא לך להשתמש בהקשר של הבחירות? </t>
    </r>
    <r>
      <rPr>
        <b/>
        <sz val="11"/>
        <color theme="1"/>
        <rFont val="Calibri"/>
        <family val="2"/>
        <scheme val="minor"/>
      </rPr>
      <t>אי-מייל</t>
    </r>
  </si>
  <si>
    <t>בלוגים</t>
  </si>
  <si>
    <t>טוקבקים</t>
  </si>
  <si>
    <t>צ'טים או קבוצות דיון</t>
  </si>
  <si>
    <t>אתר המפלגה או המועמדים שאתה תומך בהם</t>
  </si>
  <si>
    <t>אתרי המפלגות או מועמדים אחרים</t>
  </si>
  <si>
    <t>אתרי וידאו כמו יו-טיוב</t>
  </si>
  <si>
    <t>אתרי חדשות כמו וואלה או YNET</t>
  </si>
  <si>
    <t>רשתות חברתיות כמו פייסבוק</t>
  </si>
  <si>
    <t>האם השתמש במצפן הבחירות של YNET</t>
  </si>
  <si>
    <t>v152</t>
  </si>
  <si>
    <t>כנראה שבבחירות הקרובות יצביעו פחות אנשים מבעבר. מהי לדעתך הסיבה העיקרית לכך?</t>
  </si>
  <si>
    <t>v155</t>
  </si>
  <si>
    <r>
      <t xml:space="preserve">אילו היו שני פתקים בבחירות האלה, אחד לראש הממשלה ואחד לכנסת, </t>
    </r>
    <r>
      <rPr>
        <b/>
        <sz val="11"/>
        <color theme="1"/>
        <rFont val="Calibri"/>
        <family val="2"/>
        <scheme val="minor"/>
      </rPr>
      <t>עבור מי היית מצביע לכנסת?</t>
    </r>
  </si>
  <si>
    <r>
      <t xml:space="preserve">אילו היו שני פתקים בבחירות האלה, אחד לראש הממשלה ואחד לכנסת, </t>
    </r>
    <r>
      <rPr>
        <b/>
        <sz val="11"/>
        <color theme="1"/>
        <rFont val="Calibri"/>
        <family val="2"/>
        <scheme val="minor"/>
      </rPr>
      <t>עבור מי היית מצביע לראשות הממשלה?</t>
    </r>
  </si>
  <si>
    <t>v156</t>
  </si>
  <si>
    <t>v157</t>
  </si>
  <si>
    <t>לדעתך, מה הסיכוי שציפי לבני תהיה ראש ממשלה לאחר הבחירות?</t>
  </si>
  <si>
    <t>לדעתך, מה הסיכוי שבנימין נתניהו תהיה ראש ממשלה לאחר הבחירות?</t>
  </si>
  <si>
    <t>לדעתך, מה הסיכוי שאהוד ברק תהיה ראש ממשלה לאחר הבחירות?</t>
  </si>
  <si>
    <t>v158</t>
  </si>
  <si>
    <t>v159</t>
  </si>
  <si>
    <t>v160</t>
  </si>
  <si>
    <t>באיזו מידה אכפת לך באופן אישי מי יהיה ראש הממשלה לאחר הבחירות?</t>
  </si>
  <si>
    <t>v161</t>
  </si>
  <si>
    <t>v162</t>
  </si>
  <si>
    <t>האם הצבעת בבחירות לרשויות המקומיות האחרונות?</t>
  </si>
  <si>
    <t>v163</t>
  </si>
  <si>
    <t>איזה מבין המונחים הבאים מגדיר בצורה הטובה ביותר את זהותך?</t>
  </si>
  <si>
    <t>והשני?</t>
  </si>
  <si>
    <t>והשלישי?</t>
  </si>
  <si>
    <t>והרביעי?</t>
  </si>
  <si>
    <t>v165</t>
  </si>
  <si>
    <t>v166</t>
  </si>
  <si>
    <t>v167</t>
  </si>
  <si>
    <t>איזה מבין המונחים הבאים מגדיר בצורה הטובה ביותר את הזהות שלך?</t>
  </si>
  <si>
    <t>v168</t>
  </si>
  <si>
    <t>v169</t>
  </si>
  <si>
    <t>v170</t>
  </si>
  <si>
    <t>v171</t>
  </si>
  <si>
    <t>v172</t>
  </si>
  <si>
    <t>v173</t>
  </si>
  <si>
    <t>v175</t>
  </si>
  <si>
    <t>v176</t>
  </si>
  <si>
    <t>v177</t>
  </si>
  <si>
    <t>v188</t>
  </si>
  <si>
    <t>v179</t>
  </si>
  <si>
    <t>v180</t>
  </si>
  <si>
    <t>האם יש לך תואר אקדמי?</t>
  </si>
  <si>
    <t>v182</t>
  </si>
  <si>
    <t>v181_1</t>
  </si>
  <si>
    <t>v183</t>
  </si>
  <si>
    <t>האם אתה מודאג שתאבד את מקום העבודה או מקור הפרנסה שלך?</t>
  </si>
  <si>
    <t>v185</t>
  </si>
  <si>
    <t>v186</t>
  </si>
  <si>
    <t>v187</t>
  </si>
  <si>
    <t>v189_1</t>
  </si>
  <si>
    <t>v190</t>
  </si>
  <si>
    <t>מהו מוסד הלימודים האחרון בו למדת?</t>
  </si>
  <si>
    <t>v191</t>
  </si>
  <si>
    <t>v193</t>
  </si>
  <si>
    <t>v195</t>
  </si>
  <si>
    <t>פאנל</t>
  </si>
  <si>
    <t>panel</t>
  </si>
  <si>
    <t>q1</t>
  </si>
  <si>
    <t>q2</t>
  </si>
  <si>
    <t>q3</t>
  </si>
  <si>
    <t>q4</t>
  </si>
  <si>
    <t>q5</t>
  </si>
  <si>
    <t>באופן כללי, האם אתה מרוצה או לא מרוצה מתוצאות הבחירות?</t>
  </si>
  <si>
    <t>q6</t>
  </si>
  <si>
    <t>q7</t>
  </si>
  <si>
    <t>כמה פעמים צפית בשידורי התעמולה של המפלגות בטלוויזיה?</t>
  </si>
  <si>
    <t>q8</t>
  </si>
  <si>
    <t>q9</t>
  </si>
  <si>
    <t>q10</t>
  </si>
  <si>
    <t>הבחירות היו על מי מתאים להנהיג את ישראל בתקופה זו</t>
  </si>
  <si>
    <t>q11</t>
  </si>
  <si>
    <t>הבחירות מצביעות על כך שהציבור רוצה מועמד נקי כפיים</t>
  </si>
  <si>
    <t>q12</t>
  </si>
  <si>
    <t>q13</t>
  </si>
  <si>
    <t>הבחירות היו בעיקר על איזו תוכנית כלכלית תוציא את המדינה מהבוץ</t>
  </si>
  <si>
    <t>q14</t>
  </si>
  <si>
    <t>q15</t>
  </si>
  <si>
    <t>הבחירות מצביעות על כך ש"קדימה" היא לא תופעה חולפת</t>
  </si>
  <si>
    <t>q16</t>
  </si>
  <si>
    <t>הבחירות היו בעיקר על יחסי יהודים-ערבים בתוך ישראל והקשר בין אזרחות לנאמנות</t>
  </si>
  <si>
    <t>q17</t>
  </si>
  <si>
    <t>הבחירות מצביעות על כך שהציבור חושב שאישה מתאימה להיות ראש ממשלה</t>
  </si>
  <si>
    <t>q18</t>
  </si>
  <si>
    <t>הבחירות מלמדות שחייבים לשנות את השיטה הנוכחית לשיטה שתביא לממשלה יציבה ל-4 שנים</t>
  </si>
  <si>
    <t>q19</t>
  </si>
  <si>
    <t>q20</t>
  </si>
  <si>
    <t>האם לדעתך מפלגת ישראל ביתנו היא קודם כל מפלגה שמייצגת את העולים מברה"מ לשעבר או שהיא לא מפלגה כזו?</t>
  </si>
  <si>
    <t>q21</t>
  </si>
  <si>
    <t>caseid</t>
  </si>
  <si>
    <t>a6</t>
  </si>
  <si>
    <t>a7</t>
  </si>
  <si>
    <t>a8</t>
  </si>
  <si>
    <t>a10</t>
  </si>
  <si>
    <t>a11</t>
  </si>
  <si>
    <t>a12</t>
  </si>
  <si>
    <t>a13</t>
  </si>
  <si>
    <t>a27</t>
  </si>
  <si>
    <t>a30</t>
  </si>
  <si>
    <t>a32</t>
  </si>
  <si>
    <t>a14</t>
  </si>
  <si>
    <t>a15</t>
  </si>
  <si>
    <t>במסגרת הסכם שלום עם הפלסטינים, האם על ישראל להסכים או לא להסכים לפשרה טריטוריאלית ולפינוי התנחלויות ביו"ש?</t>
  </si>
  <si>
    <t>a16</t>
  </si>
  <si>
    <t>ואם לא ניתן יהיה להגיע בשנים הקרובות להסכם שלום עם הפלסטינים, האם על ישראל לבצע מהלך נוסף חד-צדדי של פינוי התנחלויות ביו"ש?</t>
  </si>
  <si>
    <t>אם אהוד אולמרט יבחר כראש ממשלה, מהם הסיכויים לדעתך שהוא יבצע פינוי התנחלויות נוסף ביו"ש?</t>
  </si>
  <si>
    <t>a17</t>
  </si>
  <si>
    <t>a18</t>
  </si>
  <si>
    <t>a19</t>
  </si>
  <si>
    <t>a20</t>
  </si>
  <si>
    <t>a21</t>
  </si>
  <si>
    <t>a22</t>
  </si>
  <si>
    <t>a23</t>
  </si>
  <si>
    <t>a24</t>
  </si>
  <si>
    <t>a25</t>
  </si>
  <si>
    <t>a26</t>
  </si>
  <si>
    <t>a28</t>
  </si>
  <si>
    <t>a29</t>
  </si>
  <si>
    <t>a34</t>
  </si>
  <si>
    <t>a35</t>
  </si>
  <si>
    <t>a33</t>
  </si>
  <si>
    <t>a36</t>
  </si>
  <si>
    <t>a31</t>
  </si>
  <si>
    <t>a37</t>
  </si>
  <si>
    <t>a38</t>
  </si>
  <si>
    <t>a39</t>
  </si>
  <si>
    <t>a40</t>
  </si>
  <si>
    <t>a41</t>
  </si>
  <si>
    <t>a42</t>
  </si>
  <si>
    <t>a43</t>
  </si>
  <si>
    <t>a44</t>
  </si>
  <si>
    <t>a45</t>
  </si>
  <si>
    <t>a46</t>
  </si>
  <si>
    <t>a48</t>
  </si>
  <si>
    <t>a47</t>
  </si>
  <si>
    <t>a49</t>
  </si>
  <si>
    <t>a50</t>
  </si>
  <si>
    <t>a51</t>
  </si>
  <si>
    <t>a53</t>
  </si>
  <si>
    <t>a54</t>
  </si>
  <si>
    <t>a55</t>
  </si>
  <si>
    <t>a56</t>
  </si>
  <si>
    <t>a57</t>
  </si>
  <si>
    <t>a58</t>
  </si>
  <si>
    <t>a59</t>
  </si>
  <si>
    <t>a60</t>
  </si>
  <si>
    <t>a61</t>
  </si>
  <si>
    <t>a62</t>
  </si>
  <si>
    <t>a63</t>
  </si>
  <si>
    <t>a64</t>
  </si>
  <si>
    <t>a65</t>
  </si>
  <si>
    <r>
      <t xml:space="preserve">ועל אותו סולם, מה יחסך לאישים הבאים? </t>
    </r>
    <r>
      <rPr>
        <b/>
        <sz val="11"/>
        <color theme="1"/>
        <rFont val="Calibri"/>
        <family val="2"/>
        <scheme val="minor"/>
      </rPr>
      <t>אהוד אולמרט</t>
    </r>
  </si>
  <si>
    <t>a68</t>
  </si>
  <si>
    <t>a66</t>
  </si>
  <si>
    <t>a69</t>
  </si>
  <si>
    <t>a70</t>
  </si>
  <si>
    <r>
      <t xml:space="preserve">ועל אותו סולם, מה יחסך לאישים הבאים? </t>
    </r>
    <r>
      <rPr>
        <b/>
        <sz val="11"/>
        <color theme="1"/>
        <rFont val="Calibri"/>
        <family val="2"/>
        <scheme val="minor"/>
      </rPr>
      <t>שמעון פרס</t>
    </r>
  </si>
  <si>
    <t>a71</t>
  </si>
  <si>
    <t>a72</t>
  </si>
  <si>
    <r>
      <t xml:space="preserve">ועל אותו סולם, מה יחסך לאישים הבאים? </t>
    </r>
    <r>
      <rPr>
        <b/>
        <sz val="11"/>
        <color theme="1"/>
        <rFont val="Calibri"/>
        <family val="2"/>
        <scheme val="minor"/>
      </rPr>
      <t>אריאל שרון</t>
    </r>
  </si>
  <si>
    <t>a73</t>
  </si>
  <si>
    <t>a74</t>
  </si>
  <si>
    <r>
      <t xml:space="preserve">ועל אותו סולם, מה יחסך לאישים הבאים? </t>
    </r>
    <r>
      <rPr>
        <b/>
        <sz val="11"/>
        <color theme="1"/>
        <rFont val="Calibri"/>
        <family val="2"/>
        <scheme val="minor"/>
      </rPr>
      <t>יוסי ביילין</t>
    </r>
  </si>
  <si>
    <t>a75</t>
  </si>
  <si>
    <r>
      <t xml:space="preserve">ועל אותו סולם, מה יחסך לאישים הבאים? </t>
    </r>
    <r>
      <rPr>
        <b/>
        <sz val="11"/>
        <color theme="1"/>
        <rFont val="Calibri"/>
        <family val="2"/>
        <scheme val="minor"/>
      </rPr>
      <t>בני אלון</t>
    </r>
  </si>
  <si>
    <t>a76</t>
  </si>
  <si>
    <r>
      <t xml:space="preserve">ועל אותו סולם, מה יחסך לאישים הבאים? </t>
    </r>
    <r>
      <rPr>
        <b/>
        <sz val="11"/>
        <color theme="1"/>
        <rFont val="Calibri"/>
        <family val="2"/>
        <scheme val="minor"/>
      </rPr>
      <t>נתן שרנסקי</t>
    </r>
  </si>
  <si>
    <t>a77</t>
  </si>
  <si>
    <t>a78</t>
  </si>
  <si>
    <t>a79</t>
  </si>
  <si>
    <t>a80</t>
  </si>
  <si>
    <t>a81</t>
  </si>
  <si>
    <t>a82</t>
  </si>
  <si>
    <t>a83</t>
  </si>
  <si>
    <t>a84</t>
  </si>
  <si>
    <t>a85</t>
  </si>
  <si>
    <t>a86</t>
  </si>
  <si>
    <t>a87</t>
  </si>
  <si>
    <t>a88</t>
  </si>
  <si>
    <t>a89</t>
  </si>
  <si>
    <t>a90</t>
  </si>
  <si>
    <t>a91</t>
  </si>
  <si>
    <t>a92</t>
  </si>
  <si>
    <t>a93</t>
  </si>
  <si>
    <t>a94</t>
  </si>
  <si>
    <t>a95</t>
  </si>
  <si>
    <t>a96</t>
  </si>
  <si>
    <t>a97</t>
  </si>
  <si>
    <t>b6</t>
  </si>
  <si>
    <t>b7</t>
  </si>
  <si>
    <t>b11</t>
  </si>
  <si>
    <t>b13</t>
  </si>
  <si>
    <t>b15</t>
  </si>
  <si>
    <t>b17</t>
  </si>
  <si>
    <t>b19</t>
  </si>
  <si>
    <t>b21</t>
  </si>
  <si>
    <t>b23</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</si>
  <si>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</si>
  <si>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</si>
  <si>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</si>
  <si>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</si>
  <si>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</si>
  <si>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</si>
  <si>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</si>
  <si>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</si>
  <si>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</si>
  <si>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</si>
  <si>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</si>
  <si>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</si>
  <si>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</si>
  <si>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</si>
  <si>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</si>
  <si>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</si>
  <si>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</si>
  <si>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</si>
  <si>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</si>
  <si>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</si>
  <si>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</si>
  <si>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</si>
  <si>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</si>
  <si>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</si>
  <si>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</si>
  <si>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b51</t>
  </si>
  <si>
    <t>b52</t>
  </si>
  <si>
    <t>b53</t>
  </si>
  <si>
    <t>b54</t>
  </si>
  <si>
    <t>b55</t>
  </si>
  <si>
    <t>b56</t>
  </si>
  <si>
    <t>b57</t>
  </si>
  <si>
    <t>b58</t>
  </si>
  <si>
    <t>b59</t>
  </si>
  <si>
    <t>b60</t>
  </si>
  <si>
    <t>b61</t>
  </si>
  <si>
    <t>b62</t>
  </si>
  <si>
    <t>b63</t>
  </si>
  <si>
    <t>מהו העיתון העיקרי שאתה קורא?</t>
  </si>
  <si>
    <t>b64</t>
  </si>
  <si>
    <t>האם אתה נוהג לצפות בחדשות בטלוויזיה?</t>
  </si>
  <si>
    <t>b66</t>
  </si>
  <si>
    <t>באיזה ערוץ אתה צופה הכי הרבה?</t>
  </si>
  <si>
    <t>b67</t>
  </si>
  <si>
    <t>b69</t>
  </si>
  <si>
    <t>האם אתה גולש באתרים של מפלגות פוליטיות?</t>
  </si>
  <si>
    <t>b70</t>
  </si>
  <si>
    <t>b71</t>
  </si>
  <si>
    <t>לאתרים של איזה מפלגות אתה גולש?</t>
  </si>
  <si>
    <t>b72</t>
  </si>
  <si>
    <t>b73</t>
  </si>
  <si>
    <r>
      <t xml:space="preserve">לדעתך, מה הסיכוי שהמפלגה הבאה תהיה בקואליציה: </t>
    </r>
    <r>
      <rPr>
        <b/>
        <sz val="11"/>
        <color theme="1"/>
        <rFont val="Calibri"/>
        <family val="2"/>
        <scheme val="minor"/>
      </rPr>
      <t>קדימה</t>
    </r>
  </si>
  <si>
    <r>
      <t xml:space="preserve">לדעתך, מה הסיכוי שהמפלגה הבאה תהיה בקואליציה: </t>
    </r>
    <r>
      <rPr>
        <b/>
        <sz val="11"/>
        <color theme="1"/>
        <rFont val="Calibri"/>
        <family val="2"/>
        <scheme val="minor"/>
      </rPr>
      <t>העובדה</t>
    </r>
  </si>
  <si>
    <r>
      <t xml:space="preserve">לדעתך, מה הסיכוי שהמפלגה הבאה תהיה בקואליציה: </t>
    </r>
    <r>
      <rPr>
        <b/>
        <sz val="11"/>
        <color theme="1"/>
        <rFont val="Calibri"/>
        <family val="2"/>
        <scheme val="minor"/>
      </rPr>
      <t>הליכוד</t>
    </r>
  </si>
  <si>
    <r>
      <t xml:space="preserve">לדעתך, מה הסיכוי שהמפלגה הבאה תהיה בקואליציה: </t>
    </r>
    <r>
      <rPr>
        <b/>
        <sz val="11"/>
        <color theme="1"/>
        <rFont val="Calibri"/>
        <family val="2"/>
        <scheme val="minor"/>
      </rPr>
      <t>המפלגה שאתה מצביע</t>
    </r>
  </si>
  <si>
    <t>b75</t>
  </si>
  <si>
    <t>b78</t>
  </si>
  <si>
    <t>b81</t>
  </si>
  <si>
    <t>b84</t>
  </si>
  <si>
    <r>
      <t xml:space="preserve">לדעתך, כמה חברי כנסת יהיו למפלגה הבאה: </t>
    </r>
    <r>
      <rPr>
        <b/>
        <sz val="11"/>
        <color theme="1"/>
        <rFont val="Calibri"/>
        <family val="2"/>
        <scheme val="minor"/>
      </rPr>
      <t>קדימה</t>
    </r>
  </si>
  <si>
    <r>
      <t xml:space="preserve">לדעתך, כמה חברי כנסת יהיו למפלגה הבאה: </t>
    </r>
    <r>
      <rPr>
        <b/>
        <sz val="11"/>
        <color theme="1"/>
        <rFont val="Calibri"/>
        <family val="2"/>
        <scheme val="minor"/>
      </rPr>
      <t>העבודה</t>
    </r>
  </si>
  <si>
    <r>
      <t xml:space="preserve">לדעתך, כמה חברי כנסת יהיו למפלגה הבאה: </t>
    </r>
    <r>
      <rPr>
        <b/>
        <sz val="11"/>
        <color theme="1"/>
        <rFont val="Calibri"/>
        <family val="2"/>
        <scheme val="minor"/>
      </rPr>
      <t>הליכוד</t>
    </r>
  </si>
  <si>
    <r>
      <t xml:space="preserve">לדעתך, כמה חברי כנסת יהיו למפלגה הבאה: </t>
    </r>
    <r>
      <rPr>
        <b/>
        <sz val="11"/>
        <color theme="1"/>
        <rFont val="Calibri"/>
        <family val="2"/>
        <scheme val="minor"/>
      </rPr>
      <t>המפלגה שאתה מתכוון להצביע לה</t>
    </r>
  </si>
  <si>
    <t>b87</t>
  </si>
  <si>
    <t>b89</t>
  </si>
  <si>
    <t>b91</t>
  </si>
  <si>
    <t>b93</t>
  </si>
  <si>
    <r>
      <t xml:space="preserve">הסיכויים לקואליציות שונות לאחר הבחירות: </t>
    </r>
    <r>
      <rPr>
        <b/>
        <sz val="11"/>
        <color theme="1"/>
        <rFont val="Calibri"/>
        <family val="2"/>
        <scheme val="minor"/>
      </rPr>
      <t>קדימה-עבודה</t>
    </r>
  </si>
  <si>
    <r>
      <t xml:space="preserve">הסיכויים לקואליציות שונות לאחר הבחירות: </t>
    </r>
    <r>
      <rPr>
        <b/>
        <sz val="11"/>
        <color theme="1"/>
        <rFont val="Calibri"/>
        <family val="2"/>
        <scheme val="minor"/>
      </rPr>
      <t>קדימה-ליכוד</t>
    </r>
  </si>
  <si>
    <r>
      <t xml:space="preserve">הסיכויים לקואליציות שונות לאחר הבחירות: </t>
    </r>
    <r>
      <rPr>
        <b/>
        <sz val="11"/>
        <color theme="1"/>
        <rFont val="Calibri"/>
        <family val="2"/>
        <scheme val="minor"/>
      </rPr>
      <t>קדימה-ליכוד-מפלגות חרדיות</t>
    </r>
  </si>
  <si>
    <r>
      <t xml:space="preserve">הסיכויים לקואליציות שונות לאחר הבחירות: </t>
    </r>
    <r>
      <rPr>
        <b/>
        <sz val="11"/>
        <color theme="1"/>
        <rFont val="Calibri"/>
        <family val="2"/>
        <scheme val="minor"/>
      </rPr>
      <t>קדימה-עבודה-מפלגות חרדיות</t>
    </r>
  </si>
  <si>
    <r>
      <t xml:space="preserve">הסיכויים לקואליציות שונות לאחר הבחירות: </t>
    </r>
    <r>
      <rPr>
        <b/>
        <sz val="11"/>
        <color theme="1"/>
        <rFont val="Calibri"/>
        <family val="2"/>
        <scheme val="minor"/>
      </rPr>
      <t>קדימה-ליכוד-מפלגות ימין</t>
    </r>
  </si>
  <si>
    <r>
      <t xml:space="preserve">הסיכויים לקואליציות שונות לאחר הבחירות: </t>
    </r>
    <r>
      <rPr>
        <b/>
        <sz val="11"/>
        <color theme="1"/>
        <rFont val="Calibri"/>
        <family val="2"/>
        <scheme val="minor"/>
      </rPr>
      <t>קדימה-עבודה-מרצ</t>
    </r>
  </si>
  <si>
    <r>
      <t xml:space="preserve">הסיכויים לקואליציות שונות לאחר הבחירות: </t>
    </r>
    <r>
      <rPr>
        <b/>
        <sz val="11"/>
        <color theme="1"/>
        <rFont val="Calibri"/>
        <family val="2"/>
        <scheme val="minor"/>
      </rPr>
      <t>קדימה-עבודה-ליכוד-מפלגות ימין-מפלגות חרדיות (אחדות לאומית)</t>
    </r>
  </si>
  <si>
    <t>c6</t>
  </si>
  <si>
    <t>c9</t>
  </si>
  <si>
    <t>c12</t>
  </si>
  <si>
    <t>c15</t>
  </si>
  <si>
    <t>c18</t>
  </si>
  <si>
    <t>c24</t>
  </si>
  <si>
    <r>
      <t xml:space="preserve">מה מידת התמיכה שלך בכל אחת מן הקואליציות הבאות: </t>
    </r>
    <r>
      <rPr>
        <b/>
        <sz val="11"/>
        <color theme="1"/>
        <rFont val="Calibri"/>
        <family val="2"/>
        <scheme val="minor"/>
      </rPr>
      <t>קדימה-עבודה</t>
    </r>
  </si>
  <si>
    <r>
      <t xml:space="preserve">מה מידת התמיכה שלך בכל אחת מן הקואליציות הבאות: </t>
    </r>
    <r>
      <rPr>
        <b/>
        <sz val="11"/>
        <color theme="1"/>
        <rFont val="Calibri"/>
        <family val="2"/>
        <scheme val="minor"/>
      </rPr>
      <t>קדימה-ליכוד</t>
    </r>
  </si>
  <si>
    <r>
      <t xml:space="preserve">מה מידת התמיכה שלך בכל אחת מן הקואליציות הבאות: </t>
    </r>
    <r>
      <rPr>
        <b/>
        <sz val="11"/>
        <color theme="1"/>
        <rFont val="Calibri"/>
        <family val="2"/>
        <scheme val="minor"/>
      </rPr>
      <t>קדימה-ליכוד</t>
    </r>
    <r>
      <rPr>
        <sz val="11"/>
        <color theme="1"/>
        <rFont val="Calibri"/>
        <family val="2"/>
        <charset val="177"/>
        <scheme val="minor"/>
      </rPr>
      <t>-</t>
    </r>
    <r>
      <rPr>
        <b/>
        <sz val="11"/>
        <color theme="1"/>
        <rFont val="Calibri"/>
        <family val="2"/>
        <scheme val="minor"/>
      </rPr>
      <t>מפלגות חרדיות</t>
    </r>
  </si>
  <si>
    <r>
      <t xml:space="preserve">מה מידת התמיכה שלך בכל אחת מן הקואליציות הבאות: </t>
    </r>
    <r>
      <rPr>
        <b/>
        <sz val="11"/>
        <color theme="1"/>
        <rFont val="Calibri"/>
        <family val="2"/>
        <scheme val="minor"/>
      </rPr>
      <t>קדימה-עבודה</t>
    </r>
    <r>
      <rPr>
        <sz val="11"/>
        <color theme="1"/>
        <rFont val="Calibri"/>
        <family val="2"/>
        <charset val="177"/>
        <scheme val="minor"/>
      </rPr>
      <t>-</t>
    </r>
    <r>
      <rPr>
        <b/>
        <sz val="11"/>
        <color theme="1"/>
        <rFont val="Calibri"/>
        <family val="2"/>
        <scheme val="minor"/>
      </rPr>
      <t>מפלגות חרדיות</t>
    </r>
  </si>
  <si>
    <r>
      <t xml:space="preserve">מה מידת התמיכה שלך בכל אחת מן הקואליציות הבאות: </t>
    </r>
    <r>
      <rPr>
        <b/>
        <sz val="11"/>
        <color theme="1"/>
        <rFont val="Calibri"/>
        <family val="2"/>
        <scheme val="minor"/>
      </rPr>
      <t>קדימה-ליכוד</t>
    </r>
    <r>
      <rPr>
        <sz val="11"/>
        <color theme="1"/>
        <rFont val="Calibri"/>
        <family val="2"/>
        <charset val="177"/>
        <scheme val="minor"/>
      </rPr>
      <t>-</t>
    </r>
    <r>
      <rPr>
        <b/>
        <sz val="11"/>
        <color theme="1"/>
        <rFont val="Calibri"/>
        <family val="2"/>
        <scheme val="minor"/>
      </rPr>
      <t>מפלגות ימין</t>
    </r>
  </si>
  <si>
    <r>
      <t xml:space="preserve">מה מידת התמיכה שלך בכל אחת מן הקואליציות הבאות: </t>
    </r>
    <r>
      <rPr>
        <b/>
        <sz val="11"/>
        <color theme="1"/>
        <rFont val="Calibri"/>
        <family val="2"/>
        <scheme val="minor"/>
      </rPr>
      <t>קדימה-עבודה</t>
    </r>
    <r>
      <rPr>
        <sz val="11"/>
        <color theme="1"/>
        <rFont val="Calibri"/>
        <family val="2"/>
        <charset val="177"/>
        <scheme val="minor"/>
      </rPr>
      <t>-</t>
    </r>
    <r>
      <rPr>
        <b/>
        <sz val="11"/>
        <color theme="1"/>
        <rFont val="Calibri"/>
        <family val="2"/>
        <scheme val="minor"/>
      </rPr>
      <t>מרצ</t>
    </r>
  </si>
  <si>
    <r>
      <t xml:space="preserve">מה מידת התמיכה שלך בכל אחת מן הקואליציות הבאות: </t>
    </r>
    <r>
      <rPr>
        <b/>
        <sz val="11"/>
        <color theme="1"/>
        <rFont val="Calibri"/>
        <family val="2"/>
        <scheme val="minor"/>
      </rPr>
      <t>קדימה-עבודה-ליכוד-מפלגות ימין-מפלגות חרדיות (אחדות לאומית)</t>
    </r>
  </si>
  <si>
    <t>c27</t>
  </si>
  <si>
    <t>c30</t>
  </si>
  <si>
    <t>c32</t>
  </si>
  <si>
    <t>c33</t>
  </si>
  <si>
    <t>בסיכומו של דבר, מבין הקואליציות האלה, איזו קואליציה אתה מעדיף?</t>
  </si>
  <si>
    <t>c34</t>
  </si>
  <si>
    <t>c36</t>
  </si>
  <si>
    <t>c38</t>
  </si>
  <si>
    <t>עבור איזו רשימה הצבעת בבחירות הקודמות לכנסת?</t>
  </si>
  <si>
    <t>c40</t>
  </si>
  <si>
    <t>c42</t>
  </si>
  <si>
    <t>c47</t>
  </si>
  <si>
    <t>c48</t>
  </si>
  <si>
    <t>c49</t>
  </si>
  <si>
    <t>c50</t>
  </si>
  <si>
    <t>c43</t>
  </si>
  <si>
    <t>c44</t>
  </si>
  <si>
    <t>c45</t>
  </si>
  <si>
    <t>c46</t>
  </si>
  <si>
    <t>c51</t>
  </si>
  <si>
    <t>c52</t>
  </si>
  <si>
    <t>c53</t>
  </si>
  <si>
    <t>c54</t>
  </si>
  <si>
    <t>c56</t>
  </si>
  <si>
    <t>c57</t>
  </si>
  <si>
    <t>c60</t>
  </si>
  <si>
    <t>באיזו עיר בברה"מ לשעבר גרת לפני שעלית ארצה?</t>
  </si>
  <si>
    <t>c63</t>
  </si>
  <si>
    <t>מה היה הלאום שהיה רשום בפספורט הסובייטי הפנימי שלך?</t>
  </si>
  <si>
    <t>c65</t>
  </si>
  <si>
    <t>לגבי החברים שלך בארץ, היית אומר שהרוב:</t>
  </si>
  <si>
    <t>c67</t>
  </si>
  <si>
    <t>האם היית רוצה לראות מפלגה "רוסית" משתתפת בבחירות האלה?</t>
  </si>
  <si>
    <t>c68</t>
  </si>
  <si>
    <t>c69</t>
  </si>
  <si>
    <t>c72</t>
  </si>
  <si>
    <t>c75</t>
  </si>
  <si>
    <t>c77</t>
  </si>
  <si>
    <t>c78</t>
  </si>
  <si>
    <t>c80</t>
  </si>
  <si>
    <t>c81</t>
  </si>
  <si>
    <t>c82</t>
  </si>
  <si>
    <t>c84</t>
  </si>
  <si>
    <t>c86</t>
  </si>
  <si>
    <t>c87</t>
  </si>
  <si>
    <t>c88</t>
  </si>
  <si>
    <t>c89</t>
  </si>
  <si>
    <t>c90</t>
  </si>
  <si>
    <t>c94</t>
  </si>
  <si>
    <t>d5</t>
  </si>
  <si>
    <t>d6</t>
  </si>
  <si>
    <t>d8</t>
  </si>
  <si>
    <t>d10</t>
  </si>
  <si>
    <t>d11</t>
  </si>
  <si>
    <t>d13</t>
  </si>
  <si>
    <t>d14</t>
  </si>
  <si>
    <r>
      <t xml:space="preserve">בבחירות האחרונות השתתפו הרבה פחות בוחרים מבעבר. עד כמה לדעתך כל סיבה כזאת חשובה או לא חשובה לאלה שלא הלכו להצביע: </t>
    </r>
    <r>
      <rPr>
        <b/>
        <sz val="11"/>
        <color theme="1"/>
        <rFont val="Calibri"/>
        <family val="2"/>
        <scheme val="minor"/>
      </rPr>
      <t>אין הבדל בין המפלגות</t>
    </r>
  </si>
  <si>
    <t>d15</t>
  </si>
  <si>
    <t>d16</t>
  </si>
  <si>
    <t>d17</t>
  </si>
  <si>
    <t>d18</t>
  </si>
  <si>
    <t>d19</t>
  </si>
  <si>
    <t>d20</t>
  </si>
  <si>
    <t>היה ברור מראש מי ינצח</t>
  </si>
  <si>
    <t>הפוליטיקה והפוליטיקאים נמאסו על הציבור</t>
  </si>
  <si>
    <t>הם הרגישו שלא היה להם במי לבחור</t>
  </si>
  <si>
    <t>לא אכפת להם, הם אדישים</t>
  </si>
  <si>
    <t>d21</t>
  </si>
  <si>
    <t>הבחירות היו על המצב הכלכלי והפערים במדינה</t>
  </si>
  <si>
    <t>d23</t>
  </si>
  <si>
    <t>הבחירות היו על תכנית ההתנקות ועתיד ההתנחלויות</t>
  </si>
  <si>
    <t>d24</t>
  </si>
  <si>
    <t>d25</t>
  </si>
  <si>
    <t>הבחירות היו בעיקר על פרשות השחיתות</t>
  </si>
  <si>
    <t>d26</t>
  </si>
  <si>
    <t>הבחירות היו בעיקר מחאה נגד הממסד</t>
  </si>
  <si>
    <t>d27</t>
  </si>
  <si>
    <t>d28</t>
  </si>
  <si>
    <t>בסה"כ לדעתך, על מה היו הבחירות האחרונות בעיקר?</t>
  </si>
  <si>
    <t>האם לדעתך ניתן או לא ניתן לראות בבחירות שהיו, משאל עם על תוכניתו של אולמרט להתנתקות נוספת ביו"ש שאמורה לקבוע את גבולות הפלסטינים?</t>
  </si>
  <si>
    <t>d29</t>
  </si>
  <si>
    <t>d30</t>
  </si>
  <si>
    <t>id1</t>
  </si>
  <si>
    <r>
      <t xml:space="preserve">באיזו מידה אתה מסכים או לא מסכים: </t>
    </r>
    <r>
      <rPr>
        <b/>
        <sz val="11"/>
        <color theme="1"/>
        <rFont val="Calibri"/>
        <family val="2"/>
        <scheme val="minor"/>
      </rPr>
      <t>לבנות גדר הפרדה ביננו לבין הפלסטינים</t>
    </r>
  </si>
  <si>
    <r>
      <t xml:space="preserve">באיזו מידה אתה מסכים או לא מסכים: </t>
    </r>
    <r>
      <rPr>
        <b/>
        <sz val="11"/>
        <color theme="1"/>
        <rFont val="Calibri"/>
        <family val="2"/>
        <scheme val="minor"/>
      </rPr>
      <t>לנהל מו"מ עם הפלסטינים גם אם הטרור ממשיך</t>
    </r>
  </si>
  <si>
    <r>
      <t xml:space="preserve">באיזו מידה אתה מסכים או לא מסכים: </t>
    </r>
    <r>
      <rPr>
        <b/>
        <sz val="11"/>
        <color theme="1"/>
        <rFont val="Calibri"/>
        <family val="2"/>
        <scheme val="minor"/>
      </rPr>
      <t>שישראל תחליט על הגבולות רצויים לה ביו"ש ועזה, ושצה"ל יסוג באופן חד צדדי מגבולות אלו</t>
    </r>
  </si>
  <si>
    <r>
      <t xml:space="preserve">באיזו מידה אתה מסכים או לא מסכים: </t>
    </r>
    <r>
      <rPr>
        <b/>
        <sz val="11"/>
        <color theme="1"/>
        <rFont val="Calibri"/>
        <family val="2"/>
        <scheme val="minor"/>
      </rPr>
      <t>לפנות התנחלויות במסגרת הסדר קבע, פרט לגושי ההתיישבות הגדולים</t>
    </r>
  </si>
  <si>
    <r>
      <t xml:space="preserve">באיזו מידה אתה מסכים או לא מסכים: </t>
    </r>
    <r>
      <rPr>
        <b/>
        <sz val="11"/>
        <color theme="1"/>
        <rFont val="Calibri"/>
        <family val="2"/>
        <scheme val="minor"/>
      </rPr>
      <t>לטרנספר של ערביי השטחים</t>
    </r>
  </si>
  <si>
    <r>
      <t xml:space="preserve">באיזו מידה אתה מסכים או לא מסכים: </t>
    </r>
    <r>
      <rPr>
        <b/>
        <sz val="11"/>
        <color theme="1"/>
        <rFont val="Calibri"/>
        <family val="2"/>
        <scheme val="minor"/>
      </rPr>
      <t>לטרנספר של ערבים אזרחי ישראל</t>
    </r>
  </si>
  <si>
    <r>
      <t xml:space="preserve">מה יחסך לכל אחת מהמפלגות הבאות? </t>
    </r>
    <r>
      <rPr>
        <b/>
        <sz val="11"/>
        <color theme="1"/>
        <rFont val="Calibri"/>
        <family val="2"/>
        <scheme val="minor"/>
      </rPr>
      <t>הבית היהודי/מפד"ל</t>
    </r>
  </si>
  <si>
    <r>
      <t xml:space="preserve">מה יחסך לכל אחת מן המפלגות הבאות? </t>
    </r>
    <r>
      <rPr>
        <b/>
        <sz val="11"/>
        <color theme="1"/>
        <rFont val="Calibri"/>
        <family val="2"/>
        <scheme val="minor"/>
      </rPr>
      <t>שינוי</t>
    </r>
  </si>
  <si>
    <r>
      <t xml:space="preserve">מה יחסך לכל אחת מן המפלגות הבאות? </t>
    </r>
    <r>
      <rPr>
        <b/>
        <sz val="11"/>
        <color theme="1"/>
        <rFont val="Calibri"/>
        <family val="2"/>
        <scheme val="minor"/>
      </rPr>
      <t>ישראל בעליה</t>
    </r>
  </si>
  <si>
    <r>
      <t xml:space="preserve">ועל אותו סולם, מה יחסך לאישים הבאים? </t>
    </r>
    <r>
      <rPr>
        <b/>
        <sz val="11"/>
        <color theme="1"/>
        <rFont val="Calibri"/>
        <family val="2"/>
        <scheme val="minor"/>
      </rPr>
      <t>עמרם מצנע</t>
    </r>
  </si>
  <si>
    <r>
      <t xml:space="preserve">על סולם 1-10, עד כמה אתה קרוב או רחוק בנושאי שלום ובטחון מהמפלגה הבאה: </t>
    </r>
    <r>
      <rPr>
        <b/>
        <sz val="11"/>
        <color theme="1"/>
        <rFont val="Calibri"/>
        <family val="2"/>
        <scheme val="minor"/>
      </rPr>
      <t>העבודה</t>
    </r>
  </si>
  <si>
    <r>
      <t xml:space="preserve">על סולם 1-10, עד כמה אתה קרוב או רחוק בנושאי שלום ובטחון מהמפלגה הבאה: </t>
    </r>
    <r>
      <rPr>
        <b/>
        <sz val="11"/>
        <color theme="1"/>
        <rFont val="Calibri"/>
        <family val="2"/>
        <scheme val="minor"/>
      </rPr>
      <t>הליכוד</t>
    </r>
  </si>
  <si>
    <r>
      <t xml:space="preserve">על סולם 1-10, עד כמה אתה קרוב או רחוק בנושאי שלום ובטחון מהמפלגה הבאה: </t>
    </r>
    <r>
      <rPr>
        <b/>
        <sz val="11"/>
        <color theme="1"/>
        <rFont val="Calibri"/>
        <family val="2"/>
        <scheme val="minor"/>
      </rPr>
      <t>שינוי</t>
    </r>
  </si>
  <si>
    <r>
      <t xml:space="preserve">על סולם 1-10, עד כמה את קרוב או רחוק בנושאי כלכלה-חברה מהמפלגות הבאות: </t>
    </r>
    <r>
      <rPr>
        <b/>
        <sz val="11"/>
        <color theme="1"/>
        <rFont val="Calibri"/>
        <family val="2"/>
        <scheme val="minor"/>
      </rPr>
      <t>העבודה</t>
    </r>
  </si>
  <si>
    <r>
      <t xml:space="preserve">על סולם 1-10, עד כמה את קרוב או רחוק בנושאי כלכלה-חברה מהמפלגות הבאות: </t>
    </r>
    <r>
      <rPr>
        <b/>
        <sz val="11"/>
        <color theme="1"/>
        <rFont val="Calibri"/>
        <family val="2"/>
        <scheme val="minor"/>
      </rPr>
      <t>הליכוד</t>
    </r>
  </si>
  <si>
    <r>
      <t xml:space="preserve">על סולם 1-10, עד כמה את קרוב או רחוק בנושאי כלכלה-חברה מהמפלגות הבאות: </t>
    </r>
    <r>
      <rPr>
        <b/>
        <sz val="11"/>
        <color theme="1"/>
        <rFont val="Calibri"/>
        <family val="2"/>
        <scheme val="minor"/>
      </rPr>
      <t>שינוי</t>
    </r>
  </si>
  <si>
    <r>
      <t xml:space="preserve">על סולם 1-10, כד כמה אתה קרוב או רחוק בנושאי דת ומדינה מהמפלגות הבאות: </t>
    </r>
    <r>
      <rPr>
        <b/>
        <sz val="11"/>
        <color theme="1"/>
        <rFont val="Calibri"/>
        <family val="2"/>
        <scheme val="minor"/>
      </rPr>
      <t>העבודה</t>
    </r>
  </si>
  <si>
    <r>
      <t xml:space="preserve">על סולם 1-10, כד כמה אתה קרוב או רחוק בנושאי דת ומדינה מהמפלגות הבאות: </t>
    </r>
    <r>
      <rPr>
        <b/>
        <sz val="11"/>
        <color theme="1"/>
        <rFont val="Calibri"/>
        <family val="2"/>
        <scheme val="minor"/>
      </rPr>
      <t>הליכוד</t>
    </r>
  </si>
  <si>
    <r>
      <t xml:space="preserve">על סולם 1-10, כד כמה אתה קרוב או רחוק בנושאי דת ומדינה מהמפלגות הבאות: </t>
    </r>
    <r>
      <rPr>
        <b/>
        <sz val="11"/>
        <color theme="1"/>
        <rFont val="Calibri"/>
        <family val="2"/>
        <scheme val="minor"/>
      </rPr>
      <t>שינוי</t>
    </r>
  </si>
  <si>
    <t>a52</t>
  </si>
  <si>
    <t>a67</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</si>
  <si>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שתוכל להביא להפרדה בין ישראל והפלסטינים</t>
    </r>
  </si>
  <si>
    <t>b10</t>
  </si>
  <si>
    <r>
      <t xml:space="preserve">לדעתך, מה הסיכוי שהמפלגה הבאה תהיה בקואליציה: </t>
    </r>
    <r>
      <rPr>
        <b/>
        <sz val="11"/>
        <color theme="1"/>
        <rFont val="Calibri"/>
        <family val="2"/>
        <scheme val="minor"/>
      </rPr>
      <t>מרצ</t>
    </r>
  </si>
  <si>
    <r>
      <t xml:space="preserve">לדעתך, מה הסיכוי שהמפלגה הבאה תהיה בקואליציה: </t>
    </r>
    <r>
      <rPr>
        <b/>
        <sz val="11"/>
        <color theme="1"/>
        <rFont val="Calibri"/>
        <family val="2"/>
        <scheme val="minor"/>
      </rPr>
      <t>מפד"ל</t>
    </r>
  </si>
  <si>
    <r>
      <t xml:space="preserve">לדעתך, מה הסיכוי שהמפלגה הבאה תהיה בקואליציה: </t>
    </r>
    <r>
      <rPr>
        <b/>
        <sz val="11"/>
        <color theme="1"/>
        <rFont val="Calibri"/>
        <family val="2"/>
        <scheme val="minor"/>
      </rPr>
      <t>שינוי</t>
    </r>
  </si>
  <si>
    <r>
      <t xml:space="preserve">לדעתך, מה הסיכוי שהמפלגה הבאה תהיה בקואליציה: </t>
    </r>
    <r>
      <rPr>
        <b/>
        <sz val="11"/>
        <color theme="1"/>
        <rFont val="Calibri"/>
        <family val="2"/>
        <scheme val="minor"/>
      </rPr>
      <t>איחוד לאומי</t>
    </r>
  </si>
  <si>
    <r>
      <t xml:space="preserve">לדעתך, מה הסיכוי שהמפלגה הבאה תהיה בקואליציה: </t>
    </r>
    <r>
      <rPr>
        <b/>
        <sz val="11"/>
        <color theme="1"/>
        <rFont val="Calibri"/>
        <family val="2"/>
        <scheme val="minor"/>
      </rPr>
      <t>ש"ס</t>
    </r>
  </si>
  <si>
    <r>
      <t xml:space="preserve">לדעתך, מה הסיכוי שהמפלגה הבאה תהיה בקואליציה: </t>
    </r>
    <r>
      <rPr>
        <b/>
        <sz val="11"/>
        <color theme="1"/>
        <rFont val="Calibri"/>
        <family val="2"/>
        <scheme val="minor"/>
      </rPr>
      <t>ישראל בעליה</t>
    </r>
  </si>
  <si>
    <t>b16</t>
  </si>
  <si>
    <t>b22</t>
  </si>
  <si>
    <r>
      <t xml:space="preserve">לדעתך, כמה חברי כנסת יהיו למפלגה הבאה: </t>
    </r>
    <r>
      <rPr>
        <b/>
        <sz val="11"/>
        <color theme="1"/>
        <rFont val="Calibri"/>
        <family val="2"/>
        <scheme val="minor"/>
      </rPr>
      <t>מרצ</t>
    </r>
  </si>
  <si>
    <r>
      <t xml:space="preserve">לדעתך, כמה חברי כנסת יהיו למפלגה הבאה: </t>
    </r>
    <r>
      <rPr>
        <b/>
        <sz val="11"/>
        <color theme="1"/>
        <rFont val="Calibri"/>
        <family val="2"/>
        <scheme val="minor"/>
      </rPr>
      <t>מפד"ל</t>
    </r>
  </si>
  <si>
    <r>
      <t xml:space="preserve">לדעתך, כמה חברי כנסת יהיו למפלגה הבאה: </t>
    </r>
    <r>
      <rPr>
        <b/>
        <sz val="11"/>
        <color theme="1"/>
        <rFont val="Calibri"/>
        <family val="2"/>
        <scheme val="minor"/>
      </rPr>
      <t>שינוי</t>
    </r>
  </si>
  <si>
    <r>
      <t xml:space="preserve">לדעתך, כמה חברי כנסת יהיו למפלגה הבאה: </t>
    </r>
    <r>
      <rPr>
        <b/>
        <sz val="11"/>
        <color theme="1"/>
        <rFont val="Calibri"/>
        <family val="2"/>
        <scheme val="minor"/>
      </rPr>
      <t>איחוד לאומי</t>
    </r>
  </si>
  <si>
    <r>
      <t xml:space="preserve">לדעתך, כמה חברי כנסת יהיו למפלגה הבאה: </t>
    </r>
    <r>
      <rPr>
        <b/>
        <sz val="11"/>
        <color theme="1"/>
        <rFont val="Calibri"/>
        <family val="2"/>
        <scheme val="minor"/>
      </rPr>
      <t>ש"ס</t>
    </r>
  </si>
  <si>
    <r>
      <t xml:space="preserve">לדעתך, כמה חברי כנסת יהיו למפלגה הבאה: </t>
    </r>
    <r>
      <rPr>
        <b/>
        <sz val="11"/>
        <color theme="1"/>
        <rFont val="Calibri"/>
        <family val="2"/>
        <scheme val="minor"/>
      </rPr>
      <t>ישראל בעליה</t>
    </r>
  </si>
  <si>
    <r>
      <t xml:space="preserve">הסיכויים לקואליציות שונות לאחר הבחירות: </t>
    </r>
    <r>
      <rPr>
        <b/>
        <sz val="11"/>
        <color theme="1"/>
        <rFont val="Calibri"/>
        <family val="2"/>
        <scheme val="minor"/>
      </rPr>
      <t>ליכוד-ימין-דתיים</t>
    </r>
  </si>
  <si>
    <r>
      <t xml:space="preserve">הסיכויים לקואליציות שונות לאחר הבחירות: </t>
    </r>
    <r>
      <rPr>
        <b/>
        <sz val="11"/>
        <color theme="1"/>
        <rFont val="Calibri"/>
        <family val="2"/>
        <scheme val="minor"/>
      </rPr>
      <t>ליכוד-עבודה-שינוי (בלי חרדים)</t>
    </r>
  </si>
  <si>
    <r>
      <t xml:space="preserve">הסיכויים לקואליציות שונות לאחר הבחירות: </t>
    </r>
    <r>
      <rPr>
        <b/>
        <sz val="11"/>
        <color theme="1"/>
        <rFont val="Calibri"/>
        <family val="2"/>
        <scheme val="minor"/>
      </rPr>
      <t>עבודה-מרצ-ערבים</t>
    </r>
  </si>
  <si>
    <t>b50</t>
  </si>
  <si>
    <r>
      <t xml:space="preserve">מה מידת התמיכה שלך בכל אחת מן הקואליציות הבאות: </t>
    </r>
    <r>
      <rPr>
        <b/>
        <sz val="11"/>
        <color theme="1"/>
        <rFont val="Calibri"/>
        <family val="2"/>
        <scheme val="minor"/>
      </rPr>
      <t>ליכוד-ימין-דתיים</t>
    </r>
  </si>
  <si>
    <r>
      <t xml:space="preserve">מה מידת התמיכה שלך בכל אחת מן הקואליציות הבאות: </t>
    </r>
    <r>
      <rPr>
        <b/>
        <sz val="11"/>
        <color theme="1"/>
        <rFont val="Calibri"/>
        <family val="2"/>
        <scheme val="minor"/>
      </rPr>
      <t>ליכוד-עבודה-שינוי</t>
    </r>
  </si>
  <si>
    <r>
      <t xml:space="preserve">מה מידת התמיכה שלך בכל אחת מן הקואליציות הבאות: </t>
    </r>
    <r>
      <rPr>
        <b/>
        <sz val="11"/>
        <color theme="1"/>
        <rFont val="Calibri"/>
        <family val="2"/>
        <scheme val="minor"/>
      </rPr>
      <t>עבודה-מרצ-ערבים</t>
    </r>
  </si>
  <si>
    <t>b65</t>
  </si>
  <si>
    <t>עבור מי הצבעת לראשות הממשלה ב-1999?</t>
  </si>
  <si>
    <t>b68</t>
  </si>
  <si>
    <t>b74</t>
  </si>
  <si>
    <t>b76</t>
  </si>
  <si>
    <t>b77</t>
  </si>
  <si>
    <t>b79</t>
  </si>
  <si>
    <t>b82</t>
  </si>
  <si>
    <t>b85</t>
  </si>
  <si>
    <t>b86</t>
  </si>
  <si>
    <t>b88</t>
  </si>
  <si>
    <t>b90</t>
  </si>
  <si>
    <t>b99</t>
  </si>
  <si>
    <t>a1</t>
  </si>
  <si>
    <t>האם לדעתך מצב הבטחון האישי של תושבי ישראל הוא היום טוב יותר או רע יותר מאשר לפני שהתחיל תהליך השלום?</t>
  </si>
  <si>
    <r>
      <t xml:space="preserve">באיזוד מידה אתה תומך או מתנגד לוויתורים הישראלים הבאים, במסגרת הסכם השלום עם הפלסטינים שהציע הנשיא קלינטון: </t>
    </r>
    <r>
      <rPr>
        <b/>
        <sz val="11"/>
        <color theme="1"/>
        <rFont val="Calibri"/>
        <family val="2"/>
        <scheme val="minor"/>
      </rPr>
      <t>תקום מדינה פלסטינית על 95% מהגדה והרצועה, וישראל תשמור על גושי ההתנחלויות</t>
    </r>
  </si>
  <si>
    <t>ישראל תעביר לפלסטינים את השכונות הערביות בירושלים</t>
  </si>
  <si>
    <t>הר הבית יימסר לשליטה פלסטינית והכותל ישאר בידי ישראל</t>
  </si>
  <si>
    <t>מספר מוגבל של פליטים פלסטינים יוכלו לחזור לישראל</t>
  </si>
  <si>
    <t>ישראל תוותר על השליטה בבקעת הירדן תומך מספר שנים</t>
  </si>
  <si>
    <t>בסופו של דבר, האם אתה תומך או מתנגד להסכם עם הפלסטינים שיכלול הקמת מדינה פלסטינית על 95% מהשטחים, כאשר גושי ההתנחלויות נשארים בידי ישראל; העברת שכונות ערביות בירושלים לפלסטינים,ויתור על הריבונות בהר הבית, לא כולל הכותל, חזרה של מספר מוגבל של פליטים פלסטינים לישראל, והכרזה על סיום התביעות בין הצדדים?</t>
  </si>
  <si>
    <t>איזו דעה תתחזק בקרב הציבור לדעתך? האם בשבועות הקרובים יגדל מספר האנשים המוכנים לתמוך בהסכם, או שיגדל מספר האנשים שאינם מוכנים לתמוך בהסכם?</t>
  </si>
  <si>
    <r>
      <t xml:space="preserve">בתקופה האחרונה נשמעות בתקשרות סיבות שונות מדוע צריך לתמוך או לא לתמוך בהסדר שהציע קלינטון. אשאל קודם על הסיבות לתמוך בהסדר, עד כמה כל אחת מהסיבות הבאות מדוע יש לתמוך בהסדר נשמעת לך משכנעת: </t>
    </r>
    <r>
      <rPr>
        <b/>
        <sz val="11"/>
        <color theme="1"/>
        <rFont val="Calibri"/>
        <family val="2"/>
        <scheme val="minor"/>
      </rPr>
      <t>אם לא נגיע כעת להסכם שלום עם הפלסטינים תפרוץ מלחמה</t>
    </r>
  </si>
  <si>
    <t>הסכם שלום יתן יותר בטחון מאשר החזקת השטחים</t>
  </si>
  <si>
    <t>שלום יחזק את מעמדה הבינ"ל של ישראל</t>
  </si>
  <si>
    <t>שלום יחזק את ישראל מבחינה כלכלית</t>
  </si>
  <si>
    <t>ההסכם יביא לסיום הסכסוך והתביעות של הפלסטינים והעולם הערבי מאיתנו</t>
  </si>
  <si>
    <r>
      <t xml:space="preserve">ועד כמה כל אחת מהסיבות הבאות מדוע אסור לתמוך בהסדר נשמעת לך משכנעת: </t>
    </r>
    <r>
      <rPr>
        <b/>
        <sz val="11"/>
        <color theme="1"/>
        <rFont val="Calibri"/>
        <family val="2"/>
        <scheme val="minor"/>
      </rPr>
      <t>השטחים הם נכס בטחוני שאסור לוותר עליו בשום מצב</t>
    </r>
  </si>
  <si>
    <t>ערבים לא מקיימים הסכמים</t>
  </si>
  <si>
    <t>אסור לעקור את המתנחלים מביתם אחרי שהמדינה שלחה אותם לשם</t>
  </si>
  <si>
    <t>אפשר להשיג הסכם טוב יותר</t>
  </si>
  <si>
    <t>ירושלים והר הבית קדושים לעם היהודי ואין לוותר עליה</t>
  </si>
  <si>
    <t>ומבין כל הסיבות הללו, איזו נשמעת לך הכי משכנעת?</t>
  </si>
  <si>
    <r>
      <t xml:space="preserve">ועל אותו סולם, מה יחסך לאישים הבאים? </t>
    </r>
    <r>
      <rPr>
        <b/>
        <sz val="11"/>
        <color theme="1"/>
        <rFont val="Calibri"/>
        <family val="2"/>
        <scheme val="minor"/>
      </rPr>
      <t>ערפאת</t>
    </r>
  </si>
  <si>
    <t>האם אתה חושב שבהחלטות גורליות למדינה כמו החזרת שטחים צריכים להשתתף רק יהודים או גם ערבים אזרחי ישראל?</t>
  </si>
  <si>
    <r>
      <t xml:space="preserve">האם </t>
    </r>
    <r>
      <rPr>
        <b/>
        <sz val="11"/>
        <color theme="1"/>
        <rFont val="Calibri"/>
        <family val="2"/>
        <scheme val="minor"/>
      </rPr>
      <t>שרון</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</si>
  <si>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שרון</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</si>
  <si>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שרון</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</si>
  <si>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שרון</t>
    </r>
    <r>
      <rPr>
        <sz val="11"/>
        <color theme="1"/>
        <rFont val="Calibri"/>
        <family val="2"/>
        <charset val="177"/>
        <scheme val="minor"/>
      </rPr>
      <t xml:space="preserve"> גורם לך להרגיש </t>
    </r>
    <r>
      <rPr>
        <b/>
        <sz val="11"/>
        <color theme="1"/>
        <rFont val="Calibri"/>
        <family val="2"/>
        <scheme val="minor"/>
      </rPr>
      <t>תקווה</t>
    </r>
  </si>
  <si>
    <r>
      <t xml:space="preserve">האם </t>
    </r>
    <r>
      <rPr>
        <b/>
        <sz val="11"/>
        <color theme="1"/>
        <rFont val="Calibri"/>
        <family val="2"/>
        <scheme val="minor"/>
      </rPr>
      <t>ברק</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</si>
  <si>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ברק</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</si>
  <si>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ברק</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</si>
  <si>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ברק</t>
    </r>
    <r>
      <rPr>
        <sz val="11"/>
        <color theme="1"/>
        <rFont val="Calibri"/>
        <family val="2"/>
        <charset val="177"/>
        <scheme val="minor"/>
      </rPr>
      <t xml:space="preserve"> גורם לך להרגיש </t>
    </r>
    <r>
      <rPr>
        <b/>
        <sz val="11"/>
        <color theme="1"/>
        <rFont val="Calibri"/>
        <family val="2"/>
        <scheme val="minor"/>
      </rPr>
      <t>תקווה</t>
    </r>
  </si>
  <si>
    <r>
      <t xml:space="preserve">האם </t>
    </r>
    <r>
      <rPr>
        <b/>
        <sz val="11"/>
        <color theme="1"/>
        <rFont val="Calibri"/>
        <family val="2"/>
        <scheme val="minor"/>
      </rPr>
      <t>פרס</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</si>
  <si>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פרס</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</si>
  <si>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פרס</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</si>
  <si>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פרס</t>
    </r>
    <r>
      <rPr>
        <sz val="11"/>
        <color theme="1"/>
        <rFont val="Calibri"/>
        <family val="2"/>
        <charset val="177"/>
        <scheme val="minor"/>
      </rPr>
      <t xml:space="preserve"> גורם לך להרגיש </t>
    </r>
    <r>
      <rPr>
        <b/>
        <sz val="11"/>
        <color theme="1"/>
        <rFont val="Calibri"/>
        <family val="2"/>
        <scheme val="minor"/>
      </rPr>
      <t>תקווה</t>
    </r>
  </si>
  <si>
    <t>יש אנשים שאומרים שלא חושב עבור מי מצביעים כי זה לא משנה את המצב. מה דעתך?</t>
  </si>
  <si>
    <r>
      <t xml:space="preserve">האם </t>
    </r>
    <r>
      <rPr>
        <b/>
        <sz val="11"/>
        <color theme="1"/>
        <rFont val="Calibri"/>
        <family val="2"/>
        <scheme val="minor"/>
      </rPr>
      <t>"יעמוד במצבי לחץ"</t>
    </r>
    <r>
      <rPr>
        <sz val="11"/>
        <color theme="1"/>
        <rFont val="Calibri"/>
        <family val="2"/>
        <charset val="177"/>
        <scheme val="minor"/>
      </rPr>
      <t xml:space="preserve"> מתאים יותר ל:</t>
    </r>
  </si>
  <si>
    <t>אילו היה עוצר אותך ברחוב עיתנואי של הטלוויזיה עם מצלמה ומיקרופון כדי לראיין אותך לכתבה על ההסכם בין ישראל לפלסטינים - כתבה שתשודר בחדשות הערב בטלוויזיה, האם היית מוכן לפרט לו את דעותיך בנושא זה או לא?</t>
  </si>
  <si>
    <t>b8</t>
  </si>
  <si>
    <t>b83</t>
  </si>
  <si>
    <t>האם אתה עוקב אחרי הסקרים המתפרסמים לגבי הבחירות?</t>
  </si>
  <si>
    <t>b9</t>
  </si>
  <si>
    <t>באיזו מידה אתה מאמין לסקרים אלו?</t>
  </si>
  <si>
    <t>האם לדעתך הבחירה הישירה לראש הממשלה מביאה לשיטת ממשל טובה יותר או גרועה יותר למדינה?</t>
  </si>
  <si>
    <t>b12</t>
  </si>
  <si>
    <t>באיזו מידה אתה תומך או מתנגד לצירוף של שרים מטעם מפלגות ערביות לממשלה?</t>
  </si>
  <si>
    <t>b14</t>
  </si>
  <si>
    <t>חוק בחירה ישירה - לו הבחירות לראשות הממשלה היו נערכות היום, עבור מי היית מצביע?</t>
  </si>
  <si>
    <t>מי לדעתך ינצח?</t>
  </si>
  <si>
    <t>אם ברק לא יתמודד לראשות הממשלה, והמתמודדים יהיו שרון ופרס, במי היית בוחר?</t>
  </si>
  <si>
    <t>b20</t>
  </si>
  <si>
    <t>עבור מי הצבעת לראשות הממשלה בבחירות הקודמות?</t>
  </si>
  <si>
    <t>b24</t>
  </si>
  <si>
    <t>האם נולדת באחת מארצות ברה"מ ועלית ארצה אחרי 1988?</t>
  </si>
  <si>
    <t>האם במהלך שירות סדיר או מילואים שירתת בשטחים?</t>
  </si>
  <si>
    <t>שפה</t>
  </si>
  <si>
    <t>v1</t>
  </si>
  <si>
    <t>v3</t>
  </si>
  <si>
    <t>v4</t>
  </si>
  <si>
    <t>מי מהמועמדים לראשות הממשלה יוכל לטפל טוב יותר בבעיה?</t>
  </si>
  <si>
    <t>האם לדעתך הסכנה של עימות עם העולם הערבי גדלה או קטנה לעומת התקופה לפני תהליך השלום?</t>
  </si>
  <si>
    <t>מאז שהממשלה בראשותו של בנימין נתניהו בשלטון, האם הסכנה של עימות עם העולם הערבי גדלה או קטנה בהשוואה לתקופת הממשלות של רבין ופרס אחרי חתימת הסכמי אוסלו?</t>
  </si>
  <si>
    <r>
      <t xml:space="preserve">באיזו מידה אתה מסכים או לא מסכים עם המשפטים הבאים: </t>
    </r>
    <r>
      <rPr>
        <b/>
        <sz val="11"/>
        <color theme="1"/>
        <rFont val="Calibri"/>
        <family val="2"/>
        <scheme val="minor"/>
      </rPr>
      <t>יש להפריד את הדת מהמדינה</t>
    </r>
  </si>
  <si>
    <t>האם אתה תומך או מתנגד בהסכמי אוסלו?</t>
  </si>
  <si>
    <t>מאז שהממשלה בראשותו של בנימין נתניהו בשלטון, האם לדעתך מצב הבטחון האישי של תושבי ישראל הוא טוב יותר או רע יותר מאשר בתקופת הממשלות של רבין ופרס אחרי חתימת הסכמי אוסלו?</t>
  </si>
  <si>
    <t>מבלי להתחשב בדעתך האישית, האם להערכתך במשך 10 השנים הבאות תקום או לא תקום מדינה פלסטינית ביו"ש?</t>
  </si>
  <si>
    <r>
      <t xml:space="preserve">מה מידת האמון שיש לך ב: </t>
    </r>
    <r>
      <rPr>
        <b/>
        <sz val="11"/>
        <color theme="1"/>
        <rFont val="Calibri"/>
        <family val="2"/>
        <scheme val="minor"/>
      </rPr>
      <t>המפלגות</t>
    </r>
  </si>
  <si>
    <r>
      <t xml:space="preserve">מה מידת האמון שיש לך ב: </t>
    </r>
    <r>
      <rPr>
        <b/>
        <sz val="11"/>
        <color theme="1"/>
        <rFont val="Calibri"/>
        <family val="2"/>
        <scheme val="minor"/>
      </rPr>
      <t>ראש הממשלה</t>
    </r>
  </si>
  <si>
    <r>
      <t xml:space="preserve">מה מידת האמון שיש לך ב: </t>
    </r>
    <r>
      <rPr>
        <b/>
        <sz val="11"/>
        <color theme="1"/>
        <rFont val="Calibri"/>
        <family val="2"/>
        <scheme val="minor"/>
      </rPr>
      <t>התקשורת</t>
    </r>
  </si>
  <si>
    <r>
      <t xml:space="preserve">מה מידת האמון שיש לך ב: </t>
    </r>
    <r>
      <rPr>
        <b/>
        <sz val="11"/>
        <color theme="1"/>
        <rFont val="Calibri"/>
        <family val="2"/>
        <scheme val="minor"/>
      </rPr>
      <t>פרקליטות המדינה</t>
    </r>
  </si>
  <si>
    <r>
      <t xml:space="preserve">מה מידת האמון שיש לך ב: </t>
    </r>
    <r>
      <rPr>
        <b/>
        <sz val="11"/>
        <color theme="1"/>
        <rFont val="Calibri"/>
        <family val="2"/>
        <scheme val="minor"/>
      </rPr>
      <t>המשטרה</t>
    </r>
  </si>
  <si>
    <t>מה לגבי אופי הדיון הציבורי בימים אלה? באיזו מידה אתה מרוצה או לא מרוצה ממנו</t>
  </si>
  <si>
    <t>ומה הרביעי בחשיבותו?</t>
  </si>
  <si>
    <r>
      <t xml:space="preserve">מה יחסך לכל אחת מן המפלגות הבאות? </t>
    </r>
    <r>
      <rPr>
        <b/>
        <sz val="11"/>
        <color theme="1"/>
        <rFont val="Calibri"/>
        <family val="2"/>
        <scheme val="minor"/>
      </rPr>
      <t>מפלגת המרכז</t>
    </r>
  </si>
  <si>
    <r>
      <t xml:space="preserve">ועל אותו סולם, מה יחסך לאישים הבאים? </t>
    </r>
    <r>
      <rPr>
        <b/>
        <sz val="11"/>
        <color theme="1"/>
        <rFont val="Calibri"/>
        <family val="2"/>
        <scheme val="minor"/>
      </rPr>
      <t>בני בגין</t>
    </r>
  </si>
  <si>
    <r>
      <t xml:space="preserve">ועל אותו סולם, מה יחסך לאישים הבאים? </t>
    </r>
    <r>
      <rPr>
        <b/>
        <sz val="11"/>
        <color theme="1"/>
        <rFont val="Calibri"/>
        <family val="2"/>
        <scheme val="minor"/>
      </rPr>
      <t>איציק מרדכי</t>
    </r>
  </si>
  <si>
    <r>
      <t xml:space="preserve">ועל אותו סולם, מה יחסך לאישים הבאים? </t>
    </r>
    <r>
      <rPr>
        <b/>
        <sz val="11"/>
        <color theme="1"/>
        <rFont val="Calibri"/>
        <family val="2"/>
        <scheme val="minor"/>
      </rPr>
      <t>עזמי בשארה</t>
    </r>
  </si>
  <si>
    <r>
      <t xml:space="preserve">מה יחסך לכל אחת מן המפלגות הבאות? </t>
    </r>
    <r>
      <rPr>
        <b/>
        <sz val="11"/>
        <color theme="1"/>
        <rFont val="Calibri"/>
        <family val="2"/>
        <scheme val="minor"/>
      </rPr>
      <t>ישראל אחת</t>
    </r>
  </si>
  <si>
    <r>
      <t>מה יחסך ל</t>
    </r>
    <r>
      <rPr>
        <b/>
        <sz val="11"/>
        <color theme="1"/>
        <rFont val="Calibri"/>
        <family val="2"/>
        <scheme val="minor"/>
      </rPr>
      <t>חרדים</t>
    </r>
    <r>
      <rPr>
        <sz val="11"/>
        <color theme="1"/>
        <rFont val="Calibri"/>
        <family val="2"/>
        <charset val="177"/>
        <scheme val="minor"/>
      </rPr>
      <t>?</t>
    </r>
  </si>
  <si>
    <r>
      <t>מה יחסך ל</t>
    </r>
    <r>
      <rPr>
        <b/>
        <sz val="11"/>
        <color theme="1"/>
        <rFont val="Calibri"/>
        <family val="2"/>
        <scheme val="minor"/>
      </rPr>
      <t>דתיים</t>
    </r>
    <r>
      <rPr>
        <sz val="11"/>
        <color theme="1"/>
        <rFont val="Calibri"/>
        <family val="2"/>
        <charset val="177"/>
        <scheme val="minor"/>
      </rPr>
      <t>?</t>
    </r>
  </si>
  <si>
    <r>
      <t>מה יחסך ל</t>
    </r>
    <r>
      <rPr>
        <b/>
        <sz val="11"/>
        <color theme="1"/>
        <rFont val="Calibri"/>
        <family val="2"/>
        <scheme val="minor"/>
      </rPr>
      <t>ערבים</t>
    </r>
    <r>
      <rPr>
        <sz val="11"/>
        <color theme="1"/>
        <rFont val="Calibri"/>
        <family val="2"/>
        <charset val="177"/>
        <scheme val="minor"/>
      </rPr>
      <t>?</t>
    </r>
  </si>
  <si>
    <t>יש גורמים שונים בגללם אנשים מצביעים למועמד מסויים לראשות הממשלה ולא לאחר. מבין הגורמים הבאים, מהו הגורם העיקרי המשפיע עליך להצביע למועמד שלך?</t>
  </si>
  <si>
    <t>אם סמוך לבחירות יתברר לך כי המועמד למועדף עליך לראשות הממשלה אין סיכוי לנצח, האם תשנה את הצבעתך?</t>
  </si>
  <si>
    <t>מי לדעתך יעלה לסיבוב השני?</t>
  </si>
  <si>
    <r>
      <t xml:space="preserve">על סולם 1-10, עד כמה אתה קרוב או רחוק בנושאי שלום ובטחון מ: </t>
    </r>
    <r>
      <rPr>
        <b/>
        <sz val="11"/>
        <color theme="1"/>
        <rFont val="Calibri"/>
        <family val="2"/>
        <scheme val="minor"/>
      </rPr>
      <t>בנימין נתניהו</t>
    </r>
  </si>
  <si>
    <r>
      <t xml:space="preserve">על סולם 1-10, עד כמה אתה קרוב או רחוק בנושאי שלום ובטחון מ: </t>
    </r>
    <r>
      <rPr>
        <b/>
        <sz val="11"/>
        <color theme="1"/>
        <rFont val="Calibri"/>
        <family val="2"/>
        <scheme val="minor"/>
      </rPr>
      <t>אהוד ברק</t>
    </r>
  </si>
  <si>
    <r>
      <t xml:space="preserve">על סולם 1-10, עד כמה אתה קרוב או רחוק בנושאי שלום ובטחון מ: </t>
    </r>
    <r>
      <rPr>
        <b/>
        <sz val="11"/>
        <color theme="1"/>
        <rFont val="Calibri"/>
        <family val="2"/>
        <scheme val="minor"/>
      </rPr>
      <t>איציק מרדכי</t>
    </r>
  </si>
  <si>
    <r>
      <t xml:space="preserve">על סולם 1-10, עד כמה אתה קרוב או רחוק בנושאי שלום ובטחון מ: </t>
    </r>
    <r>
      <rPr>
        <b/>
        <sz val="11"/>
        <color theme="1"/>
        <rFont val="Calibri"/>
        <family val="2"/>
        <scheme val="minor"/>
      </rPr>
      <t>בני בגין</t>
    </r>
  </si>
  <si>
    <r>
      <t xml:space="preserve">על סולם 1-10, עד כמה אתה קרוב או רחוק בנושאי שלום ובטחון מ: </t>
    </r>
    <r>
      <rPr>
        <b/>
        <sz val="11"/>
        <color theme="1"/>
        <rFont val="Calibri"/>
        <family val="2"/>
        <scheme val="minor"/>
      </rPr>
      <t>עזמי בשארה</t>
    </r>
  </si>
  <si>
    <r>
      <t xml:space="preserve">על סולם 1-10, עד כמה אתה קרוב או רחוק בנושאי כלכלה-חברה מ: </t>
    </r>
    <r>
      <rPr>
        <b/>
        <sz val="11"/>
        <color theme="1"/>
        <rFont val="Calibri"/>
        <family val="2"/>
        <scheme val="minor"/>
      </rPr>
      <t>בנימין נתניהו</t>
    </r>
  </si>
  <si>
    <r>
      <t xml:space="preserve">על סולם 1-10, עד כמה אתה קרוב או רחוק בנושאי כלכלה-חברה מ: </t>
    </r>
    <r>
      <rPr>
        <b/>
        <sz val="11"/>
        <color theme="1"/>
        <rFont val="Calibri"/>
        <family val="2"/>
        <scheme val="minor"/>
      </rPr>
      <t>אהוד ברק</t>
    </r>
  </si>
  <si>
    <r>
      <t xml:space="preserve">על סולם 1-10, עד כמה אתה קרוב או רחוק בנושאי כלכלה-חברה מ: </t>
    </r>
    <r>
      <rPr>
        <b/>
        <sz val="11"/>
        <color theme="1"/>
        <rFont val="Calibri"/>
        <family val="2"/>
        <scheme val="minor"/>
      </rPr>
      <t>איציק מרדכי</t>
    </r>
  </si>
  <si>
    <r>
      <t xml:space="preserve">על סולם 1-10, עד כמה אתה קרוב או רחוק בנושאי כלכלה-חברה מ: </t>
    </r>
    <r>
      <rPr>
        <b/>
        <sz val="11"/>
        <color theme="1"/>
        <rFont val="Calibri"/>
        <family val="2"/>
        <scheme val="minor"/>
      </rPr>
      <t>בני בגין</t>
    </r>
  </si>
  <si>
    <r>
      <t xml:space="preserve">על סולם 1-10, עד כמה אתה קרוב או רחוק בנושאי כלכלה-חברה מ: </t>
    </r>
    <r>
      <rPr>
        <b/>
        <sz val="11"/>
        <color theme="1"/>
        <rFont val="Calibri"/>
        <family val="2"/>
        <scheme val="minor"/>
      </rPr>
      <t>עזמי בשארה</t>
    </r>
  </si>
  <si>
    <t>i3</t>
  </si>
  <si>
    <t>i4</t>
  </si>
  <si>
    <t>i5</t>
  </si>
  <si>
    <t>i6</t>
  </si>
  <si>
    <r>
      <t xml:space="preserve">האם </t>
    </r>
    <r>
      <rPr>
        <b/>
        <sz val="11"/>
        <color theme="1"/>
        <rFont val="Calibri"/>
        <family val="2"/>
        <scheme val="minor"/>
      </rPr>
      <t>נתניהו</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</si>
  <si>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נתניהו</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</si>
  <si>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נתניהו</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</si>
  <si>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נתניהו</t>
    </r>
    <r>
      <rPr>
        <sz val="11"/>
        <color theme="1"/>
        <rFont val="Calibri"/>
        <family val="2"/>
        <charset val="177"/>
        <scheme val="minor"/>
      </rPr>
      <t xml:space="preserve"> גורם לך להרגיש </t>
    </r>
    <r>
      <rPr>
        <b/>
        <sz val="11"/>
        <color theme="1"/>
        <rFont val="Calibri"/>
        <family val="2"/>
        <scheme val="minor"/>
      </rPr>
      <t>תקווה</t>
    </r>
  </si>
  <si>
    <r>
      <t xml:space="preserve">האם </t>
    </r>
    <r>
      <rPr>
        <b/>
        <sz val="11"/>
        <color theme="1"/>
        <rFont val="Calibri"/>
        <family val="2"/>
        <scheme val="minor"/>
      </rPr>
      <t>מרדכי</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</si>
  <si>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מרדכי</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</si>
  <si>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מרדכי</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</si>
  <si>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מרדכי</t>
    </r>
    <r>
      <rPr>
        <sz val="11"/>
        <color theme="1"/>
        <rFont val="Calibri"/>
        <family val="2"/>
        <charset val="177"/>
        <scheme val="minor"/>
      </rPr>
      <t xml:space="preserve"> גורם לך להרגיש </t>
    </r>
    <r>
      <rPr>
        <b/>
        <sz val="11"/>
        <color theme="1"/>
        <rFont val="Calibri"/>
        <family val="2"/>
        <scheme val="minor"/>
      </rPr>
      <t>תקווה</t>
    </r>
  </si>
  <si>
    <t>i7</t>
  </si>
  <si>
    <t>i8</t>
  </si>
  <si>
    <t>i9</t>
  </si>
  <si>
    <t>i10</t>
  </si>
  <si>
    <t>i11</t>
  </si>
  <si>
    <t>i12</t>
  </si>
  <si>
    <t>i13</t>
  </si>
  <si>
    <t>i14</t>
  </si>
  <si>
    <t>i15</t>
  </si>
  <si>
    <t>i16</t>
  </si>
  <si>
    <t>i17</t>
  </si>
  <si>
    <t>i18</t>
  </si>
  <si>
    <t>i19</t>
  </si>
  <si>
    <t>i20</t>
  </si>
  <si>
    <t>דירגת את עצמך יותר לכיוון מחנה השמאל/ימין. האם אתה יכול לראות את עצמך בתנאים מסוימים עובר למחנה האחר?</t>
  </si>
  <si>
    <t>האם אתה יכול לראות את עצמך בתנאים מסוימים עובר למחנה השמאל או למחנה הימין?</t>
  </si>
  <si>
    <t>i21</t>
  </si>
  <si>
    <t>האם אתה חושב שאנשים כמוך יכולים באמת להתקבל ולהרגיש בבית במחנה השני?</t>
  </si>
  <si>
    <t>i22</t>
  </si>
  <si>
    <r>
      <t xml:space="preserve">באיזו מידה ישפיע או לא ישפיע כל אחד מהנושאים הבאים על ההצבעה שלך לכנסת? </t>
    </r>
    <r>
      <rPr>
        <b/>
        <sz val="11"/>
        <color theme="1"/>
        <rFont val="Calibri"/>
        <family val="2"/>
        <scheme val="minor"/>
      </rPr>
      <t>מדיניות כלכלית-חברתית</t>
    </r>
  </si>
  <si>
    <r>
      <t xml:space="preserve">באיזו מידה ישפיע או לא ישפיע כל אחד מהנושאים הבאים על ההצבעה שלך לכנסת? </t>
    </r>
    <r>
      <rPr>
        <b/>
        <sz val="11"/>
        <color theme="1"/>
        <rFont val="Calibri"/>
        <family val="2"/>
        <scheme val="minor"/>
      </rPr>
      <t>כלכלה</t>
    </r>
  </si>
  <si>
    <r>
      <t xml:space="preserve">באיזו מידה ישפיע או לא ישפיע כל אחד מהנושאים הבאים על ההצבעה שלך לכנסת? </t>
    </r>
    <r>
      <rPr>
        <b/>
        <sz val="11"/>
        <color theme="1"/>
        <rFont val="Calibri"/>
        <family val="2"/>
        <scheme val="minor"/>
      </rPr>
      <t>מדיניות חברתית</t>
    </r>
  </si>
  <si>
    <r>
      <t xml:space="preserve">באיזו מידה ישפיע או לא ישפיע כל אחד מהנושאים הבאים על ההצבעה שלך לכנסת? </t>
    </r>
    <r>
      <rPr>
        <b/>
        <sz val="11"/>
        <color theme="1"/>
        <rFont val="Calibri"/>
        <family val="2"/>
        <scheme val="minor"/>
      </rPr>
      <t>דת ומדינה</t>
    </r>
  </si>
  <si>
    <r>
      <t xml:space="preserve">באיזו מידה ישפיע או לא ישפיע כל אחד מהנושאים הבאים על ההצבעה שלך לכנסת? </t>
    </r>
    <r>
      <rPr>
        <b/>
        <sz val="11"/>
        <color theme="1"/>
        <rFont val="Calibri"/>
        <family val="2"/>
        <scheme val="minor"/>
      </rPr>
      <t>שלום ושטחים</t>
    </r>
  </si>
  <si>
    <r>
      <t xml:space="preserve">באיזו מידה ישפיע או לא ישפיע כל אחד מהנושאים הבאים על ההצבעה שלך לכנסת? </t>
    </r>
    <r>
      <rPr>
        <b/>
        <sz val="11"/>
        <color theme="1"/>
        <rFont val="Calibri"/>
        <family val="2"/>
        <scheme val="minor"/>
      </rPr>
      <t>בטחון וטרור</t>
    </r>
  </si>
  <si>
    <r>
      <t xml:space="preserve">באיזו מידה ישפיע או לא ישפיע כל אחד מהנושאים הבאים על ההצבעה שלך לכנסת? </t>
    </r>
    <r>
      <rPr>
        <b/>
        <sz val="11"/>
        <color theme="1"/>
        <rFont val="Calibri"/>
        <family val="2"/>
        <scheme val="minor"/>
      </rPr>
      <t>שחיתות</t>
    </r>
  </si>
  <si>
    <r>
      <t xml:space="preserve">באיזו מידה ישפיע או לא ישפיע כל אחד מהנושאים הבאים על ההצבעה שלך לכנסת? </t>
    </r>
    <r>
      <rPr>
        <b/>
        <sz val="11"/>
        <color theme="1"/>
        <rFont val="Calibri"/>
        <family val="2"/>
        <scheme val="minor"/>
      </rPr>
      <t>היחס לדמוקרטיה</t>
    </r>
  </si>
  <si>
    <r>
      <t xml:space="preserve">באיזו מידה ישפיע או לא ישפיע כל אחד מהנושאים הבאים על ההצבעה שלך לכנסת? </t>
    </r>
    <r>
      <rPr>
        <b/>
        <sz val="11"/>
        <color theme="1"/>
        <rFont val="Calibri"/>
        <family val="2"/>
        <scheme val="minor"/>
      </rPr>
      <t>השיקול למנוע בחירות נוספות</t>
    </r>
  </si>
  <si>
    <r>
      <t xml:space="preserve">באיזו מידה ישפיע או לא ישפיע כל אחד מהנושאים הבאים על ההצבעה שלך לכנסת? </t>
    </r>
    <r>
      <rPr>
        <b/>
        <sz val="11"/>
        <color theme="1"/>
        <rFont val="Calibri"/>
        <family val="2"/>
        <scheme val="minor"/>
      </rPr>
      <t>האיום האיראני</t>
    </r>
  </si>
  <si>
    <r>
      <t xml:space="preserve">באיזו מידה ישפיע או לא ישפיע כל אחד מהנושאים הבאים על ההצבעה שלך לכנסת? </t>
    </r>
    <r>
      <rPr>
        <b/>
        <sz val="11"/>
        <color theme="1"/>
        <rFont val="Calibri"/>
        <family val="2"/>
        <scheme val="minor"/>
      </rPr>
      <t>ירושלים</t>
    </r>
  </si>
  <si>
    <r>
      <t xml:space="preserve">באיזו מידה ישפיע או לא ישפיע כל אחד מהנושאים הבאים על ההצבעה שלך לכנסת? </t>
    </r>
    <r>
      <rPr>
        <b/>
        <sz val="11"/>
        <color theme="1"/>
        <rFont val="Calibri"/>
        <family val="2"/>
        <scheme val="minor"/>
      </rPr>
      <t>לבנון</t>
    </r>
  </si>
  <si>
    <r>
      <t xml:space="preserve">באיזו מידה ישפיע או לא ישפיע כל אחד מהנושאים הבאים על ההצבעה שלך לראש הממשלה? </t>
    </r>
    <r>
      <rPr>
        <b/>
        <sz val="11"/>
        <color theme="1"/>
        <rFont val="Calibri"/>
        <family val="2"/>
        <scheme val="minor"/>
      </rPr>
      <t>כלכלה</t>
    </r>
  </si>
  <si>
    <r>
      <t xml:space="preserve">באיזו מידה ישפיע או לא ישפיע כל אחד מהנושאים הבאים על ההצבעה שלך לראש הממשלה? </t>
    </r>
    <r>
      <rPr>
        <b/>
        <sz val="11"/>
        <color theme="1"/>
        <rFont val="Calibri"/>
        <family val="2"/>
        <scheme val="minor"/>
      </rPr>
      <t>מדיניות חברתית</t>
    </r>
  </si>
  <si>
    <r>
      <t xml:space="preserve">באיזו מידה ישפיע או לא ישפיע כל אחד מהנושאים הבאים על ההצבעה שלך לראש הממשלה? </t>
    </r>
    <r>
      <rPr>
        <b/>
        <sz val="11"/>
        <color theme="1"/>
        <rFont val="Calibri"/>
        <family val="2"/>
        <scheme val="minor"/>
      </rPr>
      <t>דת ומדינה</t>
    </r>
  </si>
  <si>
    <r>
      <t xml:space="preserve">באיזו מידה ישפיע או לא ישפיע כל אחד מהנושאים הבאים על ההצבעה שלך לראש הממשלה? </t>
    </r>
    <r>
      <rPr>
        <b/>
        <sz val="11"/>
        <color theme="1"/>
        <rFont val="Calibri"/>
        <family val="2"/>
        <scheme val="minor"/>
      </rPr>
      <t>שלום ושטחים</t>
    </r>
  </si>
  <si>
    <r>
      <t xml:space="preserve">באיזו מידה ישפיע או לא ישפיע כל אחד מהנושאים הבאים על ההצבעה שלך לראש הממשלה? </t>
    </r>
    <r>
      <rPr>
        <b/>
        <sz val="11"/>
        <color theme="1"/>
        <rFont val="Calibri"/>
        <family val="2"/>
        <scheme val="minor"/>
      </rPr>
      <t>בטחון וטרור</t>
    </r>
  </si>
  <si>
    <r>
      <t xml:space="preserve">באיזו מידה ישפיע או לא ישפיע כל אחד מהנושאים הבאים על ההצבעה שלך לראש הממשלה? </t>
    </r>
    <r>
      <rPr>
        <b/>
        <sz val="11"/>
        <color theme="1"/>
        <rFont val="Calibri"/>
        <family val="2"/>
        <scheme val="minor"/>
      </rPr>
      <t>ירושלים</t>
    </r>
  </si>
  <si>
    <r>
      <t xml:space="preserve">באיזו מידה ישפיע או לא ישפיע כל אחד מהנושאים הבאים על ההצבעה שלך לראש הממשלה? </t>
    </r>
    <r>
      <rPr>
        <b/>
        <sz val="11"/>
        <color theme="1"/>
        <rFont val="Calibri"/>
        <family val="2"/>
        <scheme val="minor"/>
      </rPr>
      <t>לבנון</t>
    </r>
  </si>
  <si>
    <t>i23</t>
  </si>
  <si>
    <t>i24</t>
  </si>
  <si>
    <t>i25</t>
  </si>
  <si>
    <t>i26</t>
  </si>
  <si>
    <t>i27</t>
  </si>
  <si>
    <t>i28</t>
  </si>
  <si>
    <t>i29</t>
  </si>
  <si>
    <r>
      <t xml:space="preserve">באיזו מידה ישפיע או לא ישפיע כל אחד מהנושאים הבאים על ההצבעה שלך לכנסת? </t>
    </r>
    <r>
      <rPr>
        <b/>
        <sz val="11"/>
        <color theme="1"/>
        <rFont val="Calibri"/>
        <family val="2"/>
        <scheme val="minor"/>
      </rPr>
      <t>משפט דרעי</t>
    </r>
  </si>
  <si>
    <t>i31</t>
  </si>
  <si>
    <t>i32</t>
  </si>
  <si>
    <t>i33</t>
  </si>
  <si>
    <t>i34</t>
  </si>
  <si>
    <t>i35</t>
  </si>
  <si>
    <r>
      <t xml:space="preserve">האם לדעתך קיימים או לא קיימים הבדלים בעמדותיהן של המפלגות העיקריות בארץ בנושאים הבאים: </t>
    </r>
    <r>
      <rPr>
        <b/>
        <sz val="11"/>
        <color theme="1"/>
        <rFont val="Calibri"/>
        <family val="2"/>
        <scheme val="minor"/>
      </rPr>
      <t>לבנון</t>
    </r>
  </si>
  <si>
    <t>i36</t>
  </si>
  <si>
    <t>i37</t>
  </si>
  <si>
    <t>i38</t>
  </si>
  <si>
    <t>i39</t>
  </si>
  <si>
    <t>i40</t>
  </si>
  <si>
    <t>i41</t>
  </si>
  <si>
    <t>i42</t>
  </si>
  <si>
    <t>i43</t>
  </si>
  <si>
    <t>i44</t>
  </si>
  <si>
    <t>i45</t>
  </si>
  <si>
    <t>קליטת עליה</t>
  </si>
  <si>
    <t>i46</t>
  </si>
  <si>
    <t>i47</t>
  </si>
  <si>
    <t>i48</t>
  </si>
  <si>
    <t>i49</t>
  </si>
  <si>
    <t>i50</t>
  </si>
  <si>
    <t>i51</t>
  </si>
  <si>
    <t>יש הטוענים שאין מספיק שוויון חברתי וכלכלי בארץ. באיזו מידה אתה מסכים או לא מסכים עם דעה זו?</t>
  </si>
  <si>
    <t>i52</t>
  </si>
  <si>
    <t>באיזו מידה יש לדעתך אפליה עדתית בישראל?</t>
  </si>
  <si>
    <t>i54</t>
  </si>
  <si>
    <t>i53</t>
  </si>
  <si>
    <t>באיזו מידה נפגעת באופן אישי מאפליה עדתית?</t>
  </si>
  <si>
    <t>מה צריך להיות יותר חשוב לאזרחי המדינה, האינטרסים האישיים שלהם או האינטרסים של המדינה כולה?</t>
  </si>
  <si>
    <t>i55</t>
  </si>
  <si>
    <t>i56</t>
  </si>
  <si>
    <t>i57</t>
  </si>
  <si>
    <t>i58</t>
  </si>
  <si>
    <t>i59</t>
  </si>
  <si>
    <t>i60</t>
  </si>
  <si>
    <t>i61</t>
  </si>
  <si>
    <t>i62</t>
  </si>
  <si>
    <t>i63</t>
  </si>
  <si>
    <r>
      <t xml:space="preserve">לפניך רשימה של תכונות שונות של מפלגות. לגבי כל אחת מהן, ציין לאיזו מפלגה היא מתאימה ביותר: </t>
    </r>
    <r>
      <rPr>
        <b/>
        <sz val="11"/>
        <color theme="1"/>
        <rFont val="Calibri"/>
        <family val="2"/>
        <scheme val="minor"/>
      </rPr>
      <t>תקטין את הפיצול בעם</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</si>
  <si>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שתצמצם את הפער העדתי</t>
    </r>
  </si>
  <si>
    <t>i64</t>
  </si>
  <si>
    <t>i65</t>
  </si>
  <si>
    <t>i66</t>
  </si>
  <si>
    <t>i68</t>
  </si>
  <si>
    <t>i69</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</si>
  <si>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לשמור על היחסים עם ארה"ב</t>
    </r>
  </si>
  <si>
    <t>i67</t>
  </si>
  <si>
    <t>i70</t>
  </si>
  <si>
    <t>i71</t>
  </si>
  <si>
    <t>i72</t>
  </si>
  <si>
    <r>
      <t xml:space="preserve">האם </t>
    </r>
    <r>
      <rPr>
        <b/>
        <sz val="11"/>
        <color theme="1"/>
        <rFont val="Calibri"/>
        <family val="2"/>
        <scheme val="minor"/>
      </rPr>
      <t>"בעל ניסיון"</t>
    </r>
    <r>
      <rPr>
        <sz val="11"/>
        <color theme="1"/>
        <rFont val="Calibri"/>
        <family val="2"/>
        <charset val="177"/>
        <scheme val="minor"/>
      </rPr>
      <t xml:space="preserve"> מתאים יותר ל:</t>
    </r>
  </si>
  <si>
    <t>i73</t>
  </si>
  <si>
    <t>i74</t>
  </si>
  <si>
    <t>i75</t>
  </si>
  <si>
    <r>
      <t xml:space="preserve">האם </t>
    </r>
    <r>
      <rPr>
        <b/>
        <sz val="11"/>
        <color theme="1"/>
        <rFont val="Calibri"/>
        <family val="2"/>
        <scheme val="minor"/>
      </rPr>
      <t>"יוריד את המתח בין דתיים לחילונים"</t>
    </r>
    <r>
      <rPr>
        <sz val="11"/>
        <color theme="1"/>
        <rFont val="Calibri"/>
        <family val="2"/>
        <charset val="177"/>
        <scheme val="minor"/>
      </rPr>
      <t xml:space="preserve"> מתאים יותר ל:</t>
    </r>
  </si>
  <si>
    <t>i76</t>
  </si>
  <si>
    <t>i77</t>
  </si>
  <si>
    <r>
      <t xml:space="preserve">האם </t>
    </r>
    <r>
      <rPr>
        <b/>
        <sz val="11"/>
        <color theme="1"/>
        <rFont val="Calibri"/>
        <family val="2"/>
        <scheme val="minor"/>
      </rPr>
      <t>"בעל כושר החלטה"</t>
    </r>
    <r>
      <rPr>
        <sz val="11"/>
        <color theme="1"/>
        <rFont val="Calibri"/>
        <family val="2"/>
        <charset val="177"/>
        <scheme val="minor"/>
      </rPr>
      <t xml:space="preserve"> מתאים יותר ל:</t>
    </r>
  </si>
  <si>
    <t>i78</t>
  </si>
  <si>
    <t>i79</t>
  </si>
  <si>
    <t>i80</t>
  </si>
  <si>
    <t>i81</t>
  </si>
  <si>
    <r>
      <t xml:space="preserve">האם </t>
    </r>
    <r>
      <rPr>
        <b/>
        <sz val="11"/>
        <color theme="1"/>
        <rFont val="Calibri"/>
        <family val="2"/>
        <scheme val="minor"/>
      </rPr>
      <t>"יוזמה ומעוף"</t>
    </r>
    <r>
      <rPr>
        <sz val="11"/>
        <color theme="1"/>
        <rFont val="Calibri"/>
        <family val="2"/>
        <charset val="177"/>
        <scheme val="minor"/>
      </rPr>
      <t xml:space="preserve"> מתאים יותר ל:</t>
    </r>
  </si>
  <si>
    <t>i82</t>
  </si>
  <si>
    <t>i83</t>
  </si>
  <si>
    <t>i84</t>
  </si>
  <si>
    <t>i85</t>
  </si>
  <si>
    <t>i86</t>
  </si>
  <si>
    <t>i87</t>
  </si>
  <si>
    <t>i88</t>
  </si>
  <si>
    <t>i89</t>
  </si>
  <si>
    <t>i90</t>
  </si>
  <si>
    <t>i91</t>
  </si>
  <si>
    <t>c3</t>
  </si>
  <si>
    <t>c4</t>
  </si>
  <si>
    <t>c5</t>
  </si>
  <si>
    <t>באיזו מידה אתה חושב שאנשים מושפעים בהחלטה עבור מי להצביע מסקרים אלו?</t>
  </si>
  <si>
    <t>c7</t>
  </si>
  <si>
    <t>c8</t>
  </si>
  <si>
    <t>האם היית רוצה שאחרי הבחירות תקום ממשלת אחדות לאומית?</t>
  </si>
  <si>
    <t>c10</t>
  </si>
  <si>
    <t>c11</t>
  </si>
  <si>
    <t>c13</t>
  </si>
  <si>
    <t>אם לסיבוב השני יעלו נתניהו וברק, עבור מי היית מצביע?</t>
  </si>
  <si>
    <t>c14</t>
  </si>
  <si>
    <t>c16</t>
  </si>
  <si>
    <t>c17</t>
  </si>
  <si>
    <t>גיל</t>
  </si>
  <si>
    <t>c22</t>
  </si>
  <si>
    <t>c23</t>
  </si>
  <si>
    <t>c26</t>
  </si>
  <si>
    <t>כיצד היית מגדיר את עצמך? (עדה)</t>
  </si>
  <si>
    <t>האם אתה עובד מחוץ למשק הבית?</t>
  </si>
  <si>
    <t>c31</t>
  </si>
  <si>
    <t>c35</t>
  </si>
  <si>
    <t>c37</t>
  </si>
  <si>
    <t>c39</t>
  </si>
  <si>
    <t>c41</t>
  </si>
  <si>
    <r>
      <t xml:space="preserve">מהי לדעתך הבעיה החשובה ביותר שעל הממשלה לטפל בה? </t>
    </r>
    <r>
      <rPr>
        <b/>
        <sz val="11"/>
        <color theme="1"/>
        <rFont val="Calibri"/>
        <family val="2"/>
        <scheme val="minor"/>
      </rPr>
      <t>(אחרי הבחירות)</t>
    </r>
  </si>
  <si>
    <t>d2</t>
  </si>
  <si>
    <t>עבור מי הצבעת לראשות הממשלה בבחירות האחרונות לכנסת?</t>
  </si>
  <si>
    <t>d3</t>
  </si>
  <si>
    <t>כאשר היו עדין חמישה מועמדים לראש הממשלה, עבור מי מהם חשבת להצביע?</t>
  </si>
  <si>
    <t>d4</t>
  </si>
  <si>
    <t>האם התלבטת למי מהם להצביע?</t>
  </si>
  <si>
    <t>בין מי למי התלבטת?</t>
  </si>
  <si>
    <t>d9</t>
  </si>
  <si>
    <t>האם התלבטת עבור איזו מפלגה להצביע?</t>
  </si>
  <si>
    <t>הבחירות היו בעיקר על היחסים בין דתיים וחילונים במדינה</t>
  </si>
  <si>
    <t>הנצחון של ברק מראה שהציבור חושב שהוא ישמור יותר טוב על שלטון החוק במדינה</t>
  </si>
  <si>
    <t>הבחירות היו בעיקר על מי ינהל טוב יותר את המו"מ עם הפלסטינים על ירושלים ועל הסדר קבע</t>
  </si>
  <si>
    <t>נתניהו הפסיד בעיקר בגלל האבטלה והמצב הכלכלי</t>
  </si>
  <si>
    <t>הנצחון של ברק על נתניהו מראה שהציבור רוצה בהמשך תהליך השלום ומוכן לפשרה עם הפלסטינים</t>
  </si>
  <si>
    <r>
      <t xml:space="preserve">מה מידת האמון שיש לך ב: </t>
    </r>
    <r>
      <rPr>
        <b/>
        <sz val="11"/>
        <color theme="1"/>
        <rFont val="Calibri"/>
        <family val="2"/>
        <scheme val="minor"/>
      </rPr>
      <t>המפלגות</t>
    </r>
    <r>
      <rPr>
        <sz val="11"/>
        <color theme="1"/>
        <rFont val="Calibri"/>
        <family val="2"/>
        <charset val="177"/>
        <scheme val="minor"/>
      </rPr>
      <t xml:space="preserve"> </t>
    </r>
    <r>
      <rPr>
        <b/>
        <sz val="11"/>
        <color theme="1"/>
        <rFont val="Calibri"/>
        <family val="2"/>
        <scheme val="minor"/>
      </rPr>
      <t>(אחרי בחירות)</t>
    </r>
  </si>
  <si>
    <r>
      <t xml:space="preserve">מה מידת האמון שיש לך ב: </t>
    </r>
    <r>
      <rPr>
        <b/>
        <sz val="11"/>
        <color theme="1"/>
        <rFont val="Calibri"/>
        <family val="2"/>
        <scheme val="minor"/>
      </rPr>
      <t>התקשורת (אחרי בחירות)</t>
    </r>
  </si>
  <si>
    <r>
      <t xml:space="preserve">מה מידת האמון שיש לך ב: </t>
    </r>
    <r>
      <rPr>
        <b/>
        <sz val="11"/>
        <color theme="1"/>
        <rFont val="Calibri"/>
        <family val="2"/>
        <scheme val="minor"/>
      </rPr>
      <t>פרקליטות המדינה</t>
    </r>
    <r>
      <rPr>
        <sz val="11"/>
        <color theme="1"/>
        <rFont val="Calibri"/>
        <family val="2"/>
        <charset val="177"/>
        <scheme val="minor"/>
      </rPr>
      <t xml:space="preserve"> </t>
    </r>
    <r>
      <rPr>
        <b/>
        <sz val="11"/>
        <color theme="1"/>
        <rFont val="Calibri"/>
        <family val="2"/>
        <scheme val="minor"/>
      </rPr>
      <t>(אחרי בחירות)</t>
    </r>
  </si>
  <si>
    <r>
      <t xml:space="preserve">מה מידת האמון שיש לך ב: </t>
    </r>
    <r>
      <rPr>
        <b/>
        <sz val="11"/>
        <color theme="1"/>
        <rFont val="Calibri"/>
        <family val="2"/>
        <scheme val="minor"/>
      </rPr>
      <t>בית המשפט העליון</t>
    </r>
    <r>
      <rPr>
        <sz val="11"/>
        <color theme="1"/>
        <rFont val="Calibri"/>
        <family val="2"/>
        <charset val="177"/>
        <scheme val="minor"/>
      </rPr>
      <t xml:space="preserve"> </t>
    </r>
    <r>
      <rPr>
        <b/>
        <sz val="11"/>
        <color theme="1"/>
        <rFont val="Calibri"/>
        <family val="2"/>
        <scheme val="minor"/>
      </rPr>
      <t>(אחרי בחירות)</t>
    </r>
  </si>
  <si>
    <r>
      <t xml:space="preserve">מה מידת האמון שיש לך ב: </t>
    </r>
    <r>
      <rPr>
        <b/>
        <sz val="11"/>
        <color theme="1"/>
        <rFont val="Calibri"/>
        <family val="2"/>
        <scheme val="minor"/>
      </rPr>
      <t>המשטרה</t>
    </r>
    <r>
      <rPr>
        <sz val="11"/>
        <color theme="1"/>
        <rFont val="Calibri"/>
        <family val="2"/>
        <charset val="177"/>
        <scheme val="minor"/>
      </rPr>
      <t xml:space="preserve"> </t>
    </r>
    <r>
      <rPr>
        <b/>
        <sz val="11"/>
        <color theme="1"/>
        <rFont val="Calibri"/>
        <family val="2"/>
        <scheme val="minor"/>
      </rPr>
      <t>(אחרי בחירות)</t>
    </r>
  </si>
  <si>
    <t>d22</t>
  </si>
  <si>
    <r>
      <t xml:space="preserve">באיזו מידה אתה מרוצה או לא מרוצה מהדמוקרטיה בישראל? </t>
    </r>
    <r>
      <rPr>
        <b/>
        <sz val="11"/>
        <color theme="1"/>
        <rFont val="Calibri"/>
        <family val="2"/>
        <scheme val="minor"/>
      </rPr>
      <t>(אחרי בחירות)</t>
    </r>
  </si>
  <si>
    <r>
      <t xml:space="preserve">כמה אחוזים לפי דעתך מהציבור מסכימים להקמת מדינה פלסטינית </t>
    </r>
    <r>
      <rPr>
        <b/>
        <sz val="11"/>
        <color theme="1"/>
        <rFont val="Calibri"/>
        <family val="2"/>
        <scheme val="minor"/>
      </rPr>
      <t>(אחרי בחירות)</t>
    </r>
  </si>
  <si>
    <r>
      <t xml:space="preserve">מבלי להתחשב בדעתך האישית, האם להערכתך במשך 10 השנים הבאות תקום או לא תקום מדינה פלסטינית ביו"ש? </t>
    </r>
    <r>
      <rPr>
        <b/>
        <sz val="11"/>
        <color theme="1"/>
        <rFont val="Calibri"/>
        <family val="2"/>
        <scheme val="minor"/>
      </rPr>
      <t>(אחרי הבחירות)</t>
    </r>
  </si>
  <si>
    <r>
      <t xml:space="preserve">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t>
    </r>
    <r>
      <rPr>
        <b/>
        <sz val="11"/>
        <color theme="1"/>
        <rFont val="Calibri"/>
        <family val="2"/>
        <scheme val="minor"/>
      </rPr>
      <t>איזה החשוב לך ביותר</t>
    </r>
    <r>
      <rPr>
        <sz val="11"/>
        <color theme="1"/>
        <rFont val="Calibri"/>
        <family val="2"/>
        <charset val="177"/>
        <scheme val="minor"/>
      </rPr>
      <t xml:space="preserve">? </t>
    </r>
    <r>
      <rPr>
        <b/>
        <sz val="11"/>
        <color theme="1"/>
        <rFont val="Calibri"/>
        <family val="2"/>
        <scheme val="minor"/>
      </rPr>
      <t>(אחרי הבחירות)</t>
    </r>
  </si>
  <si>
    <r>
      <t xml:space="preserve">ואיזה שני בחשיבותו? </t>
    </r>
    <r>
      <rPr>
        <b/>
        <sz val="11"/>
        <color theme="1"/>
        <rFont val="Calibri"/>
        <family val="2"/>
        <scheme val="minor"/>
      </rPr>
      <t>(אחרי הבחירות)</t>
    </r>
  </si>
  <si>
    <r>
      <t xml:space="preserve">ומה השלישי בחשיבותו? </t>
    </r>
    <r>
      <rPr>
        <b/>
        <sz val="11"/>
        <color theme="1"/>
        <rFont val="Calibri"/>
        <family val="2"/>
        <scheme val="minor"/>
      </rPr>
      <t>(אחרי הבחירות)</t>
    </r>
  </si>
  <si>
    <r>
      <t xml:space="preserve">ומה הרביעי בחשיבותו? </t>
    </r>
    <r>
      <rPr>
        <b/>
        <sz val="11"/>
        <color theme="1"/>
        <rFont val="Calibri"/>
        <family val="2"/>
        <scheme val="minor"/>
      </rPr>
      <t>(אחרי הבחירות)</t>
    </r>
  </si>
  <si>
    <t>d31</t>
  </si>
  <si>
    <t>d32</t>
  </si>
  <si>
    <t>d33</t>
  </si>
  <si>
    <t>d34</t>
  </si>
  <si>
    <t>איזו מפלגה תוכל לטפל טוב יותר בבעיה שציינת?</t>
  </si>
  <si>
    <t>האם אתה מסכים או מתנגד להגבלת זכויות האזרח במדינת ישראל כדי שכוחות הבטחון יוכלו למנוע פעילות מסוכנת מבית?</t>
  </si>
  <si>
    <t>מדברים הרבה על הפרדה בין ישראל לבין הפלסטינים בשטחים. האם אתה תומך או לא תומך בהפרדה כזו?</t>
  </si>
  <si>
    <t>האם לדעתך אש"ף מסוגל להשתלט על המצב ולבלום את הטרור?</t>
  </si>
  <si>
    <t>האם הסכם אוסלו ב'. כלומר: פינוי צה"ל מהערים הגדולות בגדה, תורם או פוגע בבטחון המדינה?</t>
  </si>
  <si>
    <t>יש הטוענים שבגלל המשך הטרור אין להמשיך את המו"מ עם אש"ף ואילו אחרים טוענים שרק סיום מוצלח של המו"מ יביא להפסקת הטרור. מה דעתך?</t>
  </si>
  <si>
    <t>מה דעתך על המשפט הבא: "רוב הפלסטינים רוצים שלום"?</t>
  </si>
  <si>
    <t>כמה אחוזים לפי דעתך בציבור הרחב תומכים בהקמת מדינה פלסטינית?</t>
  </si>
  <si>
    <t>כמה אחוזים לפי דעתך בציבור הרחב מוכנים החזרת שטחים תמורת שלום?</t>
  </si>
  <si>
    <t>איזו דעה תתחזק בקרב הציבור לדעתך? האם בשבועות הקרובים יגדל מספר האנשים המוכנים לתמוך בהקמת מדינה פלסטינית או יגדל מס' האנשים המתנגדים לכך?</t>
  </si>
  <si>
    <r>
      <t xml:space="preserve">איזו דעה תתחזק בקרב הציבור לדעתך? האם בשבועות הקרובים יגדל מספר האנשים המוכנים לתמוך בהקמת מדינה פלסטינית או יגדל מס' האנשים המתנגדים לכך? </t>
    </r>
    <r>
      <rPr>
        <b/>
        <sz val="11"/>
        <color theme="1"/>
        <rFont val="Calibri"/>
        <family val="2"/>
        <scheme val="minor"/>
      </rPr>
      <t>(אחרי הבחירות)</t>
    </r>
  </si>
  <si>
    <t>ישנן הצעות שונות באשר לפתרונות קבע אפשריים עבור שטחי יו"ש ועזה. לפניך רשימה של הצעות שכאלה. ציין את זו הקרובה ביותר לעמדתך:</t>
  </si>
  <si>
    <t>ובלי קשר להעדפות שלך, איזה הסדר יתקיים לדעתך בשטחי יו"ש ועזה בעתיד הרחוק?</t>
  </si>
  <si>
    <t>מבלי להתחשב בדעתך האישית, האם להערכתך במשך 10 השנים הבאות תחזיר ישראל את רמת הגולן לסוריה תמורת הסכם שלום?</t>
  </si>
  <si>
    <t>c61</t>
  </si>
  <si>
    <t>האם לפי הערכתך עלולה להתפתח מלחמת אזרחים בארץ בעקבות ההסדרים לגבי עתיד השטחים?</t>
  </si>
  <si>
    <t>c58</t>
  </si>
  <si>
    <t>c59</t>
  </si>
  <si>
    <r>
      <t>מה יחסך ל</t>
    </r>
    <r>
      <rPr>
        <b/>
        <sz val="11"/>
        <color theme="1"/>
        <rFont val="Calibri"/>
        <family val="2"/>
        <scheme val="minor"/>
      </rPr>
      <t>מועצת יש"ע</t>
    </r>
    <r>
      <rPr>
        <sz val="11"/>
        <color theme="1"/>
        <rFont val="Calibri"/>
        <family val="2"/>
        <charset val="177"/>
        <scheme val="minor"/>
      </rPr>
      <t>?</t>
    </r>
  </si>
  <si>
    <r>
      <t>מה יחסך ל</t>
    </r>
    <r>
      <rPr>
        <b/>
        <sz val="11"/>
        <color theme="1"/>
        <rFont val="Calibri"/>
        <family val="2"/>
        <scheme val="minor"/>
      </rPr>
      <t>תנועה האסלאמית</t>
    </r>
    <r>
      <rPr>
        <sz val="11"/>
        <color theme="1"/>
        <rFont val="Calibri"/>
        <family val="2"/>
        <charset val="177"/>
        <scheme val="minor"/>
      </rPr>
      <t>?</t>
    </r>
  </si>
  <si>
    <t>c64</t>
  </si>
  <si>
    <t>c62</t>
  </si>
  <si>
    <r>
      <t xml:space="preserve">ועל אותו סולם, מה יחסך לאישים הבאים? </t>
    </r>
    <r>
      <rPr>
        <b/>
        <sz val="11"/>
        <color theme="1"/>
        <rFont val="Calibri"/>
        <family val="2"/>
        <scheme val="minor"/>
      </rPr>
      <t>יצחק רבין</t>
    </r>
  </si>
  <si>
    <t>c66</t>
  </si>
  <si>
    <t>c70</t>
  </si>
  <si>
    <t>c71</t>
  </si>
  <si>
    <t>c74</t>
  </si>
  <si>
    <t>c73</t>
  </si>
  <si>
    <t>c76</t>
  </si>
  <si>
    <t>cc7</t>
  </si>
  <si>
    <t>cc6</t>
  </si>
  <si>
    <t>cc8</t>
  </si>
  <si>
    <t>cc9</t>
  </si>
  <si>
    <r>
      <t xml:space="preserve">באיזו מידה ישפיע או לא ישפיע כל אחד מהנושאים הבאים על ההצבעה שלך לראש הממשלה? </t>
    </r>
    <r>
      <rPr>
        <b/>
        <sz val="11"/>
        <color theme="1"/>
        <rFont val="Calibri"/>
        <family val="2"/>
        <scheme val="minor"/>
      </rPr>
      <t>רצח רבין</t>
    </r>
  </si>
  <si>
    <t>cc10</t>
  </si>
  <si>
    <t>cc11</t>
  </si>
  <si>
    <t>cc12</t>
  </si>
  <si>
    <t>cc13</t>
  </si>
  <si>
    <t>cc14</t>
  </si>
  <si>
    <t>cc15</t>
  </si>
  <si>
    <t>cc17</t>
  </si>
  <si>
    <r>
      <t xml:space="preserve">באיזו מידה ישפיע או לא ישפיע כל אחד מהנושאים הבאים על ההצבעה שלך לכנסת? </t>
    </r>
    <r>
      <rPr>
        <b/>
        <sz val="11"/>
        <color theme="1"/>
        <rFont val="Calibri"/>
        <family val="2"/>
        <scheme val="minor"/>
      </rPr>
      <t>רצח רבין</t>
    </r>
  </si>
  <si>
    <t>cc16</t>
  </si>
  <si>
    <r>
      <t xml:space="preserve">לעמדה של מי אתה קרוב יותר בכל אחד מהנושאים הבאים: </t>
    </r>
    <r>
      <rPr>
        <b/>
        <sz val="11"/>
        <color theme="1"/>
        <rFont val="Calibri"/>
        <family val="2"/>
        <scheme val="minor"/>
      </rPr>
      <t>ירושלים</t>
    </r>
  </si>
  <si>
    <r>
      <t xml:space="preserve">לעמדה של מי אתה קרוב יותר בכל אחד מהנושאים הבאים: </t>
    </r>
    <r>
      <rPr>
        <b/>
        <sz val="11"/>
        <color theme="1"/>
        <rFont val="Calibri"/>
        <family val="2"/>
        <scheme val="minor"/>
      </rPr>
      <t>כלכלה</t>
    </r>
  </si>
  <si>
    <r>
      <t xml:space="preserve">לעמדה של מי אתה קרוב יותר בכל אחד מהנושאים הבאים: </t>
    </r>
    <r>
      <rPr>
        <b/>
        <sz val="11"/>
        <color theme="1"/>
        <rFont val="Calibri"/>
        <family val="2"/>
        <scheme val="minor"/>
      </rPr>
      <t>שלום ושטחים</t>
    </r>
  </si>
  <si>
    <t>cc19</t>
  </si>
  <si>
    <t>cc20</t>
  </si>
  <si>
    <t>cc21</t>
  </si>
  <si>
    <t>cc22</t>
  </si>
  <si>
    <t>cc23</t>
  </si>
  <si>
    <t>cc24</t>
  </si>
  <si>
    <t>cc25</t>
  </si>
  <si>
    <t>cc27</t>
  </si>
  <si>
    <t>cc28</t>
  </si>
  <si>
    <t>cc29</t>
  </si>
  <si>
    <t>cc30</t>
  </si>
  <si>
    <t>cc31</t>
  </si>
  <si>
    <t>cc32</t>
  </si>
  <si>
    <t>cc33</t>
  </si>
  <si>
    <t>cc34</t>
  </si>
  <si>
    <t>cc35</t>
  </si>
  <si>
    <t>cc36</t>
  </si>
  <si>
    <t>cc37</t>
  </si>
  <si>
    <t>cc38</t>
  </si>
  <si>
    <t>cc39</t>
  </si>
  <si>
    <t>cc40</t>
  </si>
  <si>
    <t>cc41</t>
  </si>
  <si>
    <t>cc44</t>
  </si>
  <si>
    <t>cc45</t>
  </si>
  <si>
    <t>cc46</t>
  </si>
  <si>
    <t>cc48</t>
  </si>
  <si>
    <t>האם בני משפחתך מצביעים כמוך?</t>
  </si>
  <si>
    <t>cc49</t>
  </si>
  <si>
    <t>cc50</t>
  </si>
  <si>
    <t>cc51</t>
  </si>
  <si>
    <t>cc52</t>
  </si>
  <si>
    <t>cc53</t>
  </si>
  <si>
    <t>cc54</t>
  </si>
  <si>
    <t>cc55</t>
  </si>
  <si>
    <t>cc56</t>
  </si>
  <si>
    <t>cc57</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</si>
  <si>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עם מנהיגים מנוסים</t>
    </r>
  </si>
  <si>
    <t>cc58</t>
  </si>
  <si>
    <t>cc59</t>
  </si>
  <si>
    <t>cc60</t>
  </si>
  <si>
    <t>cc61</t>
  </si>
  <si>
    <t>cc62</t>
  </si>
  <si>
    <t>cc63</t>
  </si>
  <si>
    <t>cc64</t>
  </si>
  <si>
    <r>
      <t xml:space="preserve">האם </t>
    </r>
    <r>
      <rPr>
        <b/>
        <sz val="11"/>
        <color theme="1"/>
        <rFont val="Calibri"/>
        <family val="2"/>
        <scheme val="minor"/>
      </rPr>
      <t>"יצמצם פערים חברתיים"</t>
    </r>
    <r>
      <rPr>
        <sz val="11"/>
        <color theme="1"/>
        <rFont val="Calibri"/>
        <family val="2"/>
        <charset val="177"/>
        <scheme val="minor"/>
      </rPr>
      <t xml:space="preserve"> מתאים יותר ל:</t>
    </r>
  </si>
  <si>
    <r>
      <t xml:space="preserve">האם </t>
    </r>
    <r>
      <rPr>
        <b/>
        <sz val="11"/>
        <color theme="1"/>
        <rFont val="Calibri"/>
        <family val="2"/>
        <scheme val="minor"/>
      </rPr>
      <t>"חזק"</t>
    </r>
    <r>
      <rPr>
        <sz val="11"/>
        <color theme="1"/>
        <rFont val="Calibri"/>
        <family val="2"/>
        <charset val="177"/>
        <scheme val="minor"/>
      </rPr>
      <t xml:space="preserve"> מתאים יותר ל:</t>
    </r>
  </si>
  <si>
    <t>cc65</t>
  </si>
  <si>
    <t>cc66</t>
  </si>
  <si>
    <t>cc67</t>
  </si>
  <si>
    <t>cc68</t>
  </si>
  <si>
    <t>cc69</t>
  </si>
  <si>
    <t>cc70</t>
  </si>
  <si>
    <t>cc71</t>
  </si>
  <si>
    <t>cc72</t>
  </si>
  <si>
    <t>יש החושבים שישראל יכולה להשיג את כל היעדים החשובים לה: שלום, א"י השלמה, שמירה על רוב יהודי, שמירה על משטר דמוקרטי מבלי לוותר על אף דבר. אחרים חושבים שאי אפשר להשיג את כל היעדים הללו בו זמנית, וכדי להשיג יעדים מסויימים צריך להתפשר על יעדים אחרים. מה דעתך?</t>
  </si>
  <si>
    <t>cc73</t>
  </si>
  <si>
    <t>cc74</t>
  </si>
  <si>
    <t>cc76</t>
  </si>
  <si>
    <t>ccc6</t>
  </si>
  <si>
    <t>ccc7</t>
  </si>
  <si>
    <t>יש המציעים לאסור פרסום סקרים בחודש שלפני הבחירות, ואילו אחרים מתנגדים לכך. מה דעתך?</t>
  </si>
  <si>
    <t>ccc8</t>
  </si>
  <si>
    <t>ccc9</t>
  </si>
  <si>
    <t>ccc10</t>
  </si>
  <si>
    <t>אם ישראל תגיע לטיוטת שלום עם סוריה שתכלול נסיגה מלאה מרמת הגולן והסדרי בטחון נאותים ויערך משאל עם, כיצד תצביע?</t>
  </si>
  <si>
    <t>ccc11</t>
  </si>
  <si>
    <t>כמה אחוזים לפי דעתך בציבור הרחב מסכימים להחזיר את רמת הגולן?</t>
  </si>
  <si>
    <t>ccc12</t>
  </si>
  <si>
    <t>ואיזו דעה תתחזק בקרב הציבור לדעתך? האם בעוד שנה שנתיים יגדל מס' האנשים המוכנים להחזיר לסוריה את רמת הגולן לעומת היום, או שיגדל מס' אלה שאינם מוכנים להחזיר?</t>
  </si>
  <si>
    <t>ccc14</t>
  </si>
  <si>
    <t>ccc15</t>
  </si>
  <si>
    <r>
      <t xml:space="preserve">האם השתתפת בשנה שנתיים האחרונות בהפגנה? </t>
    </r>
    <r>
      <rPr>
        <b/>
        <sz val="11"/>
        <color theme="1"/>
        <rFont val="Calibri"/>
        <family val="2"/>
        <scheme val="minor"/>
      </rPr>
      <t>בנושא תהליך השלום</t>
    </r>
  </si>
  <si>
    <r>
      <t xml:space="preserve">האם השתתפת בשנה שנתיים האחרונות בהפגנה? </t>
    </r>
    <r>
      <rPr>
        <b/>
        <sz val="11"/>
        <color theme="1"/>
        <rFont val="Calibri"/>
        <family val="2"/>
        <scheme val="minor"/>
      </rPr>
      <t>בעקבות רצח רבין</t>
    </r>
  </si>
  <si>
    <t>ccc16</t>
  </si>
  <si>
    <t>ccc17</t>
  </si>
  <si>
    <t>ccc19</t>
  </si>
  <si>
    <t>ccc20</t>
  </si>
  <si>
    <t>האם לדעתך הבחירות המקדימות (פריימריז) מביאות לשיטת ממשל טובה יותר או גרועה יותר במדינה?</t>
  </si>
  <si>
    <t>ccc21</t>
  </si>
  <si>
    <t>האם השתתפת בפריימריז (בחירות מקדימות)?</t>
  </si>
  <si>
    <t>ccc22</t>
  </si>
  <si>
    <t>ccc23</t>
  </si>
  <si>
    <t>אם צומת וגשר היו רצות כמפלגות נפרדות ולא יחד עם הליכוד, עבור איזו רשימה היית מצביע?</t>
  </si>
  <si>
    <t>ccc27</t>
  </si>
  <si>
    <t>ccc28</t>
  </si>
  <si>
    <t>ccc29</t>
  </si>
  <si>
    <t>אילו הייתה השיטה הישנה, כלומר מצביעים רק בפתק אחד לכנסת, עבור איזו מפלגה היית מצביע?</t>
  </si>
  <si>
    <t>ccc33</t>
  </si>
  <si>
    <t>ccc35</t>
  </si>
  <si>
    <t>איזו מפלגה למיטב הערכתך תהיה המפלגה הגדולה ביותר בכנסת הבאה?</t>
  </si>
  <si>
    <t>ccc36</t>
  </si>
  <si>
    <t>ccc37</t>
  </si>
  <si>
    <t>עבור איזו רשימה הצבעת במערכת הבחירות הלפני אחרונה? (שתי מערכות אחורה)</t>
  </si>
  <si>
    <t>עבור איזו רשימה הצבעת במערכת הבחירות הלפני לפני אחרונה? (שלוש מערכות אחורה)</t>
  </si>
  <si>
    <t>ccc39</t>
  </si>
  <si>
    <t>עבור מי הצבעת בבחירות האחרונות להסתדרות?</t>
  </si>
  <si>
    <t>ccc41</t>
  </si>
  <si>
    <t>האם יש לך קשרים עם ערבים?</t>
  </si>
  <si>
    <t>ccc42</t>
  </si>
  <si>
    <t>ccc44</t>
  </si>
  <si>
    <t>ccc45</t>
  </si>
  <si>
    <t>ccc46</t>
  </si>
  <si>
    <t>ccc47</t>
  </si>
  <si>
    <t>ccc48</t>
  </si>
  <si>
    <t>ccc49</t>
  </si>
  <si>
    <t>ccc50</t>
  </si>
  <si>
    <t>ccc55</t>
  </si>
  <si>
    <t>ccc56</t>
  </si>
  <si>
    <t>ccc57</t>
  </si>
  <si>
    <t>ccc59</t>
  </si>
  <si>
    <t>ccc61</t>
  </si>
  <si>
    <t>ccc63</t>
  </si>
  <si>
    <t>כמה שנים למדת במסגרת מסודרת?</t>
  </si>
  <si>
    <t>ccc65</t>
  </si>
  <si>
    <t>ccc67</t>
  </si>
  <si>
    <t>ccc69</t>
  </si>
  <si>
    <t>ccc70</t>
  </si>
  <si>
    <t>ccc71</t>
  </si>
  <si>
    <t>ccc72</t>
  </si>
  <si>
    <t>ccc73</t>
  </si>
  <si>
    <t>ccc74</t>
  </si>
  <si>
    <t>ccc75</t>
  </si>
  <si>
    <t>אילו יכולת להצביע בבחירות לכנסת עבור יותר ממפלגה אחת, ללא הגבלה, עבור אילו מפלגות היית מצביע?</t>
  </si>
  <si>
    <t>cccc6</t>
  </si>
  <si>
    <t>מהי המפלגה המועדפת עליך?</t>
  </si>
  <si>
    <t>ובמקום השני?</t>
  </si>
  <si>
    <t>ובמקום השלישי?</t>
  </si>
  <si>
    <t>מהי המפלגה הכי פחות מועדפת עליך?</t>
  </si>
  <si>
    <t>cccc14</t>
  </si>
  <si>
    <t>cccc16</t>
  </si>
  <si>
    <t>cccc18</t>
  </si>
  <si>
    <t>cccc20</t>
  </si>
  <si>
    <t>cccc22</t>
  </si>
  <si>
    <t>cccc24</t>
  </si>
  <si>
    <t>cccc26</t>
  </si>
  <si>
    <t>cccc28</t>
  </si>
  <si>
    <t>cccc41</t>
  </si>
  <si>
    <t>עדה</t>
  </si>
  <si>
    <t>sephashk</t>
  </si>
  <si>
    <t>a2</t>
  </si>
  <si>
    <t>a3</t>
  </si>
  <si>
    <t>a4</t>
  </si>
  <si>
    <t>a5</t>
  </si>
  <si>
    <t>a9</t>
  </si>
  <si>
    <t>אם ישראל תצטרך להכריע בין שתי האפשרויות הבאות, מה לדעתך עליה לעשות?</t>
  </si>
  <si>
    <t>אם יחול שינוי יסודי באש"ף והארגון יודיע שהוא מכיר במדינת ישראל ויפסיק לחלוטין את פעילות הטרור, האם אז ישראל צריכה או לא צריכה להיות מוכנה לנהל מו"מ עם אש"ף?</t>
  </si>
  <si>
    <t>אם יו"ש ועזה יסופחו למדינת ישראל, אילו זכויות יש לתת לתושבים אלו?</t>
  </si>
  <si>
    <t>כיצד אתה מעריך את מדיניות הממשלה לשמירת השקט בשטחים - רכה מדי, מתאימה או קשה מדי?</t>
  </si>
  <si>
    <t>האם אפשרי או לא אפשרי להגיע לשלום ביננו לבין מדינות ערב בעתיד הנראה לעין?</t>
  </si>
  <si>
    <t>האם לדעתך ישראל יכולה או לא יכולה להשפיע בהתנהגותה ובמדיניותה על נכונות הערבים לשלום אמת איתה?</t>
  </si>
  <si>
    <t>מה לדעתך הסיכויים שיחתם הסכם על אוטונומיה לפלסטינים בשטחים?</t>
  </si>
  <si>
    <r>
      <t xml:space="preserve">לגבי כל אחת מהאופשרויות הבאות, מהו לדעתך הסיכוי שהיא תביא למלחמה ישראלית-ערבית נוספת? </t>
    </r>
    <r>
      <rPr>
        <b/>
        <sz val="11"/>
        <color theme="1"/>
        <rFont val="Calibri"/>
        <family val="2"/>
        <scheme val="minor"/>
      </rPr>
      <t>החזרת שטחים לירדן</t>
    </r>
  </si>
  <si>
    <t>מדינה פלסטינית</t>
  </si>
  <si>
    <t>אוטונומיה</t>
  </si>
  <si>
    <t>סיפוח וריבונות ישראלית מלאה</t>
  </si>
  <si>
    <t>המשך המצב הקיים</t>
  </si>
  <si>
    <r>
      <t xml:space="preserve">האם תוכל או לא תוכל מדינת ישראל להתמודד עם כל אחד מהדברים הבאים: </t>
    </r>
    <r>
      <rPr>
        <b/>
        <sz val="11"/>
        <color theme="1"/>
        <rFont val="Calibri"/>
        <family val="2"/>
        <scheme val="minor"/>
      </rPr>
      <t>מלחמה כוללת של כל מדינות ערב נגדנו</t>
    </r>
  </si>
  <si>
    <t>מלחמה שתפתח סוריה לבדה נגדנו</t>
  </si>
  <si>
    <t>מרד של הערבים אזרחי מדינת ישראל</t>
  </si>
  <si>
    <t>נקיטת סנקציות כלכליות ע"י האו"ם בהשתתפות האמריקאים</t>
  </si>
  <si>
    <t>שארה"ב תחליש את התמיכה בנו</t>
  </si>
  <si>
    <t>שארה"ב תפסיק את התמיכה בנו</t>
  </si>
  <si>
    <t>מלחמה של מדינות "החזית המזרחית" (סוריה, ירדן ועיראק) נגדנו</t>
  </si>
  <si>
    <t>אם הדרגה "1" מייצגת את הדיעה האומרת שלנוכחותנו בשטחי יו"ש ועזה יש השפעה לרעה על מוסר הלחימה של צה"ל ודרגה "7" מייצגת את הדיעה כי לנוכחותנו בשטחים אלו יש השפעה טובה על מוסר הלחימה של צה"ל, באיזו דרגה היית ממקם את עמדתך?</t>
  </si>
  <si>
    <t>באיזו מידה אתה תומך או מתנגד להמשך השתתפותה של ישראל בועידת השלום?</t>
  </si>
  <si>
    <t>האם אתה תומך או מתנגד להתיישבות בשטחים?</t>
  </si>
  <si>
    <t>ישנן שלוש הצעות לגבי פתרונות לטווח הרחוק של בעיית יו"ש ועזה. עם איזה אתה מסכים ביותר?</t>
  </si>
  <si>
    <t>a471</t>
  </si>
  <si>
    <r>
      <t xml:space="preserve">לעמדה של מי אתה קרוב יותר בכל אחד מהנושאים הבאים: </t>
    </r>
    <r>
      <rPr>
        <b/>
        <sz val="11"/>
        <color theme="1"/>
        <rFont val="Calibri"/>
        <family val="2"/>
        <scheme val="minor"/>
      </rPr>
      <t>בטחון וטרור</t>
    </r>
  </si>
  <si>
    <t>כיצד יש לקבוע את סידורי הרחצה בבריכות עירוניות בישובים מעורבים של חילונים ודתיים?</t>
  </si>
  <si>
    <t>באיזו מידה אתה מסכים או לא מסכים לכך שכל גבר יהודי בארץ צריך לשרת שירות פעיל בצה"ל?</t>
  </si>
  <si>
    <t>באיזו מידה אתה מסכים או לא מסכים לכך שבחורי ישיבות בגיל גיוס יקבלו פטור משירות פעיל בצה"ל?</t>
  </si>
  <si>
    <t>באיזו מידה אתה מסכים או לא מסכים לכך שתהיה תחבורה ציבורית בשבת?</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</si>
  <si>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שתדאג לשכבות החלשות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</si>
  <si>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שתרמה לבנין הארץ</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</si>
  <si>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שמטפחת את הכבוד העצמי של בני עדות המזרח</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</si>
  <si>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לקלוט עליה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</si>
  <si>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לצמצם את האבטלה</t>
    </r>
  </si>
  <si>
    <t>a98</t>
  </si>
  <si>
    <t>a99</t>
  </si>
  <si>
    <t>a102</t>
  </si>
  <si>
    <t>a101</t>
  </si>
  <si>
    <r>
      <t xml:space="preserve">ועל אותו סולם, מה יחסך לאישים הבאים? </t>
    </r>
    <r>
      <rPr>
        <b/>
        <sz val="11"/>
        <color theme="1"/>
        <rFont val="Calibri"/>
        <family val="2"/>
        <scheme val="minor"/>
      </rPr>
      <t>יצחק שמיר</t>
    </r>
  </si>
  <si>
    <t>a103</t>
  </si>
  <si>
    <t>a104</t>
  </si>
  <si>
    <t>a105</t>
  </si>
  <si>
    <t>a106</t>
  </si>
  <si>
    <t>a107</t>
  </si>
  <si>
    <r>
      <t>מה יחסך ל</t>
    </r>
    <r>
      <rPr>
        <b/>
        <sz val="11"/>
        <color theme="1"/>
        <rFont val="Calibri"/>
        <family val="2"/>
        <scheme val="minor"/>
      </rPr>
      <t>תנועת גוש אמונים</t>
    </r>
    <r>
      <rPr>
        <sz val="11"/>
        <color theme="1"/>
        <rFont val="Calibri"/>
        <family val="2"/>
        <charset val="177"/>
        <scheme val="minor"/>
      </rPr>
      <t>?</t>
    </r>
  </si>
  <si>
    <r>
      <t>מה יחסך ל</t>
    </r>
    <r>
      <rPr>
        <b/>
        <sz val="11"/>
        <color theme="1"/>
        <rFont val="Calibri"/>
        <family val="2"/>
        <scheme val="minor"/>
      </rPr>
      <t>תנועת שלום עכשיו</t>
    </r>
    <r>
      <rPr>
        <sz val="11"/>
        <color theme="1"/>
        <rFont val="Calibri"/>
        <family val="2"/>
        <charset val="177"/>
        <scheme val="minor"/>
      </rPr>
      <t>?</t>
    </r>
  </si>
  <si>
    <t>a108</t>
  </si>
  <si>
    <t>a109</t>
  </si>
  <si>
    <t>a110</t>
  </si>
  <si>
    <t>a112</t>
  </si>
  <si>
    <t>a113</t>
  </si>
  <si>
    <t>a114</t>
  </si>
  <si>
    <t>a115</t>
  </si>
  <si>
    <t>a116</t>
  </si>
  <si>
    <t>a117</t>
  </si>
  <si>
    <t>a118</t>
  </si>
  <si>
    <t>a119</t>
  </si>
  <si>
    <t>מבין שני המנהיגים, עמדותיו של מי משקפות בצורה הטובה ביותר את דעותיך בנושא השטחים?</t>
  </si>
  <si>
    <t>a120</t>
  </si>
  <si>
    <r>
      <t xml:space="preserve">הגורמים הבאים משפיע או לא משפיע על החלטתך עבור מי להצביע? </t>
    </r>
    <r>
      <rPr>
        <b/>
        <sz val="11"/>
        <color theme="1"/>
        <rFont val="Calibri"/>
        <family val="2"/>
        <scheme val="minor"/>
      </rPr>
      <t>העמדת יצחק שמיר בראש הליכוד</t>
    </r>
  </si>
  <si>
    <r>
      <t xml:space="preserve">הגורמים הבאים משפיע או לא משפיע על החלטתך עבור מי להצביע? </t>
    </r>
    <r>
      <rPr>
        <b/>
        <sz val="11"/>
        <color theme="1"/>
        <rFont val="Calibri"/>
        <family val="2"/>
        <scheme val="minor"/>
      </rPr>
      <t>הפריימריז בעבודה</t>
    </r>
  </si>
  <si>
    <r>
      <t xml:space="preserve">הגורמים הבאים משפיע או לא משפיע על החלטתך עבור מי להצביע? </t>
    </r>
    <r>
      <rPr>
        <b/>
        <sz val="11"/>
        <color theme="1"/>
        <rFont val="Calibri"/>
        <family val="2"/>
        <scheme val="minor"/>
      </rPr>
      <t>הרכב רשימת העבודה</t>
    </r>
  </si>
  <si>
    <r>
      <t xml:space="preserve">הגורמים הבאים משפיע או לא משפיע על החלטתך עבור מי להצביע? </t>
    </r>
    <r>
      <rPr>
        <b/>
        <sz val="11"/>
        <color theme="1"/>
        <rFont val="Calibri"/>
        <family val="2"/>
        <scheme val="minor"/>
      </rPr>
      <t>הרכב רשימת הליכוד</t>
    </r>
  </si>
  <si>
    <r>
      <t xml:space="preserve">הגורמים הבאים משפיע או לא משפיע על החלטתך עבור מי להצביע? </t>
    </r>
    <r>
      <rPr>
        <b/>
        <sz val="11"/>
        <color theme="1"/>
        <rFont val="Calibri"/>
        <family val="2"/>
        <scheme val="minor"/>
      </rPr>
      <t>הליך בחירת השביעיות בליכוד</t>
    </r>
  </si>
  <si>
    <r>
      <t xml:space="preserve">הגורמים הבאים משפיע או לא משפיע על החלטתך עבור מי להצביע? </t>
    </r>
    <r>
      <rPr>
        <b/>
        <sz val="11"/>
        <color theme="1"/>
        <rFont val="Calibri"/>
        <family val="2"/>
        <scheme val="minor"/>
      </rPr>
      <t>העמדת יצחק רבין בראש העבודה</t>
    </r>
  </si>
  <si>
    <t>a122</t>
  </si>
  <si>
    <t>a123</t>
  </si>
  <si>
    <t>a124</t>
  </si>
  <si>
    <t>a125</t>
  </si>
  <si>
    <t>a126</t>
  </si>
  <si>
    <t>a127</t>
  </si>
  <si>
    <r>
      <t xml:space="preserve">הגורמים הבאים משפיע או לא משפיע על החלטתך עבור מי להצביע? </t>
    </r>
    <r>
      <rPr>
        <b/>
        <sz val="11"/>
        <color theme="1"/>
        <rFont val="Calibri"/>
        <family val="2"/>
        <scheme val="minor"/>
      </rPr>
      <t>הסיכוי שתהיה ממשלת אחדות לאומית</t>
    </r>
  </si>
  <si>
    <r>
      <t xml:space="preserve">הגורמים הבאים משפיע או לא משפיע על החלטתך עבור מי להצביע? </t>
    </r>
    <r>
      <rPr>
        <b/>
        <sz val="11"/>
        <color theme="1"/>
        <rFont val="Calibri"/>
        <family val="2"/>
        <scheme val="minor"/>
      </rPr>
      <t>מצב היחסים עם ארה"ב</t>
    </r>
  </si>
  <si>
    <r>
      <t xml:space="preserve">הגורמים הבאים משפיע או לא משפיע על החלטתך עבור מי להצביע? </t>
    </r>
    <r>
      <rPr>
        <b/>
        <sz val="11"/>
        <color theme="1"/>
        <rFont val="Calibri"/>
        <family val="2"/>
        <scheme val="minor"/>
      </rPr>
      <t>מצב קליטת העליה</t>
    </r>
  </si>
  <si>
    <r>
      <t xml:space="preserve">הגורמים הבאים משפיע או לא משפיע על החלטתך עבור מי להצביע? </t>
    </r>
    <r>
      <rPr>
        <b/>
        <sz val="11"/>
        <color theme="1"/>
        <rFont val="Calibri"/>
        <family val="2"/>
        <scheme val="minor"/>
      </rPr>
      <t>האבטלה</t>
    </r>
  </si>
  <si>
    <r>
      <t xml:space="preserve">הגורמים הבאים משפיע או לא משפיע על החלטתך עבור מי להצביע? </t>
    </r>
    <r>
      <rPr>
        <b/>
        <sz val="11"/>
        <color theme="1"/>
        <rFont val="Calibri"/>
        <family val="2"/>
        <scheme val="minor"/>
      </rPr>
      <t>השחיתויות בשלטון ודוח מבקר המדינה</t>
    </r>
  </si>
  <si>
    <r>
      <t xml:space="preserve">הגורמים הבאים משפיע או לא משפיע על החלטתך עבור מי להצביע? </t>
    </r>
    <r>
      <rPr>
        <b/>
        <sz val="11"/>
        <color theme="1"/>
        <rFont val="Calibri"/>
        <family val="2"/>
        <scheme val="minor"/>
      </rPr>
      <t>האינתיפאדה</t>
    </r>
  </si>
  <si>
    <r>
      <t xml:space="preserve">הגורמים הבאים משפיע או לא משפיע על החלטתך עבור מי להצביע? </t>
    </r>
    <r>
      <rPr>
        <b/>
        <sz val="11"/>
        <color theme="1"/>
        <rFont val="Calibri"/>
        <family val="2"/>
        <scheme val="minor"/>
      </rPr>
      <t>התחלת שיחות השלום</t>
    </r>
  </si>
  <si>
    <r>
      <t xml:space="preserve">הגורמים הבאים משפיע או לא משפיע על החלטתך עבור מי להצביע? </t>
    </r>
    <r>
      <rPr>
        <b/>
        <sz val="11"/>
        <color theme="1"/>
        <rFont val="Calibri"/>
        <family val="2"/>
        <scheme val="minor"/>
      </rPr>
      <t>טיפול הממשלה בשיחות השלום</t>
    </r>
  </si>
  <si>
    <r>
      <t xml:space="preserve">הגורמים הבאים משפיע או לא משפיע על החלטתך עבור מי להצביע? </t>
    </r>
    <r>
      <rPr>
        <b/>
        <sz val="11"/>
        <color theme="1"/>
        <rFont val="Calibri"/>
        <family val="2"/>
        <scheme val="minor"/>
      </rPr>
      <t>המצב בתחום דתיים-חילונים</t>
    </r>
  </si>
  <si>
    <r>
      <t xml:space="preserve">הגורמים הבאים משפיע או לא משפיע על החלטתך עבור מי להצביע? </t>
    </r>
    <r>
      <rPr>
        <b/>
        <sz val="11"/>
        <color theme="1"/>
        <rFont val="Calibri"/>
        <family val="2"/>
        <scheme val="minor"/>
      </rPr>
      <t>מדינות ההתנחלויות של הליכוד</t>
    </r>
  </si>
  <si>
    <r>
      <t xml:space="preserve">הגורמים הבאים משפיע או לא משפיע על החלטתך עבור מי להצביע? </t>
    </r>
    <r>
      <rPr>
        <b/>
        <sz val="11"/>
        <color theme="1"/>
        <rFont val="Calibri"/>
        <family val="2"/>
        <scheme val="minor"/>
      </rPr>
      <t>מצבך האישי כיום</t>
    </r>
  </si>
  <si>
    <t>i2</t>
  </si>
  <si>
    <r>
      <t xml:space="preserve">באיזו מידה כל אחד מהמצבים הבאים מהווה איום בעיניך: </t>
    </r>
    <r>
      <rPr>
        <b/>
        <sz val="11"/>
        <color theme="1"/>
        <rFont val="Calibri"/>
        <family val="2"/>
        <scheme val="minor"/>
      </rPr>
      <t>מדינת הלכה</t>
    </r>
  </si>
  <si>
    <r>
      <t xml:space="preserve">באיזו מידה כל אחד מהמצבים הבאים מהווה איום בעיניך: </t>
    </r>
    <r>
      <rPr>
        <b/>
        <sz val="11"/>
        <color theme="1"/>
        <rFont val="Calibri"/>
        <family val="2"/>
        <scheme val="minor"/>
      </rPr>
      <t>מספר שווה של יהודים וערבים במדינה</t>
    </r>
  </si>
  <si>
    <r>
      <t xml:space="preserve">באיזו מידה כל אחד מהמצבים הבאים מהווה איום בעיניך: </t>
    </r>
    <r>
      <rPr>
        <b/>
        <sz val="11"/>
        <color theme="1"/>
        <rFont val="Calibri"/>
        <family val="2"/>
        <scheme val="minor"/>
      </rPr>
      <t>הפרדת דת ומדינה</t>
    </r>
  </si>
  <si>
    <r>
      <t xml:space="preserve">באיזו מידה כל אחד מהמצבים הבאים מהווה איום בעיניך: </t>
    </r>
    <r>
      <rPr>
        <b/>
        <sz val="11"/>
        <color theme="1"/>
        <rFont val="Calibri"/>
        <family val="2"/>
        <scheme val="minor"/>
      </rPr>
      <t>הפסקת הסיוע מארה"ב</t>
    </r>
  </si>
  <si>
    <r>
      <t xml:space="preserve">מהם הסיכויים שיתקיים כל אחד מהמצבים הבאים בעתיד הנראה לעין: </t>
    </r>
    <r>
      <rPr>
        <b/>
        <sz val="11"/>
        <color theme="1"/>
        <rFont val="Calibri"/>
        <family val="2"/>
        <scheme val="minor"/>
      </rPr>
      <t>מדינת הלכה</t>
    </r>
  </si>
  <si>
    <r>
      <t xml:space="preserve">מהם הסיכויים שיתקיים כל אחד מהמצבים הבאים בעתיד הנראה לעין: </t>
    </r>
    <r>
      <rPr>
        <b/>
        <sz val="11"/>
        <color theme="1"/>
        <rFont val="Calibri"/>
        <family val="2"/>
        <scheme val="minor"/>
      </rPr>
      <t>הפרדת דת ומדינה</t>
    </r>
  </si>
  <si>
    <r>
      <t xml:space="preserve">מהם הסיכויים שיתקיים כל אחד מהמצבים הבאים בעתיד הנראה לעין: </t>
    </r>
    <r>
      <rPr>
        <b/>
        <sz val="11"/>
        <color theme="1"/>
        <rFont val="Calibri"/>
        <family val="2"/>
        <scheme val="minor"/>
      </rPr>
      <t>החזרת שטחים</t>
    </r>
  </si>
  <si>
    <r>
      <t xml:space="preserve">מהם הסיכויים שיתקיים כל אחד מהמצבים הבאים בעתיד הנראה לעין: </t>
    </r>
    <r>
      <rPr>
        <b/>
        <sz val="11"/>
        <color theme="1"/>
        <rFont val="Calibri"/>
        <family val="2"/>
        <scheme val="minor"/>
      </rPr>
      <t>מספר שווה של יהודים וערבים במדינה</t>
    </r>
  </si>
  <si>
    <r>
      <t xml:space="preserve">מהם הסיכויים שיתקיים כל אחד מהמצבים הבאים בעתיד הנראה לעין: </t>
    </r>
    <r>
      <rPr>
        <b/>
        <sz val="11"/>
        <color theme="1"/>
        <rFont val="Calibri"/>
        <family val="2"/>
        <scheme val="minor"/>
      </rPr>
      <t>הפסקת הסיוע של ארה"ב</t>
    </r>
  </si>
  <si>
    <r>
      <t xml:space="preserve">מהם הסיכויים שיתקיים כל אחד מהמצבים הבאים בעתיד הנראה לעין: </t>
    </r>
    <r>
      <rPr>
        <b/>
        <sz val="11"/>
        <color theme="1"/>
        <rFont val="Calibri"/>
        <family val="2"/>
        <scheme val="minor"/>
      </rPr>
      <t>משטר לא דמוקרטי בישראל</t>
    </r>
  </si>
  <si>
    <t>i30</t>
  </si>
  <si>
    <t>איזו מפלגה היית רוצה שתקים את ההממשלה הבאה?</t>
  </si>
  <si>
    <t>האם אתה מחובר לטלוויזיה בכבלים?</t>
  </si>
  <si>
    <t>האם אתה קולט את ערוץ 2?</t>
  </si>
  <si>
    <t>האם יש לך מכשיר וידאו בביתך?</t>
  </si>
  <si>
    <t>האם אתה חבר הסתדרות?</t>
  </si>
  <si>
    <t>האם שירתת בצה"ל או שהינך משרת בצה"ל?</t>
  </si>
  <si>
    <t>v2</t>
  </si>
  <si>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זוכי זכותנו על הארץ</t>
    </r>
  </si>
  <si>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מונעת הקמת מדינה פלסטינית שתסכן את ביטחוננו</t>
    </r>
  </si>
  <si>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מעניקה עומק אסטרטגי במקרה של מלחמה בחזית המזרחית</t>
    </r>
  </si>
  <si>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מאפשרת מטבע למיקוח במו"מ לשלום עם ירדן</t>
    </r>
  </si>
  <si>
    <t>לפניך סולם בן 7 דרגות. דרגה "1" מייצגת את הדעה האומרת שההתיישבות ביו"ש ועזה תורמת לבטחון המדינה בעצם הנוכחות והפעילות של האנשים, ואילו דרגה "7" מייצגת את הדעה הטוענת שההתיישבות ביו"ש פוגעת בבטחון, כי היא מחייבת את צה"ל להגן על היישובים. באיזה סולם היית מדרג את עמדתך?</t>
  </si>
  <si>
    <t>את דעתו של מי צריכים לשמוע לגבי עתיד השטחים? מבין הגורמים הבאים ציין את הגורם העיקרי אשר את דעתו צריך לשמוע</t>
  </si>
  <si>
    <t xml:space="preserve">האם לדעתך אוטונומיה לפלסטינים בשטחים תביא בסופו של דבר: </t>
  </si>
  <si>
    <t>איזה חלק מההכנסה של משק הבית מהווה ההכנסה שלך?</t>
  </si>
  <si>
    <t>1987*</t>
  </si>
  <si>
    <t>האם לפי דעתך יש או אין להקים להקים אוטונומיה פלסטינית ביו"ש ועזה?</t>
  </si>
  <si>
    <t xml:space="preserve">האם לדעתך אפשר או אי אפשר לחסל את הטרור הערבי ע"י פעילות צבאית בלבד? </t>
  </si>
  <si>
    <t>למלחמה בטרור יש כיוונים שונים. מה מבין הדברים הבאים צריך להיות לדעתך הכיוון העיקרי?</t>
  </si>
  <si>
    <t>אם המחבלים ישובו לבפגיז את ישובי הצפון בקטיושות, מה לדעתך תהיה תגובה המתאימה?</t>
  </si>
  <si>
    <t>בהתחשב בכל הגורמים הקשורים למלחמת לבנון - המחיר שישראל שילמה והתוצאות שהיא השיגה. האם בסה"כ היה כדאי או לא כדאי לצאת למלחמת לבנון כפי שהיא בוצעה?</t>
  </si>
  <si>
    <t>האם באופן עקרוני אתה בעד או נגד עונש מוות למחבלים?</t>
  </si>
  <si>
    <r>
      <t xml:space="preserve">במלחמה נגד הטרור אפשר לנקוט במספר פעולות, באיזו מידה אתה תומך בכל אחת מהפעולות הבאות או מתנגד להן: </t>
    </r>
    <r>
      <rPr>
        <b/>
        <sz val="11"/>
        <color theme="1"/>
        <rFont val="Calibri"/>
        <family val="2"/>
        <scheme val="minor"/>
      </rPr>
      <t>הריסת בתים שבעליהם איכסנו מחבלים וידעו שהם מחבלים</t>
    </r>
  </si>
  <si>
    <t>גירוש אנשים שקיימו קשרים עם אירגוני מחבלים</t>
  </si>
  <si>
    <t>פעולות תגמול נגד בסיסי מחבלים רק בתנאי שהן לא מסכנות אזרחים ערבים</t>
  </si>
  <si>
    <t>הפצצת בסיסי מחבלים מעבר לגבול גם אם במהלכן יפגעו אזרחים</t>
  </si>
  <si>
    <t>פעולות טרור נגדי המיועדות לפגיעה במנהיגי המחבלים</t>
  </si>
  <si>
    <t>פעולות גמול נגד מדינות הנותנות חסות למבצעי פעולות טרור</t>
  </si>
  <si>
    <t>האם בדר"כ היית מסכים או מתנגד שישראל תשחרר מחבלים שנידונו למאסר עולם כדי להציל את חיי אזרחים ישראלים שמוחזקים כבני ערובה?</t>
  </si>
  <si>
    <t>האם בדר"כ היית מסכים או מתנגד שישראל תשחרר מחבלים שנידונו למאסר עולם כדי לשחרר חיילי צה"ל המוחזקים ע"י ארגונים עוינים?</t>
  </si>
  <si>
    <r>
      <t xml:space="preserve">האם מוצדק או לא מוצדק לצאת למלחמה יזומה בכל אחד מהמצבים/תנאים הבאים: </t>
    </r>
    <r>
      <rPr>
        <b/>
        <sz val="11"/>
        <color theme="1"/>
        <rFont val="Calibri"/>
        <family val="2"/>
        <scheme val="minor"/>
      </rPr>
      <t>כפועל התגוננות כדי למנוע נסיון להשמיד את המדינה</t>
    </r>
  </si>
  <si>
    <t>כדי למנוע נסיון כיבוש בחזרה של שטחים שנלקחו על ידינו</t>
  </si>
  <si>
    <t>כדי למנוע או להפסיק מלחמת התשה המנוהלת נגדנו</t>
  </si>
  <si>
    <t>כדי להרוס את כוחו הצבאי של אויב מתעצם בהתמדה וכך למנוע ממנו יכולת לאיים על ישראל בעתיד</t>
  </si>
  <si>
    <t>כדי להפיל משטר עוין ולסייע להקמת משטר אוהד שיחתום הסכם שלום איתנו</t>
  </si>
  <si>
    <t>כדי לכבוש שטחים חשובים שיסייעו לנו מבחינה בטחונית</t>
  </si>
  <si>
    <t>בעקבות ידיעות על כוונות המדינות השכנות לפתוח בתקריות גבול</t>
  </si>
  <si>
    <t>בעקבות בקשה מצד ארה"ב לסייע לה להגן על האינטרסים שלה באזור</t>
  </si>
  <si>
    <t xml:space="preserve">כדי לסייע לגורמים ידידותיים באזור </t>
  </si>
  <si>
    <t>כדי לחסל תשתית של טרור המכוון נגדנו</t>
  </si>
  <si>
    <t>האם ישראל צריכה או לא צריכה לדעתך לפתח נשק גרעיני?</t>
  </si>
  <si>
    <t>האם יש תנאים בהם יהיה מוצדק שישראל תשתמש בנשק גרעיני, אם אכן יהיה לה נשק כזה, או שבשום תנאי אסור לישראל להשתמש בנשק גרעיני?</t>
  </si>
  <si>
    <r>
      <t xml:space="preserve">האם מוצדק או לא מוצדק שישראל תשתמש בנשק גרעיני בכל אחד מהתנאים הבאים: </t>
    </r>
    <r>
      <rPr>
        <b/>
        <sz val="11"/>
        <color theme="1"/>
        <rFont val="Calibri"/>
        <family val="2"/>
        <scheme val="minor"/>
      </rPr>
      <t>כתגובה על התקפה גרעינית מצד מדינה אחרת</t>
    </r>
  </si>
  <si>
    <t>במצאי יאוש - כדי למנוע תבוסה במלחמה קונבנציונלית</t>
  </si>
  <si>
    <t>כדי לחסוך חיים של אנשים רבים</t>
  </si>
  <si>
    <t>כדי לחסוך חיים של מספר קטן של אנשים</t>
  </si>
  <si>
    <t>כאמצעי לחימה במקום להפעיל צבא רגיל</t>
  </si>
  <si>
    <t>האם אתה חושב שלישראל יש או אין נשק גרעיני?</t>
  </si>
  <si>
    <t>בהנחה שיש בידי ישראל נשק גרעיני, מה עדיף: להמשיך ולשמור על קיומו בסוד או להצהיר על כך בגלוי לצורך הרתעת האויב?</t>
  </si>
  <si>
    <r>
      <t>באיזו מידה אתה מסכים או לא מסכים:</t>
    </r>
    <r>
      <rPr>
        <b/>
        <sz val="11"/>
        <color theme="1"/>
        <rFont val="Calibri"/>
        <family val="2"/>
        <scheme val="minor"/>
      </rPr>
      <t xml:space="preserve"> צריך להיכנס לתהליך מדיני של הסכמי שלום מיד, אפילו במחיר של ויתורים טריטוריאליים</t>
    </r>
  </si>
  <si>
    <r>
      <t xml:space="preserve">באיזה מידה אתה מסכים או לא מסכים עם כל אחת מהדעות הבאות: </t>
    </r>
    <r>
      <rPr>
        <b/>
        <sz val="11"/>
        <color theme="1"/>
        <rFont val="Calibri"/>
        <family val="2"/>
        <scheme val="minor"/>
      </rPr>
      <t>צריך להקריב קורבנות בתחום האישי, הכלכלי והחברתי כדי לשמור על עצמתנו, במידה שתספיק לקיום ביטחוננו</t>
    </r>
  </si>
  <si>
    <r>
      <t xml:space="preserve">באיזה מידה אתה מסכים או לא מסכים עם כל אחת מהדעות הבאות: </t>
    </r>
    <r>
      <rPr>
        <b/>
        <sz val="11"/>
        <color theme="1"/>
        <rFont val="Calibri"/>
        <family val="2"/>
        <scheme val="minor"/>
      </rPr>
      <t>צריך לעבור לפיתוח נשק גרעיני כדי להרתיע את הערבים</t>
    </r>
  </si>
  <si>
    <r>
      <t xml:space="preserve">באיזה מידה אתה מסכים או לא מסכים עם כל אחת מהדעות הבאות: </t>
    </r>
    <r>
      <rPr>
        <b/>
        <sz val="11"/>
        <color theme="1"/>
        <rFont val="Calibri"/>
        <family val="2"/>
        <scheme val="minor"/>
      </rPr>
      <t>צריך לכרות ברית הגנה עם ארה"ב כדי שהערבים לא יתקיפו אותנו</t>
    </r>
  </si>
  <si>
    <r>
      <t xml:space="preserve">מבין המדינות והקבוצות הבאות, ציין את השתיים שהן האויב המסוכן ביותר לישראל ודרג אותן לפי סדר חשיבותן: </t>
    </r>
    <r>
      <rPr>
        <b/>
        <sz val="11"/>
        <color theme="1"/>
        <rFont val="Calibri"/>
        <family val="2"/>
        <scheme val="minor"/>
      </rPr>
      <t>האויב המסוכן ביותר</t>
    </r>
  </si>
  <si>
    <t>v701</t>
  </si>
  <si>
    <t>האם היום, שמונה שנים מאז חתימת הסכם השלום עם מצרים, אתה מחייב או שולל את חתימתו?</t>
  </si>
  <si>
    <t>האם בעת שנחתם הסכם השלום (עם מצרים) היית בעד או נגד חתימתו?</t>
  </si>
  <si>
    <r>
      <t xml:space="preserve">לפניך רשימת דעות בנושאים שונים. ציין באיזו מידה אתה מסכים או מתנגד לכל אחת מהן: </t>
    </r>
    <r>
      <rPr>
        <b/>
        <sz val="11"/>
        <color theme="1"/>
        <rFont val="Calibri"/>
        <family val="2"/>
        <scheme val="minor"/>
      </rPr>
      <t>מבין כל ההשקפות הקיימות בעולם כנראה שיש רק אחת בלבד שהיא נכונה</t>
    </r>
  </si>
  <si>
    <t>אין אף מצב בו נראה כי עדיף שאנשים יקחו בעצם את החוק לידיים</t>
  </si>
  <si>
    <t>במצבים בהם יש ניגוד אינטרסים בין טובת הכלל וטובת הפרט במדינה יש בדר"כ להעדיף את טובת הפרט</t>
  </si>
  <si>
    <t>לא להחזיר שטחים מא"י הוא בחזקת יהרג ובל יעבור</t>
  </si>
  <si>
    <t>אלוהים ישמור עלינו אם נהיה ראויים לכך אפילו אם לא נהיה מוכנים למלחמה הבאה</t>
  </si>
  <si>
    <t>באיזו מידה אתה מאמין או לא מאמין בעתיד קיומנו בארץ לטווח ארוך?</t>
  </si>
  <si>
    <t>התגברות פעולות הטרור של ארגוני המחבלים</t>
  </si>
  <si>
    <t>מרד של הערביי השטחים (יו"ש ועזה)</t>
  </si>
  <si>
    <t>שברה"מ תסייע מאסיבית למדינות ערב במלחמה נגדנו</t>
  </si>
  <si>
    <t>כיצד אתה מעריך את גודל הסכנה הממשית שמדינת ישראל תושמד?</t>
  </si>
  <si>
    <t>מי לדעתך יטפל טוב יותר בבעיית החוץ והביטחון של המדינה?</t>
  </si>
  <si>
    <t>האם מדיניות החוץ והבטחון של ישראל היא מדיניות רציונאלית (מונחית בעיקר ע"פ שיקולים הגיוניים) או לא רציונאלית (מונחית בעיקר ע"פ רגש ואמונה)?</t>
  </si>
  <si>
    <t>האם מדיניות החוץ והבטחון של מדינות ערב היא רציונאלית או לא רציונאלית?</t>
  </si>
  <si>
    <r>
      <t xml:space="preserve">באיזו מידה מהווים כל אחד מהגורמים הבאים סיבה להתנגדות הערבים למדינת ישראל: </t>
    </r>
    <r>
      <rPr>
        <b/>
        <sz val="11"/>
        <color theme="1"/>
        <rFont val="Calibri"/>
        <family val="2"/>
        <scheme val="minor"/>
      </rPr>
      <t>קיימת בקרבם שנאת יהודים</t>
    </r>
  </si>
  <si>
    <t>מדינת ישראל נתפשת אצלם כנטע זר במזרח התיכון וכ"עצם בגרון"</t>
  </si>
  <si>
    <t>היתרונות הטכנולוגיים והאיכותיים שלנו מפחידים אותם</t>
  </si>
  <si>
    <t>הם רואים בכל אדמות ישראל אדמות ערביות שיש להחזירן לבעליהן</t>
  </si>
  <si>
    <t>הם רוצים רק לשחרר את השטחים שנכבשו ב-67</t>
  </si>
  <si>
    <t>הם פוחדים מתוקפנות ישראלית כלפיהם בעתיד</t>
  </si>
  <si>
    <r>
      <t xml:space="preserve">מבין כל הגורמים הנ"ל, ציין את שני הגורמים העיקריים להתנגדות הערבים למדינת ישראל ודרג אותם לפי סדר חשיבותם: </t>
    </r>
    <r>
      <rPr>
        <b/>
        <sz val="11"/>
        <color theme="1"/>
        <rFont val="Calibri"/>
        <family val="2"/>
        <scheme val="minor"/>
      </rPr>
      <t>הגורם העיקרי</t>
    </r>
  </si>
  <si>
    <r>
      <t xml:space="preserve">מבין כל הגורמים הנ"ל, ציין את שני הגורמים העיקריים להתנגדות הערבים למדינת ישראל ודרג אותם לפי סדר חשיבותם: </t>
    </r>
    <r>
      <rPr>
        <b/>
        <sz val="11"/>
        <color theme="1"/>
        <rFont val="Calibri"/>
        <family val="2"/>
        <scheme val="minor"/>
      </rPr>
      <t>גורם משני</t>
    </r>
  </si>
  <si>
    <t>v991</t>
  </si>
  <si>
    <t>האם אתה מוכן או לא מוכן שיאריכו את שרות החובה בצבא כך שגם אתה או ילדיך או ילדי משפחתך הקרובה יצטרכו לשרת יותר?</t>
  </si>
  <si>
    <t>האם אתה מוכן או לא מוכן שיאריכו את שרות המילואים כך שגם אתה או בני משפחתך הקרובים תשרתו יותר ימי מילואים?</t>
  </si>
  <si>
    <t>האם נטל השירות הצבאי מתחלק באופן צודק או לא צודק?</t>
  </si>
  <si>
    <t>ממה שאתה שומע או מתרשם, האם שרות המילואים מנוצל ביעילות או מבוזבז?</t>
  </si>
  <si>
    <t>האם משך שרות החובה בצה"ל ארוך מדי, במידה הנכונה או קצר מדי?</t>
  </si>
  <si>
    <t>האם לדעתך יש לקצץ את תקציב הבטחון, להשאירו כמו שהוא או להגדיל אותו?</t>
  </si>
  <si>
    <t>אם המצב הכלכלי יחמיר ביותר והמשק יהיה בשפל, האם אז יש לקצץ את תקציב הבטחון, להשאירו כמו שהוא או להגדילו?</t>
  </si>
  <si>
    <t>האם מוצדק או לא מוצדק לדעתך לקצץ בשירותים חברתיים כדי להגדיל את תקציב הבטחון?</t>
  </si>
  <si>
    <t>האם בחמש השנים האחרונות חלה לדעתך שחיקה בעוצמתו של צה"ל או שצה"ל דווקא התחזק?</t>
  </si>
  <si>
    <t>מי צריך מהגופים הבאים להיות הקובע העיקרי, מה תהיינה מערכות הנשק העתידיות של צה"ל?</t>
  </si>
  <si>
    <t>באופן עקרוני, האם אתה בעד או נגד המשך פרויקט הלביא?</t>
  </si>
  <si>
    <t>האם לדעתך ההחלטות של פיקוד צה"ל בעניינים צבאיים מושפעות רק משיקולים עניינים אובייקטיביים או גם משיקולים אחרים?</t>
  </si>
  <si>
    <t>מי מבין הגופים הבאים קובע בפועל את מדיניות הבטחון של ישראל במידה הרבה ביותר?</t>
  </si>
  <si>
    <t>יש הטוענים כי יש להתייחס לבטחון הלאומי כאל מטרה העומדת מעל כל נושא אחר ולהעדיף שיקולים בטחוניים על פני שיקולים כלכליים או חברתיים. לעומתם יש אחרים הטוענים כי נושא הבטחון או אמנם חשוב אך העדפתו בכל תנאי על פני כל עניין אחר אינה רצויה ועלולה להזיק יותר מאשר להועיל. להלן סולם בן 7 דרגות, שבקצוותיו שתי עמדות אלו, והדרגות האחרות הן דרגות ביניים. היכן על הסולם היית ממקם את עמדתך?</t>
  </si>
  <si>
    <t>באיזו מידה לדעתך ההנהגה הפוליטית הנוכחית שלנו מעדיפה שיקולים בטחוניים על פני השמירה על עקרון שלטון החוק או להפך, שיקולים של שלטון החוק על פני האינטרס הבטחוני?</t>
  </si>
  <si>
    <t>ומה באשר להנהגה הפוליטית שהקימה את המדינה, אילו שיקולים היא נטתה להעדיף?</t>
  </si>
  <si>
    <t>האם לדעתך יש כיום פיקוח מספיק על שרותי הבטחון (שב"כ ומוסד)?</t>
  </si>
  <si>
    <r>
      <t xml:space="preserve">לפניך רשימה של אמרות וביטויים שגורים המתייחסים למצב העם והמדינה. ציין לגבי כל אחד מהם באיזו מידה אתה מסכים או מתנגד לו: </t>
    </r>
    <r>
      <rPr>
        <b/>
        <sz val="11"/>
        <color theme="1"/>
        <rFont val="Calibri"/>
        <family val="2"/>
        <scheme val="minor"/>
      </rPr>
      <t>לא ינום ולא יישן שומר ישראל</t>
    </r>
  </si>
  <si>
    <t>שנית מצדה לא תיפול</t>
  </si>
  <si>
    <t>העולם כולו נגדנו</t>
  </si>
  <si>
    <t>נצח ישראל לא ישקר</t>
  </si>
  <si>
    <t>ישראל הינה ותמשיך להיות בחזקת "עם לבדד ישכון"</t>
  </si>
  <si>
    <t>טוב למות בעד ארצנו</t>
  </si>
  <si>
    <t>הקם להורגך השכם להורגו</t>
  </si>
  <si>
    <t>ההגנה הטובה ביותר היא ההתקפה</t>
  </si>
  <si>
    <t>נצחון צבאי תורם לקידום השלום</t>
  </si>
  <si>
    <t>ישנו פתגם האומר "לא ינום ולא יישן שומר ישראל". אל מי אתה מתייחס כאל "שומר ישראל"? על מי עם ישראל יכול לסמוך לדעתך?</t>
  </si>
  <si>
    <t>ישראל ידועה כספקית נשק למדינות רבות בעולם, כולל מדינות לא דמוקרטיות ואף מדינות עוינות לנו, כמו איראן. מה לדעתך המדיניות הרצויה לישראל בתחום זה?</t>
  </si>
  <si>
    <t>חשוב על מצב בו הממשלה יושבת להחליט על יציאה למלחמה, האם לדעתך היא צריכה או אינה צריכה להתחשב בדעתו של הציבור בנושא זה?</t>
  </si>
  <si>
    <t>האם לדעתך הכרחי או לא הכרחי לתמוך בממשלה בזמן משבר בטחוני, כמו מלחמה, גם כאשר לא מסכימים עם דרכה?</t>
  </si>
  <si>
    <r>
      <t xml:space="preserve">נתייחס עתה לאיש צבא בכיר שלא מסכים עם המדיניות הננקטת ע"י הממשלה - מה מבין הדברים הבאים מותר לו לעשות ומה אסור לו לעשות לדעתך: </t>
    </r>
    <r>
      <rPr>
        <b/>
        <sz val="11"/>
        <color theme="1"/>
        <rFont val="Calibri"/>
        <family val="2"/>
        <scheme val="minor"/>
      </rPr>
      <t>האם מותר או אסור לו לדבר עם הממונים עליו בצבא על כך שאינו מסכים עם מדיניות הממשלה?</t>
    </r>
  </si>
  <si>
    <t>לשלוח מכתבים בעילום שם לעיתונות?</t>
  </si>
  <si>
    <t>להתבטא בעניין בגלוי באמצעי התקשורת?</t>
  </si>
  <si>
    <t>לבקש שחרור מתפקידו עקב כך?</t>
  </si>
  <si>
    <t>לסרב למלא אחר צווים המוצאים עקב המדיניות?</t>
  </si>
  <si>
    <t>האם לדעתך אמצעי התקשורת עוסקים בנושא הבטחון בצורה אחראית או בלתי אחראית?</t>
  </si>
  <si>
    <t>האם אמצעי התקשורת עוסקים בנושא הבטחון במידה מתאימה, פחות מדי או יותר מדי?</t>
  </si>
  <si>
    <t>עד כמה אתה סומך או לא סומך על הצהרותיהם של מנהיגי המדינה בנושאי בטחון?</t>
  </si>
  <si>
    <t>האם לדעתך ההחלטות של המנהיגים הפוליטיים בענייני בטחון מושפעות משיקולים עניינים או גם משיקולים אחרים?</t>
  </si>
  <si>
    <t>באיזו מידה הציבור מבין או לא מבין מספיק בענייני בטחון כדי לחוות דעה בנושאים אלו?</t>
  </si>
  <si>
    <t>באיזו מידה אתה נוהג או לא נוהג להביע את דעתך בנושאי בטחון בדרכים שונות, כגון שיחות עם בני משפחה וחברים, כתיבת מכתבים למערכת העיתונים, חתומה על עצומות ועוד?</t>
  </si>
  <si>
    <t>באיזו מידה אתה מבין או לא מבין בנושאי בטחון כדי לחוות דעה?</t>
  </si>
  <si>
    <t>לפניך רשימת טיעונים בנושאים שונים. ציין באיזו מידה אתה מסכים או מתנגד לכל אחת מהן: בחיי היומיום שלי מטרות שחשובות לי מאד מקדשות את האמצעים</t>
  </si>
  <si>
    <t>הביקורות הנשמעות בעולם על ישראל נובעות בעיקר מאנטישמיות</t>
  </si>
  <si>
    <t>בניהול מדיניותה צריכה ישראל להתחשב בדעות הגויים</t>
  </si>
  <si>
    <t>מספר מנהיגים חזקים יכולים להועיל למדינה יותר מכל הדיונים והחוקים</t>
  </si>
  <si>
    <t>למיטב ידיעתך, איזו מדינה מייצרת את מטוס ה-F-16?</t>
  </si>
  <si>
    <t>מהו גודל הסיוע הצבאי השוטף של ארה"ב לישראל כיום?</t>
  </si>
  <si>
    <t>האם יש לצה"ל צוללות?</t>
  </si>
  <si>
    <t>כמה מחבלים שוחררו ע"י ישראל במסגרת עסקת חילופי שבויים עם ארגונו של ג'יבריל ב-1985?</t>
  </si>
  <si>
    <t xml:space="preserve">האם לערביי יו"ש ועזה יש זכות לפנות לבג"ץ? </t>
  </si>
  <si>
    <t>האם לערביי יו"ש ועזה יש זכות הצבעה לכנסת?</t>
  </si>
  <si>
    <t>יש האומרים שאפשר לתת אמון ברוב האנשים ואילו יש האומרים שצריכים להיות זהירים מאוד במגע עם אנשים. כיצד אתה מרגיש?</t>
  </si>
  <si>
    <t>האם לדעתך רוב האנשים נוטים יותר לעזור לאחרים או לדאוג לעצמם?</t>
  </si>
  <si>
    <t>לפניך רשימה של ערכים. עבור על כל הרשימה וציין מביניהם את הערך החשוב לך ביותר.</t>
  </si>
  <si>
    <t>איזה מהמשפטים הבאים משקף בצורה הטובה ביותר את עמדתך לגבי החברה בה אנו חיים?</t>
  </si>
  <si>
    <r>
      <t xml:space="preserve">באיזו מידה אתה מסכים או מתנגד לכל אחד מהמשפטים הבאים: </t>
    </r>
    <r>
      <rPr>
        <b/>
        <sz val="11"/>
        <color theme="1"/>
        <rFont val="Calibri"/>
        <family val="2"/>
        <scheme val="minor"/>
      </rPr>
      <t>אם אדם לא דואג לעצמו, אף אחד לא ידאג לו</t>
    </r>
  </si>
  <si>
    <t>החיים הם בעיקרם מאבק להמשיך ולהתקיים</t>
  </si>
  <si>
    <t>פשרה עם יריבים פוליטיים מסוכנת כי בדר"כ היא מביאה לבגידה בעקרונות</t>
  </si>
  <si>
    <t>קבוצה המאפשרת הבדלי דעות מרובים מדי בין חבריה איננה יכולה להתקיים זמן רב</t>
  </si>
  <si>
    <t>ההשקפות בעולם נחלקות לשתי קבוצות: אלו שהן נכונות ואלו שאינן נכונות. בהתאם לכך נחלקים גם האנשים לשתי קבוצות: אלו התומכים בהשקפות נכונות ואלו התומכים בהשקפות לא נכונות</t>
  </si>
  <si>
    <t>רוב הרעיונות הנכתבים כיום אינם שווים את הנייר עליו הם מודפסים</t>
  </si>
  <si>
    <t>לטווח הארוך, הדרך הטובה ביותר היא לבחור חברים ושותפים שדעותיהם וטעמיהם זהים לשלך</t>
  </si>
  <si>
    <t>רוב האנשים לא יודעים מה טוב בשבילם</t>
  </si>
  <si>
    <t>מהי הרגשתך לגבי ארה"ב? האם יש לך דעה טובה או רעה עליה?</t>
  </si>
  <si>
    <t>לאן, בכל זאת נוטה דעתך לגבי ארה"ב, לכיוון דעה טובה או לכיוון דעה רעה?</t>
  </si>
  <si>
    <t>כיצד היית מתאר את היחסים הנוכחיים בין ישראל לארה"ב?</t>
  </si>
  <si>
    <t>באיזו מידה ישראל יכולה לסמוך לדעתך על ארה"ב כספקית נשק?</t>
  </si>
  <si>
    <t>האם מוצדק או לא מוצדק לדעתך שישראל תרגל בארה"ב לשם השגת מידע החיוני לבטחוננו?</t>
  </si>
  <si>
    <t>האם מוצדק או לא מוצדק לדעתך שארה"ב תרגל בישראל לשם השגת מידע החיוני לבטחונה?</t>
  </si>
  <si>
    <t>לפניך סולם בן 7 דרגות המתאר את הסיכויים לפריצת מלחמת עולם במהלך 10 השנים הקרובות. מהי הערכתך שלך?</t>
  </si>
  <si>
    <t>באיזו מידה אתה מרוצה או לא מרוצה מהחיים שאתה מנהל?</t>
  </si>
  <si>
    <t>באיזו שנה השתתפת לראשונה בבחירות לכנסת?</t>
  </si>
  <si>
    <t>עבור איזו מפלגה הצבעת בפעם הראשונה שבה השתתפת בבחירות לכנסת?</t>
  </si>
  <si>
    <t>עבור איזו מפלגה הצביע אביך בבחירות האחרונות לכנסת?</t>
  </si>
  <si>
    <t>עבור איזו מפלגה הצביעה אימך בבחירות האחרונות לכנסת?</t>
  </si>
  <si>
    <t>עבור איזו מפלגה הצביע/ה בן/בת זוגך בבחירות האחרונות לכנסת?</t>
  </si>
  <si>
    <t>האם אתה חושב שאתה מושפע מהדרך שבה בני משפחתך האחרים מצביעים?</t>
  </si>
  <si>
    <t>מי מבני משפחתך השפיע במידה הרבה ביותר לדעתך על דרך הצבעתך?</t>
  </si>
  <si>
    <t>מי מבין הקבוצות החברתיות הבאות משפיעה לדעתך במידה הרבה ביותר על דרך הצבעתך?</t>
  </si>
  <si>
    <t>באיזו מידה חשוב או לא חשוב לך שלא להחשב חריג בקרב בני משפחתך באשר לעמדותיך הפוליטיות?</t>
  </si>
  <si>
    <t>עם מי מבני משפחתך הינך משוחח כיום על עניינים פוליטיים במידה הרבה ביותר?</t>
  </si>
  <si>
    <t>בתקופה בה התגוררת בבית הוריך, עם מי נהגת לשוחח על עניינים פוליטיים במידה הרבה ביותר?</t>
  </si>
  <si>
    <t>כאשר יש לך עמדה ברורה בנושא מסויים, האם אתה מנסה לשכנע את בני משפחתך, חבריך ועמיתך לעבודה בצדקת עמדתך?</t>
  </si>
  <si>
    <t>האם אתה רוצה או לא רוצה לחיות בארץ לטווח הארוך?</t>
  </si>
  <si>
    <t>מה מבין הדברים הבאים הוא הגורם העיקרי לדעתך המעורר ספיקות בקשר לרצון לחיות בארץ אצל אותם אנשים בהם מתעוררים ספיקות אלה?</t>
  </si>
  <si>
    <t>סה"כ איך היית מתאר את הרגשתך כיום - האם היית אומר שאתה מאושר מאוד, די מאושר, או לא כ"כ מאושר?</t>
  </si>
  <si>
    <t>האם אתה משרת כיום במילואים?</t>
  </si>
  <si>
    <t>כמה ימי מילואים שירתת בשנה האחרונה?</t>
  </si>
  <si>
    <t>האם במילואים אתה משרת/שירתת בתפקיד קרבי או לא קרבי?</t>
  </si>
  <si>
    <t>כמה שנים שיררת בשירות סדיר?</t>
  </si>
  <si>
    <t>האם בשירות הסדיר היית בתפקיד קרבי או לא קרבי?</t>
  </si>
  <si>
    <t>מהי דרגתך הצבאית כיום או באיזו דרגה השתחררת משירות מילואים?</t>
  </si>
  <si>
    <t>האם נלחמת באחת או יותר ממלחמות ישראל?</t>
  </si>
  <si>
    <t>באיזו מידה היית מרוצה או לא מרוצה משרותך הצבאי?</t>
  </si>
  <si>
    <t>מאיזו סיבה לא שירתת בצה"ל?</t>
  </si>
  <si>
    <t>האם בן משפחה קרוב שלך משרת כיום בצה"ל?</t>
  </si>
  <si>
    <t>a100</t>
  </si>
  <si>
    <r>
      <t xml:space="preserve">האם יש לך ילדים בקבוצת הגיל הבאה: </t>
    </r>
    <r>
      <rPr>
        <b/>
        <sz val="11"/>
        <color theme="1"/>
        <rFont val="Calibri"/>
        <family val="2"/>
        <scheme val="minor"/>
      </rPr>
      <t>עד גיל 16</t>
    </r>
  </si>
  <si>
    <r>
      <t xml:space="preserve">האם יש לך ילדים בקבוצת הגיל הבאה: </t>
    </r>
    <r>
      <rPr>
        <b/>
        <sz val="11"/>
        <color theme="1"/>
        <rFont val="Calibri"/>
        <family val="2"/>
        <scheme val="minor"/>
      </rPr>
      <t>16-18</t>
    </r>
  </si>
  <si>
    <r>
      <t xml:space="preserve">האם יש לך ילדים בקבוצת הגיל הבאה: </t>
    </r>
    <r>
      <rPr>
        <b/>
        <sz val="11"/>
        <color theme="1"/>
        <rFont val="Calibri"/>
        <family val="2"/>
        <scheme val="minor"/>
      </rPr>
      <t>19-23</t>
    </r>
  </si>
  <si>
    <t>a111</t>
  </si>
  <si>
    <t>האם אתה קורא ספרות בנושאים בטחוניים?</t>
  </si>
  <si>
    <t>כאשר אתה נפגש עם חבריך, האם אתם דנים על עניינים פוליטיים?</t>
  </si>
  <si>
    <t>האם תקופות מלחמת העולם ה-2 היית באחת מארצות אירופה שהיו תחת כיבוש נאצי?</t>
  </si>
  <si>
    <t>האם מישהו מבני משפחתך הקרובה עבר חלילה את השואה בארץ שהייתה תחת כיבוש נאצי?</t>
  </si>
  <si>
    <t>האם מישהו מבני משפחתך הקרובה נפטר או נפגע קשה חלילה בשואה?</t>
  </si>
  <si>
    <t>האם אתה או מישהו מבני משפחתך נפצע חלילה בשירות בצה"ל?</t>
  </si>
  <si>
    <t>האם מישהו מבני משפחתך נהרג חלילה בשירות בצה"ל?</t>
  </si>
  <si>
    <t>1988*</t>
  </si>
  <si>
    <t>b2</t>
  </si>
  <si>
    <t>f6</t>
  </si>
  <si>
    <t>b3</t>
  </si>
  <si>
    <t>f7</t>
  </si>
  <si>
    <t>b5</t>
  </si>
  <si>
    <t>f8</t>
  </si>
  <si>
    <t>f9</t>
  </si>
  <si>
    <t>f10</t>
  </si>
  <si>
    <t>f11</t>
  </si>
  <si>
    <t>f13</t>
  </si>
  <si>
    <t>f15</t>
  </si>
  <si>
    <t>f16</t>
  </si>
  <si>
    <t>האם לדעתך יש או אין לעשות ויתור טריטוריאלי כלשהו ביו"ש כדי להגיע להסכם שלום; אם כן, מהו הויתור הגדול ביותר שיש לעשות לדעתך?</t>
  </si>
  <si>
    <t>f17</t>
  </si>
  <si>
    <t>f19</t>
  </si>
  <si>
    <t>f20</t>
  </si>
  <si>
    <t>f18</t>
  </si>
  <si>
    <t>f21</t>
  </si>
  <si>
    <t>f22</t>
  </si>
  <si>
    <t>f23</t>
  </si>
  <si>
    <t>f41</t>
  </si>
  <si>
    <t>f43</t>
  </si>
  <si>
    <t>f29</t>
  </si>
  <si>
    <t>f34</t>
  </si>
  <si>
    <t>f35</t>
  </si>
  <si>
    <t>f32</t>
  </si>
  <si>
    <t>b18</t>
  </si>
  <si>
    <t>f24</t>
  </si>
  <si>
    <t>f25</t>
  </si>
  <si>
    <t>f26</t>
  </si>
  <si>
    <t>f27</t>
  </si>
  <si>
    <t>f28</t>
  </si>
  <si>
    <t>f30</t>
  </si>
  <si>
    <t>f31</t>
  </si>
  <si>
    <t>f33</t>
  </si>
  <si>
    <t>f36</t>
  </si>
  <si>
    <t>f37</t>
  </si>
  <si>
    <t>f38</t>
  </si>
  <si>
    <t>f39</t>
  </si>
  <si>
    <t>f40</t>
  </si>
  <si>
    <t>f42</t>
  </si>
  <si>
    <t>f44</t>
  </si>
  <si>
    <t>f45</t>
  </si>
  <si>
    <t>f46</t>
  </si>
  <si>
    <t>f47</t>
  </si>
  <si>
    <t>האם ההתקוממות בשטחים (האינתיפאדה) שינתה או לא שינתה את עמדותייך לגבי המצב הבטחוני והפוליטי?</t>
  </si>
  <si>
    <t>f48</t>
  </si>
  <si>
    <r>
      <t xml:space="preserve">האם בגלל ההתקוממות בשטחים (האינתיפאדה) השתנו או לא השתנו לגביך כל אחד מן הדברים הבאים: </t>
    </r>
    <r>
      <rPr>
        <b/>
        <sz val="11"/>
        <color theme="1"/>
        <rFont val="Calibri"/>
        <family val="2"/>
        <scheme val="minor"/>
      </rPr>
      <t>מצב הרוח שלך?</t>
    </r>
  </si>
  <si>
    <r>
      <t xml:space="preserve">האם בגלל ההתקוממות בשטחים (האינתיפאדה) השתנו או לא השתנו לגביך כל אחד מן הדברים הבאים: </t>
    </r>
    <r>
      <rPr>
        <b/>
        <sz val="11"/>
        <color theme="1"/>
        <rFont val="Calibri"/>
        <family val="2"/>
        <scheme val="minor"/>
      </rPr>
      <t>מצב הרוח הלאומי?</t>
    </r>
  </si>
  <si>
    <r>
      <t xml:space="preserve">האם בגלל ההתקוממות בשטחים (האינתיפאדה) השתנו או לא השתנו לגביך כל אחד מן הדברים הבאים: </t>
    </r>
    <r>
      <rPr>
        <b/>
        <sz val="11"/>
        <color theme="1"/>
        <rFont val="Calibri"/>
        <family val="2"/>
        <scheme val="minor"/>
      </rPr>
      <t>הפעילות הפוליטית שלך?</t>
    </r>
  </si>
  <si>
    <r>
      <t xml:space="preserve">האם בגלל ההתקוממות בשטחים (האינתיפאדה) השתנו או לא השתנו לגביך כל אחד מן הדברים הבאים: </t>
    </r>
    <r>
      <rPr>
        <b/>
        <sz val="11"/>
        <color theme="1"/>
        <rFont val="Calibri"/>
        <family val="2"/>
        <scheme val="minor"/>
      </rPr>
      <t>רצונך לחיות בארץ?</t>
    </r>
  </si>
  <si>
    <t>f49</t>
  </si>
  <si>
    <t>f50</t>
  </si>
  <si>
    <t>f52</t>
  </si>
  <si>
    <t>f53</t>
  </si>
  <si>
    <r>
      <t xml:space="preserve">האם בגלל ההתקוממות בשטחים (האינתיפאדה) השתנו או לא השתנו לגביך כל אחד מן הדברים הבאים: </t>
    </r>
    <r>
      <rPr>
        <b/>
        <sz val="11"/>
        <color theme="1"/>
        <rFont val="Calibri"/>
        <family val="2"/>
        <scheme val="minor"/>
      </rPr>
      <t>הערכתך לגבי תוצאות הבחירות?</t>
    </r>
  </si>
  <si>
    <t>f51</t>
  </si>
  <si>
    <r>
      <t xml:space="preserve">האם בגלל ההתקוממות בשטחים (האינתיפאדה) השתנו או לא השתנו לגביך כל אחד מן הדברים הבאים: </t>
    </r>
    <r>
      <rPr>
        <b/>
        <sz val="11"/>
        <color theme="1"/>
        <rFont val="Calibri"/>
        <family val="2"/>
        <scheme val="minor"/>
      </rPr>
      <t>ההצבעה שלך?</t>
    </r>
  </si>
  <si>
    <t>f54</t>
  </si>
  <si>
    <r>
      <t xml:space="preserve">האם בגלל ההתקוממות בשטחים (האינתיפאדה) השתנו או לא השתנו לגביך כל אחד מן הדברים הבאים: </t>
    </r>
    <r>
      <rPr>
        <b/>
        <sz val="11"/>
        <color theme="1"/>
        <rFont val="Calibri"/>
        <family val="2"/>
        <scheme val="minor"/>
      </rPr>
      <t>היחס שלך לערבים?</t>
    </r>
  </si>
  <si>
    <t>f55</t>
  </si>
  <si>
    <t>f56</t>
  </si>
  <si>
    <t>f57</t>
  </si>
  <si>
    <t>f58</t>
  </si>
  <si>
    <t>f60</t>
  </si>
  <si>
    <t>באיזו מידה הדעות של בני משפחתך בנושאי השטחים ומדיניות הבטחון דומות לדעות שלך?</t>
  </si>
  <si>
    <t>f61</t>
  </si>
  <si>
    <t>f62</t>
  </si>
  <si>
    <t>f63</t>
  </si>
  <si>
    <t>f64</t>
  </si>
  <si>
    <t>להסתדרות (באמצעות חברת עובדים) יש מפעלים כלכליים כמו כור, סולל-בונה, סופרמרקטים וכו'. האם לדעתך זה בסדר או לא בסדר שיש להסתדרות מפעלים כלכליים?</t>
  </si>
  <si>
    <t>f65</t>
  </si>
  <si>
    <t>f66</t>
  </si>
  <si>
    <t>f67</t>
  </si>
  <si>
    <t>f68</t>
  </si>
  <si>
    <t>f69</t>
  </si>
  <si>
    <t>f70</t>
  </si>
  <si>
    <t>f71</t>
  </si>
  <si>
    <t>f72</t>
  </si>
  <si>
    <t>f73</t>
  </si>
  <si>
    <t>f74</t>
  </si>
  <si>
    <t>f75</t>
  </si>
  <si>
    <t>f76</t>
  </si>
  <si>
    <t>לפניך רשימת קבוצות פוליטיות שונות, אשר אהודות על חלקים מסויימים בציבור ואינן אהודות על חלקים אחרים. אנא סמן איזו מבין הקבוצות האלו אהודה עליך פחות מכל</t>
  </si>
  <si>
    <t>f77</t>
  </si>
  <si>
    <r>
      <t xml:space="preserve">באיזו מידה אתה מסכים או לא מסכים לכל אחד מהדברים הבאים בהקשר לקבוצה שאתה מתנגד לה ביותר: </t>
    </r>
    <r>
      <rPr>
        <b/>
        <sz val="11"/>
        <color theme="1"/>
        <rFont val="Calibri"/>
        <family val="2"/>
        <scheme val="minor"/>
      </rPr>
      <t>יש לאסור על חבר הקבוצה להיות ראש ממשלה</t>
    </r>
  </si>
  <si>
    <t>f79</t>
  </si>
  <si>
    <t>f80</t>
  </si>
  <si>
    <t>f81</t>
  </si>
  <si>
    <t>f82</t>
  </si>
  <si>
    <t>f83</t>
  </si>
  <si>
    <t>b80</t>
  </si>
  <si>
    <t>יש להוציא את הקבוצה מחוץ לחוק</t>
  </si>
  <si>
    <t>יש להרשות לחברי הקבוצה להופיע בטלוויזיה</t>
  </si>
  <si>
    <t>יש לצוטט לשיחות טלפון של חברי הקבוצה</t>
  </si>
  <si>
    <t>יש להרשות לקבוצה לקיים הפגנות</t>
  </si>
  <si>
    <r>
      <t xml:space="preserve">לגבי כל אחת מהקבוצות הבאות אתה מתבקש לציין באיזו מידה אתה בעד או נגד הוצאתה מחוץ לחוק: </t>
    </r>
    <r>
      <rPr>
        <b/>
        <sz val="11"/>
        <color theme="1"/>
        <rFont val="Calibri"/>
        <family val="2"/>
        <scheme val="minor"/>
      </rPr>
      <t>הרשימה המתקדמת לשלום</t>
    </r>
  </si>
  <si>
    <r>
      <t xml:space="preserve">לגבי כל אחת מהקבוצות הבאות אתה מתבקש לציין באיזו מידה אתה בעד או נגד הוצאתה מחוץ לחוק: </t>
    </r>
    <r>
      <rPr>
        <b/>
        <sz val="11"/>
        <color theme="1"/>
        <rFont val="Calibri"/>
        <family val="2"/>
        <scheme val="minor"/>
      </rPr>
      <t>כ"ך (כהנא)</t>
    </r>
  </si>
  <si>
    <r>
      <t xml:space="preserve">לגבי כל אחת מהקבוצות הבאות אתה מתבקש לציין באיזו מידה אתה בעד או נגד הוצאתה מחוץ לחוק: </t>
    </r>
    <r>
      <rPr>
        <b/>
        <sz val="11"/>
        <color theme="1"/>
        <rFont val="Calibri"/>
        <family val="2"/>
        <scheme val="minor"/>
      </rPr>
      <t>רק"ח</t>
    </r>
  </si>
  <si>
    <r>
      <t xml:space="preserve">לגבי כל אחת מהקבוצות הבאות אתה מתבקש לציין באיזו מידה אתה בעד או נגד הוצאתה מחוץ לחוק: </t>
    </r>
    <r>
      <rPr>
        <b/>
        <sz val="11"/>
        <color theme="1"/>
        <rFont val="Calibri"/>
        <family val="2"/>
        <scheme val="minor"/>
      </rPr>
      <t>גוש אמונים</t>
    </r>
  </si>
  <si>
    <r>
      <t xml:space="preserve">לגבי כל אחת מהקבוצות הבאות אתה מתבקש לציין באיזו מידה אתה בעד או נגד הוצאתה מחוץ לחוק: </t>
    </r>
    <r>
      <rPr>
        <b/>
        <sz val="11"/>
        <color theme="1"/>
        <rFont val="Calibri"/>
        <family val="2"/>
        <scheme val="minor"/>
      </rPr>
      <t>שלום עכשיו</t>
    </r>
  </si>
  <si>
    <t>f84</t>
  </si>
  <si>
    <t>f85</t>
  </si>
  <si>
    <t>f86</t>
  </si>
  <si>
    <t>f87</t>
  </si>
  <si>
    <t>f88</t>
  </si>
  <si>
    <r>
      <t xml:space="preserve">להלן מספר משפטים שנאמרו ע"י אנשים ביחס לערבים אזרחי ישראל. לגבי כל אחד מהם אתה מתבקש לציין באיזו מידה אתה מסכים או לא מסכים עימו: </t>
    </r>
    <r>
      <rPr>
        <b/>
        <sz val="11"/>
        <color theme="1"/>
        <rFont val="Calibri"/>
        <family val="2"/>
        <scheme val="minor"/>
      </rPr>
      <t>יש לאסור על ערבי להיות ראש ממשלה</t>
    </r>
  </si>
  <si>
    <t>יש להרשות לערבים לנאום באסיפות ציבוריות ולהופיע בטלוויזיה</t>
  </si>
  <si>
    <t>יש לצוטט לשיחות טלפון של ערבים</t>
  </si>
  <si>
    <t>יש לעודד הגירת ערבים מן הארץ</t>
  </si>
  <si>
    <t>יש להרשות לערבים לקיים הפגנות</t>
  </si>
  <si>
    <t>b92</t>
  </si>
  <si>
    <t>f89</t>
  </si>
  <si>
    <t>f90</t>
  </si>
  <si>
    <t>f91</t>
  </si>
  <si>
    <t>f92</t>
  </si>
  <si>
    <t>f93</t>
  </si>
  <si>
    <t>b94</t>
  </si>
  <si>
    <t>f94</t>
  </si>
  <si>
    <t>b95</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</si>
  <si>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שמבטיחה את עתיד המדינה</t>
    </r>
  </si>
  <si>
    <t>b96</t>
  </si>
  <si>
    <t>f96</t>
  </si>
  <si>
    <t>b97</t>
  </si>
  <si>
    <t>f97</t>
  </si>
  <si>
    <t>b98</t>
  </si>
  <si>
    <t>f98</t>
  </si>
  <si>
    <t>f99</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</si>
  <si>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שנותנת ייצוג הולם לעדות המזרח</t>
    </r>
  </si>
  <si>
    <t>f100</t>
  </si>
  <si>
    <t>b100</t>
  </si>
  <si>
    <t>b101</t>
  </si>
  <si>
    <t>b111</t>
  </si>
  <si>
    <t>b121</t>
  </si>
  <si>
    <t>f101</t>
  </si>
  <si>
    <t>b102</t>
  </si>
  <si>
    <t>f102</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</si>
  <si>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עדתית</t>
    </r>
  </si>
  <si>
    <t>b103</t>
  </si>
  <si>
    <t>f103</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</si>
  <si>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לשמור על כמות השטחים הנחוצה למדינה</t>
    </r>
  </si>
  <si>
    <t>b104</t>
  </si>
  <si>
    <t>f104</t>
  </si>
  <si>
    <t>b105</t>
  </si>
  <si>
    <t>f105</t>
  </si>
  <si>
    <t>b106</t>
  </si>
  <si>
    <t>f106</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</si>
  <si>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איך ומתי להוביל למלחמה מוצלחת</t>
    </r>
  </si>
  <si>
    <t>b107</t>
  </si>
  <si>
    <t>f107</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</si>
  <si>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לאומית</t>
    </r>
  </si>
  <si>
    <t>b108</t>
  </si>
  <si>
    <t>f108</t>
  </si>
  <si>
    <t>b110</t>
  </si>
  <si>
    <t>f109</t>
  </si>
  <si>
    <t>f110</t>
  </si>
  <si>
    <t>b112</t>
  </si>
  <si>
    <t>f111</t>
  </si>
  <si>
    <t>b113</t>
  </si>
  <si>
    <t>f112</t>
  </si>
  <si>
    <t>b114</t>
  </si>
  <si>
    <t>f113</t>
  </si>
  <si>
    <t>b115</t>
  </si>
  <si>
    <t>f114</t>
  </si>
  <si>
    <t>b116</t>
  </si>
  <si>
    <t>f115</t>
  </si>
  <si>
    <r>
      <t>מה יחסך ל</t>
    </r>
    <r>
      <rPr>
        <b/>
        <sz val="11"/>
        <color theme="1"/>
        <rFont val="Calibri"/>
        <family val="2"/>
        <scheme val="minor"/>
      </rPr>
      <t>אשכנזים</t>
    </r>
    <r>
      <rPr>
        <sz val="11"/>
        <color theme="1"/>
        <rFont val="Calibri"/>
        <family val="2"/>
        <charset val="177"/>
        <scheme val="minor"/>
      </rPr>
      <t>?</t>
    </r>
  </si>
  <si>
    <t>b117</t>
  </si>
  <si>
    <t>f116</t>
  </si>
  <si>
    <r>
      <t xml:space="preserve">ועל אותו סולם, מה יחסך לאישים הבאים? </t>
    </r>
    <r>
      <rPr>
        <b/>
        <sz val="11"/>
        <color theme="1"/>
        <rFont val="Calibri"/>
        <family val="2"/>
        <scheme val="minor"/>
      </rPr>
      <t>דוד לוי</t>
    </r>
  </si>
  <si>
    <t>b118</t>
  </si>
  <si>
    <t>f117</t>
  </si>
  <si>
    <r>
      <t xml:space="preserve">ועל אותו סולם, מה יחסך לאישים הבאים? </t>
    </r>
    <r>
      <rPr>
        <b/>
        <sz val="11"/>
        <color theme="1"/>
        <rFont val="Calibri"/>
        <family val="2"/>
        <scheme val="minor"/>
      </rPr>
      <t>יצחק נבון</t>
    </r>
  </si>
  <si>
    <t>b119</t>
  </si>
  <si>
    <t>f118</t>
  </si>
  <si>
    <r>
      <t>מה יחסך ל</t>
    </r>
    <r>
      <rPr>
        <b/>
        <sz val="11"/>
        <color theme="1"/>
        <rFont val="Calibri"/>
        <family val="2"/>
        <scheme val="minor"/>
      </rPr>
      <t>ספרדים</t>
    </r>
    <r>
      <rPr>
        <sz val="11"/>
        <color theme="1"/>
        <rFont val="Calibri"/>
        <family val="2"/>
        <charset val="177"/>
        <scheme val="minor"/>
      </rPr>
      <t>?</t>
    </r>
  </si>
  <si>
    <t>b120</t>
  </si>
  <si>
    <t>f119</t>
  </si>
  <si>
    <t>f120</t>
  </si>
  <si>
    <r>
      <t xml:space="preserve">ועל אותו סולם, מה יחסך לאישים הבאים? </t>
    </r>
    <r>
      <rPr>
        <b/>
        <sz val="11"/>
        <color theme="1"/>
        <rFont val="Calibri"/>
        <family val="2"/>
        <scheme val="minor"/>
      </rPr>
      <t>מנחם בגין</t>
    </r>
  </si>
  <si>
    <t>b122</t>
  </si>
  <si>
    <t>f121</t>
  </si>
  <si>
    <t>b123</t>
  </si>
  <si>
    <t>f122</t>
  </si>
  <si>
    <t>f123</t>
  </si>
  <si>
    <t>b124</t>
  </si>
  <si>
    <r>
      <t xml:space="preserve">ועל אותו סולם, מה יחסך לאישים הבאים? </t>
    </r>
    <r>
      <rPr>
        <b/>
        <sz val="11"/>
        <color theme="1"/>
        <rFont val="Calibri"/>
        <family val="2"/>
        <scheme val="minor"/>
      </rPr>
      <t>הרב כהנא</t>
    </r>
  </si>
  <si>
    <t>f124</t>
  </si>
  <si>
    <t>b125</t>
  </si>
  <si>
    <t>b126</t>
  </si>
  <si>
    <t>f125</t>
  </si>
  <si>
    <t>g6</t>
  </si>
  <si>
    <t>g7</t>
  </si>
  <si>
    <r>
      <t xml:space="preserve">באיזו מידה אתה מסכים או לא מסכים עם המשפטים הבאים: </t>
    </r>
    <r>
      <rPr>
        <b/>
        <sz val="11"/>
        <color theme="1"/>
        <rFont val="Calibri"/>
        <family val="2"/>
        <scheme val="minor"/>
      </rPr>
      <t>ליהודים שמבצעים פעולות לא חוקיות נגד ערבים יש לתת עונשים קלים יותר מאשר לערבים שמבצעים פעולות דומות נגד יהודים</t>
    </r>
  </si>
  <si>
    <t>g8</t>
  </si>
  <si>
    <r>
      <t xml:space="preserve">באיזו מידה אתה מסכים או לא מסכים עם המשפטים הבאים: </t>
    </r>
    <r>
      <rPr>
        <b/>
        <sz val="11"/>
        <color theme="1"/>
        <rFont val="Calibri"/>
        <family val="2"/>
        <scheme val="minor"/>
      </rPr>
      <t>מספר מנהיגים חזקים יכולים להועיל למדינה יותר מכל הדיונים והחוקים</t>
    </r>
  </si>
  <si>
    <t>g9</t>
  </si>
  <si>
    <r>
      <t xml:space="preserve">באיזו מידה אתה מסכים או לא מסכים עם המשפטים הבאים: </t>
    </r>
    <r>
      <rPr>
        <b/>
        <sz val="11"/>
        <color theme="1"/>
        <rFont val="Calibri"/>
        <family val="2"/>
        <scheme val="minor"/>
      </rPr>
      <t xml:space="preserve">לכל אדם צריכות להיות אותן זכויות בפני החוק ללא קשר עם עמדותיו הפוליטיות </t>
    </r>
  </si>
  <si>
    <t>g10</t>
  </si>
  <si>
    <t>g11</t>
  </si>
  <si>
    <r>
      <t xml:space="preserve">באיזו מידה אתה מסכים או לא מסכים עם המשפטים הבאים: </t>
    </r>
    <r>
      <rPr>
        <b/>
        <sz val="11"/>
        <color theme="1"/>
        <rFont val="Calibri"/>
        <family val="2"/>
        <scheme val="minor"/>
      </rPr>
      <t xml:space="preserve">יש לאפשר לקבוצות או אנשים שבמיעוט לפעול כדי להשיג את תמיכת הרוב לעמדותיהם </t>
    </r>
  </si>
  <si>
    <r>
      <t xml:space="preserve">באיזו מידה אתה מסכים או לא מסכים עם המשפטים הבאים: </t>
    </r>
    <r>
      <rPr>
        <b/>
        <sz val="11"/>
        <color theme="1"/>
        <rFont val="Calibri"/>
        <family val="2"/>
        <scheme val="minor"/>
      </rPr>
      <t>אני מאמין בחופש ביטוי לכל האנשים ללא קשר לעמדותיהם</t>
    </r>
  </si>
  <si>
    <t>g12</t>
  </si>
  <si>
    <r>
      <t xml:space="preserve">באיזו מידה אתה מסכים או לא מסכים עם המשפטים הבאים: </t>
    </r>
    <r>
      <rPr>
        <b/>
        <sz val="11"/>
        <color theme="1"/>
        <rFont val="Calibri"/>
        <family val="2"/>
        <scheme val="minor"/>
      </rPr>
      <t>יש מצבים בהם נראה כי עדיף שאנשים יקחו בעצמם את החוק לידיהם</t>
    </r>
  </si>
  <si>
    <t>g13</t>
  </si>
  <si>
    <t>g14</t>
  </si>
  <si>
    <t>g15</t>
  </si>
  <si>
    <t>g16</t>
  </si>
  <si>
    <t>כידוע לך נבחרים כעת חברי כנסת בבחירות כלל ארציות. יש הצעה להנהיג שיטה לפיה חלק מהם ייבחרו בבחירות אזוריות. האם אתה חושב שצריך להמשיך בשיטה הקיימת או לשנות את השיטה?</t>
  </si>
  <si>
    <t>g17</t>
  </si>
  <si>
    <t>g18</t>
  </si>
  <si>
    <t>g20</t>
  </si>
  <si>
    <t>g22</t>
  </si>
  <si>
    <t>g24</t>
  </si>
  <si>
    <t>g26</t>
  </si>
  <si>
    <t>במידה ואביך מתכונן להצביע בבחירות הקרובות, לאיזו מפלגה בכוונתו להצביע?</t>
  </si>
  <si>
    <t>g30</t>
  </si>
  <si>
    <t>g32</t>
  </si>
  <si>
    <t>במידה ואימך מתכונן להצביע בבחירות הקרובות, לאיזו מפלגה בכוונתו להצביע?</t>
  </si>
  <si>
    <t>g35</t>
  </si>
  <si>
    <t>g34</t>
  </si>
  <si>
    <t>האם אתה בעד או נגד לבטל את משחקי הכדורגל בשבת?</t>
  </si>
  <si>
    <t>כמה אחוזים לדעתך בציבור הרחב הם בעד ביטול משחקי הכדורגל בשבת?</t>
  </si>
  <si>
    <t>g37</t>
  </si>
  <si>
    <t>g38</t>
  </si>
  <si>
    <t>לפי מה נתת את הערכה הזו? איך ידעת להגיד לי את האחוז הזה? האם היה משהו שחשבת עליו שעזר לך לתת את הערכה?</t>
  </si>
  <si>
    <t>g40</t>
  </si>
  <si>
    <t>האם אתה בעד או נגד שינוי הסטטוס של ישובים ערבים גדולים בארץ ממועצות מקומיות לערים?</t>
  </si>
  <si>
    <t>כמה אחוזים לדעתך בציבור היהודי מתנגדים לשינוי הסטטוס של ישובים ערבים גדולים לערים?</t>
  </si>
  <si>
    <t>g42</t>
  </si>
  <si>
    <t>g43</t>
  </si>
  <si>
    <t>g45</t>
  </si>
  <si>
    <t>כמה אחוזים בציבור חושבים שבשום תנאי אסור לישראל להשתמש בנשק גרעיני?</t>
  </si>
  <si>
    <t>g47</t>
  </si>
  <si>
    <t>g48</t>
  </si>
  <si>
    <t>g50</t>
  </si>
  <si>
    <t>האם אתה בעד או נגד ניתוק היחסים עם דרום אפריקה?</t>
  </si>
  <si>
    <t>כמה אחוזים בציבור לדעתך הם בעד ניתוק היחסים עם דרום אפריקה?</t>
  </si>
  <si>
    <t>g52</t>
  </si>
  <si>
    <t>g53</t>
  </si>
  <si>
    <t>g55</t>
  </si>
  <si>
    <t>האם לדעתך נטל השירות הצבאי במילואים מתחלק באופן צודק או לא צודק בין אנשי המילואים?</t>
  </si>
  <si>
    <t>כמה אחוזים בציבור חושבים שנטל השירות הצבאי במילואים מתחלק באופן לא צודק?</t>
  </si>
  <si>
    <t>g57</t>
  </si>
  <si>
    <t>g58</t>
  </si>
  <si>
    <t>g60</t>
  </si>
  <si>
    <t>g62</t>
  </si>
  <si>
    <t>g63</t>
  </si>
  <si>
    <t>g64</t>
  </si>
  <si>
    <t>g65</t>
  </si>
  <si>
    <t>g66</t>
  </si>
  <si>
    <t>g67</t>
  </si>
  <si>
    <t>g68</t>
  </si>
  <si>
    <t>g70</t>
  </si>
  <si>
    <t>g71</t>
  </si>
  <si>
    <t>g72</t>
  </si>
  <si>
    <t>עם איזה זרם פוליטי אתה מזדהה?</t>
  </si>
  <si>
    <t>g73</t>
  </si>
  <si>
    <t>g74</t>
  </si>
  <si>
    <t>g75</t>
  </si>
  <si>
    <t>g76</t>
  </si>
  <si>
    <t>c55</t>
  </si>
  <si>
    <t>האם יצא לך לשרת בשטחים מאז פרוץ המהומות שם? (האינתיפאדה)</t>
  </si>
  <si>
    <t>g77</t>
  </si>
  <si>
    <t>g78</t>
  </si>
  <si>
    <t>g80</t>
  </si>
  <si>
    <t>g82</t>
  </si>
  <si>
    <t>g83</t>
  </si>
  <si>
    <t>g84</t>
  </si>
  <si>
    <t>g85</t>
  </si>
  <si>
    <t>g86</t>
  </si>
  <si>
    <t>g87</t>
  </si>
  <si>
    <t>g91</t>
  </si>
  <si>
    <t>g93</t>
  </si>
  <si>
    <t>האם לדעתך קיימים הבדלים בעמדותיהן של המפלגות לגבי הבעיה שציינת?</t>
  </si>
  <si>
    <t>כל עוד לא מושגים פתרונות ביו"ש ועזה, האם אתה בעד תוספת זכויות אזרח לתושבי השטחים יותר ממה שיש להם היום, או דווקא בעד הפחתת הזכויות, או שיש להשאיר המצב כמו שהוא?</t>
  </si>
  <si>
    <t>באיזו מידה ישפיע או לא ישפיע לדעתך הנושא של פשרה טריטוריאלית על תוצאות הבחירות הקרובות לכנסת?</t>
  </si>
  <si>
    <t>מהי דעתך על הדרך בה מטפלת הממשלה בבעיות הכלכליות של המדינה?</t>
  </si>
  <si>
    <t>לאחרונה שמענו הרבה על אינפלציה בארץ. באיזו מידה אתה חושב שנושא זה ישפיע על תוצאות הבחירות הקורובת לכנסת?</t>
  </si>
  <si>
    <t>באיזו מידה ישפיע או לא ישפיע נושא האינפלציה על הצבעתך שלך בבחירות הקרובות לכנסת?</t>
  </si>
  <si>
    <t>איזו מפלגה משקפת בצורה הטובה ביותר את עמדותיך בנושא כלכלה?</t>
  </si>
  <si>
    <t>איזו מפלגה משקפת בצורה הטובה ביותר את עמדותיך בנושא חוץ ובטחון?</t>
  </si>
  <si>
    <t>בסך הכל, מי יטפל טוב יותר בכלל בעיות המדינה - הצוות של המערך או הצוות של הליכוד?</t>
  </si>
  <si>
    <r>
      <t xml:space="preserve">באיזו מידה אתה מסכים או לא מסכים עם המשפטים הבאים: </t>
    </r>
    <r>
      <rPr>
        <b/>
        <sz val="11"/>
        <color theme="1"/>
        <rFont val="Calibri"/>
        <family val="2"/>
        <scheme val="minor"/>
      </rPr>
      <t>הכי טוב היה להרוס את כל המוסדות ולהתחיל מחדש</t>
    </r>
  </si>
  <si>
    <t>האם חבריך מצביעים כמוך?</t>
  </si>
  <si>
    <t>האם חבריך לעבודה מצביעים כמוך?</t>
  </si>
  <si>
    <t>ממילא לא משנה עבור מי מצביעים כי זה לא משנה את המצב</t>
  </si>
  <si>
    <t>יש הטוענים שקולותיהם של הבוחרים אינם משנים מעשית את המדיניות של המדינה, האם לדעתך?</t>
  </si>
  <si>
    <r>
      <t xml:space="preserve">הרבה מדברים על שמאל וימין </t>
    </r>
    <r>
      <rPr>
        <b/>
        <sz val="11"/>
        <color theme="1"/>
        <rFont val="Calibri"/>
        <family val="2"/>
        <scheme val="minor"/>
      </rPr>
      <t>בתחום המדיני-ביטחוני</t>
    </r>
    <r>
      <rPr>
        <sz val="11"/>
        <color theme="1"/>
        <rFont val="Calibri"/>
        <family val="2"/>
        <charset val="177"/>
        <scheme val="minor"/>
      </rPr>
      <t>. כיצד היית מדרג את עצמך על רצף זה?</t>
    </r>
  </si>
  <si>
    <r>
      <t xml:space="preserve">הרבה מדברים על שמאל וימין </t>
    </r>
    <r>
      <rPr>
        <b/>
        <sz val="11"/>
        <color theme="1"/>
        <rFont val="Calibri"/>
        <family val="2"/>
        <scheme val="minor"/>
      </rPr>
      <t>בתחום הכלכלי</t>
    </r>
    <r>
      <rPr>
        <sz val="11"/>
        <color theme="1"/>
        <rFont val="Calibri"/>
        <family val="2"/>
        <charset val="177"/>
        <scheme val="minor"/>
      </rPr>
      <t>. כיצד היית מדרג את עצמך על רצף זה?</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</si>
  <si>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צעירה-זקנה</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</si>
  <si>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חזקה-חלשה</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</si>
  <si>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ימנית-שמאלית</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</si>
  <si>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מיושנת-חדשנית</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</si>
  <si>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מעמד בינוני-מעמד פועלים</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</si>
  <si>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ספרדית-אשכנזית</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</si>
  <si>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דואגת בעיקר לעצמה-דואגת בעיקר לאזרחים</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</si>
  <si>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חסרת ניסיון-בעלת ניסיון</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</si>
  <si>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יונית-ניצית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</si>
  <si>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צעירה-זקנה</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</si>
  <si>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חזקה-חלשה</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</si>
  <si>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ימנית-שמאלית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</si>
  <si>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מיושנת-חדשנית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</si>
  <si>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מעמד ביניים-מעמד פועלים</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</si>
  <si>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ספרדית-אשכנזית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</si>
  <si>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דואגת בעיקר לעצמה-דואגת בעיקר לאזרח</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</si>
  <si>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ישרה-מושחתת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</si>
  <si>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חסרת ניסיון-בעלת ניסיון</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</si>
  <si>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בלתי אמינה-אמינה</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</si>
  <si>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יונית-ניצית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</si>
  <si>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צעירה-זקנה</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</si>
  <si>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חזקה-חלשה</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</si>
  <si>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ימנית-שמאלית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</si>
  <si>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מיושנת-חדשנית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</si>
  <si>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מעמד ביניים-מעמד פועלים</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</si>
  <si>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ספרדית-אשכנזית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</si>
  <si>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דואגת בעיקר לעצמה-דואגת בעיקר לאזרח</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</si>
  <si>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ישרה-מושחתת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</si>
  <si>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חסרת ניסיון-בעלת ניסיון</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</si>
  <si>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בלתי אמינה-אמינה</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</si>
  <si>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יונית-ניצית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</si>
  <si>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שממנה אנשים מתאימים לתפקידים מרכזיים מבלי להתחשב ברקע העדתי</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</si>
  <si>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לצאת מלבנון ולהבטיח את הגבול הצפוני</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</si>
  <si>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שמנצלת את עדות המזרח לצרכים פוליטיים</t>
    </r>
  </si>
  <si>
    <r>
      <t xml:space="preserve">איזו משתי המפלגות הגדולות אחראית יותר לדעתך לכל אחת מהתופעות הבאות בארץ: </t>
    </r>
    <r>
      <rPr>
        <b/>
        <sz val="11"/>
        <color theme="1"/>
        <rFont val="Calibri"/>
        <family val="2"/>
        <scheme val="minor"/>
      </rPr>
      <t>אלימות</t>
    </r>
  </si>
  <si>
    <r>
      <t xml:space="preserve">איזו משתי המפלגות הגדולות אחראית יותר לדעתך לכל אחת מהתופעות הבאות בארץ: </t>
    </r>
    <r>
      <rPr>
        <b/>
        <sz val="11"/>
        <color theme="1"/>
        <rFont val="Calibri"/>
        <family val="2"/>
        <scheme val="minor"/>
      </rPr>
      <t>ירידה מהארץ</t>
    </r>
  </si>
  <si>
    <r>
      <t xml:space="preserve">איזו משתי המפלגות הגדולות אחראית יותר לדעתך לכל אחת מהתופעות הבאות בארץ: </t>
    </r>
    <r>
      <rPr>
        <b/>
        <sz val="11"/>
        <color theme="1"/>
        <rFont val="Calibri"/>
        <family val="2"/>
        <scheme val="minor"/>
      </rPr>
      <t>אינפלציה גבוהה</t>
    </r>
  </si>
  <si>
    <r>
      <t xml:space="preserve">איזו משתי המפלגות הגדולות אחראית יותר לדעתך לכל אחת מהתופעות הבאות בארץ: </t>
    </r>
    <r>
      <rPr>
        <b/>
        <sz val="11"/>
        <color theme="1"/>
        <rFont val="Calibri"/>
        <family val="2"/>
        <scheme val="minor"/>
      </rPr>
      <t>מוסר ירוד (שחיתות)</t>
    </r>
  </si>
  <si>
    <r>
      <t xml:space="preserve">איזו משתי המפלגות הגדולות אחראית יותר לדעתך לכל אחת מהתופעות הבאות בארץ: </t>
    </r>
    <r>
      <rPr>
        <b/>
        <sz val="11"/>
        <color theme="1"/>
        <rFont val="Calibri"/>
        <family val="2"/>
        <scheme val="minor"/>
      </rPr>
      <t>פשע במדינה</t>
    </r>
  </si>
  <si>
    <r>
      <t xml:space="preserve">איזו משתי המפלגות הגדולות אחראית יותר לדעתך לכל אחת מהתופעות הבאות בארץ: </t>
    </r>
    <r>
      <rPr>
        <b/>
        <sz val="11"/>
        <color theme="1"/>
        <rFont val="Calibri"/>
        <family val="2"/>
        <scheme val="minor"/>
      </rPr>
      <t>פער עדתי</t>
    </r>
  </si>
  <si>
    <r>
      <t xml:space="preserve">מה יחסך לכל אחת מן המפלגות הבאות? </t>
    </r>
    <r>
      <rPr>
        <b/>
        <sz val="11"/>
        <color theme="1"/>
        <rFont val="Calibri"/>
        <family val="2"/>
        <scheme val="minor"/>
      </rPr>
      <t>העבודה/המערך</t>
    </r>
  </si>
  <si>
    <t>עד כמה אתה בטוח שתצביע כך (הרשימה שציין) בבחירות הקרובות?</t>
  </si>
  <si>
    <t>אם לא תצביע עבור רשימה זו (הרשימה שציין) עבור איזו רשימה תצביע אז?</t>
  </si>
  <si>
    <t>ארץ לידה/מוצא אב</t>
  </si>
  <si>
    <t>באיזו מידה לדעתך מקום עבודתך בסך הכל טוב יותר או פחות טוב ממקומות עבודה אחרים באותו ענף?</t>
  </si>
  <si>
    <t>באיזו מידה ההנהלה המקומית במקום עבודתך מתחשבת או לא מתחשבת בעובדים?</t>
  </si>
  <si>
    <t>אם יש הנהלה ארצית, באיזו מידה ההנהלה הארצית של החברה מתחשבת או לא מחשבת בעובדים?</t>
  </si>
  <si>
    <t>באיזו מידה תנאי העבודה והשכר במקום עבודתך טובים יותר או פחות ממקומות עבודה דומים באותו ענף?</t>
  </si>
  <si>
    <t>1981 - 3</t>
  </si>
  <si>
    <t>b4</t>
  </si>
  <si>
    <t>באיזו מידה חשוב או לא חשוב לך שבמדינת ישראל יהיה רוב של יהודים?</t>
  </si>
  <si>
    <t>יש כאלו שאומרים, שכדי שנוכל לשמור על רוב של יהודים במדינה, נצטרך להיות מוכנים לוותרים על שטחים ביו"ש. האם אתה מסכים או מתנגד לעמדה זו?</t>
  </si>
  <si>
    <t>אם נספח את יו"ש, נספח גם אוכלוסייה ערבית גדולה (כמיליון ורבע ערבים) ואז יש חשש כי בעוד כמה זמן יהיה במדינה רוב ערבי. בהתחשב בזה, האם אתה בעד או נגד ויתור על שטחים?</t>
  </si>
  <si>
    <t>עד כמה ברורה לך התכנית של שר האוצר הנוכחי, יורם ארידור?</t>
  </si>
  <si>
    <t>עד כמה ברורה לך התכנית הכלכלית של מועמד המערך לתפקיד שר האוצר, פרופ' חיים בן שחר?</t>
  </si>
  <si>
    <t>עד כמה התכנית הכלכלית של יורם ארידור עוזרת לאנשים כמוך?</t>
  </si>
  <si>
    <t>עד כמה התכנית הכלכלית של פרופ' חיים בן שחר עוזרת לאנשים כמוך?</t>
  </si>
  <si>
    <t>עד כמה התכנית הכלכלית של יורם ארידור עוזרת לכלכלה ולמשק של מדינת ישראל?</t>
  </si>
  <si>
    <t>עד כמה התכנית הכלכלית של פרופ' חיים בן שחר עוזרת לכלכלה ולמשק של מדינת ישראל?</t>
  </si>
  <si>
    <t>לאחרונה שמענו הרבה על תכנית ארידור. באיזו מידה אתה חושב שנושא זה ישפיע על תוצאות הבחירות הקרובות לכנסת?</t>
  </si>
  <si>
    <t>באיזו מידה תשפיע או לא תשפיע תכנית ארידור על הצבעתך שלך בבחירות הקרובות לכנסת?</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</si>
  <si>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חזקה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</si>
  <si>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בעלת ניסיון</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</si>
  <si>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חדשנית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</si>
  <si>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צעירה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</si>
  <si>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מייצגת אשכזים ומזרחים</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</si>
  <si>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דואגת בעיקר לאינטרסים של האזרח</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</si>
  <si>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ישרה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</si>
  <si>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אמינה</t>
    </r>
  </si>
  <si>
    <t>האם לדעתך הליכוד הינה רשימה ניצית או יונית?</t>
  </si>
  <si>
    <t>האם לדעתך המערך הינה רשימה ניצית או יונית?</t>
  </si>
  <si>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מביא תועלת למדינה-מביא נזק למדינה</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</si>
  <si>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שקול בהתבטאויותיו-לא שקול בהיתבטאויותיו</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</si>
  <si>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יציב-לא יציב</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</si>
  <si>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מנהיג שעבר זמנו-מנהיג שלא עבר זמנו</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</si>
  <si>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רה"מ גרוע-רה"מ מצוין</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</si>
  <si>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שר בטחון גרוע-שר בטחון מצוין</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</si>
  <si>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נתון למצבי רוח-לא נתון למצבי רוח</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</si>
  <si>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בריאותו אינו מאפשרת לו להמשיך בתפקיד-בריאותו מאפשרת לו להמשיך בתפקיד</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</si>
  <si>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הרפתקן-שקול ונבון</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</si>
  <si>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מקומו באופוזיציה-מקומו בשלטון</t>
    </r>
  </si>
  <si>
    <t>האם לדעתך חובה על כל יהודי העולם לעלות לישראל או לא?</t>
  </si>
  <si>
    <t>האם לדעתך יש להפריד את הדת מהמדינה או שאין להפריד בין הדת למדינה?</t>
  </si>
  <si>
    <t>לדעתך, מהו מצב מדיניות החוץ של המדינה כיום?</t>
  </si>
  <si>
    <t>ולפני ארבע שנים, מה היה מצב מדיניות החוץ של המדינה?</t>
  </si>
  <si>
    <t>ובעוד ארבע שנים, מה יהיה מצב מדיניות החוץ של המדינה?</t>
  </si>
  <si>
    <t>איפה עומדת המדינה, לדעתך מבחינה כלכלית היום?</t>
  </si>
  <si>
    <t>ולפני ארבע שנים, מה היה מצב המדינה מבחינה כלכלית?</t>
  </si>
  <si>
    <t>ובעוד ארבע שנים, מה יהיה מצב המדינה במבחינה כלכלית?</t>
  </si>
  <si>
    <t>האם לדעתך ההגדרות של שמאל וימין בפוליטיקה, הן בעלות משמעות כיום בישראל או לא?</t>
  </si>
  <si>
    <r>
      <t xml:space="preserve">הרבה מדברים על שמאל וימין </t>
    </r>
    <r>
      <rPr>
        <b/>
        <sz val="11"/>
        <color theme="1"/>
        <rFont val="Calibri"/>
        <family val="2"/>
        <scheme val="minor"/>
      </rPr>
      <t>בתחום מדיניות החוץ</t>
    </r>
    <r>
      <rPr>
        <sz val="11"/>
        <color theme="1"/>
        <rFont val="Calibri"/>
        <family val="2"/>
        <charset val="177"/>
        <scheme val="minor"/>
      </rPr>
      <t>. כיצד היית מדרג את עצמך על רצף זה?</t>
    </r>
  </si>
  <si>
    <t>האם לדעתך, לסקרים אלה יש או אין השפעה על הפוליטיקאים?</t>
  </si>
  <si>
    <t>האם אתה מתכנן נסיעה לחו"ל בקיץ הזה ואם כן, האם תהיה בארץ ביום הבחירות לכנסת?</t>
  </si>
  <si>
    <t>באיזו מידה אתה בטוח או שאינך בטוח בעד מי תצביע בבחירות לכנסת?</t>
  </si>
  <si>
    <t>מתי אתה מתכנן להחליט עבור איזו רשימה להצביע?</t>
  </si>
  <si>
    <t>לפני חודשיים בערך, ז"א לפני המשבר בלבנון ואחרי שהשר יורם ארידור פרסם את תכניתו הכלכלית, בעד מי חשבת להצביע?</t>
  </si>
  <si>
    <t>בהשוואה למצב לפני חודש, האם היית אומר כי היום אתה יודע יותר או פחות בעד מי להצביע?</t>
  </si>
  <si>
    <t>בעד אילו רשימות לא היית מצביע בשום תנאי?</t>
  </si>
  <si>
    <t>את מי היית רוצה לראות כשר הבטחון לאחר הבחירות לכנסת?</t>
  </si>
  <si>
    <t>את מי היית רוצה לראות כשר האוצר לאחר הבחירות לכנסת?</t>
  </si>
  <si>
    <t>את מי היית רוצה לראות כשר החוץ לאחר הבחירות לכנסת?</t>
  </si>
  <si>
    <t>איזו מפלגה אתה מעריך שתקים את הממשלה לאחר הבחירות?</t>
  </si>
  <si>
    <t>באיזו מידה אתה רוצה או לא רוצה לראות את המפד"ל בממשלה הבאה?</t>
  </si>
  <si>
    <t>איזו משתי הרשימות הגדולות היית רוצה שתקים את הממשלה הבאה - המערך או הליכוד?</t>
  </si>
  <si>
    <t>באיזו מידה המודעות בעיתונים משפיעות על החלטתך עבור מי להצביע?</t>
  </si>
  <si>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חיובית-שלילית</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</si>
  <si>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קצרה-ארוכה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</si>
  <si>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להחליט בעד מי להצביע-לא עוזרת להחליט</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</si>
  <si>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להבין את בעיות המדינה-לא עוזרת להבין</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</si>
  <si>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להכיר את ההבדלים בין המפלגות-לא עוזרת להכיר</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</si>
  <si>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מאחדת את העם-מפוררת את העם</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</si>
  <si>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להכיר את המנהיגים-לא עוזרת להכיר</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</si>
  <si>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נותנת תחושה של שייכות למדינה-לא נותנת תחושה של שייכות למדינה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</si>
  <si>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בזבזנית-שווה את ההשקעה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</si>
  <si>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גורלית-לא משנה הרבה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</si>
  <si>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חינוכית-בלתי חינוכית</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</si>
  <si>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חשובה-לא חשובה</t>
    </r>
  </si>
  <si>
    <t>מי משתי המפלגות ניצחה לדעתך, בבחירות להסתדרות - המערך או הליכוד?</t>
  </si>
  <si>
    <t>b127</t>
  </si>
  <si>
    <t>b128</t>
  </si>
  <si>
    <t>b129</t>
  </si>
  <si>
    <t>b130</t>
  </si>
  <si>
    <t>b131</t>
  </si>
  <si>
    <t>b132</t>
  </si>
  <si>
    <t>b133</t>
  </si>
  <si>
    <t>b134</t>
  </si>
  <si>
    <t>b135</t>
  </si>
  <si>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חזקה-חלשה</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</si>
  <si>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נותנת תקווה-נותנת ייאוש</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</si>
  <si>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המקום שאני רוצה לחיות בו-המקום שאין אני רוצה לחיות בו</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</si>
  <si>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מקום שכל היהודים חייבים לעלות אליו-לא מקום שכל היהודים חייבים לעלות אליו</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</si>
  <si>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דמוקרטית-לא דמוקרטית</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</si>
  <si>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יש בה צדק חברתי-אין בה צדק חברתי</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</si>
  <si>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מוכנה לחיות בשכנות טובה עם ארצות ערב-לא מוכנה לחיות בשכנות טובה עם ארצות ערב</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</si>
  <si>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צודקת-לא צודקת</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</si>
  <si>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שוחרת שלום-מחרחרת מלחמה</t>
    </r>
  </si>
  <si>
    <t>b137</t>
  </si>
  <si>
    <t>b138</t>
  </si>
  <si>
    <t>b139</t>
  </si>
  <si>
    <t>b140</t>
  </si>
  <si>
    <t>b141</t>
  </si>
  <si>
    <t>b142</t>
  </si>
  <si>
    <t>b143</t>
  </si>
  <si>
    <t>b144</t>
  </si>
  <si>
    <t>b145</t>
  </si>
  <si>
    <t>האם אתה נוסע בשבת?</t>
  </si>
  <si>
    <t>האם אתה אוכל רק אוכל כשר?</t>
  </si>
  <si>
    <t>b146</t>
  </si>
  <si>
    <t>b147</t>
  </si>
  <si>
    <t>כמה פעמים בשנה אתה נוהג לבקר בבית כנסת?</t>
  </si>
  <si>
    <t>b148</t>
  </si>
  <si>
    <t>b149</t>
  </si>
  <si>
    <t>b151</t>
  </si>
  <si>
    <t>b152</t>
  </si>
  <si>
    <t>לאיזו תחנת רדיו אתה מאזין במיוחד?</t>
  </si>
  <si>
    <t>b155</t>
  </si>
  <si>
    <t>b156</t>
  </si>
  <si>
    <t>b157</t>
  </si>
  <si>
    <t>כמה כסף מוציאה המשפחה שלכם בממוצע בחודש?</t>
  </si>
  <si>
    <t>b158</t>
  </si>
  <si>
    <t>b159</t>
  </si>
  <si>
    <t>1981 - 2</t>
  </si>
  <si>
    <t>באיזו מידה מדיניות הממשלה מקדמת את עניין השלום?</t>
  </si>
  <si>
    <t>מה דעתך על הדרך שבה מטפל כיום שר הבטחון בבעיות הבטחון של המדינה?</t>
  </si>
  <si>
    <t>שמעת בוודאי על הדיונים בעניין תקציב הבטחון. האם לדעתך בהתחשב עם מצבנו הנוכחי, יש או אין מקום לקצץ בתקציב הבטחון?</t>
  </si>
  <si>
    <t>האם ענייני הבטחון צריכים או לא צריכים להיות נושא במערכת הבחירות לכנסת?</t>
  </si>
  <si>
    <r>
      <t>באיזו מידה אתה מסכים או לא מסכים עם המשפטים הבאים:</t>
    </r>
    <r>
      <rPr>
        <b/>
        <sz val="11"/>
        <color theme="1"/>
        <rFont val="Calibri"/>
        <family val="2"/>
        <scheme val="minor"/>
      </rPr>
      <t xml:space="preserve"> דמוקרטיה היא צורת השלטון הטובה ביותר</t>
    </r>
  </si>
  <si>
    <r>
      <t xml:space="preserve">באיזו מידה אתה מסכים או לא מסכים עם המשפטים הבאים: </t>
    </r>
    <r>
      <rPr>
        <b/>
        <sz val="11"/>
        <color theme="1"/>
        <rFont val="Calibri"/>
        <family val="2"/>
        <scheme val="minor"/>
      </rPr>
      <t>היום רק מי שהולך בכוח מצליח להשיג את שלו במדינה</t>
    </r>
  </si>
  <si>
    <r>
      <t xml:space="preserve">לפניך שורה של מעשים. לגבי כל אחד מהם קבע באיזו מידה הוא מתאים או לא מתאים לאזרחות טובה: </t>
    </r>
    <r>
      <rPr>
        <b/>
        <sz val="11"/>
        <color theme="1"/>
        <rFont val="Calibri"/>
        <family val="2"/>
        <scheme val="minor"/>
      </rPr>
      <t>משלם מס אמת</t>
    </r>
  </si>
  <si>
    <r>
      <t xml:space="preserve">לפניך שורה של מעשים. לגבי כל אחד מהם קבע באיזו מידה הוא מתאים או לא מתאים לאזרחות טובה: </t>
    </r>
    <r>
      <rPr>
        <b/>
        <sz val="11"/>
        <color theme="1"/>
        <rFont val="Calibri"/>
        <family val="2"/>
        <scheme val="minor"/>
      </rPr>
      <t>לא מצביע ביום הבחירות</t>
    </r>
  </si>
  <si>
    <r>
      <t xml:space="preserve">לפניך שורה של מעשים. לגבי כל אחד מהם קבע באיזו מידה הוא מתאים או לא מתאים לאזרחות טובה: </t>
    </r>
    <r>
      <rPr>
        <b/>
        <sz val="11"/>
        <color theme="1"/>
        <rFont val="Calibri"/>
        <family val="2"/>
        <scheme val="minor"/>
      </rPr>
      <t>מתכנן ללמוד בחו"ל</t>
    </r>
  </si>
  <si>
    <r>
      <t xml:space="preserve">לפניך שורה של מעשים. לגבי כל אחד מהם קבע באיזו מידה הוא מתאים או לא מתאים לאזרחות טובה: </t>
    </r>
    <r>
      <rPr>
        <b/>
        <sz val="11"/>
        <color theme="1"/>
        <rFont val="Calibri"/>
        <family val="2"/>
        <scheme val="minor"/>
      </rPr>
      <t>מרשה לעצמו לעבור על החוק אם אין שוטר במקום</t>
    </r>
  </si>
  <si>
    <r>
      <t xml:space="preserve">לפניך שורה של מעשים. לגבי כל אחד מהם קבע באיזו מידה הוא מתאים או לא מתאים לאזרחות טובה: </t>
    </r>
    <r>
      <rPr>
        <b/>
        <sz val="11"/>
        <color theme="1"/>
        <rFont val="Calibri"/>
        <family val="2"/>
        <scheme val="minor"/>
      </rPr>
      <t>לא מתכנן עתידו בהתאם לצרכי הכלל</t>
    </r>
  </si>
  <si>
    <r>
      <t xml:space="preserve">לפניך שורה של מעשים. לגבי כל אחד מהם קבע באיזו מידה הוא מתאים או לא מתאים לאזרחות טובה: </t>
    </r>
    <r>
      <rPr>
        <b/>
        <sz val="11"/>
        <color theme="1"/>
        <rFont val="Calibri"/>
        <family val="2"/>
        <scheme val="minor"/>
      </rPr>
      <t>יורד מן הארץ כדי לשפר את מצבו</t>
    </r>
  </si>
  <si>
    <r>
      <t xml:space="preserve">לפניך שורה של מעשים. לגבי כל אחד מהם קבע באיזו מידה הוא מתאים או לא מתאים לאזרחות טובה: </t>
    </r>
    <r>
      <rPr>
        <b/>
        <sz val="11"/>
        <color theme="1"/>
        <rFont val="Calibri"/>
        <family val="2"/>
        <scheme val="minor"/>
      </rPr>
      <t>דואג לעצמו לפני דאגה לכלל</t>
    </r>
  </si>
  <si>
    <t>יש אנשים שמחליטים מוקדם בעד מי להצביע ויש הנוהגים לדחות את החלטתם ליותר מאוחר. מה לדעתך הסיבה העיקרית שאנשים נוהגים לדחות את החלטתם?</t>
  </si>
  <si>
    <t>לגבי אנשים המתלבטים בהצבעתם מה ניראת לך הדרך הטובה ביותר שתעזור להם לקבל החלטה בעד מי להצביע?</t>
  </si>
  <si>
    <t>ומה הדבר הנוסף העשוי לעזור?</t>
  </si>
  <si>
    <t>ומה עשוי לעזור להם להחליט מתוך הרשימה הבאה. מה הדבר העיקרי שעשוי לעזור?</t>
  </si>
  <si>
    <t>ומתוך אותה רשימה, מה עוד עשוי לעזור?</t>
  </si>
  <si>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התגשמות החלום הציוני-לא התגשמות החלום הציוני</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</si>
  <si>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</si>
  <si>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</si>
  <si>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</si>
  <si>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</si>
  <si>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</si>
  <si>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</si>
  <si>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ידע לעמוד בתוקף במו"מ על שטחים ושלום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</si>
  <si>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</si>
  <si>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</si>
  <si>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</si>
  <si>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</si>
  <si>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</si>
  <si>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</si>
  <si>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ידע לעמוד בתוקף במו"מ על שטחים ושלום</t>
    </r>
  </si>
  <si>
    <r>
      <t>לפניך רשימה של נימוקים. באיזו מידה משכנע כל אחד מהנימוקים אלה כדי לתמוך הצבעה</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</si>
  <si>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</si>
  <si>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</si>
  <si>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</si>
  <si>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</si>
  <si>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</si>
  <si>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ידע לעמוד בתוקף במו"מ על שטחים ושלום</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</si>
  <si>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חזק-חלש</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</si>
  <si>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יכול לעבוד בצוות-לא יכול לעבוד בצוות</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</si>
  <si>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ישר-לא ישר</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</si>
  <si>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בעל כושר החלטה-חסר כושר החלטה</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</si>
  <si>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יכול לעמוד בלחצים-לא יכול לעמוד בלחצים</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</si>
  <si>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חזק-חלש</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</si>
  <si>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יכול לעבוד בצוות-לא יכול לעבוד בצוות</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</si>
  <si>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ישר-לא ישר</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</si>
  <si>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בעל כושר החלטה-חסר כושר החלטה</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</si>
  <si>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יכול לעמוד בלחצים-לא יכול לעמוד בלחצים</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</si>
  <si>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אמין בהופעתו בטלוויזיה-בלתי אמין בהופעתו בטלוויזיה</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</si>
  <si>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חלקלק-דוגרי</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</si>
  <si>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עייף-רענן</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</si>
  <si>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חזק-חלש</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</si>
  <si>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יכול לעבוד בצוות-לא יכול לעבוד בצוות</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</si>
  <si>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ישר-לא ישר</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</si>
  <si>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בעל כושר החלטה-חסר כושר החלטה</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</si>
  <si>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יכול לעמוד בלחצים-לא יכול לעמוד בלחצים</t>
    </r>
  </si>
  <si>
    <t>מי לדעתך המתחרה הרציני ביותר של המערך בבחירות לכנסת?</t>
  </si>
  <si>
    <t>באיזו מידה הוכיח הליכוד כי הוא מסוגל או שאינו מסוגל להיות תחליף למערך בשלטון?</t>
  </si>
  <si>
    <t>a121</t>
  </si>
  <si>
    <t>יש אנשים ששינו את דעתם בעד מי להצביע בתקופה שלאחר פירסום תכנית ארידור. מה לדעתך הסיבה העיקרית לשינוי?</t>
  </si>
  <si>
    <t>a128</t>
  </si>
  <si>
    <t>a129</t>
  </si>
  <si>
    <t>a130</t>
  </si>
  <si>
    <t>a131</t>
  </si>
  <si>
    <t>a132</t>
  </si>
  <si>
    <t>a133</t>
  </si>
  <si>
    <t>a134</t>
  </si>
  <si>
    <t>a135</t>
  </si>
  <si>
    <t>מה הסיבה העיקרית שהצבעת עבור רשימה זו?</t>
  </si>
  <si>
    <t>וסיבה נוספת בגללה הצבעת עבור רשימה זו?</t>
  </si>
  <si>
    <t>a137</t>
  </si>
  <si>
    <t>a138</t>
  </si>
  <si>
    <t>מה הסיבה העיקרית שבגלל לא השתתפת בבחירות להסתדרות?</t>
  </si>
  <si>
    <t>a139</t>
  </si>
  <si>
    <t>a140</t>
  </si>
  <si>
    <t>a141</t>
  </si>
  <si>
    <t>a142</t>
  </si>
  <si>
    <t>a143</t>
  </si>
  <si>
    <t>לפני חודשיים בערך, ז"א לפני שהשר ארידור פירסם את תכניתו ואחרי התמודדות פרס-רבין בועידת מפלגת העבודה, בעד מי חשבת אז להצביע?</t>
  </si>
  <si>
    <t>a144</t>
  </si>
  <si>
    <t>a145</t>
  </si>
  <si>
    <t>a146</t>
  </si>
  <si>
    <t>a147</t>
  </si>
  <si>
    <t>a148</t>
  </si>
  <si>
    <t>a149</t>
  </si>
  <si>
    <t>a151</t>
  </si>
  <si>
    <t>a152</t>
  </si>
  <si>
    <t>a153</t>
  </si>
  <si>
    <t>a154</t>
  </si>
  <si>
    <t>a155</t>
  </si>
  <si>
    <t>a156</t>
  </si>
  <si>
    <t>a157</t>
  </si>
  <si>
    <t>a158</t>
  </si>
  <si>
    <t>האם יש לכם טלפון בבית?</t>
  </si>
  <si>
    <t>a159</t>
  </si>
  <si>
    <t>a161</t>
  </si>
  <si>
    <t>a160</t>
  </si>
  <si>
    <t>1981 - 1</t>
  </si>
  <si>
    <t>איזו מפלגה משקפת בצורה הטובה ביותר את עמדתך בנושא השלום והשטחים?</t>
  </si>
  <si>
    <t>האם בתקופה שלפני הבחירות אתה נוהג להשתתף באסיפות המאורגנות ע"י המפלגות ואם כן באיזו תדירות?</t>
  </si>
  <si>
    <t>האם אתה נוהג להשתתף בחוגי בית של המפלגות ואם כן באיזו תדירות?</t>
  </si>
  <si>
    <t>באיזו מידה אתה חושב שהשידורים ברדיו יעזרו לך או לא להחליט בעד מי להצביע?</t>
  </si>
  <si>
    <t>באיזו מידה אתה חושב שהעיתונות תעזור לך או לא להחליט בעד מי להצביע?</t>
  </si>
  <si>
    <t>לפניך כרטיס ובו סיבות שונות שצויינו ע"י אנשים שנשאלו מדוע הם מסתכלים בשידורי בחירות בטלוויזיה, אנא ציין איזו מבין סיבות אלה נראת לך כעיקרית?</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</si>
  <si>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ארבע שנים אינן מספיקות כדי לבנות מה שהמערך הרס ב-30 שנה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</si>
  <si>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מדיניות הליכוד תגביר את סיכויי השלום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</si>
  <si>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</si>
  <si>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אי אפשר להאמין למנהיגי המערך ולכן יש לתמוך בליכוד</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</si>
  <si>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הוא הרע במיעוטו</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</si>
  <si>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המנהיגים של המערך הביאו את המדינה למצבה הקשה ביותר וכן אין לתת להם לחזור לשלטון</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</si>
  <si>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למערך ולדיין אין מדיניות ברורה בענייני חוץ ובטחון ולכן יש לתמוך בליכוד</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</si>
  <si>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האופציה הירדנית של של המערך והרעיונות של דיין יביאו למדינה פלשתינאית ולכן יש לתמוך בליכוד</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</si>
  <si>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בעל נסיון בשלטון</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</si>
  <si>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מציע אנשים חדשים ורעיונות טובים לפתור את הבעיות במדינה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</si>
  <si>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מדיניות המערך תגביר את סיכויי השלום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</si>
  <si>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יוכל לטפל טוב יותר בבעיות משק וחברה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</si>
  <si>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מתחדש ושוב ניתן להאמין בו</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</si>
  <si>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הוא הרע במיעוטו</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</si>
  <si>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אחרי ד"ש אין להצביע בשביל מפלגות חדשות ויש לתמוך במערך</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</si>
  <si>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לליכוד אין מנהיגים טובים ולכן יש לתמוך במערך</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</si>
  <si>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האוטונומיה של בגין והרעיונות של דיין יביאו למדינה פלשתינאית ולכן יש לתמוך במערך</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</si>
  <si>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המדיניות של דיין תגביר את סיכויי השלום</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</si>
  <si>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רשימת דיין תוכל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</si>
  <si>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רשימת דיין היא הרע במיעוטו</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</si>
  <si>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המערך והליכוד שניהם גרועים באותה מידה ולכן יש לתמוך בדיין</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</si>
  <si>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לדיין היכולת להביא לשינוי אמיתי במדינה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</si>
  <si>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המנהיגים של המערך והליכוד הוכיחו שהם לא יכולים לנהל את העניינים ולכן יש לתמוך בדיין</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</si>
  <si>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האוטונומיה של בגין והאופוציה הירדנית של המערך יובילו למדינה פלשתינאית ולכן יש לתמוך בדיין</t>
    </r>
  </si>
  <si>
    <t>באיזו מידה לדעתך יש או אין לבחירות השפעה על המדיניות הננקטת ע"י הממשלה?</t>
  </si>
  <si>
    <r>
      <t xml:space="preserve">מתוך רשימה של קבוצות זו אתה מתבקש לבחור את שתי הקבוצות שהיית רוצה שתקבלנה יצוג יותר גדול במפלגה עבורה אתה מתכוון להצביע: </t>
    </r>
    <r>
      <rPr>
        <b/>
        <sz val="11"/>
        <color theme="1"/>
        <rFont val="Calibri"/>
        <family val="2"/>
        <scheme val="minor"/>
      </rPr>
      <t>הקבוצה הראשונה</t>
    </r>
  </si>
  <si>
    <r>
      <t xml:space="preserve">מתוך רשימה של קבוצות זו אתה מתבקש לבחור את שתי הקבוצות שהיית רוצה שתקבלנה יצוג יותר גדול במפלגה עבורה אתה מתכוון להצביע: </t>
    </r>
    <r>
      <rPr>
        <b/>
        <sz val="11"/>
        <color theme="1"/>
        <rFont val="Calibri"/>
        <family val="2"/>
        <scheme val="minor"/>
      </rPr>
      <t>הקבוצה השנייה</t>
    </r>
  </si>
  <si>
    <t>באיזו מידה תצליח או לא תצליח מדיניותו של השר ארידור לשפר את המצב הכלכלי של המדינה?</t>
  </si>
  <si>
    <t>אם הליכוד יהיו בשלטון לאחר הבחירות, מהם לדעתך הסיכויים לכך שהמדיניות הכלכלית שהנהיג השר ארידור תמשך או לא תמשך?</t>
  </si>
  <si>
    <t>לאיזו שכבה בציבור עוזרת ביותר לדעתך המדיניות הכלכלית החדשה של השר ארידור?</t>
  </si>
  <si>
    <t>האם קנית לאחרונה או שיש בכוונתך לקנות בזמן הקרוב מכונית, ריהוט לבית, טלוויזיה צבעונית או מכשירי חשמל אחרים שהוזלו במסגרת מדיניות האוצר?</t>
  </si>
  <si>
    <t>מה מושך אותך יותר - מפלגה שאומרת שהיא חזקה ומסוגלת למשול או מפלגה שמזהירה מפני תקופות קשות?</t>
  </si>
  <si>
    <t>יש כאלה האומרים שהדמוקרטיה שלנו היום זקוקה לממשלה חזקה המבוססת על מפלגה אחת שקיבלה רוב מוחלט (יותר מ-60 מנדטים) בבחירות לכנסת ואחרים האומרים שמפלגה אחת המקבלת רוב מוחלט בבחירות מסכנת את הדמוקרטיה שלנו. מה דעתך?</t>
  </si>
  <si>
    <t>באיזו מידה אתה תומך או מתנגד לרעיון להקים מדינה פלשתינאית?</t>
  </si>
  <si>
    <t>האם אתה בעד המשך הסטטוס-קוו בענייני דת, בעד יישום יתר של ההלכה או בעד יתר ליברליזציה בנושאי דת?</t>
  </si>
  <si>
    <t>יש האומרים שדיין הוא מנהיג זקן שטעה יותר מדי (יום כיפור) ואין לתת לו לחזור לשלטון ויש כאלה האומרים שיש לדיין רעיונות טובים והוא סוג המנהיג שחסר לנו כעת, מה דעתך בנושא זה?</t>
  </si>
  <si>
    <t>יש כאלה האומרים שבבחירות האלה לא יצביעו בעד מפלגה כלשהי אלא יותר נכון להגיד שיצביעו נגד מפלגה אחרת. מה איתך? האם אתה חושב שבסופו של דבר תחליט להצביע למפלגה מסויימת כדי לתמוך באותה מפלגה או שתצביע כדי למחות נגד מפלגה אחרת?</t>
  </si>
  <si>
    <t>האם תצביע בבחירות הקרובות לכנסת כמו שאתה נוהג להצביע בדר"כ או לא?</t>
  </si>
  <si>
    <t>בין מי למי אתה מתלבט?</t>
  </si>
  <si>
    <t>אם משה דיין יקים רשימה עצמאית. עבור איזו רשימה תצביע אז?</t>
  </si>
  <si>
    <t>אם יתברר שהמערך יזכה ברוב קולות בבחירות להסתדרות, עבור איזו מפלגה תצביע אז?</t>
  </si>
  <si>
    <t>האם אתה מסכים או שאינך מסכים שההסתדרות תהיה גם בעלת מפעלים וגם נציגת העובדים?</t>
  </si>
  <si>
    <t>באיזו מידה ישפיעו או שלא ישפיעו תוצאות הבחירות להסתדרות על החלטתך איך להצביע לכנסת?</t>
  </si>
  <si>
    <t>אילו היו מתקיימות היום הבחירות להסתדרות עבור איזו רשימה היית מצביע?</t>
  </si>
  <si>
    <t>האם תצביע בבחירות להתסדרות ולכנסת בעד אותה רשימה או לא?</t>
  </si>
  <si>
    <t>מגדר</t>
  </si>
  <si>
    <t>מהו המצב התעסוקתי של בן/בת זוגך?</t>
  </si>
  <si>
    <t>1977 - 4</t>
  </si>
  <si>
    <t xml:space="preserve">האם לדעתך תעמולת הבחירות של הליכוד הייתה: </t>
  </si>
  <si>
    <t xml:space="preserve">האם לדעתך תעמולת הבחירות של המערך הייתה: </t>
  </si>
  <si>
    <t>c2</t>
  </si>
  <si>
    <t>באיזו מידה ממשלה בראשות הליכוד תחזק או תחליש את המצב הכלכלי והחברתי במדינה?</t>
  </si>
  <si>
    <t>באיזו מידה ממשלה בראשות הליכוד תקרב או תרחיק את השלום?</t>
  </si>
  <si>
    <t>בבחירות האחרונות אמרו שאנשים הצביעו בגלל יחסם למפלגה ולממשלה. איזה מהגורמים הבאים היה הגורם העיקרי אשר השפיע על הצבעתך בבחירות לכנסת?</t>
  </si>
  <si>
    <t>האם יצרו עמך קשר ממפלגה או מקבוצה כלשהי במהלך מערכת הבחירות בניסיון להשפיע על אופי הצבעתך?</t>
  </si>
  <si>
    <t>מבין הבעיות העומדות בפני המדינה - איזו מהן היא בשבילך החשובה ביותר בהחלטתך איך להצביע בבחירות האחרונות לכנסת?</t>
  </si>
  <si>
    <t>באיזו מידה אתה בטוח שבעתיד תמשיך לתמוך באותה מפלגה בה תמכת הפעם בבחירות לכנסת?</t>
  </si>
  <si>
    <t>ולמי הצבעת בבחירות להסתדרות במערכת הקודמת לזו האחרונה?</t>
  </si>
  <si>
    <t>מהי ההכנסה החודשית ברוטו שלך בלבד?</t>
  </si>
  <si>
    <t>1977 - 3</t>
  </si>
  <si>
    <t>יש שטוענים שאם הסכם שלום יהיה גרוך בוויתורים טריטוריאליים ביו"ש צריך לקיים בחירות חדשות לפני ביצוע ההסכם. לעותם יש שטוענים שהממשלה מוסמכת להחליט גם בנושא זה מבלי לקיים בחירות חדשות. מה דעתך?</t>
  </si>
  <si>
    <t>1977 - 2</t>
  </si>
  <si>
    <t>יש גישות שונות לטיפול במצב הכלכלי. יש הטוענים שחשוב יותר למנוע אבטלה אפילו אם היא מלווה באינפלציה, ויש כאלה שחושבים שעדיף להפסיק את האינפלציה אפילו אם יהיה אבטלה. מה דעתך?</t>
  </si>
  <si>
    <t>כידוע לך בעיות הכלכלה העומדות בפני המדינה הינן בעיות קשות מאוד. באיזו מידה לדעתך מתאימים השרים המופקדים על ענייני הכלכלה לטיפול בבעיות אלה?</t>
  </si>
  <si>
    <t>האם אתה קורא בדר"כ מודעות בחירות של המפלגות השונות?</t>
  </si>
  <si>
    <t>האם בגלל פרישתו של רבין וקבלת המועמדות לראשות הממשלה של פרס אתה מתלבט כיום יותר או פחות בעד איזו מפלגה להצביע?</t>
  </si>
  <si>
    <t>1977 - 1</t>
  </si>
  <si>
    <t>האם ברור לך מה ההבדלים בעמדותיהן של המפלגות לגבי בעיה זו?</t>
  </si>
  <si>
    <t>באיזו מידה, לדעתך, ישראל צריכה או שאינה צריכה להיות מוכנה לנהל מו"מ עם אש"ף?</t>
  </si>
  <si>
    <t>לאחרונה שמענו הרבה על שחיתות בקרב אנשי ציבור. באיזו מידה אתה חושב שנושא זה ישפיע על תוצאות הבחירות?</t>
  </si>
  <si>
    <r>
      <t xml:space="preserve">באיזו מידה ישפיע או לא ישפיע לדעתך </t>
    </r>
    <r>
      <rPr>
        <b/>
        <sz val="11"/>
        <color theme="1"/>
        <rFont val="Calibri"/>
        <family val="2"/>
        <scheme val="minor"/>
      </rPr>
      <t>הנושא הכלכלי</t>
    </r>
    <r>
      <rPr>
        <sz val="11"/>
        <color theme="1"/>
        <rFont val="Calibri"/>
        <family val="2"/>
        <charset val="177"/>
        <scheme val="minor"/>
      </rPr>
      <t xml:space="preserve"> על תוצאות הבחירות הקרובות לכנסת?</t>
    </r>
  </si>
  <si>
    <r>
      <t xml:space="preserve">באיזו מידה ישפיע או לא ישפיע לדעתך </t>
    </r>
    <r>
      <rPr>
        <b/>
        <sz val="11"/>
        <color theme="1"/>
        <rFont val="Calibri"/>
        <family val="2"/>
        <scheme val="minor"/>
      </rPr>
      <t>הנושא הבטחוני</t>
    </r>
    <r>
      <rPr>
        <sz val="11"/>
        <color theme="1"/>
        <rFont val="Calibri"/>
        <family val="2"/>
        <charset val="177"/>
        <scheme val="minor"/>
      </rPr>
      <t xml:space="preserve"> על תוצאות הבחירות הקרובות לכנסת?</t>
    </r>
  </si>
  <si>
    <r>
      <t xml:space="preserve">באיזו מידה ישפיע או לא ישפיע לדעתך </t>
    </r>
    <r>
      <rPr>
        <b/>
        <sz val="11"/>
        <color theme="1"/>
        <rFont val="Calibri"/>
        <family val="2"/>
        <scheme val="minor"/>
      </rPr>
      <t>נושא השטחים</t>
    </r>
    <r>
      <rPr>
        <sz val="11"/>
        <color theme="1"/>
        <rFont val="Calibri"/>
        <family val="2"/>
        <charset val="177"/>
        <scheme val="minor"/>
      </rPr>
      <t xml:space="preserve"> על תוצאות הבחירות הקרובות לכנסת?</t>
    </r>
  </si>
  <si>
    <t>לאחרונה נידונו בכנסת הצעה לשינוי שיטת הבחירות, עד כמה ידוע לך מהי הצעה זו?</t>
  </si>
  <si>
    <t>כידוע לך, נבחרים כעת ח"כים בבחירות כלל ארציות. לפי ההצעה צריכים חלק מהם להיבחר בבחירות אזוריות. האם אתה חושב שצריך להמשיך בשיטה הקיימת או לשנות את השיטה לפי ההצעה?</t>
  </si>
  <si>
    <t>יש אנשים שרוצים להשפיע על מדיניות הממשלה ויש כאלה שאינם רוצים להשפיע. באיזו מידה אתה מעוניין להשפיע על המדיניות?</t>
  </si>
  <si>
    <t>האם לדעתך שיטת בחירות אזוריות תגביר או תקטין את יכולתך להשפיע על המדיניות?</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</si>
  <si>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חשוב לתת לגורם חדש לנסות את כוחו בשלטון</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</si>
  <si>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מציע הנהגה רעננה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</si>
  <si>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יפעל ביד תקיפה להפסיק את השחיתות</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</si>
  <si>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מוסדות הליכוד דמוקרטיים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</si>
  <si>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המנהיגים של המערך נתנו יד לשחיתות במדינה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</si>
  <si>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</si>
  <si>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יעזור לי בבעיות אישיות שלי, כגון: דיור, עזרה ממשלתית ועוד</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</si>
  <si>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מציע הנהגה רעננה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</si>
  <si>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גמישות המערך בענייני שטחים עשוייה להביא לשלום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</si>
  <si>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יפעל ביד תקיפה להפסיק את השחיתות במדינה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</si>
  <si>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בעד שינוי שיטת הבחירות</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</si>
  <si>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פחד מפני קיצוניות הליכוד</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</si>
  <si>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ד"ש היא כמו המערך, אז למה לנסות משהו שהוא חדש</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</si>
  <si>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לליכוד ולד"ש אין מנהיגים מנוסים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</si>
  <si>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</si>
  <si>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יעזור לי בבעיות אישיות שלי, כגון: דיור, עזרה ממשלתית ועוד</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</si>
  <si>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מציעה מנהיגים טובים</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</si>
  <si>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חשוב לתת לגורם חדש לנסות את כוחו בשלטון</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</si>
  <si>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מציעה הנהגה רעננה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</si>
  <si>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המדיניות של ד"ש תגביר את הסיכויים לשלום</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</si>
  <si>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המדיניות של ד"ש בענייני שטחים עשוייה להביא את השלום</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</si>
  <si>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</si>
  <si>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תפעל ביד תקיפה להפסיק את השחיתות במדינה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</si>
  <si>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בעד שינוי שיטת הבחירות</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</si>
  <si>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תנועה דמוקרטית</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</si>
  <si>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היא הרע במיעוטו</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</si>
  <si>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המערך והליכוד אותו הדבר</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</si>
  <si>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לד"ש היכולת להביא שינוי אמיתי במדינה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</si>
  <si>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המנהיגים של המערך והליכוד נתנו יד לשחיתות</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</si>
  <si>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הליכוד והמערך לא יכולים לשפר את החיים במדינה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</si>
  <si>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</si>
  <si>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תעזור לי בבעיות אישיות כגון: דיור, עזרה ממשלתית ועוד</t>
    </r>
  </si>
  <si>
    <t>אם המפלגה שאתה תומך בה תשנה את עמדתה בנושא הנראה לך חשוב, האם תשנה את הצבעתך?</t>
  </si>
  <si>
    <t>אם המועמד בו אתה תומך לא יכלל ברשימת המפלגה או לא ייכלל במקום ריאלי, האם בכל זאת תצביע עבור אותה מפלגה?</t>
  </si>
  <si>
    <t>יש הטוענים שפרישת מפ"ם תשפיע על תוצאות הבחירות, ויש הטוענים שלא תשפיע. מה דעתך?</t>
  </si>
  <si>
    <t>האם ההתמודדות הפנימית במפלגת העבודה חיזקה או החלישה את המפלגה?</t>
  </si>
  <si>
    <t>האם ההתמודדות הפנימית במפלגת העבודה חיזקה את הדמוקרטיה במפלגה או פגעה בדמוקרטיה?</t>
  </si>
  <si>
    <t>את מי מבין האישים הבאים היית רוצה לראות כראש ממשלה לאחר הבחירות לכנסת?</t>
  </si>
  <si>
    <t>אם המערך יתפרק, האם היית מצביע בעד מפ"ם או בעד מפלגת העבודה?</t>
  </si>
  <si>
    <t>1973 - 5</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</si>
  <si>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המערך נכשל בתחום החברה והכלכלה</t>
    </r>
  </si>
  <si>
    <t>h3</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</si>
  <si>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לא יוותר על שטחים</t>
    </r>
  </si>
  <si>
    <t>h4</t>
  </si>
  <si>
    <t>h5</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</si>
  <si>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המערך אחראי למחדלי המלחמה</t>
    </r>
  </si>
  <si>
    <t>h6</t>
  </si>
  <si>
    <t>h7</t>
  </si>
  <si>
    <t>h8</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</si>
  <si>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מציע מנהיגים טובים</t>
    </r>
  </si>
  <si>
    <t>h9</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</si>
  <si>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הציע הקמת ממשלת ליכוד לאומית</t>
    </r>
  </si>
  <si>
    <t>h10</t>
  </si>
  <si>
    <t>h12</t>
  </si>
  <si>
    <t>h13</t>
  </si>
  <si>
    <t>h14</t>
  </si>
  <si>
    <t>h15</t>
  </si>
  <si>
    <t>h16</t>
  </si>
  <si>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מציע מנהיגים טובים</t>
    </r>
  </si>
  <si>
    <t>h17</t>
  </si>
  <si>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חשש מפני זעזועים במדינה</t>
    </r>
  </si>
  <si>
    <t>h18</t>
  </si>
  <si>
    <r>
      <t xml:space="preserve">לפניך רשימה של מנהיגים. מה יחסך אל כל אחד מהם, והאם יחס זה היה גורם חשוב מאד בהצבעתך? </t>
    </r>
    <r>
      <rPr>
        <b/>
        <sz val="11"/>
        <color theme="1"/>
        <rFont val="Calibri"/>
        <family val="2"/>
        <scheme val="minor"/>
      </rPr>
      <t>גולדה מאיר</t>
    </r>
  </si>
  <si>
    <t>h20</t>
  </si>
  <si>
    <t>h21</t>
  </si>
  <si>
    <t>h22</t>
  </si>
  <si>
    <t>h23</t>
  </si>
  <si>
    <t>h24</t>
  </si>
  <si>
    <t>h25</t>
  </si>
  <si>
    <r>
      <t xml:space="preserve">לפניך רשימה של מנהיגים. מה יחסך אל כל אחד מהם, והאם יחס זה היה גורם חשוב מאד בהצבעתך? </t>
    </r>
    <r>
      <rPr>
        <b/>
        <sz val="11"/>
        <color theme="1"/>
        <rFont val="Calibri"/>
        <family val="2"/>
        <scheme val="minor"/>
      </rPr>
      <t>מנחם בגין</t>
    </r>
  </si>
  <si>
    <r>
      <t xml:space="preserve">לפניך רשימה של מנהיגים. מה יחסך אל כל אחד מהם, והאם יחס זה היה גורם חשוב מאד בהצבעתך? </t>
    </r>
    <r>
      <rPr>
        <b/>
        <sz val="11"/>
        <color theme="1"/>
        <rFont val="Calibri"/>
        <family val="2"/>
        <scheme val="minor"/>
      </rPr>
      <t>משה דיין</t>
    </r>
  </si>
  <si>
    <r>
      <t xml:space="preserve">לפניך רשימה של מנהיגים. מה יחסך אל כל אחד מהם, והאם יחס זה היה גורם חשוב מאד בהצבעתך? </t>
    </r>
    <r>
      <rPr>
        <b/>
        <sz val="11"/>
        <color theme="1"/>
        <rFont val="Calibri"/>
        <family val="2"/>
        <scheme val="minor"/>
      </rPr>
      <t>פנחס ספיר</t>
    </r>
  </si>
  <si>
    <r>
      <t xml:space="preserve">לפניך רשימה של מנהיגים. מה יחסך אל כל אחד מהם, והאם יחס זה היה גורם חשוב מאד בהצבעתך? </t>
    </r>
    <r>
      <rPr>
        <b/>
        <sz val="11"/>
        <color theme="1"/>
        <rFont val="Calibri"/>
        <family val="2"/>
        <scheme val="minor"/>
      </rPr>
      <t>אריק שרון</t>
    </r>
  </si>
  <si>
    <r>
      <t xml:space="preserve">לפניך רשימה של מנהיגים. מה יחסך אל כל אחד מהם, והאם יחס זה היה גורם חשוב מאד בהצבעתך? </t>
    </r>
    <r>
      <rPr>
        <b/>
        <sz val="11"/>
        <color theme="1"/>
        <rFont val="Calibri"/>
        <family val="2"/>
        <scheme val="minor"/>
      </rPr>
      <t>יגאל אלון</t>
    </r>
  </si>
  <si>
    <t>האם הצבעת הפעם בעד אותה המפלגה עבורה הצבעת בבחירות לכנסת ב-1969?</t>
  </si>
  <si>
    <t>h26</t>
  </si>
  <si>
    <t>האם שינית את החלטתך בעד איזו מפלגה להצביע בעקבות מלחמת יום כיפור?</t>
  </si>
  <si>
    <t>h27</t>
  </si>
  <si>
    <t>h28</t>
  </si>
  <si>
    <t>h29</t>
  </si>
  <si>
    <t>באיזו מידה היה לך קשה להחליט בעד מי להצביע?</t>
  </si>
  <si>
    <t>h30</t>
  </si>
  <si>
    <t>באיזו מידה לדעתך זו חובה להשתתף בבחירות לכנסת?</t>
  </si>
  <si>
    <t>h31</t>
  </si>
  <si>
    <t>h32</t>
  </si>
  <si>
    <t>ביום הבחירות הולכים רוב האנשים להצביע בקלפי. שהם נשאלים מהי הסיבה לכך שהם משתתפים בבחירות משיבים אנשים שונים תשובות שונות. אנא ציין איזו סיבה מבין אלה ניראת לך כסיבה העיקרית שבגללה אתה הולך להצביע?</t>
  </si>
  <si>
    <t>אם הממשלה תתמוך בהסדר שלום הכרוך בויתור על רוב השטחים, והאופוזיציה תתנגד, מה תהיה עמדתך?</t>
  </si>
  <si>
    <t>h33</t>
  </si>
  <si>
    <t>אם תעלה הצעה להסדר שלום הכרוכה בויתור על רוב השטחים, והממשלה תתנגד לכך, מה תהיה עמדתך?</t>
  </si>
  <si>
    <t>h34</t>
  </si>
  <si>
    <t>האם תתמוך בהסדר שלום הכרוך בוויתור על רוב השטחים?</t>
  </si>
  <si>
    <t>h35</t>
  </si>
  <si>
    <t>האם תתמוך בהחזרת רוב השטחים, גם אם דבר זה ימנע סיכוי להסדר שלום?</t>
  </si>
  <si>
    <t>h36</t>
  </si>
  <si>
    <t>באיזו מידה אתה מאמין שהסדר שלום עם הערבים אפשרי תוך השנים הקרובות?</t>
  </si>
  <si>
    <t>h37</t>
  </si>
  <si>
    <t>אם ההרכב הקואליציוני של הממשלה יהיה דומה לזה של הממשלה היוצאת, האם צריך לחול שינוי בהרכב האישי של חברי הממשלה מטעם המערך?</t>
  </si>
  <si>
    <t>h38</t>
  </si>
  <si>
    <t>h39</t>
  </si>
  <si>
    <t>h40</t>
  </si>
  <si>
    <t>h41</t>
  </si>
  <si>
    <t>h42</t>
  </si>
  <si>
    <t>באיזו מידה שיחות עם אנשים אחרים עזרו לך להחליט בעד מי להצביע?</t>
  </si>
  <si>
    <t>h43</t>
  </si>
  <si>
    <t>h44</t>
  </si>
  <si>
    <t>h45</t>
  </si>
  <si>
    <t>האם לדעתך מטפלות המפלגות בתעמולת הבחירות שלהן בבעיות החשובות ביותר במדינה?</t>
  </si>
  <si>
    <t>h47</t>
  </si>
  <si>
    <t>האם אתה מאמין למה שהמפלגות אומרות במערכת הבחירות?</t>
  </si>
  <si>
    <t>h48</t>
  </si>
  <si>
    <t>האם הייתה דרושה תעמולת בחירות לפני הבחירות?</t>
  </si>
  <si>
    <t>h49</t>
  </si>
  <si>
    <t>h50</t>
  </si>
  <si>
    <t>h51</t>
  </si>
  <si>
    <t>h52</t>
  </si>
  <si>
    <t>h53</t>
  </si>
  <si>
    <t>h54</t>
  </si>
  <si>
    <t>האם הצבעת לעירייה בעד אותה רשימה עבורה הצבעת לכנסת?</t>
  </si>
  <si>
    <t>h57</t>
  </si>
  <si>
    <t>לאחר שפורסמו תוצאות הבחירות, אילו היו נערכות שוב בחירות, עבור מי היית מצביע?</t>
  </si>
  <si>
    <t>h58</t>
  </si>
  <si>
    <t>h55</t>
  </si>
  <si>
    <t>h56</t>
  </si>
  <si>
    <t>האם שירתת במילואים, בזמן או בעקבות מלחמת יום כיפור?</t>
  </si>
  <si>
    <t>h59</t>
  </si>
  <si>
    <t>h60</t>
  </si>
  <si>
    <t>h61</t>
  </si>
  <si>
    <t>h62</t>
  </si>
  <si>
    <t>h63</t>
  </si>
  <si>
    <t>h64</t>
  </si>
  <si>
    <t>h65</t>
  </si>
  <si>
    <t>h66</t>
  </si>
  <si>
    <t>1973 - 4</t>
  </si>
  <si>
    <t>g2</t>
  </si>
  <si>
    <t>והבעיה השנייה הכי חשובה?</t>
  </si>
  <si>
    <t>g3</t>
  </si>
  <si>
    <t>g5</t>
  </si>
  <si>
    <t>באיזו מידה אתה מרוצה מהצורה בה מתנהלת מערכת הבחירות לכנסת?</t>
  </si>
  <si>
    <t>g4</t>
  </si>
  <si>
    <t>באיזו מידה מערכת הבחירות עוזרת לך להבין יותר את הבעיות הפוליטיות בארץ?</t>
  </si>
  <si>
    <t>באיזו מידה מערכת הבחירות הנוכחית עוזרת לך להכיר יותר טוב את עמדות המפלגות לגבי הבעיות הפוליטיות?</t>
  </si>
  <si>
    <t>באיזו מידה מערכת הבחירות הנוכחית עוזרת לך להכיר יותר טוב את המנהיגים הפוליטיים?</t>
  </si>
  <si>
    <t>באיזו מידה מערכת הבחירות הנוכחית עוזרת לך לדעת איזו מפלגה קרובה ביותר לדעותיך?</t>
  </si>
  <si>
    <t>באיזו מידה מערכת הבחירות הנוכחית עוזרת לך להבין טוב יותר איך פועלת הדמוקרטיה?</t>
  </si>
  <si>
    <t>באיזו מידה מערכת הבחירות הנוכחית עוזרת לך לחנך את ילדיך חינוך פוליטי?</t>
  </si>
  <si>
    <t>האם אתה בדר"כ בתקופת הבחירות קורא יותר על עניינים פוליטיים?</t>
  </si>
  <si>
    <t>האם אתה קורא או לא קורא מודוות בחירות המופיעות בעיתון?</t>
  </si>
  <si>
    <t>האם אתה קורא מודעות של המפלגה/ות הקרובה/ות לדעותיך?</t>
  </si>
  <si>
    <t>האם אתה קורא מודעות של המפלגות שאינן קרובות לדעותיך?</t>
  </si>
  <si>
    <t>האם שמעת ברדיו שידורי תעמולת בחירות של המפלגות?</t>
  </si>
  <si>
    <t>אם כן, של איזו מפלגות בעיקר שמעת?</t>
  </si>
  <si>
    <t>g19</t>
  </si>
  <si>
    <t>אם כן, של איזו מפלגות בעיקר ראית?</t>
  </si>
  <si>
    <t>g21</t>
  </si>
  <si>
    <t>באיזו מידה תשדירי הבחירות בטלוויזיה יעזרו לך להחליט עבור מי להצביע?</t>
  </si>
  <si>
    <t>g23</t>
  </si>
  <si>
    <t>g25</t>
  </si>
  <si>
    <t>יש אנשים שמתעניינים במערכת הבחירות מכיוון שיש לה אופי של התמודדות ספורטיבית. באיזו מידה גם אתה מתעניין מסיבה זו?</t>
  </si>
  <si>
    <t>האם אתה פעיל במערכת הבחירות הנוכחית? (עובד למען אחת המפלגות בהתנדבות או בשכר)</t>
  </si>
  <si>
    <t>g27</t>
  </si>
  <si>
    <t>באיזו מידה אתה נוהג להתיעץ עם בן/בת זוגך או עם חברך/חברתך בדבר המפלגה עבורה יש להצביע בבחירות?</t>
  </si>
  <si>
    <t>g28</t>
  </si>
  <si>
    <t>האם יש לך הרגשה כי כיום קשה לך למצוא אדם קרוב להתיעץ איתו לגבי המפלגה עבורה יש להצביע בבחירות, יותר מאשר לפני המלחמה?</t>
  </si>
  <si>
    <t>g29</t>
  </si>
  <si>
    <t>האם את מתחשבת ברצונו של בעלך בהחלטתך בעד מי להצביע?</t>
  </si>
  <si>
    <t>g31</t>
  </si>
  <si>
    <t>האם בן/בת זוגך תצביע כמוך?</t>
  </si>
  <si>
    <t>g33</t>
  </si>
  <si>
    <t>האם אתה חושב שהצבעתך לכנסת משפיעה על תוצאות הבחירות?</t>
  </si>
  <si>
    <t>g36</t>
  </si>
  <si>
    <t>g39</t>
  </si>
  <si>
    <t>g41</t>
  </si>
  <si>
    <t>יש הטוענים שאם לבוחר אין מפלגה שהוא תומך בה במיוחד, מוטב שלא יצביע בכלל, מה דעתך?</t>
  </si>
  <si>
    <t>האם לך אישית חשוב להצביע בבחירות לכנסת?</t>
  </si>
  <si>
    <t>g44</t>
  </si>
  <si>
    <t>יש אנשים שהעיקר בשבילם זה להצביע ופחות חשוב להם בעד איזו מפלגה הם מצביעים, ויש אנשים שהעיקר בשבילם היא המפלגה בעדה הם מצביעים. לאיזו מן העמדות אתה קרוב יותר?</t>
  </si>
  <si>
    <t>האם אתה מסכים עם הטענה שדרך הטיפול של הממשלה תסייע בהשגת שלום של אמת?</t>
  </si>
  <si>
    <t>g46</t>
  </si>
  <si>
    <t>האם אתה מסכים עם הטענה שדרך הטיפול של הממשלה מוליכה את המדינה לכניעה?</t>
  </si>
  <si>
    <t>כידוע לך, מונתה מונתה ועדת חקירה לבדוק את מה שאירע לפני ובזמן המלחמה; האם אתה חושב שלמסקנות הועדה הזו תהיינה השלכות מעשיות על פעולות הממשלה בעתיד בתחומי חוץ וביטחון?</t>
  </si>
  <si>
    <t>g49</t>
  </si>
  <si>
    <t>יש הטוענים שצריך להחליף את המפלגה שבשלטון אפילו אם היא עושה עבודה טובה. מה דעתך?</t>
  </si>
  <si>
    <t>g51</t>
  </si>
  <si>
    <t>מיהו לדעתך המועמד המתאים ביותר לכהונת ראש ממשלה?</t>
  </si>
  <si>
    <t>g54</t>
  </si>
  <si>
    <t>g56</t>
  </si>
  <si>
    <t>g59</t>
  </si>
  <si>
    <t>האם בעלך מגוייס?</t>
  </si>
  <si>
    <t>g61</t>
  </si>
  <si>
    <t>מקום הראיון</t>
  </si>
  <si>
    <t>1973 - 3</t>
  </si>
  <si>
    <t>באיזו מידה הוטב או הורע מצבה של ישראל, באופן כללי, בעקבות מלחמת יום כיפור?</t>
  </si>
  <si>
    <r>
      <t xml:space="preserve">באיזו מידה אחראי כל אחד מן הגורמים הבאים לשינוי שחל במצבנו: </t>
    </r>
    <r>
      <rPr>
        <b/>
        <sz val="11"/>
        <color theme="1"/>
        <rFont val="Calibri"/>
        <family val="2"/>
        <scheme val="minor"/>
      </rPr>
      <t>הממשלה</t>
    </r>
  </si>
  <si>
    <r>
      <t xml:space="preserve">באיזו מידה אחראי כל אחד מן הגורמים הבאים לשינוי שחל במצבנו: </t>
    </r>
    <r>
      <rPr>
        <b/>
        <sz val="11"/>
        <color theme="1"/>
        <rFont val="Calibri"/>
        <family val="2"/>
        <scheme val="minor"/>
      </rPr>
      <t>הפיקוד הבכיר של צה"ל</t>
    </r>
  </si>
  <si>
    <r>
      <t xml:space="preserve">באיזו מידה אחראי כל אחד מן הגורמים הבאים לשינוי שחל במצבנו: </t>
    </r>
    <r>
      <rPr>
        <b/>
        <sz val="11"/>
        <color theme="1"/>
        <rFont val="Calibri"/>
        <family val="2"/>
        <scheme val="minor"/>
      </rPr>
      <t>ארצות ערב</t>
    </r>
  </si>
  <si>
    <r>
      <t xml:space="preserve">באיזו מידה אחראי כל אחד מן הגורמים הבאים לשינוי שחל במצבנו: </t>
    </r>
    <r>
      <rPr>
        <b/>
        <sz val="11"/>
        <color theme="1"/>
        <rFont val="Calibri"/>
        <family val="2"/>
        <scheme val="minor"/>
      </rPr>
      <t>המעצמות הגדולות</t>
    </r>
  </si>
  <si>
    <t>באיזו מידה אתה חושב שהמדיניות של הממשלה בנושאי חוץ, בטחון ושלום (מאז מלחמת ששת הימים ועד מלחמת יום כיפור) הייתה מוצדקת?</t>
  </si>
  <si>
    <t>האם לדעתך בתקופה הנ"ל הראתה הממשלה נכונות גבוהה או נמוכה לפשרות?</t>
  </si>
  <si>
    <t>האם יש להקים היום ממשלת אחדות לאומית?</t>
  </si>
  <si>
    <t>באיזו מידה מזיקה פוליטיזציה של צה"ל לדמוקרטיה במדינה?</t>
  </si>
  <si>
    <t>f12</t>
  </si>
  <si>
    <t>באיזו מידה אתה מעריך את הראיון שנתן חיים בר-לב לעיתונות חוץ כמעשה חיובי או שלילי?</t>
  </si>
  <si>
    <t>האם לדעתך יש לקיים את הבחירות לכנסת ב-31 לדצמבר או לדחות אותן למועד מאוחר יותר?</t>
  </si>
  <si>
    <t>לכמה זמן, לדעתך, צריך לדחות את הבחירות?</t>
  </si>
  <si>
    <t>f14</t>
  </si>
  <si>
    <t>מה הסיבה שאינך מתכוון ללכת להצביע בבחירות הקרובות לכנסת?</t>
  </si>
  <si>
    <t>באיזו מידה אתה חושב שחוגי בית יעזרו לך להחליט בעד מי להצביע?</t>
  </si>
  <si>
    <t>באיזו מידה אתה חושב שאסיפות יעזרו לך להחליט בעד מי להצביע?</t>
  </si>
  <si>
    <t>לקראת הבחירות לכנסת יהיו שידורים בטלוויזיה מטעם המפלגות. מי הוא המנהיג שהיית רוצה לראות ביותר בשידורים האלו?</t>
  </si>
  <si>
    <t>איזה משתי הצורות הבאות של שידורי תעמולת הבחירות היית מעדיף?</t>
  </si>
  <si>
    <t>האם אתה מתכונן להצביע בעד אותה מפלגה שבשבילה הצבעת בבחירות הקודמות לכנסת?</t>
  </si>
  <si>
    <r>
      <t xml:space="preserve">האם מלחמת יום כיפור גרמה, באופן כללי, לשינוי דעתך על האישים הבאים: </t>
    </r>
    <r>
      <rPr>
        <b/>
        <sz val="11"/>
        <color theme="1"/>
        <rFont val="Calibri"/>
        <family val="2"/>
        <scheme val="minor"/>
      </rPr>
      <t>גולדה מאיר</t>
    </r>
  </si>
  <si>
    <r>
      <t xml:space="preserve">האם מלחמת יום כיפור גרמה, באופן כללי, לשינוי דעתך על האישים הבאים: </t>
    </r>
    <r>
      <rPr>
        <b/>
        <sz val="11"/>
        <color theme="1"/>
        <rFont val="Calibri"/>
        <family val="2"/>
        <scheme val="minor"/>
      </rPr>
      <t>משה דיין</t>
    </r>
  </si>
  <si>
    <r>
      <t xml:space="preserve">האם מלחמת יום כיפור גרמה, באופן כללי, לשינוי דעתך על האישים הבאים: </t>
    </r>
    <r>
      <rPr>
        <b/>
        <sz val="11"/>
        <color theme="1"/>
        <rFont val="Calibri"/>
        <family val="2"/>
        <scheme val="minor"/>
      </rPr>
      <t>מנחם בגין</t>
    </r>
  </si>
  <si>
    <r>
      <t xml:space="preserve">האם מלחמת יום כיפור גרמה, באופן כללי, לשינוי דעתך על האישים הבאים: </t>
    </r>
    <r>
      <rPr>
        <b/>
        <sz val="11"/>
        <color theme="1"/>
        <rFont val="Calibri"/>
        <family val="2"/>
        <scheme val="minor"/>
      </rPr>
      <t>פנחס ספיר</t>
    </r>
  </si>
  <si>
    <r>
      <t xml:space="preserve">האם מלחמת יום כיפור גרמה, באופן כללי, לשינוי דעתך על האישים הבאים: </t>
    </r>
    <r>
      <rPr>
        <b/>
        <sz val="11"/>
        <color theme="1"/>
        <rFont val="Calibri"/>
        <family val="2"/>
        <scheme val="minor"/>
      </rPr>
      <t>אריק שרון</t>
    </r>
  </si>
  <si>
    <r>
      <t xml:space="preserve">האם מלחמת יום כיפור גרמה, באופן כללי, לשינוי דעתך על האישים הבאים: </t>
    </r>
    <r>
      <rPr>
        <b/>
        <sz val="11"/>
        <color theme="1"/>
        <rFont val="Calibri"/>
        <family val="2"/>
        <scheme val="minor"/>
      </rPr>
      <t>חיים בר-לב</t>
    </r>
  </si>
  <si>
    <r>
      <t xml:space="preserve">האם מלחמת יום כיפור גרמה, באופן כללי, לשינוי דעתך על האישים הבאים: </t>
    </r>
    <r>
      <rPr>
        <b/>
        <sz val="11"/>
        <color theme="1"/>
        <rFont val="Calibri"/>
        <family val="2"/>
        <scheme val="minor"/>
      </rPr>
      <t>אריה אליאב</t>
    </r>
  </si>
  <si>
    <r>
      <t xml:space="preserve">האם מלחמת יום כיפור גרמה, באופן כללי, לשינוי דעתך על האישים הבאים: </t>
    </r>
    <r>
      <rPr>
        <b/>
        <sz val="11"/>
        <color theme="1"/>
        <rFont val="Calibri"/>
        <family val="2"/>
        <scheme val="minor"/>
      </rPr>
      <t>מאיר פעיל</t>
    </r>
  </si>
  <si>
    <r>
      <t xml:space="preserve">האם לדעתך מלחמת יום כיפור שינתה את סיכויי </t>
    </r>
    <r>
      <rPr>
        <b/>
        <sz val="11"/>
        <color theme="1"/>
        <rFont val="Calibri"/>
        <family val="2"/>
        <scheme val="minor"/>
      </rPr>
      <t>הליכוד</t>
    </r>
    <r>
      <rPr>
        <sz val="11"/>
        <color theme="1"/>
        <rFont val="Calibri"/>
        <family val="2"/>
        <charset val="177"/>
        <scheme val="minor"/>
      </rPr>
      <t xml:space="preserve"> בבחירות לכנסת לעומת אלו שהיו לפני המלחמה?</t>
    </r>
  </si>
  <si>
    <r>
      <t xml:space="preserve">האם לדעתך מלחמת יום כיפור שינתה את סיכויי </t>
    </r>
    <r>
      <rPr>
        <b/>
        <sz val="11"/>
        <color theme="1"/>
        <rFont val="Calibri"/>
        <family val="2"/>
        <scheme val="minor"/>
      </rPr>
      <t>המערך</t>
    </r>
    <r>
      <rPr>
        <sz val="11"/>
        <color theme="1"/>
        <rFont val="Calibri"/>
        <family val="2"/>
        <charset val="177"/>
        <scheme val="minor"/>
      </rPr>
      <t xml:space="preserve"> בבחירות לכנסת לעומת אלו שהיו לפני המלחמה?</t>
    </r>
  </si>
  <si>
    <t>האם לדעתך מלחמת יום כיפור שינתה את סיכויי הרשימות הבאות: מוקד, מר"י, העולם הזה, שולמית אלוני, הפנתרים השחורים; לעומת אלו שהיו לפני המלחמה?</t>
  </si>
  <si>
    <t>מיהו לדעתך המועמד המתאים ביותר לכהונת שר הבטחון?</t>
  </si>
  <si>
    <t>מיהו לדעתך המועמד המתאים ביותר לכהונת שר החוץ?</t>
  </si>
  <si>
    <t>באיזו מידה אתה מאמין וסומך על עבודת הממשלה תחת מנהיגותה של הגב' גולדה מאיר במשך 4 השנים האחרונות?</t>
  </si>
  <si>
    <t>f2</t>
  </si>
  <si>
    <t>f3</t>
  </si>
  <si>
    <t>f4</t>
  </si>
  <si>
    <t>f5</t>
  </si>
  <si>
    <t>האם לדעתך צריך להצביע לאופוזיציה, גם אם לא מסכימים עם כל דעותיה, כי חשוב שתהיה במדינה אופוזיציה חזקה?</t>
  </si>
  <si>
    <t>1973 - 2</t>
  </si>
  <si>
    <t>האם בתקופת הבחירות אתה מתעניין בפוליטיקה יותר מאשר בדר"כ?</t>
  </si>
  <si>
    <r>
      <t xml:space="preserve">באיזו מידה אתה מתעניין במערכת הבחירות: </t>
    </r>
    <r>
      <rPr>
        <b/>
        <sz val="11"/>
        <color theme="1"/>
        <rFont val="Calibri"/>
        <family val="2"/>
        <scheme val="minor"/>
      </rPr>
      <t>לכנסת</t>
    </r>
  </si>
  <si>
    <r>
      <t xml:space="preserve">באיזו מידה אתה מתעניין במערכת הבחירות: </t>
    </r>
    <r>
      <rPr>
        <b/>
        <sz val="11"/>
        <color theme="1"/>
        <rFont val="Calibri"/>
        <family val="2"/>
        <scheme val="minor"/>
      </rPr>
      <t>לעירייה</t>
    </r>
  </si>
  <si>
    <r>
      <t xml:space="preserve">באיזו מידה אתה מתעניין במערכת הבחירות: </t>
    </r>
    <r>
      <rPr>
        <b/>
        <sz val="11"/>
        <color theme="1"/>
        <rFont val="Calibri"/>
        <family val="2"/>
        <scheme val="minor"/>
      </rPr>
      <t>להסתדרות</t>
    </r>
  </si>
  <si>
    <t>מדוע?</t>
  </si>
  <si>
    <t>איזה נושאים פוליטיים מעניינים אותך בעיקר?</t>
  </si>
  <si>
    <t>האם אתה קורא את מדור הבחירות בעיתונים?</t>
  </si>
  <si>
    <t>אם כן, של איזו מפלגה בעיקר?</t>
  </si>
  <si>
    <t>ומי השני?</t>
  </si>
  <si>
    <r>
      <t xml:space="preserve">יש כאלה הרוצים לראות את המנהיג בפעילותו הפוליטית וציבורית ויש כאלה המעדיפים לראותו בשידור הטלוויזיה כאדם פרטי בחייו היום-יומיים. איך היית רוצה לראות את המנהיג שציינת </t>
    </r>
    <r>
      <rPr>
        <b/>
        <sz val="11"/>
        <color theme="1"/>
        <rFont val="Calibri"/>
        <family val="2"/>
        <scheme val="minor"/>
      </rPr>
      <t>ראשון</t>
    </r>
    <r>
      <rPr>
        <sz val="11"/>
        <color theme="1"/>
        <rFont val="Calibri"/>
        <family val="2"/>
        <charset val="177"/>
        <scheme val="minor"/>
      </rPr>
      <t xml:space="preserve"> ?</t>
    </r>
  </si>
  <si>
    <r>
      <t xml:space="preserve">יש כאלה הרוצים לראות את המנהיג בפעילותו הפוליטית וציבורית ויש כאלה המעדיפים לראותו בשידור הטלוויזיה כאדם פרטי בחייו היום-יומיים. איך היית רוצה לראות את המנהיג שציינת </t>
    </r>
    <r>
      <rPr>
        <b/>
        <sz val="11"/>
        <color theme="1"/>
        <rFont val="Calibri"/>
        <family val="2"/>
        <scheme val="minor"/>
      </rPr>
      <t>שני</t>
    </r>
    <r>
      <rPr>
        <sz val="11"/>
        <color theme="1"/>
        <rFont val="Calibri"/>
        <family val="2"/>
        <charset val="177"/>
        <scheme val="minor"/>
      </rPr>
      <t xml:space="preserve"> ?</t>
    </r>
  </si>
  <si>
    <t>באיזו מידה אתה מתעניין בפוליטיקה בדר"כ?</t>
  </si>
  <si>
    <t>איך אתה רואה את הפוליטיקה בישראל?</t>
  </si>
  <si>
    <t>האם אתה חושב שהאופוזיציה משרתת את המדינה כמו המפלגות בשלטון?</t>
  </si>
  <si>
    <t>האם היית אומר שיום הבחירות הוא יום חג למדינה ולעם?</t>
  </si>
  <si>
    <t>האם חשוב שכל אחד ישתתף בבחירות?</t>
  </si>
  <si>
    <t>האם הצבעת בבחירות בארץ אחרת?</t>
  </si>
  <si>
    <t>אם כן, מה ההבדלים מה ההבדלים בין הבחירות בארץ לבחירות בחו"ל?</t>
  </si>
  <si>
    <t>האם לדעתך קיימים הבדלים בין רוב המפלגות בישראל?</t>
  </si>
  <si>
    <t>יש האומרים שההבדלים בין המפלגות הם "במה שהם אומרים" ולא "במה שהם עושים", ויש האומרים את ההפך. מה דעתך?</t>
  </si>
  <si>
    <t>באיזו מידה חשוב לך להבין יותר טוב את הבעיות הפוליטיות בארץ?</t>
  </si>
  <si>
    <t>באיזו מידה חשוב לך להכיר יותר טוב את העמדות את עמדות המפלגות לגבי הבעיות הפוליטיות?</t>
  </si>
  <si>
    <t>באיזו מידה חשוב לך להכיר יותר טוב את המנהיגים הפוליטיים?</t>
  </si>
  <si>
    <t>באיזו מידה חשוב לך להבין יותר טוב איך פועלת הדמוקרטיה?</t>
  </si>
  <si>
    <t>באיו מידה חשוב לך לחנך את ילדיך חינוך פוליטי?</t>
  </si>
  <si>
    <t>באיזו מידה חשוב לך לדעת איזו מפלגה קרובה ביותר לעמדותיך?</t>
  </si>
  <si>
    <t>באיזו מידה חשוב לך להרגיש שאתה חלק מהמדינה והעם?</t>
  </si>
  <si>
    <t>באיזו מידה חשוב לך להביע את דעותיך בעניינים פוליטיים?</t>
  </si>
  <si>
    <t>באיזו מידה חשוב לך להזדהות עם אישיים פוליטיים?</t>
  </si>
  <si>
    <t>באיזו מידה חשוב לך להתנהג כמו החברים שלך?</t>
  </si>
  <si>
    <t>באיזו מידה חשוב לך להזדהות עם המפלגה שאתה תומך בה?</t>
  </si>
  <si>
    <t>באיזו מידה חשוב לך להשפיע איזה מפלגה תהיה בשלטון?</t>
  </si>
  <si>
    <t>האם אתה מאמין שהממשלה תפתור בקרוב את שתי הבעיות שציינת?</t>
  </si>
  <si>
    <r>
      <t xml:space="preserve">האם אתה מזדהה עם עמדה של מפלגה מסויימת לגבי הבעיה </t>
    </r>
    <r>
      <rPr>
        <b/>
        <sz val="11"/>
        <color theme="1"/>
        <rFont val="Calibri"/>
        <family val="2"/>
        <scheme val="minor"/>
      </rPr>
      <t>הראשונה</t>
    </r>
    <r>
      <rPr>
        <sz val="11"/>
        <color theme="1"/>
        <rFont val="Calibri"/>
        <family val="2"/>
        <charset val="177"/>
        <scheme val="minor"/>
      </rPr>
      <t xml:space="preserve"> שציינת? האם הזדהות זו משפיעה על הצבעתך?</t>
    </r>
  </si>
  <si>
    <r>
      <t xml:space="preserve">האם אתה מזדהה עם עמדה של מפלגה מסויימת לגבי הבעיה </t>
    </r>
    <r>
      <rPr>
        <b/>
        <sz val="11"/>
        <color theme="1"/>
        <rFont val="Calibri"/>
        <family val="2"/>
        <scheme val="minor"/>
      </rPr>
      <t>השנייה</t>
    </r>
    <r>
      <rPr>
        <sz val="11"/>
        <color theme="1"/>
        <rFont val="Calibri"/>
        <family val="2"/>
        <charset val="177"/>
        <scheme val="minor"/>
      </rPr>
      <t xml:space="preserve"> שציינת? האם הזדהות זו משפיעה על הצבעתך?</t>
    </r>
  </si>
  <si>
    <t>באיזו מידה אתה מסכים כי יש במדינה פער כלכל וחברתי גדול מדי?</t>
  </si>
  <si>
    <t>באיזו מידה אתה מסכים או אינך מסכים עם המשפט הבא: היו גילויים של בזבוז במשק ושחיתות. אין להמנע ממקרים כאלה כי בכל חברה קיימים גילויי שחיתות ואנחנו איננו מקרה יוצא דופן</t>
  </si>
  <si>
    <t>מפלגות האופוזיציה מוחות נגד מפלגת השלטון על השחיתות במשק. האם אתה חושב ש:</t>
  </si>
  <si>
    <r>
      <t xml:space="preserve">האם לדעתך קיימים או לא קיימים הבדלים בעמדותיהן של המפלגות העיקריות בארץ בנושאים הבאים: </t>
    </r>
    <r>
      <rPr>
        <b/>
        <sz val="11"/>
        <color theme="1"/>
        <rFont val="Calibri"/>
        <family val="2"/>
        <scheme val="minor"/>
      </rPr>
      <t>שחיתות</t>
    </r>
  </si>
  <si>
    <t>איזו מפלגה משקפת ביותר את עמדתך בנושא השחיתות במשק?</t>
  </si>
  <si>
    <t>d7</t>
  </si>
  <si>
    <t>באיזו מידה הפעילות במערכת הבחירות מוסיפה לך יוקרה בקרב חבריך?</t>
  </si>
  <si>
    <t>באיזו מידה מועילה לך הפעילות במערכת הבחירות ליצירת קשרים, לקידום בעבודה, להנאה חומרות וכו'?</t>
  </si>
  <si>
    <t>d12</t>
  </si>
  <si>
    <t>הבחירות גורמות לכך שאנשים מצביעים עבור מפלגות שונות. יש טוענים שהדבר פוגע בליכוד העם ועל כן מוטב שתהיה מפלגה אחת ויש הטוענים שהדבר אינו פוגע בליכוד העם ועל כן מוטב שתהיינה מספר מפלגות. מה דעתך?</t>
  </si>
  <si>
    <t>באיזו מידה ההשתתפות בבחירות מאפשרות לך להרגיש שאתה חלק מהמדינה והעם?</t>
  </si>
  <si>
    <t>באיזו מידה השתתפות בבחירות מאפשרת לך להביע את דעותיך בעניינים פוליטיים?</t>
  </si>
  <si>
    <t>באיזו מידה השתתפות בבחירות מאפשרת לך להזדהות עם אישיים פוליטיים?</t>
  </si>
  <si>
    <t>באיזו מידה השתתפות בבחירות מאפשרת לך להזדהות עם המפלגה שאתה תומך בה?</t>
  </si>
  <si>
    <t>באיזו מידה ההשתתפות בבחירות מאפשרת לך להתנהג כמו חבריך?</t>
  </si>
  <si>
    <t>באיזו מידה השתתפות בבחירות מאפשרת לך להשפיע איזה מפלגה תהיה בשלטון?</t>
  </si>
  <si>
    <t>באיזו מידה השתתפות בבחירות גורמת לך הנאה בגלל שאתה משתתף במאורע חגיגי?</t>
  </si>
  <si>
    <t>באיזו מידה השתתפות בבחירות מאפשרת לך למלא את חובתך למדינה?</t>
  </si>
  <si>
    <t>באיזו מידה השתתפות בבחירות מאפשרת לך להביע מחאה נגד השלטון?</t>
  </si>
  <si>
    <t>האם שמעת על הליכוד החדש?</t>
  </si>
  <si>
    <t>האם ידוע לך מי הן המפלגות המרכיבות את הליכוד הזה?</t>
  </si>
  <si>
    <t>d35</t>
  </si>
  <si>
    <t>האם לדעתך רצוי שהמפלגות אלה ירוצו לבחירות לכנסת ביחד?</t>
  </si>
  <si>
    <t>האם לדעתך הליכוד הזה הוא שמאלי, ימני או מרכזי?</t>
  </si>
  <si>
    <t>d36</t>
  </si>
  <si>
    <t>האם הקמת הליכוד תשפיע על הצבעתך לבחירות לכנסת?</t>
  </si>
  <si>
    <t>d37</t>
  </si>
  <si>
    <t>d38</t>
  </si>
  <si>
    <t>נניח שהליכוד יעלה לשלטון. האם בענייני הפער הכלכלי והחברתי, זה יביא לשינוי לטובה או לרעה?</t>
  </si>
  <si>
    <t>d39</t>
  </si>
  <si>
    <t>נניח שהליכוד יעלה לשלטון. האם בקשר למדיניות הבטחונית, זה יביא לשינוי לטובה או לרעה?</t>
  </si>
  <si>
    <t>d40</t>
  </si>
  <si>
    <t>נניח שהליכוד יעלה לשלטון. האם בקשר לשחיתות והבזבוז, זה יביא לשינוי לטובה או לרעה?</t>
  </si>
  <si>
    <t>d41</t>
  </si>
  <si>
    <t>d42</t>
  </si>
  <si>
    <t>האם אתה פעיל בארגון ציבורי כלשהו?</t>
  </si>
  <si>
    <t>d43</t>
  </si>
  <si>
    <t>האם החלפת המפלגה בשלטון תשנה את המצב האישי שלך?</t>
  </si>
  <si>
    <t>d44</t>
  </si>
  <si>
    <t>d45</t>
  </si>
  <si>
    <t>d46</t>
  </si>
  <si>
    <t>מדוע אתה לא בטוח בעד מי תצביע בבחירות לכנסת?</t>
  </si>
  <si>
    <t>d47</t>
  </si>
  <si>
    <t>d48</t>
  </si>
  <si>
    <t>d49</t>
  </si>
  <si>
    <t>מה יעזור לך לקבל את החלטת הסופית?</t>
  </si>
  <si>
    <t>האם תצביע בבחירות הקרובות להסתדרות?</t>
  </si>
  <si>
    <t>d50</t>
  </si>
  <si>
    <t>d51</t>
  </si>
  <si>
    <t>d52</t>
  </si>
  <si>
    <t>ראיינו אותך לפני מספר חודשים. האם יותר ברור לך היום או פחות ברור לך היום, בעד מי תצביע בבחירות לכנסת?</t>
  </si>
  <si>
    <t>d53</t>
  </si>
  <si>
    <t>d54</t>
  </si>
  <si>
    <t>d55</t>
  </si>
  <si>
    <t>d56</t>
  </si>
  <si>
    <t>d57</t>
  </si>
  <si>
    <r>
      <t xml:space="preserve">מהי המפלגה </t>
    </r>
    <r>
      <rPr>
        <b/>
        <sz val="11"/>
        <color theme="1"/>
        <rFont val="Calibri"/>
        <family val="2"/>
        <scheme val="minor"/>
      </rPr>
      <t>השנייה</t>
    </r>
    <r>
      <rPr>
        <sz val="11"/>
        <color theme="1"/>
        <rFont val="Calibri"/>
        <family val="2"/>
        <charset val="177"/>
        <scheme val="minor"/>
      </rPr>
      <t xml:space="preserve"> הכי קרובה אליך?</t>
    </r>
  </si>
  <si>
    <r>
      <t xml:space="preserve">מהי המפלגה </t>
    </r>
    <r>
      <rPr>
        <b/>
        <sz val="11"/>
        <color theme="1"/>
        <rFont val="Calibri"/>
        <family val="2"/>
        <scheme val="minor"/>
      </rPr>
      <t xml:space="preserve">השלישית </t>
    </r>
    <r>
      <rPr>
        <sz val="11"/>
        <color theme="1"/>
        <rFont val="Calibri"/>
        <family val="2"/>
        <charset val="177"/>
        <scheme val="minor"/>
      </rPr>
      <t>הכי קרובה אליך?</t>
    </r>
  </si>
  <si>
    <r>
      <t xml:space="preserve">מהי המפלגה </t>
    </r>
    <r>
      <rPr>
        <b/>
        <sz val="11"/>
        <color theme="1"/>
        <rFont val="Calibri"/>
        <family val="2"/>
        <scheme val="minor"/>
      </rPr>
      <t>השלישית</t>
    </r>
    <r>
      <rPr>
        <sz val="11"/>
        <color theme="1"/>
        <rFont val="Calibri"/>
        <family val="2"/>
        <charset val="177"/>
        <scheme val="minor"/>
      </rPr>
      <t xml:space="preserve"> הכי רחוקה ממך?</t>
    </r>
  </si>
  <si>
    <r>
      <t xml:space="preserve">מהי המפלגה </t>
    </r>
    <r>
      <rPr>
        <b/>
        <sz val="11"/>
        <color theme="1"/>
        <rFont val="Calibri"/>
        <family val="2"/>
        <scheme val="minor"/>
      </rPr>
      <t>השנייה</t>
    </r>
    <r>
      <rPr>
        <sz val="11"/>
        <color theme="1"/>
        <rFont val="Calibri"/>
        <family val="2"/>
        <charset val="177"/>
        <scheme val="minor"/>
      </rPr>
      <t xml:space="preserve"> הכי רחוקה ממך?</t>
    </r>
  </si>
  <si>
    <t>d58</t>
  </si>
  <si>
    <t>d59</t>
  </si>
  <si>
    <t>d60</t>
  </si>
  <si>
    <r>
      <t xml:space="preserve">מהמפלגות הנותרות, איך היית מדרג את מידת הקרבה אלייך: </t>
    </r>
    <r>
      <rPr>
        <b/>
        <sz val="11"/>
        <color theme="1"/>
        <rFont val="Calibri"/>
        <family val="2"/>
        <scheme val="minor"/>
      </rPr>
      <t>מי הראשונה?</t>
    </r>
  </si>
  <si>
    <r>
      <t xml:space="preserve">מהמפלגות הנותרות, איך היית מדרג את מידת הקרבה אלייך: </t>
    </r>
    <r>
      <rPr>
        <b/>
        <sz val="11"/>
        <color theme="1"/>
        <rFont val="Calibri"/>
        <family val="2"/>
        <scheme val="minor"/>
      </rPr>
      <t>מי השנייה?</t>
    </r>
  </si>
  <si>
    <r>
      <t xml:space="preserve">מהמפלגות הנותרות, איך היית מדרג את מידת הקרבה אלייך: </t>
    </r>
    <r>
      <rPr>
        <b/>
        <sz val="11"/>
        <color theme="1"/>
        <rFont val="Calibri"/>
        <family val="2"/>
        <scheme val="minor"/>
      </rPr>
      <t>מי השלישית?</t>
    </r>
  </si>
  <si>
    <r>
      <t xml:space="preserve">מהמפלגות הנותרות, איך היית מדרג את מידת הקרבה אלייך: </t>
    </r>
    <r>
      <rPr>
        <b/>
        <sz val="11"/>
        <color theme="1"/>
        <rFont val="Calibri"/>
        <family val="2"/>
        <scheme val="minor"/>
      </rPr>
      <t>מי הרביעית?</t>
    </r>
  </si>
  <si>
    <r>
      <t xml:space="preserve">מהי המפלגה </t>
    </r>
    <r>
      <rPr>
        <u/>
        <sz val="11"/>
        <color theme="1"/>
        <rFont val="Calibri"/>
        <family val="2"/>
        <scheme val="minor"/>
      </rPr>
      <t>הרחוקה</t>
    </r>
    <r>
      <rPr>
        <sz val="11"/>
        <color theme="1"/>
        <rFont val="Calibri"/>
        <family val="2"/>
        <charset val="177"/>
        <scheme val="minor"/>
      </rPr>
      <t xml:space="preserve"> ממך ביותר?</t>
    </r>
  </si>
  <si>
    <t>e3</t>
  </si>
  <si>
    <t>e4</t>
  </si>
  <si>
    <t>e5</t>
  </si>
  <si>
    <t>e6</t>
  </si>
  <si>
    <t>e7</t>
  </si>
  <si>
    <t>e8</t>
  </si>
  <si>
    <t>בין כל השיקולים שלך להצביע לאותה מפלגה, באיזו מידה לקחת בחשבון את הנאמנות שלך למפלגה עבורה הצבעת בעבר?</t>
  </si>
  <si>
    <t>e9</t>
  </si>
  <si>
    <t>e10</t>
  </si>
  <si>
    <t>מדוע שינית את דעתך ולא תצביע לאותה מפלגה שהצבעת לה פעם קודמת?</t>
  </si>
  <si>
    <t>מהי לדעתך הבעיה החשובה ביותר שעל העירייה שלך לטפל בה?</t>
  </si>
  <si>
    <t>e11</t>
  </si>
  <si>
    <t>e12</t>
  </si>
  <si>
    <t>איזו מפלגה מסוגלת לפתור את הבעיה החשובה ביותר של העיר שלך?</t>
  </si>
  <si>
    <t>באיזו מידה אתה מרוצה מהשירותים שאתה מקבל מהעירייה?</t>
  </si>
  <si>
    <t>e13</t>
  </si>
  <si>
    <t>האם לדעתך רצוי להחליף את ראש העיר שלך?</t>
  </si>
  <si>
    <t>e14</t>
  </si>
  <si>
    <t>עבור איזה שירות ציבורי שהעירייה שלך נותנת לאזרחים היית מוכן לשלם יותר מיסים?</t>
  </si>
  <si>
    <t>e15</t>
  </si>
  <si>
    <t>e16</t>
  </si>
  <si>
    <t>e17</t>
  </si>
  <si>
    <t>e18</t>
  </si>
  <si>
    <t>e19</t>
  </si>
  <si>
    <t>1973 - 1</t>
  </si>
  <si>
    <t>בדר"כ, האם אתה נוהג לבקר בהרצאות על נושאים פוליטיים?</t>
  </si>
  <si>
    <t>בין הרדיו, הטלוויזיה והעיתון, מה הם שני מקורות האינפורמציה העיקריים שלך בענייני פוליטיקה?</t>
  </si>
  <si>
    <t>הבחירות גורמות לכך שאנשים מצביעים עבור מפלגות שונות. האם לדעתך דבר זה פוגע בליכוד של העם?</t>
  </si>
  <si>
    <t>יש האומרים שדרך הבחירות הפוליטיקאים מנצלים את האזרחים למטרותיהם. האם אתה מסכים עם דעה זו?</t>
  </si>
  <si>
    <t>האם היית חבר בתנועת נוער?</t>
  </si>
  <si>
    <t>האם המפלגה שאתה תומך בה או נוטה לתמוך בה כיום זהה לתנועת הנוער שהיית חבר בה?</t>
  </si>
  <si>
    <t>האם אביך התעניין בפוליטיקה?</t>
  </si>
  <si>
    <t>האם נהגת לשוחח עם אביך בענייני פוליטיקה?</t>
  </si>
  <si>
    <t>ישנם אנשים שמחליטים די מוקדם עבור מי להצביע ואחרים שמחכים עד לרגע האחרון. האם היית אומר שאתה בין אלה שמחליטים מוקדם או בין אלה שמחכים?</t>
  </si>
  <si>
    <t>לאחרונה יש הטוענים שקיים פער כלכלי וחברתי במדינה. האם אתה מתעניין בנושאים אלו?</t>
  </si>
  <si>
    <t>האם יש מפלגה שרחוקה בהרבה מעמדתך בנושא הכלכלי-חברתי?</t>
  </si>
  <si>
    <r>
      <t xml:space="preserve">אם המפלגה שאתה תומך בה תשנה את עמדתה בנושא </t>
    </r>
    <r>
      <rPr>
        <b/>
        <sz val="11"/>
        <color theme="1"/>
        <rFont val="Calibri"/>
        <family val="2"/>
        <scheme val="minor"/>
      </rPr>
      <t>השטחים</t>
    </r>
    <r>
      <rPr>
        <sz val="11"/>
        <color theme="1"/>
        <rFont val="Calibri"/>
        <family val="2"/>
        <charset val="177"/>
        <scheme val="minor"/>
      </rPr>
      <t>, האם תשנה את הצבעתך?</t>
    </r>
  </si>
  <si>
    <r>
      <t xml:space="preserve">אם המפלגה שאתה תומך בה תשנה את עמדתה בנושא </t>
    </r>
    <r>
      <rPr>
        <b/>
        <sz val="11"/>
        <color theme="1"/>
        <rFont val="Calibri"/>
        <family val="2"/>
        <scheme val="minor"/>
      </rPr>
      <t>הכלכלי-חברתי</t>
    </r>
    <r>
      <rPr>
        <sz val="11"/>
        <color theme="1"/>
        <rFont val="Calibri"/>
        <family val="2"/>
        <charset val="177"/>
        <scheme val="minor"/>
      </rPr>
      <t>, האם תשנה את הצבעתך?</t>
    </r>
  </si>
  <si>
    <t>האם יש מפלגה שרחוקה בהרבה מעמדתך בנושא הויתור על השטחים? אם כן, איזו?</t>
  </si>
  <si>
    <r>
      <t xml:space="preserve">כשאתה חושב על </t>
    </r>
    <r>
      <rPr>
        <b/>
        <sz val="11"/>
        <color theme="1"/>
        <rFont val="Calibri"/>
        <family val="2"/>
        <scheme val="minor"/>
      </rPr>
      <t>מפד"ל</t>
    </r>
    <r>
      <rPr>
        <sz val="11"/>
        <color theme="1"/>
        <rFont val="Calibri"/>
        <family val="2"/>
        <charset val="177"/>
        <scheme val="minor"/>
      </rPr>
      <t>, מה נראה לך ביותר: המועמדים שלה, העמדות שלה, הציבור שהיא מייצגת, האם אפשר לסמוך עליה?</t>
    </r>
  </si>
  <si>
    <r>
      <t xml:space="preserve">כשאתה חושב על </t>
    </r>
    <r>
      <rPr>
        <b/>
        <sz val="11"/>
        <color theme="1"/>
        <rFont val="Calibri"/>
        <family val="2"/>
        <scheme val="minor"/>
      </rPr>
      <t>הליכוד</t>
    </r>
    <r>
      <rPr>
        <sz val="11"/>
        <color theme="1"/>
        <rFont val="Calibri"/>
        <family val="2"/>
        <charset val="177"/>
        <scheme val="minor"/>
      </rPr>
      <t>, מה נראה לך ביותר: המועמדים שלה, העמדות שלה, הציבור שהיא מייצגת, האם אפשר לסמוך עליה?</t>
    </r>
  </si>
  <si>
    <r>
      <t xml:space="preserve">כשאתה חושב על </t>
    </r>
    <r>
      <rPr>
        <b/>
        <sz val="11"/>
        <color theme="1"/>
        <rFont val="Calibri"/>
        <family val="2"/>
        <scheme val="minor"/>
      </rPr>
      <t>המערך</t>
    </r>
    <r>
      <rPr>
        <sz val="11"/>
        <color theme="1"/>
        <rFont val="Calibri"/>
        <family val="2"/>
        <charset val="177"/>
        <scheme val="minor"/>
      </rPr>
      <t>, מה נראה לך ביותר: המועמדים שלה, העמדות שלה, הציבור שהיא מייצגת, האם אפשר לסמוך עליה?</t>
    </r>
  </si>
  <si>
    <t>כמה שעות בשבוע בערך אתה צופה בטלוויזיה הישראלית?</t>
  </si>
  <si>
    <t>מי ראש המשפחה?</t>
  </si>
  <si>
    <t>כמה שנים אביך למד בבית ספר או בכל מסגרת אחרת?</t>
  </si>
  <si>
    <t>מה המקצוע של ראש המשפחה?</t>
  </si>
  <si>
    <t>מה מצבו התעסוקתי של ראש המשפחה?</t>
  </si>
  <si>
    <t>מי הם בעלי המפעל בו אתה עובד?</t>
  </si>
  <si>
    <t>האם המפעל בו אתה עובד הוא תעשייתי?</t>
  </si>
  <si>
    <t>האם יש לך ביטוח רפואי?</t>
  </si>
  <si>
    <t>1969 - 3</t>
  </si>
  <si>
    <t>האם ברצונך לראות יותר שידורי בחירות בטלוויזיה, כמו עכשיו או פחות?</t>
  </si>
  <si>
    <t>ובכרטיס זה שורת סיבות בגללן אנשים אינם מסתכלים בשידורי הבחירות בטלוויזיה, אנא ציין איזו נראת לך כסיבה העיקרית לאי הסתכלות בטלוויזיה?</t>
  </si>
  <si>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לשמוע נימוקים על מנת שישמשו לי נשק בוויכוח פוליטי</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</si>
  <si>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להכיר את המנהיגים הפוליטיים</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</si>
  <si>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להכיר את התוכניות הפוליטיות של המפלגות</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</si>
  <si>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להבהיר לעצמי במי לבחור</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</si>
  <si>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לעמוד מחדש את עמדת המפלגה שאני תומך בה</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</si>
  <si>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לעזור לי להעריך את סיכויי ההצלחה של המפלגות</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</si>
  <si>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להיות מעודכן במצב הפוליטי הכללי</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</si>
  <si>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אני נהנה מן המאבק והוויכוח הפוליטי</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</si>
  <si>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כי זה השידור היחיד שאני יכול לקלוט בטלוויזיה באותו זמן</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</si>
  <si>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כי אינני אוהב שהפוליטיקאים יסדרו אותי</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</si>
  <si>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משום שאין להם שום דבר חדש לומר לי</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</si>
  <si>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אינני רוצה לפתוח את ביתי לתעמולה פוליטית</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</si>
  <si>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משום שלעיתים קרובות קשה לי להבין מה שהמועמדים רוצים להגיד</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</si>
  <si>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כבר החלטתי במי לבחור ואין לי צורך להסתכל</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</si>
  <si>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משום שחלק מהמועמדים אינם מתייחסים ברצינות לקהל</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</si>
  <si>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אינני מאמין לטענות המפלגות</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</si>
  <si>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מעדיף בידור בטלוויזיה</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</si>
  <si>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אינני מתעניין בפוליטיקה</t>
    </r>
  </si>
  <si>
    <t>איזה שידורי בחירות נראים לך מעניינים יותר?</t>
  </si>
  <si>
    <t>איזה שידורי בחירות נראים לך משכנעים יותר?</t>
  </si>
  <si>
    <t>האם לדעתך לסקרים אלה יש או אין השפעה על ציבור הבוחרים?</t>
  </si>
  <si>
    <t>ישנם גורמים שונים עיקריים המביאים אדם להצביע למפלגה מסויימת. האם לדעתך יש גורם אחד בולט, הנראה לך כחשוב מכולם בקביעת הצבעתך?</t>
  </si>
  <si>
    <t>מה לדעתך סיכויי הרשימה עבורה תצביע להיות בעלת השפעה ומשקל בכנסת הבאה?</t>
  </si>
  <si>
    <t>עבור איזו רשימה תצביע לעירייה?</t>
  </si>
  <si>
    <r>
      <t xml:space="preserve">ישנם מספר גורמים עיקריים המביאים אדם להצביע למפלגה מסויימת. האם בין הגורמים האלה יש אחד בולט, הנראה לך כחשוב מכולם בהצבעתך </t>
    </r>
    <r>
      <rPr>
        <u/>
        <sz val="11"/>
        <color theme="1"/>
        <rFont val="Calibri"/>
        <family val="2"/>
        <scheme val="minor"/>
      </rPr>
      <t>לעירייה</t>
    </r>
    <r>
      <rPr>
        <sz val="11"/>
        <color theme="1"/>
        <rFont val="Calibri"/>
        <family val="2"/>
        <charset val="177"/>
        <scheme val="minor"/>
      </rPr>
      <t>?</t>
    </r>
  </si>
  <si>
    <r>
      <t xml:space="preserve">איזה הוא הגורם שלדעתך חשיבותו הרבה ביותר משל האחרים בהצבעתך </t>
    </r>
    <r>
      <rPr>
        <u/>
        <sz val="11"/>
        <color theme="1"/>
        <rFont val="Calibri"/>
        <family val="2"/>
        <scheme val="minor"/>
      </rPr>
      <t>לעירייה</t>
    </r>
    <r>
      <rPr>
        <sz val="11"/>
        <color theme="1"/>
        <rFont val="Calibri"/>
        <family val="2"/>
        <charset val="177"/>
        <scheme val="minor"/>
      </rPr>
      <t>?</t>
    </r>
  </si>
  <si>
    <t>עבור איזו רשימה הצבעת לעירייה בבחירות הקודמות?</t>
  </si>
  <si>
    <r>
      <t xml:space="preserve">באיזה אופן </t>
    </r>
    <r>
      <rPr>
        <u/>
        <sz val="11"/>
        <color theme="1"/>
        <rFont val="Calibri"/>
        <family val="2"/>
        <scheme val="minor"/>
      </rPr>
      <t>מסע הבחירות</t>
    </r>
    <r>
      <rPr>
        <sz val="11"/>
        <color theme="1"/>
        <rFont val="Calibri"/>
        <family val="2"/>
        <charset val="177"/>
        <scheme val="minor"/>
      </rPr>
      <t xml:space="preserve"> השפיע על החלטתך איך להצביע בבחירות לכנסת?</t>
    </r>
  </si>
  <si>
    <t>באיזו מידה אתה מתעניין בתוצאות הבחירות לכנסת?</t>
  </si>
  <si>
    <t>באיזו מידה היית תומך במדיניות תוקפנית מצד ישראל לגבי ארצות ערב?</t>
  </si>
  <si>
    <t>כמה שנים אימך למדה בבית ספר או בכל מסגרת אחרת?</t>
  </si>
  <si>
    <t>מהי השפה העיקרית המדוברת בביתך?</t>
  </si>
  <si>
    <t>צפיפות בבית</t>
  </si>
  <si>
    <t>באיזו ארץ נולד/ה בן/בת זוגך?</t>
  </si>
  <si>
    <t>מהי ההשכלה של בן/בת זוגך?</t>
  </si>
  <si>
    <t>1969 - 2</t>
  </si>
  <si>
    <t>באיזה אופן השפיעו תשדירי הבחירות על עמדתך הפוליטית?</t>
  </si>
  <si>
    <r>
      <t xml:space="preserve">באיזו מידה אתה מתעניין </t>
    </r>
    <r>
      <rPr>
        <u/>
        <sz val="11"/>
        <color theme="1"/>
        <rFont val="Calibri"/>
        <family val="2"/>
        <scheme val="minor"/>
      </rPr>
      <t>בבעיות הכלכליות</t>
    </r>
    <r>
      <rPr>
        <sz val="11"/>
        <color theme="1"/>
        <rFont val="Calibri"/>
        <family val="2"/>
        <charset val="177"/>
        <scheme val="minor"/>
      </rPr>
      <t xml:space="preserve"> של מדינת ישראל?</t>
    </r>
  </si>
  <si>
    <t>האם הינך שייך לאלה שחושבים שיש להפריד את הדת מהמדינה?</t>
  </si>
  <si>
    <t>עד כמה ברור לך מהן הבעיות היסודיות החשובות ביותר כיום בחיי מדינת ישראל?</t>
  </si>
  <si>
    <t>והבעיה השלישית הכי חשובה?</t>
  </si>
  <si>
    <t>איזה מן הנושאים הנ"ל הינו החשוב לך ביותר בקביעת עמדתך כלפי המפלגה אותה אתה אוהד?</t>
  </si>
  <si>
    <r>
      <t xml:space="preserve">האם ברור לך מה ההבדלים בעמדותיהן של המפלגות השונות בנושא </t>
    </r>
    <r>
      <rPr>
        <u/>
        <sz val="11"/>
        <color theme="1"/>
        <rFont val="Calibri"/>
        <family val="2"/>
        <scheme val="minor"/>
      </rPr>
      <t>הוויתורים הטריטוריאליים</t>
    </r>
    <r>
      <rPr>
        <sz val="11"/>
        <color theme="1"/>
        <rFont val="Calibri"/>
        <family val="2"/>
        <charset val="177"/>
        <scheme val="minor"/>
      </rPr>
      <t xml:space="preserve"> (ויתור על שטחים)?</t>
    </r>
  </si>
  <si>
    <r>
      <t xml:space="preserve">האם ברור לך מה ההבדלים בעמדותיהן של המפלגות השונות בנושא </t>
    </r>
    <r>
      <rPr>
        <u/>
        <sz val="11"/>
        <color theme="1"/>
        <rFont val="Calibri"/>
        <family val="2"/>
        <scheme val="minor"/>
      </rPr>
      <t>הכלכלה</t>
    </r>
    <r>
      <rPr>
        <sz val="11"/>
        <color theme="1"/>
        <rFont val="Calibri"/>
        <family val="2"/>
        <charset val="177"/>
        <scheme val="minor"/>
      </rPr>
      <t>?</t>
    </r>
  </si>
  <si>
    <r>
      <t xml:space="preserve">האם ברור לך מה ההבדלים בעמדותיהן של המפלגות השונות בנושא </t>
    </r>
    <r>
      <rPr>
        <u/>
        <sz val="11"/>
        <color theme="1"/>
        <rFont val="Calibri"/>
        <family val="2"/>
        <scheme val="minor"/>
      </rPr>
      <t>החברתי</t>
    </r>
    <r>
      <rPr>
        <sz val="11"/>
        <color theme="1"/>
        <rFont val="Calibri"/>
        <family val="2"/>
        <charset val="177"/>
        <scheme val="minor"/>
      </rPr>
      <t>?</t>
    </r>
  </si>
  <si>
    <t>ציין את שם המועמד המרכזי לגביך ברשמית המפלגה עבורה אתה עומד להצביע בכנסת?</t>
  </si>
  <si>
    <t>באיזו מפלגה אתה תומך יותר מכל היתר?</t>
  </si>
  <si>
    <t>האם אתה עומד להצביע לעירייה בבחירות הבאות?</t>
  </si>
  <si>
    <r>
      <t xml:space="preserve">לו יכלת להצביע עבור עוד שתי רשימות, מלבד לזו שאמרת, לאילו שתי רשימות היית מצביע: </t>
    </r>
    <r>
      <rPr>
        <b/>
        <sz val="11"/>
        <color theme="1"/>
        <rFont val="Calibri"/>
        <family val="2"/>
        <scheme val="minor"/>
      </rPr>
      <t>הראשונה</t>
    </r>
  </si>
  <si>
    <r>
      <t xml:space="preserve">לו יכלת להצביע עבור עוד שתי רשימות, מלבד לזו שאמרת, לאילו שתי רשימות היית מצביע: </t>
    </r>
    <r>
      <rPr>
        <b/>
        <sz val="11"/>
        <color theme="1"/>
        <rFont val="Calibri"/>
        <family val="2"/>
        <scheme val="minor"/>
      </rPr>
      <t>השנייה</t>
    </r>
  </si>
  <si>
    <t>האם הממונים עליך מצביעים כמוך?</t>
  </si>
  <si>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המערך (גיל)</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</si>
  <si>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המערך (עדה)</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</si>
  <si>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המערך (מקצוע)</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</si>
  <si>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חירות (גיל)</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</si>
  <si>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חירות (עדה)</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</si>
  <si>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חירות (מקצוע)</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</si>
  <si>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העולם הזה (גיל)</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</si>
  <si>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העולם הזה (עדה)</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</si>
  <si>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העולם הזה (מקצוע)</t>
    </r>
  </si>
  <si>
    <r>
      <t xml:space="preserve">באיזה אופן </t>
    </r>
    <r>
      <rPr>
        <u/>
        <sz val="11"/>
        <color theme="1"/>
        <rFont val="Calibri"/>
        <family val="2"/>
        <scheme val="minor"/>
      </rPr>
      <t>מסע הבחירות</t>
    </r>
    <r>
      <rPr>
        <sz val="11"/>
        <color theme="1"/>
        <rFont val="Calibri"/>
        <family val="2"/>
        <charset val="177"/>
        <scheme val="minor"/>
      </rPr>
      <t xml:space="preserve"> השפיע על החלטתך איך להצביע בבחירות להסתדרות?</t>
    </r>
  </si>
  <si>
    <t>יש הטוענים שאם הבוחר אינו מייחס חשיבות לתוצאות הבחירות, מוטב שלא יצביע בכלל. מה דעתך?</t>
  </si>
  <si>
    <r>
      <t xml:space="preserve">להלן רשימה של קבוצות של מקצועות חשובים בישראל. איזה שתי קבוצות הינך </t>
    </r>
    <r>
      <rPr>
        <u/>
        <sz val="11"/>
        <color theme="1"/>
        <rFont val="Calibri"/>
        <family val="2"/>
        <scheme val="minor"/>
      </rPr>
      <t>מעריך ביותר</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</si>
  <si>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הינך </t>
    </r>
    <r>
      <rPr>
        <u/>
        <sz val="11"/>
        <color theme="1"/>
        <rFont val="Calibri"/>
        <family val="2"/>
        <scheme val="minor"/>
      </rPr>
      <t>מעריך ביותר</t>
    </r>
    <r>
      <rPr>
        <sz val="11"/>
        <color theme="1"/>
        <rFont val="Calibri"/>
        <family val="2"/>
        <charset val="177"/>
        <scheme val="minor"/>
      </rPr>
      <t xml:space="preserve">: </t>
    </r>
    <r>
      <rPr>
        <b/>
        <sz val="11"/>
        <color theme="1"/>
        <rFont val="Calibri"/>
        <family val="2"/>
        <scheme val="minor"/>
      </rPr>
      <t>השנייה</t>
    </r>
  </si>
  <si>
    <r>
      <t xml:space="preserve">להלן רשימה של קבוצות של מקצועות חשובים בישראל. איזה שתי קבוצות </t>
    </r>
    <r>
      <rPr>
        <u/>
        <sz val="11"/>
        <color theme="1"/>
        <rFont val="Calibri"/>
        <family val="2"/>
        <scheme val="minor"/>
      </rPr>
      <t>המשפיעות ביותר על דעת הקהל</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</si>
  <si>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t>
    </r>
    <r>
      <rPr>
        <u/>
        <sz val="11"/>
        <color theme="1"/>
        <rFont val="Calibri"/>
        <family val="2"/>
        <scheme val="minor"/>
      </rPr>
      <t>המשפיעות ביותר על דעת הקהל</t>
    </r>
    <r>
      <rPr>
        <sz val="11"/>
        <color theme="1"/>
        <rFont val="Calibri"/>
        <family val="2"/>
        <charset val="177"/>
        <scheme val="minor"/>
      </rPr>
      <t xml:space="preserve">: </t>
    </r>
    <r>
      <rPr>
        <b/>
        <sz val="11"/>
        <color theme="1"/>
        <rFont val="Calibri"/>
        <family val="2"/>
        <scheme val="minor"/>
      </rPr>
      <t>השנייה</t>
    </r>
  </si>
  <si>
    <r>
      <t xml:space="preserve">להלן רשימה של קבוצות של מקצועות חשובים בישראל. איזה שתי קבוצות </t>
    </r>
    <r>
      <rPr>
        <u/>
        <sz val="11"/>
        <color theme="1"/>
        <rFont val="Calibri"/>
        <family val="2"/>
        <scheme val="minor"/>
      </rPr>
      <t>המשפיעות ביותר על מדיניות הממשלה</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</si>
  <si>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t>
    </r>
    <r>
      <rPr>
        <u/>
        <sz val="11"/>
        <color theme="1"/>
        <rFont val="Calibri"/>
        <family val="2"/>
        <scheme val="minor"/>
      </rPr>
      <t>המשפיעות ביותר על מדיניות הממשלה</t>
    </r>
    <r>
      <rPr>
        <sz val="11"/>
        <color theme="1"/>
        <rFont val="Calibri"/>
        <family val="2"/>
        <charset val="177"/>
        <scheme val="minor"/>
      </rPr>
      <t xml:space="preserve">: </t>
    </r>
    <r>
      <rPr>
        <b/>
        <sz val="11"/>
        <color theme="1"/>
        <rFont val="Calibri"/>
        <family val="2"/>
        <scheme val="minor"/>
      </rPr>
      <t>השנייה</t>
    </r>
  </si>
  <si>
    <r>
      <t xml:space="preserve">להלן רשימה של קבוצות של מקצועות חשובים בישראל. איזה שתי קבוצות </t>
    </r>
    <r>
      <rPr>
        <u/>
        <sz val="11"/>
        <color theme="1"/>
        <rFont val="Calibri"/>
        <family val="2"/>
        <scheme val="minor"/>
      </rPr>
      <t>המשפיעות ביותר על הלך רוחך לגבי הבעיות החברתיות והמדינתיות</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</si>
  <si>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t>
    </r>
    <r>
      <rPr>
        <u/>
        <sz val="11"/>
        <color theme="1"/>
        <rFont val="Calibri"/>
        <family val="2"/>
        <scheme val="minor"/>
      </rPr>
      <t>המשפיעות ביותר על הלך רוחך לגבי הבעיות החברתיות והמדינתיות</t>
    </r>
    <r>
      <rPr>
        <sz val="11"/>
        <color theme="1"/>
        <rFont val="Calibri"/>
        <family val="2"/>
        <charset val="177"/>
        <scheme val="minor"/>
      </rPr>
      <t xml:space="preserve">: </t>
    </r>
    <r>
      <rPr>
        <b/>
        <sz val="11"/>
        <color theme="1"/>
        <rFont val="Calibri"/>
        <family val="2"/>
        <scheme val="minor"/>
      </rPr>
      <t>השנייה</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</si>
  <si>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הראשון</t>
    </r>
    <r>
      <rPr>
        <sz val="11"/>
        <color theme="1"/>
        <rFont val="Calibri"/>
        <family val="2"/>
        <charset val="177"/>
        <scheme val="minor"/>
      </rPr>
      <t xml:space="preserve">: </t>
    </r>
    <r>
      <rPr>
        <b/>
        <sz val="11"/>
        <color theme="1"/>
        <rFont val="Calibri"/>
        <family val="2"/>
        <scheme val="minor"/>
      </rPr>
      <t>באיזה ארץ נולד אדם זה?</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</si>
  <si>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הראשון</t>
    </r>
    <r>
      <rPr>
        <sz val="11"/>
        <color theme="1"/>
        <rFont val="Calibri"/>
        <family val="2"/>
        <charset val="177"/>
        <scheme val="minor"/>
      </rPr>
      <t xml:space="preserve">: </t>
    </r>
    <r>
      <rPr>
        <b/>
        <sz val="11"/>
        <color theme="1"/>
        <rFont val="Calibri"/>
        <family val="2"/>
        <scheme val="minor"/>
      </rPr>
      <t>מה מקצועו?</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</si>
  <si>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הראשון</t>
    </r>
    <r>
      <rPr>
        <sz val="11"/>
        <color theme="1"/>
        <rFont val="Calibri"/>
        <family val="2"/>
        <charset val="177"/>
        <scheme val="minor"/>
      </rPr>
      <t xml:space="preserve">: </t>
    </r>
    <r>
      <rPr>
        <b/>
        <sz val="11"/>
        <color theme="1"/>
        <rFont val="Calibri"/>
        <family val="2"/>
        <scheme val="minor"/>
      </rPr>
      <t>בן כמה הוא?</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</si>
  <si>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השני</t>
    </r>
    <r>
      <rPr>
        <sz val="11"/>
        <color theme="1"/>
        <rFont val="Calibri"/>
        <family val="2"/>
        <charset val="177"/>
        <scheme val="minor"/>
      </rPr>
      <t xml:space="preserve">: </t>
    </r>
    <r>
      <rPr>
        <b/>
        <sz val="11"/>
        <color theme="1"/>
        <rFont val="Calibri"/>
        <family val="2"/>
        <scheme val="minor"/>
      </rPr>
      <t>באיזה ארץ נולד אדם זה?</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</si>
  <si>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השני</t>
    </r>
    <r>
      <rPr>
        <sz val="11"/>
        <color theme="1"/>
        <rFont val="Calibri"/>
        <family val="2"/>
        <charset val="177"/>
        <scheme val="minor"/>
      </rPr>
      <t xml:space="preserve">: </t>
    </r>
    <r>
      <rPr>
        <b/>
        <sz val="11"/>
        <color theme="1"/>
        <rFont val="Calibri"/>
        <family val="2"/>
        <scheme val="minor"/>
      </rPr>
      <t>מה מקצועו?</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</si>
  <si>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השני</t>
    </r>
    <r>
      <rPr>
        <sz val="11"/>
        <color theme="1"/>
        <rFont val="Calibri"/>
        <family val="2"/>
        <charset val="177"/>
        <scheme val="minor"/>
      </rPr>
      <t xml:space="preserve">: </t>
    </r>
    <r>
      <rPr>
        <b/>
        <sz val="11"/>
        <color theme="1"/>
        <rFont val="Calibri"/>
        <family val="2"/>
        <scheme val="minor"/>
      </rPr>
      <t>בן כמה הוא?</t>
    </r>
  </si>
  <si>
    <t>האם יש להגביל את שטחי הפעולה של ההסתדרות בחיים הכלכליים של הארץ?</t>
  </si>
  <si>
    <t>האם חשבת פעם אילו צעדים צריכים לעשות כדי לקרב את השלום עם ארצות ערב?</t>
  </si>
  <si>
    <t>באיזו מידה ברור לך מה צריך להיות היחס למיעוט הערבי במדינה?</t>
  </si>
  <si>
    <t>1969 - 1</t>
  </si>
  <si>
    <t>האם בתקופה שלפני הבחירות מתקיימים חוגי בית בביתך?</t>
  </si>
  <si>
    <t>האם אתה נוהג להאזין בכל יום לרדיו?</t>
  </si>
  <si>
    <t>מה אתה מחפש בעיקר ברדיו? נא דרג את הדברים לפי סדר חשיבות בעיניך</t>
  </si>
  <si>
    <r>
      <t xml:space="preserve">כמה פעמים בשבוע אתה קורא את העיתון הבא: </t>
    </r>
    <r>
      <rPr>
        <b/>
        <sz val="11"/>
        <color theme="1"/>
        <rFont val="Calibri"/>
        <family val="2"/>
        <scheme val="minor"/>
      </rPr>
      <t>הארץ</t>
    </r>
  </si>
  <si>
    <r>
      <t xml:space="preserve">כמה פעמים בשבוע אתה קורא את העיתון הבא: </t>
    </r>
    <r>
      <rPr>
        <b/>
        <sz val="11"/>
        <color theme="1"/>
        <rFont val="Calibri"/>
        <family val="2"/>
        <scheme val="minor"/>
      </rPr>
      <t>דבר</t>
    </r>
  </si>
  <si>
    <r>
      <t xml:space="preserve">כמה פעמים בשבוע אתה קורא את העיתון הבא: </t>
    </r>
    <r>
      <rPr>
        <b/>
        <sz val="11"/>
        <color theme="1"/>
        <rFont val="Calibri"/>
        <family val="2"/>
        <scheme val="minor"/>
      </rPr>
      <t>אומר</t>
    </r>
  </si>
  <si>
    <r>
      <t xml:space="preserve">כמה פעמים בשבוע אתה קורא את העיתון הבא: </t>
    </r>
    <r>
      <rPr>
        <b/>
        <sz val="11"/>
        <color theme="1"/>
        <rFont val="Calibri"/>
        <family val="2"/>
        <scheme val="minor"/>
      </rPr>
      <t>למרחב</t>
    </r>
  </si>
  <si>
    <r>
      <t xml:space="preserve">כמה פעמים בשבוע אתה קורא את העיתון הבא: </t>
    </r>
    <r>
      <rPr>
        <b/>
        <sz val="11"/>
        <color theme="1"/>
        <rFont val="Calibri"/>
        <family val="2"/>
        <scheme val="minor"/>
      </rPr>
      <t>על המשמר</t>
    </r>
  </si>
  <si>
    <r>
      <t xml:space="preserve">כמה פעמים בשבוע אתה קורא את העיתון הבא: </t>
    </r>
    <r>
      <rPr>
        <b/>
        <sz val="11"/>
        <color theme="1"/>
        <rFont val="Calibri"/>
        <family val="2"/>
        <scheme val="minor"/>
      </rPr>
      <t>היום</t>
    </r>
  </si>
  <si>
    <r>
      <t xml:space="preserve">כמה פעמים בשבוע אתה קורא את העיתון הבא: </t>
    </r>
    <r>
      <rPr>
        <b/>
        <sz val="11"/>
        <color theme="1"/>
        <rFont val="Calibri"/>
        <family val="2"/>
        <scheme val="minor"/>
      </rPr>
      <t>קול העם</t>
    </r>
  </si>
  <si>
    <r>
      <t xml:space="preserve">כמה פעמים בשבוע אתה קורא את העיתון הבא: </t>
    </r>
    <r>
      <rPr>
        <b/>
        <sz val="11"/>
        <color theme="1"/>
        <rFont val="Calibri"/>
        <family val="2"/>
        <scheme val="minor"/>
      </rPr>
      <t>הצופה</t>
    </r>
  </si>
  <si>
    <r>
      <t xml:space="preserve">כמה פעמים בשבוע אתה קורא את העיתון הבא: </t>
    </r>
    <r>
      <rPr>
        <b/>
        <sz val="11"/>
        <color theme="1"/>
        <rFont val="Calibri"/>
        <family val="2"/>
        <scheme val="minor"/>
      </rPr>
      <t>מעריב</t>
    </r>
  </si>
  <si>
    <r>
      <t xml:space="preserve">כמה פעמים בשבוע אתה קורא את העיתון הבא: </t>
    </r>
    <r>
      <rPr>
        <b/>
        <sz val="11"/>
        <color theme="1"/>
        <rFont val="Calibri"/>
        <family val="2"/>
        <scheme val="minor"/>
      </rPr>
      <t>ידיעות אחרונות</t>
    </r>
  </si>
  <si>
    <r>
      <t xml:space="preserve">כמה פעמים בשבוע אתה קורא את העיתון הבא: </t>
    </r>
    <r>
      <rPr>
        <b/>
        <sz val="11"/>
        <color theme="1"/>
        <rFont val="Calibri"/>
        <family val="2"/>
        <scheme val="minor"/>
      </rPr>
      <t>ג'רוזלם פוסט</t>
    </r>
  </si>
  <si>
    <r>
      <t xml:space="preserve">כמה פעמים בשבוע אתה קורא את העיתון הבא: </t>
    </r>
    <r>
      <rPr>
        <b/>
        <sz val="11"/>
        <color theme="1"/>
        <rFont val="Calibri"/>
        <family val="2"/>
        <scheme val="minor"/>
      </rPr>
      <t>עיתון לועזי</t>
    </r>
  </si>
  <si>
    <r>
      <t xml:space="preserve">כמה פעמים בשבוע אתה קורא את העיתון הבא: </t>
    </r>
    <r>
      <rPr>
        <b/>
        <sz val="11"/>
        <color theme="1"/>
        <rFont val="Calibri"/>
        <family val="2"/>
        <scheme val="minor"/>
      </rPr>
      <t>אחר</t>
    </r>
  </si>
  <si>
    <t>מה אתה מחפש בעיקר בטלוויזיה? נא דרך את הדברים הבאים לפי סדר חשיבותם בעיניך</t>
  </si>
  <si>
    <t>לדעתך, מהו מצב המדינה בימים אלו מבחינת בטחון לאומי?</t>
  </si>
  <si>
    <t>איפה עומדת המדינה לדעתך מבחינת המצב החברתי כיום?</t>
  </si>
  <si>
    <t>ובעוד ארבע שנים, מה יהיה מצב המדינה מבחינ המצב החברתי?</t>
  </si>
  <si>
    <t>ולפני ארבע שנים, מה היה מצב המדינה מבחינת המצב החברתי?</t>
  </si>
  <si>
    <r>
      <t xml:space="preserve">האם בדר"כ אתה מתעניין </t>
    </r>
    <r>
      <rPr>
        <u/>
        <sz val="11"/>
        <color theme="1"/>
        <rFont val="Calibri"/>
        <family val="2"/>
        <scheme val="minor"/>
      </rPr>
      <t>בבעיות חוץ וביטחון</t>
    </r>
    <r>
      <rPr>
        <sz val="11"/>
        <color theme="1"/>
        <rFont val="Calibri"/>
        <family val="2"/>
        <charset val="177"/>
        <scheme val="minor"/>
      </rPr>
      <t>?</t>
    </r>
  </si>
  <si>
    <r>
      <t xml:space="preserve">באיזו מידה לדעתך צריך האזרח הרגיל במדינת ישראל להתעניין </t>
    </r>
    <r>
      <rPr>
        <u/>
        <sz val="11"/>
        <color theme="1"/>
        <rFont val="Calibri"/>
        <family val="2"/>
        <scheme val="minor"/>
      </rPr>
      <t>בבעיות הכלכליות</t>
    </r>
    <r>
      <rPr>
        <sz val="11"/>
        <color theme="1"/>
        <rFont val="Calibri"/>
        <family val="2"/>
        <charset val="177"/>
        <scheme val="minor"/>
      </rPr>
      <t xml:space="preserve"> של המדינה?</t>
    </r>
  </si>
  <si>
    <r>
      <t xml:space="preserve">באיזו מידה לדעתך צריך האזרח הרגיל במדינת ישראל להתעניין </t>
    </r>
    <r>
      <rPr>
        <u/>
        <sz val="11"/>
        <color theme="1"/>
        <rFont val="Calibri"/>
        <family val="2"/>
        <scheme val="minor"/>
      </rPr>
      <t>בבעיות החוץ והביטחון</t>
    </r>
    <r>
      <rPr>
        <sz val="11"/>
        <color theme="1"/>
        <rFont val="Calibri"/>
        <family val="2"/>
        <charset val="177"/>
        <scheme val="minor"/>
      </rPr>
      <t xml:space="preserve"> של המדינה?</t>
    </r>
  </si>
  <si>
    <r>
      <t xml:space="preserve">באיזו מידה אתה מתעניין </t>
    </r>
    <r>
      <rPr>
        <u/>
        <sz val="11"/>
        <color theme="1"/>
        <rFont val="Calibri"/>
        <family val="2"/>
        <scheme val="minor"/>
      </rPr>
      <t>בבעיות החברתיות</t>
    </r>
    <r>
      <rPr>
        <sz val="11"/>
        <color theme="1"/>
        <rFont val="Calibri"/>
        <family val="2"/>
        <charset val="177"/>
        <scheme val="minor"/>
      </rPr>
      <t xml:space="preserve"> של מדינת ישראל?</t>
    </r>
  </si>
  <si>
    <r>
      <t xml:space="preserve">באיזו מידה לדעתך צריך האזרח הרגיל במדינת ישראל להתעניין </t>
    </r>
    <r>
      <rPr>
        <u/>
        <sz val="11"/>
        <color theme="1"/>
        <rFont val="Calibri"/>
        <family val="2"/>
        <scheme val="minor"/>
      </rPr>
      <t>בבעיות החברתיות</t>
    </r>
    <r>
      <rPr>
        <sz val="11"/>
        <color theme="1"/>
        <rFont val="Calibri"/>
        <family val="2"/>
        <charset val="177"/>
        <scheme val="minor"/>
      </rPr>
      <t xml:space="preserve"> של המדינה?</t>
    </r>
  </si>
  <si>
    <r>
      <t xml:space="preserve">באיזו מידה אתה מתעניין </t>
    </r>
    <r>
      <rPr>
        <u/>
        <sz val="11"/>
        <color theme="1"/>
        <rFont val="Calibri"/>
        <family val="2"/>
        <scheme val="minor"/>
      </rPr>
      <t>בפוליטיקה מקומית</t>
    </r>
    <r>
      <rPr>
        <sz val="11"/>
        <color theme="1"/>
        <rFont val="Calibri"/>
        <family val="2"/>
        <charset val="177"/>
        <scheme val="minor"/>
      </rPr>
      <t xml:space="preserve"> של מדינת ישראל?</t>
    </r>
  </si>
  <si>
    <r>
      <t xml:space="preserve">באיזו מידה לדעתך צריך האזרח הרגיל במדינת ישראל להתעניין </t>
    </r>
    <r>
      <rPr>
        <u/>
        <sz val="11"/>
        <color theme="1"/>
        <rFont val="Calibri"/>
        <family val="2"/>
        <scheme val="minor"/>
      </rPr>
      <t>בפוליטיקה מקומית</t>
    </r>
    <r>
      <rPr>
        <sz val="11"/>
        <color theme="1"/>
        <rFont val="Calibri"/>
        <family val="2"/>
        <charset val="177"/>
        <scheme val="minor"/>
      </rPr>
      <t xml:space="preserve"> של המדינה?</t>
    </r>
  </si>
  <si>
    <r>
      <t xml:space="preserve">האם אתה משוחח עם מכרים, ידידים, חברים לעבודה או בני משפחה על נושאים אקטואליים הקשורים למדינת ישראל? אם כן - באיזו תכיפות אתה מנהל שיחות כאלה בנושא: </t>
    </r>
    <r>
      <rPr>
        <b/>
        <sz val="11"/>
        <color theme="1"/>
        <rFont val="Calibri"/>
        <family val="2"/>
        <scheme val="minor"/>
      </rPr>
      <t>מדיניות חוץ וביטחון</t>
    </r>
  </si>
  <si>
    <r>
      <t xml:space="preserve">האם אתה משוחח עם מכרים, ידידים, חברים לעבודה או בני משפחה על נושאים אקטואליים הקשורים למדינת ישראל? אם כן - באיזו תכיפות אתה מנהל שיחות כאלה בנושא: </t>
    </r>
    <r>
      <rPr>
        <b/>
        <sz val="11"/>
        <color theme="1"/>
        <rFont val="Calibri"/>
        <family val="2"/>
        <scheme val="minor"/>
      </rPr>
      <t>כלכלה</t>
    </r>
  </si>
  <si>
    <r>
      <t xml:space="preserve">האם אתה משוחח עם מכרים, ידידים, חברים לעבודה או בני משפחה על נושאים אקטואליים הקשורים למדינת ישראל? אם כן - באיזו תכיפות אתה מנהל שיחות כאלה בנושא: </t>
    </r>
    <r>
      <rPr>
        <b/>
        <sz val="11"/>
        <color theme="1"/>
        <rFont val="Calibri"/>
        <family val="2"/>
        <scheme val="minor"/>
      </rPr>
      <t>בעיות חברתיות</t>
    </r>
  </si>
  <si>
    <t>באיזו מידה אתה נוטה לפנות לאחרים כדי לשמוע את דעתם בענייני פוליטיקה?</t>
  </si>
  <si>
    <t>באיזו מידה פונים אליך אחרים לשמוע את דעתך בענייני פוליטיקה?</t>
  </si>
  <si>
    <t>עד כמה ברור לך מהן הדרכים הטובות ביותר בהן צריכה הממשלה לנהל את ענייני המדינה?</t>
  </si>
  <si>
    <t>מה דעתך על הדרך שבה מנהלת העירייה את ענייני העיר?</t>
  </si>
  <si>
    <t>עד כמה ברור לך מהם הדרכים הטובות ביותר בהן צריכה העירייה לנהל את ענייני העיר?</t>
  </si>
  <si>
    <t>האם אתה נותן אמון באינפורמציה הפוליטית שאתה מקבל בשיחות עם חבריך?</t>
  </si>
  <si>
    <t>האם אתה נותן אמון באינפורמציה הפוליטית שאתה מקבל באמצעות העיתונות?</t>
  </si>
  <si>
    <t>האם אתה נותן אמון באינפורמציה הפוליטית שאתה מקבל ברדיו ובטלוויזיה?</t>
  </si>
  <si>
    <t>באיזו מידה הנך מסכים לדעה, שהמפלגה השלטת עושה מספיק על מנת להעלות כוחות צעירים להנהגה?</t>
  </si>
  <si>
    <t>יש אנשים שלדעתם יש לבחור חברי כנסת בבחירות אישיות. ואילו אחרים סבורים שיש לבחרם לפי רשימות מפלגתיות. מה דעתך?</t>
  </si>
  <si>
    <t>יש הסבורים שיש להתיר שיווק בשר לא כשר בארץ ואילו אחרים טוענים שיש לאסור זאת. מה דעתך?</t>
  </si>
  <si>
    <t>איזו מן ההגדרות הבאות קרובה ביותר לעמדתך?</t>
  </si>
  <si>
    <t>האם אתה מסכים לדעה שיש לבחור ראשי ערים בבחירות אישיות, או שהנך חושב שרצוי לבחרם לפי רשימות מפלגתיות?</t>
  </si>
  <si>
    <t>באיזו מידה אתה מסכים עם הדעה האומרת, שיש להכריז על נכונות להחזרת שטחים כבסיס לפתיחת מו"מ?</t>
  </si>
  <si>
    <t>באיזו מידה אתה מסכים ליוזמות תעשיתיות וניהול מפעלים ע"י ההסתדרות?</t>
  </si>
  <si>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הדואר</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</si>
  <si>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הרכבת</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</si>
  <si>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חברת החשמל</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</si>
  <si>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שיווק של מזון</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</si>
  <si>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רדיו וטלוויזיה</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</si>
  <si>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קופות החולים</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</si>
  <si>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שירותי הטלפון</t>
    </r>
  </si>
  <si>
    <t>באיזו מידה הינך מסכים שישראל צריכה להיות מובטחת ע"י תמיכה של מעצמה כלשהי?</t>
  </si>
  <si>
    <t>באיזו מידה הינך סבור שדרושה מדיניות של תמיכה כלכלית ממשלתית (סובסידיות) בסקטור ההסתדרותי במשק?</t>
  </si>
  <si>
    <t>איזו שיטה כלכלית עדיפה לדעתך - זו של ברה"מ או זו של ארה"ב?</t>
  </si>
  <si>
    <t>האם הינך מסכים לכך שדיני אישות (נישואין וגירושין) צריכים להימצא בתחום סמכותה הבלעדית של הרבנות?</t>
  </si>
  <si>
    <t>האם לדעתך כדאי לעבוד להצטרף להסתדרות פועלים?</t>
  </si>
  <si>
    <t>באיזו מידה הינך סבור שדרושה מדיניות של תמיכה כלכלית ממשלתית (סובסידיות) במפעלים הפרטיים?</t>
  </si>
  <si>
    <t>באיזו מידה אתה מסכים לכך שיש לחוקק חוק בוררות חובה בענייני שביתות?</t>
  </si>
  <si>
    <t>האם היית מוכן לקשור קשרי ידידות עם בן עדה שונה משלך?</t>
  </si>
  <si>
    <t>האם היית מוכן לגור בבית שבו גרים גם בני עדה שונה משלך?</t>
  </si>
  <si>
    <t>האם יש בין חבריך הקרובים, המוזמנים לביתך, בני עדה שונה משלך?</t>
  </si>
  <si>
    <t>האם היית מוכן להינשא לבת עדה שונה משלך?</t>
  </si>
  <si>
    <t>האם היית מוכן לגור בבית שגרה בו משפחה ערבית?</t>
  </si>
  <si>
    <t>האם היית מוכן לקשור קשרי ידידות עם בן הלאום הערבי?</t>
  </si>
  <si>
    <t>יש אומרים שאפילו אם הערבים יכולים להתקדם הרבה - לא יגיעו לעולם לרמתם של היהודים. מה דעתך?</t>
  </si>
  <si>
    <t>האם לדעתך? 1</t>
  </si>
  <si>
    <t>האם לדעתך? 2</t>
  </si>
  <si>
    <t>האם אתה נמנה על אלה הסבורים שאין להחזיר אף שעל אדמה מן השטחים, או שהנך בעד החזרת שטחים?</t>
  </si>
  <si>
    <t>האם יש לך בבית מכונת כביסה?</t>
  </si>
  <si>
    <t>האם יש בביתך מכשיר טלוויזיה?</t>
  </si>
  <si>
    <t>האם יש בבעלותך מכונית?</t>
  </si>
  <si>
    <t>האם בזמן הבחירות האחרונות גרת באותו מקום שאתה גר כיום?</t>
  </si>
  <si>
    <t>האם היית חבר קיבוץ? מאיזה זרם?</t>
  </si>
  <si>
    <t>c79</t>
  </si>
  <si>
    <t>c85</t>
  </si>
  <si>
    <t>c91</t>
  </si>
  <si>
    <t>v8c</t>
  </si>
  <si>
    <t>ישראל הולכת לבחירות בפעם הרביעית בתוך פחות משנתיים. מבין הדברים הבאים, מהי לדעתך הסיבה המרכזית לכך?</t>
  </si>
  <si>
    <t>v601</t>
  </si>
  <si>
    <t>בהשוואה למצבך הכלכלי לפני שנה, כלומר לפני שפרצה מגפת הקורונה, האם כיום מצבך הכלכלי האישי:</t>
  </si>
  <si>
    <t>v602</t>
  </si>
  <si>
    <t>באיזו מידה אתה מודאג או לא מודאג מכך שאתה או בני משפחתך עלולים להיפגע מהקורונה?</t>
  </si>
  <si>
    <t>v603</t>
  </si>
  <si>
    <t>מה דעתך על הדרך שבה הממשלה מטפלת במשבר הקורונה?</t>
  </si>
  <si>
    <t>v604</t>
  </si>
  <si>
    <t>המפלגות הערביות (המשותפת ורע"ם)  צריכות לפעול להיכנס לקואליציה</t>
  </si>
  <si>
    <t>הפיצול ברשימה המשותפת מזיק לאינטרסים של האוכלוסייה הערבית</t>
  </si>
  <si>
    <t>v605</t>
  </si>
  <si>
    <t>האם השתתפת בהפגנה בשנה האחרונה?</t>
  </si>
  <si>
    <t>v606</t>
  </si>
  <si>
    <t>מי לדעתך יטפל יותר טוב במשבר הקורונה?</t>
  </si>
  <si>
    <t>v607</t>
  </si>
  <si>
    <t>v49_c</t>
  </si>
  <si>
    <t>v49Z</t>
  </si>
  <si>
    <r>
      <t xml:space="preserve">מה יחסך לכל אחת מן המפלגות הבאות? </t>
    </r>
    <r>
      <rPr>
        <b/>
        <sz val="11"/>
        <color theme="1"/>
        <rFont val="Calibri"/>
        <family val="2"/>
        <scheme val="minor"/>
      </rPr>
      <t>תקווה חדשה</t>
    </r>
  </si>
  <si>
    <t>v49X</t>
  </si>
  <si>
    <t>v49Y</t>
  </si>
  <si>
    <r>
      <t xml:space="preserve">ועל אותו סולם, מה יחסך לאישים הבאים? </t>
    </r>
    <r>
      <rPr>
        <b/>
        <sz val="11"/>
        <color theme="1"/>
        <rFont val="Calibri"/>
        <family val="2"/>
        <scheme val="minor"/>
      </rPr>
      <t>גדעון סער</t>
    </r>
  </si>
  <si>
    <t>v52Z</t>
  </si>
  <si>
    <r>
      <t xml:space="preserve">ועל אותו סולם, מה יחסך לאישים הבאים? </t>
    </r>
    <r>
      <rPr>
        <b/>
        <sz val="11"/>
        <color theme="1"/>
        <rFont val="Calibri"/>
        <family val="2"/>
        <scheme val="minor"/>
      </rPr>
      <t>מרב מיכאלי</t>
    </r>
  </si>
  <si>
    <r>
      <t xml:space="preserve">באיזו מידה ישפיע או לא ישפיע כל אחד מהנושאים הבאים על ההצבעה שלך לכנסת? </t>
    </r>
    <r>
      <rPr>
        <b/>
        <sz val="11"/>
        <color theme="1"/>
        <rFont val="Calibri"/>
        <family val="2"/>
        <scheme val="minor"/>
      </rPr>
      <t>משבר הקורונה</t>
    </r>
  </si>
  <si>
    <t>v608</t>
  </si>
  <si>
    <t>באיזו מידה השיקול אם המפלגה תשב או לא תשב תחת נתניהו כראש ממשלה, ישפיע או לא ישפיע על ההצבעה שלך?</t>
  </si>
  <si>
    <t>v609</t>
  </si>
  <si>
    <t>v610</t>
  </si>
  <si>
    <t>v611</t>
  </si>
  <si>
    <t>v612</t>
  </si>
  <si>
    <t>מי אתה מרגיש שיצג אותך יותר בשנה האחרונה, המפלגה/פוליטיקאי שהצבעת להם או פוליטיקאים ומפלגות אחרות?</t>
  </si>
  <si>
    <t>מי אתה מרגיש שיצג אותך יותר בשנה האחרונה, המפלגות/פוליטיקאים או גופים ואנשים מחוץ למערכת הפוליטית?</t>
  </si>
  <si>
    <t>אילו גופים ואנשים מחוץ למערכת הפוליטית יצגו אותך?</t>
  </si>
  <si>
    <t>לעומת דמוקרטיות אחרות, האם להערכתך המערכת הפוליטית בישראל יציבה או לא יציבה?</t>
  </si>
  <si>
    <t>v616</t>
  </si>
  <si>
    <t>האם להערכתך ממשלות בישראל שורדות בשלטון זמן קצר, משך זמן דומה, או זמן ארוך יותר לעומת דמוקרטיות אחרות?</t>
  </si>
  <si>
    <t>v617</t>
  </si>
  <si>
    <t>v618</t>
  </si>
  <si>
    <t>v620A</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</si>
  <si>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כחול-לבן</t>
    </r>
  </si>
  <si>
    <t>v620B</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</si>
  <si>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יש עתיד</t>
    </r>
  </si>
  <si>
    <t>v620Z</t>
  </si>
  <si>
    <t>v620C</t>
  </si>
  <si>
    <t>v620F</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</si>
  <si>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תקווה חדשה</t>
    </r>
  </si>
  <si>
    <t>v620X</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</si>
  <si>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ימינה</t>
    </r>
  </si>
  <si>
    <t>v620D</t>
  </si>
  <si>
    <t>v620S</t>
  </si>
  <si>
    <t>v620H</t>
  </si>
  <si>
    <t>v620I</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</si>
  <si>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יהדות התורה</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</si>
  <si>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הרשימה המשותפת</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</si>
  <si>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רע"מ</t>
    </r>
  </si>
  <si>
    <t>v620K</t>
  </si>
  <si>
    <t>v620J</t>
  </si>
  <si>
    <t>v620Y</t>
  </si>
  <si>
    <t>v621</t>
  </si>
  <si>
    <t>v622</t>
  </si>
  <si>
    <t>v623</t>
  </si>
  <si>
    <t>v15A</t>
  </si>
  <si>
    <t>v15B</t>
  </si>
  <si>
    <t>F1</t>
  </si>
  <si>
    <t>F2</t>
  </si>
  <si>
    <t>F3</t>
  </si>
  <si>
    <t>F4</t>
  </si>
  <si>
    <t>F5</t>
  </si>
  <si>
    <t>F7</t>
  </si>
  <si>
    <t xml:space="preserve">לגבי שיתוף פעולה עם מפלגות ערביות בהקמת הממשלה, האם אתה: </t>
  </si>
  <si>
    <t>N1</t>
  </si>
  <si>
    <t>F9</t>
  </si>
  <si>
    <t>מבין שתי האפשרויות הבאות, מה אתה מעדיף?</t>
  </si>
  <si>
    <t>N2</t>
  </si>
  <si>
    <t>F10</t>
  </si>
  <si>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הציונות הדתית</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</si>
  <si>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ימינה</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</si>
  <si>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הרשימה המשותפת</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</si>
  <si>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רע"מ</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</si>
  <si>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יהדות התורה</t>
    </r>
  </si>
  <si>
    <t>F49S_1</t>
  </si>
  <si>
    <t>F49D_1</t>
  </si>
  <si>
    <t>F49J_1</t>
  </si>
  <si>
    <t>F49Y_1</t>
  </si>
  <si>
    <t>F49K_1</t>
  </si>
  <si>
    <t>מספר חזרות</t>
  </si>
  <si>
    <t>ספירה 84-19</t>
  </si>
  <si>
    <t>סה"כ מעל שתי חזרות</t>
  </si>
  <si>
    <t>g104</t>
  </si>
  <si>
    <t>לעומת דמקרטיות אחרות, האם להערכתך, ממשלות בישראל מצליחות או לא מצליחות להעביר את המדיניות שהן רוצות?</t>
  </si>
  <si>
    <t>המפלגות הערביות עושות את כל שביכולתן כדי לקדם את האינטרסים של האוכלוסייה הערבית בישראל</t>
  </si>
  <si>
    <t>CITIZEN</t>
  </si>
  <si>
    <t>v8_code1</t>
  </si>
  <si>
    <t>v8_code2</t>
  </si>
  <si>
    <t>v8_code3</t>
  </si>
  <si>
    <t>מהי לדעתך שאיפת הפלסטינים בסופו של דבר?</t>
  </si>
  <si>
    <t>v700</t>
  </si>
  <si>
    <t>v15a</t>
  </si>
  <si>
    <t>v15b</t>
  </si>
  <si>
    <t>v15c</t>
  </si>
  <si>
    <t>מבין הפתרונות הבאים לסיום הסכסוך הישראלי-פלסטיני, איזה מועדף עליך ביותר?</t>
  </si>
  <si>
    <t>v702</t>
  </si>
  <si>
    <t>v703</t>
  </si>
  <si>
    <t>v704</t>
  </si>
  <si>
    <t>v49a</t>
  </si>
  <si>
    <t>v49z</t>
  </si>
  <si>
    <t>v49b</t>
  </si>
  <si>
    <t>v49c</t>
  </si>
  <si>
    <t>v49f</t>
  </si>
  <si>
    <t>v49s</t>
  </si>
  <si>
    <t>v49i</t>
  </si>
  <si>
    <t>v49k</t>
  </si>
  <si>
    <t>v49h</t>
  </si>
  <si>
    <t>v49y</t>
  </si>
  <si>
    <t>v49j</t>
  </si>
  <si>
    <t>v49t</t>
  </si>
  <si>
    <t>v52a</t>
  </si>
  <si>
    <t>v52b</t>
  </si>
  <si>
    <t>v52c</t>
  </si>
  <si>
    <t>v622a</t>
  </si>
  <si>
    <r>
      <t>מה יחסך ל</t>
    </r>
    <r>
      <rPr>
        <b/>
        <sz val="11"/>
        <color theme="1"/>
        <rFont val="Calibri"/>
        <family val="2"/>
        <scheme val="minor"/>
      </rPr>
      <t>חילונים</t>
    </r>
    <r>
      <rPr>
        <sz val="11"/>
        <color theme="1"/>
        <rFont val="Calibri"/>
        <family val="2"/>
        <charset val="177"/>
        <scheme val="minor"/>
      </rPr>
      <t>?</t>
    </r>
  </si>
  <si>
    <t>v622b</t>
  </si>
  <si>
    <t>(עבור מי שהשיב 'לא החליט', 'לא יודע', 'מסרב להשיב') האם הנטייה שלך היא להצביע למפלגת:</t>
  </si>
  <si>
    <t>v104a</t>
  </si>
  <si>
    <t>מה דעתך על השתתפולה של רע"מ בראשות מנסור עבאס בקואליציה האחרונה?</t>
  </si>
  <si>
    <t>v705</t>
  </si>
  <si>
    <t>v706</t>
  </si>
  <si>
    <t>v601b</t>
  </si>
  <si>
    <t>v707a</t>
  </si>
  <si>
    <t>v707b</t>
  </si>
  <si>
    <t>v707c</t>
  </si>
  <si>
    <r>
      <t xml:space="preserve">באיזו מידה אתה מסכים או לא מסכים, עם המשפטים הבאים: </t>
    </r>
    <r>
      <rPr>
        <b/>
        <sz val="11"/>
        <color theme="1"/>
        <rFont val="Calibri"/>
        <family val="2"/>
        <scheme val="minor"/>
      </rPr>
      <t>כדי לטפל בבעיות המיוחדות של ישראל עדיף שמומחים, ולא נציגים נבחרים, יקבלו החלטות על הבסיס הבנתם מה טוב למדינה</t>
    </r>
  </si>
  <si>
    <t>v619</t>
  </si>
  <si>
    <t>עם איזו משתי הטענות הבאות לגבי מהות הדמוקרטיה את/ה מסכים/ה יותר: הטענה האומרת שכל משטר הפועל על פי עקרון הכרעת הרוב הוא משטר דמוקרטי, או עם הטענה שאומרת שכדי שמשטר יהיה דמוקרטי באמת הוא צריך לשמור גם על עוד עקרונות, כמו למשל זכויות אדם וחופש ביטוי?</t>
  </si>
  <si>
    <t>v708</t>
  </si>
  <si>
    <t>v620a</t>
  </si>
  <si>
    <t>v620c</t>
  </si>
  <si>
    <t>v620i</t>
  </si>
  <si>
    <t>v620s</t>
  </si>
  <si>
    <t>v620h</t>
  </si>
  <si>
    <t>v620f</t>
  </si>
  <si>
    <t>v620b</t>
  </si>
  <si>
    <t>v620z</t>
  </si>
  <si>
    <t>v620k</t>
  </si>
  <si>
    <t>v620j</t>
  </si>
  <si>
    <t>v620y</t>
  </si>
  <si>
    <t>v620</t>
  </si>
  <si>
    <t>בחברה שלנו, יש אנשים שנוטים להיות בצמרת החברה ויש אנשים שנוטים להיות בתחתית. לפניך סולם הנע מהצמרת לתחתית. היכן היית ממקם/ת את עצמך בסולם זה כיום?</t>
  </si>
  <si>
    <t>v712</t>
  </si>
  <si>
    <t>VERSION</t>
  </si>
  <si>
    <t>LANGUAGE</t>
  </si>
  <si>
    <t>F110</t>
  </si>
  <si>
    <t>N11</t>
  </si>
  <si>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לשמאלנים</t>
    </r>
    <r>
      <rPr>
        <sz val="11"/>
        <color theme="1"/>
        <rFont val="Calibri"/>
        <family val="2"/>
        <charset val="177"/>
        <scheme val="minor"/>
      </rPr>
      <t>?</t>
    </r>
  </si>
  <si>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לימנים</t>
    </r>
    <r>
      <rPr>
        <sz val="11"/>
        <color theme="1"/>
        <rFont val="Calibri"/>
        <family val="2"/>
        <charset val="177"/>
        <scheme val="minor"/>
      </rPr>
      <t>?</t>
    </r>
  </si>
  <si>
    <t>N50</t>
  </si>
  <si>
    <t>N51</t>
  </si>
  <si>
    <t>N622a</t>
  </si>
  <si>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לחרדים</t>
    </r>
    <r>
      <rPr>
        <sz val="11"/>
        <color theme="1"/>
        <rFont val="Calibri"/>
        <family val="2"/>
        <charset val="177"/>
        <scheme val="minor"/>
      </rPr>
      <t>?</t>
    </r>
  </si>
  <si>
    <r>
      <t xml:space="preserve">לאחר הבחירות: </t>
    </r>
    <r>
      <rPr>
        <sz val="11"/>
        <color theme="1"/>
        <rFont val="Calibri"/>
        <family val="2"/>
        <scheme val="minor"/>
      </rPr>
      <t>מה יחסך</t>
    </r>
    <r>
      <rPr>
        <b/>
        <sz val="11"/>
        <color theme="1"/>
        <rFont val="Calibri"/>
        <family val="2"/>
        <scheme val="minor"/>
      </rPr>
      <t xml:space="preserve"> לחילונים</t>
    </r>
    <r>
      <rPr>
        <sz val="11"/>
        <color theme="1"/>
        <rFont val="Calibri"/>
        <family val="2"/>
        <scheme val="minor"/>
      </rPr>
      <t>?</t>
    </r>
  </si>
  <si>
    <t>N622b</t>
  </si>
  <si>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לערבים</t>
    </r>
    <r>
      <rPr>
        <sz val="11"/>
        <color theme="1"/>
        <rFont val="Calibri"/>
        <family val="2"/>
        <scheme val="minor"/>
      </rPr>
      <t xml:space="preserve"> (לערבים: מה יחסך </t>
    </r>
    <r>
      <rPr>
        <b/>
        <sz val="11"/>
        <color theme="1"/>
        <rFont val="Calibri"/>
        <family val="2"/>
        <scheme val="minor"/>
      </rPr>
      <t>ליהודים</t>
    </r>
    <r>
      <rPr>
        <sz val="11"/>
        <color theme="1"/>
        <rFont val="Calibri"/>
        <family val="2"/>
        <scheme val="minor"/>
      </rPr>
      <t>)</t>
    </r>
    <r>
      <rPr>
        <sz val="11"/>
        <color theme="1"/>
        <rFont val="Calibri"/>
        <family val="2"/>
        <charset val="177"/>
        <scheme val="minor"/>
      </rPr>
      <t>?</t>
    </r>
  </si>
  <si>
    <t>N623</t>
  </si>
  <si>
    <t>תכונות</t>
  </si>
  <si>
    <t>ציפיות</t>
  </si>
  <si>
    <t>כלכלה-חברה</t>
  </si>
  <si>
    <t>תקשורת</t>
  </si>
  <si>
    <t>לשונית</t>
  </si>
  <si>
    <t>שאלות</t>
  </si>
  <si>
    <t>התאמה לראשות ממשלה - יש נוסחים שונים</t>
  </si>
  <si>
    <t>ציפיות קואליציה - יש נוסחים שונים</t>
  </si>
  <si>
    <t>מפלגה/קואליציה מועדפת - יש נוסחים שונים</t>
  </si>
  <si>
    <t>מי יטפל טוב יותר בבעיות כלכליות - יש נוסחים שונים ומעבר בין שאלה המתייחסת למועמד ושאלה המתייחסת למפלגה</t>
  </si>
  <si>
    <t>דירוג סיכון מלחמה בצפון - נוסחים שונים: 1992 - מלחמה עם הערבים, 2006 - מלחמה בצפון, 2009 - מלחמה עם חיזבאללה, 2015 - מלחמה עם סוריה</t>
  </si>
  <si>
    <t>חוץ ובטחון</t>
  </si>
  <si>
    <t>תחנות רדיו - יש נוסחים שונים לשאלה "לאיזו תחנת רדיו אתה מאזין"</t>
  </si>
  <si>
    <t>דמוגרפיה</t>
  </si>
  <si>
    <t>שם</t>
  </si>
  <si>
    <t>תיאור</t>
  </si>
  <si>
    <t>שם חדש</t>
  </si>
  <si>
    <t>behavior_religiousety</t>
  </si>
  <si>
    <t>behavior_religiousety_shabat</t>
  </si>
  <si>
    <t>behavior_religiousety_kosher</t>
  </si>
  <si>
    <t>behavior_religiousety_synagoge</t>
  </si>
  <si>
    <t>behavior_IDF_service</t>
  </si>
  <si>
    <t>behavior_IDF_reserve</t>
  </si>
  <si>
    <t>behavior_IDF_reserve_combatant</t>
  </si>
  <si>
    <t>behavior_IDF_service_years</t>
  </si>
  <si>
    <t>behavior_IDF_service_combatant</t>
  </si>
  <si>
    <t>ישראל כללי</t>
  </si>
  <si>
    <t>preference_goal_hierarchy_1</t>
  </si>
  <si>
    <t>preference_goal_hierarchy_2</t>
  </si>
  <si>
    <t>questionnaire_date</t>
  </si>
  <si>
    <t>questionnaire_location</t>
  </si>
  <si>
    <t>questionnaire_panel</t>
  </si>
  <si>
    <t>questionnaire_version</t>
  </si>
  <si>
    <t>questionnaire_language</t>
  </si>
  <si>
    <t>preference_policy_arms_export</t>
  </si>
  <si>
    <t>behavior_IDF_reserve_73</t>
  </si>
  <si>
    <t>attribute_identity_citizen</t>
  </si>
  <si>
    <t>עניין פוליטי</t>
  </si>
  <si>
    <t>מדרגה 1</t>
  </si>
  <si>
    <t>מדרגה 2</t>
  </si>
  <si>
    <t>מדרגה 3</t>
  </si>
  <si>
    <t>מדרגה 4</t>
  </si>
  <si>
    <t>preference_importance_citizencommongood</t>
  </si>
  <si>
    <t>behavior_IDF_reserve_dayslastyear</t>
  </si>
  <si>
    <r>
      <t xml:space="preserve">בבחירות האלה דיברו הרבה על ימין ועל שמאל בפוליטיקה, </t>
    </r>
    <r>
      <rPr>
        <b/>
        <sz val="11"/>
        <color theme="1"/>
        <rFont val="Calibri"/>
        <family val="2"/>
        <charset val="177"/>
        <scheme val="minor"/>
      </rPr>
      <t>מה זה להבנתך ימין?</t>
    </r>
  </si>
  <si>
    <r>
      <t xml:space="preserve">בבחירות האלה דיברו הרבה על ימין ועל שמאל בפוליטיקה, </t>
    </r>
    <r>
      <rPr>
        <b/>
        <sz val="11"/>
        <color theme="1"/>
        <rFont val="Calibri"/>
        <family val="2"/>
        <charset val="177"/>
        <scheme val="minor"/>
      </rPr>
      <t>מה זה להבנתך שמאל?</t>
    </r>
  </si>
  <si>
    <r>
      <t xml:space="preserve">הרבה מדברים על שמאל וימין </t>
    </r>
    <r>
      <rPr>
        <b/>
        <sz val="11"/>
        <color theme="1"/>
        <rFont val="Calibri"/>
        <family val="2"/>
        <charset val="177"/>
        <scheme val="minor"/>
      </rPr>
      <t>בתחום המדיני-ביטחוני</t>
    </r>
    <r>
      <rPr>
        <sz val="11"/>
        <color theme="1"/>
        <rFont val="Calibri"/>
        <family val="2"/>
        <charset val="177"/>
        <scheme val="minor"/>
      </rPr>
      <t>. כיצד היית מדרג את עצמך על רצף זה?</t>
    </r>
  </si>
  <si>
    <r>
      <t xml:space="preserve">הרבה מדברים על שמאל וימין </t>
    </r>
    <r>
      <rPr>
        <b/>
        <sz val="11"/>
        <color theme="1"/>
        <rFont val="Calibri"/>
        <family val="2"/>
        <charset val="177"/>
        <scheme val="minor"/>
      </rPr>
      <t>בתחום הכלכלי</t>
    </r>
    <r>
      <rPr>
        <sz val="11"/>
        <color theme="1"/>
        <rFont val="Calibri"/>
        <family val="2"/>
        <charset val="177"/>
        <scheme val="minor"/>
      </rPr>
      <t>. כיצד היית מדרג את עצמך על רצף זה?</t>
    </r>
  </si>
  <si>
    <r>
      <t xml:space="preserve">הרבה מדברים על שמאל וימין </t>
    </r>
    <r>
      <rPr>
        <b/>
        <sz val="11"/>
        <color theme="1"/>
        <rFont val="Calibri"/>
        <family val="2"/>
        <charset val="177"/>
        <scheme val="minor"/>
      </rPr>
      <t>בתחום מדיניות החוץ</t>
    </r>
    <r>
      <rPr>
        <sz val="11"/>
        <color theme="1"/>
        <rFont val="Calibri"/>
        <family val="2"/>
        <charset val="177"/>
        <scheme val="minor"/>
      </rPr>
      <t>. כיצד היית מדרג את עצמך על רצף זה?</t>
    </r>
  </si>
  <si>
    <r>
      <t xml:space="preserve">האם לדעתך קיימים או לא קיימים הבדלים בעמדותיהן של המפלגות העיקריות בארץ בנושאים הבאים: </t>
    </r>
    <r>
      <rPr>
        <b/>
        <sz val="11"/>
        <color theme="1"/>
        <rFont val="Calibri"/>
        <family val="2"/>
        <charset val="177"/>
        <scheme val="minor"/>
      </rPr>
      <t>מדיניות כלכלית-חברתית</t>
    </r>
  </si>
  <si>
    <r>
      <t xml:space="preserve">האם לדעתך קיימים או לא קיימים הבדלים בעמדותיהן של המפלגות העיקריות בארץ בנושאים הבאים: </t>
    </r>
    <r>
      <rPr>
        <b/>
        <sz val="11"/>
        <color theme="1"/>
        <rFont val="Calibri"/>
        <family val="2"/>
        <charset val="177"/>
        <scheme val="minor"/>
      </rPr>
      <t>כלכלה</t>
    </r>
  </si>
  <si>
    <r>
      <t xml:space="preserve">האם לדעתך קיימים או לא קיימים הבדלים בעמדותיהן של המפלגות העיקריות בארץ בנושאים הבאים: </t>
    </r>
    <r>
      <rPr>
        <b/>
        <sz val="11"/>
        <color theme="1"/>
        <rFont val="Calibri"/>
        <family val="2"/>
        <charset val="177"/>
        <scheme val="minor"/>
      </rPr>
      <t>מדיניות חברתית</t>
    </r>
  </si>
  <si>
    <r>
      <t xml:space="preserve">האם לדעתך קיימים או לא קיימים הבדלים בעמדותיהן של המפלגות העיקריות בארץ בנושאים הבאים: </t>
    </r>
    <r>
      <rPr>
        <b/>
        <sz val="11"/>
        <color theme="1"/>
        <rFont val="Calibri"/>
        <family val="2"/>
        <charset val="177"/>
        <scheme val="minor"/>
      </rPr>
      <t>דת ומדינה</t>
    </r>
  </si>
  <si>
    <r>
      <t xml:space="preserve">האם לדעתך קיימים או לא קיימים הבדלים בעמדותיהן של המפלגות העיקריות בארץ בנושאים הבאים: </t>
    </r>
    <r>
      <rPr>
        <b/>
        <sz val="11"/>
        <color theme="1"/>
        <rFont val="Calibri"/>
        <family val="2"/>
        <charset val="177"/>
        <scheme val="minor"/>
      </rPr>
      <t>שלום ושטחים</t>
    </r>
  </si>
  <si>
    <r>
      <t xml:space="preserve">האם לדעתך קיימים או לא קיימים הבדלים בעמדותיהן של המפלגות העיקריות בארץ בנושאים הבאים: </t>
    </r>
    <r>
      <rPr>
        <b/>
        <sz val="11"/>
        <color theme="1"/>
        <rFont val="Calibri"/>
        <family val="2"/>
        <charset val="177"/>
        <scheme val="minor"/>
      </rPr>
      <t>בטחון וטרור</t>
    </r>
  </si>
  <si>
    <r>
      <t xml:space="preserve">האם לדעתך קיימים או לא קיימים הבדלים בעמדותיהן של המפלגות העיקריות בארץ בנושאים הבאים: </t>
    </r>
    <r>
      <rPr>
        <b/>
        <sz val="11"/>
        <color theme="1"/>
        <rFont val="Calibri"/>
        <family val="2"/>
        <charset val="177"/>
        <scheme val="minor"/>
      </rPr>
      <t>ביחס שלהן לדמוקרטיה</t>
    </r>
  </si>
  <si>
    <r>
      <t xml:space="preserve">האם לדעתך קיימים או לא קיימים הבדלים בעמדותיהן של המפלגות העיקריות בארץ בנושאים הבאים: </t>
    </r>
    <r>
      <rPr>
        <b/>
        <sz val="11"/>
        <color theme="1"/>
        <rFont val="Calibri"/>
        <family val="2"/>
        <charset val="177"/>
        <scheme val="minor"/>
      </rPr>
      <t>האיום האיראני</t>
    </r>
  </si>
  <si>
    <r>
      <t xml:space="preserve">האם לדעתך קיימים או לא קיימים הבדלים בעמדותיהן של המפלגות העיקריות בארץ בנושאים הבאים: </t>
    </r>
    <r>
      <rPr>
        <b/>
        <sz val="11"/>
        <color theme="1"/>
        <rFont val="Calibri"/>
        <family val="2"/>
        <charset val="177"/>
        <scheme val="minor"/>
      </rPr>
      <t>ירושלים</t>
    </r>
  </si>
  <si>
    <r>
      <t xml:space="preserve">האם לדעתך קיימים או לא קיימים הבדלים בעמדותיהן של המפלגות העיקריות בארץ בנושאים הבאים: </t>
    </r>
    <r>
      <rPr>
        <b/>
        <sz val="11"/>
        <color theme="1"/>
        <rFont val="Calibri"/>
        <family val="2"/>
        <charset val="177"/>
        <scheme val="minor"/>
      </rPr>
      <t>לבנון</t>
    </r>
  </si>
  <si>
    <r>
      <t xml:space="preserve">האם לדעתך קיימים או לא קיימים הבדלים בעמדותיהן של המפלגות העיקריות בארץ בנושאים הבאים: </t>
    </r>
    <r>
      <rPr>
        <b/>
        <sz val="11"/>
        <color theme="1"/>
        <rFont val="Calibri"/>
        <family val="2"/>
        <charset val="177"/>
        <scheme val="minor"/>
      </rPr>
      <t>שחיתות</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</si>
  <si>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ליכוד</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</si>
  <si>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עבודה</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</si>
  <si>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קדימה</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</si>
  <si>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ש"ס</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</si>
  <si>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הבית היהודי</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</si>
  <si>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ישראל ביתנו</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</si>
  <si>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מרצ</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</si>
  <si>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כחול-לבן</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</si>
  <si>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יש עתיד</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</si>
  <si>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תקווה חדשה</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</si>
  <si>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ימינה</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</si>
  <si>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יהדות התורה</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</si>
  <si>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הרשימה המשותפת</t>
    </r>
  </si>
  <si>
    <r>
      <t xml:space="preserve">היכן היית מדרג את המפלגות הבאות על פני רצף "שמאל-ימין" כאשר 0 משמעו שמאל, 10 משמעו ימין ו-5 משמעו אמצע: </t>
    </r>
    <r>
      <rPr>
        <b/>
        <sz val="11"/>
        <color theme="1"/>
        <rFont val="Calibri"/>
        <family val="2"/>
        <charset val="177"/>
        <scheme val="minor"/>
      </rPr>
      <t>רע"מ</t>
    </r>
  </si>
  <si>
    <r>
      <t xml:space="preserve">האם ברור לך מה ההבדלים בעמדותיהן של המפלגות השונות בנושא </t>
    </r>
    <r>
      <rPr>
        <u/>
        <sz val="11"/>
        <color theme="1"/>
        <rFont val="Calibri"/>
        <family val="2"/>
        <charset val="177"/>
        <scheme val="minor"/>
      </rPr>
      <t>הוויתורים הטריטוריאליים</t>
    </r>
    <r>
      <rPr>
        <sz val="11"/>
        <color theme="1"/>
        <rFont val="Calibri"/>
        <family val="2"/>
        <charset val="177"/>
        <scheme val="minor"/>
      </rPr>
      <t xml:space="preserve"> (ויתור על שטחים)?</t>
    </r>
  </si>
  <si>
    <r>
      <t xml:space="preserve">האם ברור לך מה ההבדלים בעמדותיהן של המפלגות השונות בנושא </t>
    </r>
    <r>
      <rPr>
        <u/>
        <sz val="11"/>
        <color theme="1"/>
        <rFont val="Calibri"/>
        <family val="2"/>
        <charset val="177"/>
        <scheme val="minor"/>
      </rPr>
      <t>הכלכלה</t>
    </r>
    <r>
      <rPr>
        <sz val="11"/>
        <color theme="1"/>
        <rFont val="Calibri"/>
        <family val="2"/>
        <charset val="177"/>
        <scheme val="minor"/>
      </rPr>
      <t>?</t>
    </r>
  </si>
  <si>
    <r>
      <t xml:space="preserve">האם ברור לך מה ההבדלים בעמדותיהן של המפלגות השונות בנושא </t>
    </r>
    <r>
      <rPr>
        <u/>
        <sz val="11"/>
        <color theme="1"/>
        <rFont val="Calibri"/>
        <family val="2"/>
        <charset val="177"/>
        <scheme val="minor"/>
      </rPr>
      <t>החברתי</t>
    </r>
    <r>
      <rPr>
        <sz val="11"/>
        <color theme="1"/>
        <rFont val="Calibri"/>
        <family val="2"/>
        <charset val="177"/>
        <scheme val="minor"/>
      </rPr>
      <t>?</t>
    </r>
  </si>
  <si>
    <t>ימין-שמאל</t>
  </si>
  <si>
    <r>
      <t xml:space="preserve">מה יחסך לכל אחת מן המפלגות הבאות? </t>
    </r>
    <r>
      <rPr>
        <b/>
        <sz val="11"/>
        <color theme="1"/>
        <rFont val="Calibri"/>
        <family val="2"/>
        <charset val="177"/>
        <scheme val="minor"/>
      </rPr>
      <t>הליכוד</t>
    </r>
  </si>
  <si>
    <r>
      <t xml:space="preserve">מה יחסך לכל אחת מן המפלגות הבאות? </t>
    </r>
    <r>
      <rPr>
        <b/>
        <sz val="11"/>
        <color theme="1"/>
        <rFont val="Calibri"/>
        <family val="2"/>
        <charset val="177"/>
        <scheme val="minor"/>
      </rPr>
      <t>כחול-לבן</t>
    </r>
  </si>
  <si>
    <r>
      <t>מה יחסך לכל אחת מן המפלגות הבאות?</t>
    </r>
    <r>
      <rPr>
        <b/>
        <sz val="11"/>
        <color theme="1"/>
        <rFont val="Calibri"/>
        <family val="2"/>
        <charset val="177"/>
        <scheme val="minor"/>
      </rPr>
      <t xml:space="preserve"> יש עתיד</t>
    </r>
  </si>
  <si>
    <r>
      <t xml:space="preserve">מה יחסך לכל אחת מן המפלגות הבאות? </t>
    </r>
    <r>
      <rPr>
        <b/>
        <sz val="11"/>
        <color theme="1"/>
        <rFont val="Calibri"/>
        <family val="2"/>
        <charset val="177"/>
        <scheme val="minor"/>
      </rPr>
      <t>שינוי</t>
    </r>
  </si>
  <si>
    <r>
      <t xml:space="preserve">מה יחסך לכל אחת מן המפלגות הבאות? </t>
    </r>
    <r>
      <rPr>
        <b/>
        <sz val="11"/>
        <color theme="1"/>
        <rFont val="Calibri"/>
        <family val="2"/>
        <charset val="177"/>
        <scheme val="minor"/>
      </rPr>
      <t>מפלגת המרכז</t>
    </r>
  </si>
  <si>
    <r>
      <t xml:space="preserve">מה יחסך לכל אחת מן המפלגות הבאות? </t>
    </r>
    <r>
      <rPr>
        <b/>
        <sz val="11"/>
        <color theme="1"/>
        <rFont val="Calibri"/>
        <family val="2"/>
        <charset val="177"/>
        <scheme val="minor"/>
      </rPr>
      <t>העבודה/המערך</t>
    </r>
  </si>
  <si>
    <r>
      <t xml:space="preserve">מה יחסך לכל אחת מן המפלגות הבאות? </t>
    </r>
    <r>
      <rPr>
        <b/>
        <sz val="11"/>
        <color theme="1"/>
        <rFont val="Calibri"/>
        <family val="2"/>
        <charset val="177"/>
        <scheme val="minor"/>
      </rPr>
      <t>ישראל אחת</t>
    </r>
  </si>
  <si>
    <r>
      <t xml:space="preserve">מה יחסך לכל אחת מן המפלגות הבאות? </t>
    </r>
    <r>
      <rPr>
        <b/>
        <sz val="11"/>
        <color theme="1"/>
        <rFont val="Calibri"/>
        <family val="2"/>
        <charset val="177"/>
        <scheme val="minor"/>
      </rPr>
      <t>קדימה</t>
    </r>
  </si>
  <si>
    <r>
      <t xml:space="preserve">מה יחסך לכל אחת מן המפלגות הבאות? </t>
    </r>
    <r>
      <rPr>
        <b/>
        <sz val="11"/>
        <color theme="1"/>
        <rFont val="Calibri"/>
        <family val="2"/>
        <charset val="177"/>
        <scheme val="minor"/>
      </rPr>
      <t>התנועה</t>
    </r>
  </si>
  <si>
    <r>
      <t xml:space="preserve">מה יחסך לכל אחת מן המפלגות הבאות? </t>
    </r>
    <r>
      <rPr>
        <b/>
        <sz val="11"/>
        <color theme="1"/>
        <rFont val="Calibri"/>
        <family val="2"/>
        <charset val="177"/>
        <scheme val="minor"/>
      </rPr>
      <t>מרצ</t>
    </r>
  </si>
  <si>
    <r>
      <t xml:space="preserve">מה יחסך לכל אחת מן המפלגות הבאות? </t>
    </r>
    <r>
      <rPr>
        <b/>
        <sz val="11"/>
        <color theme="1"/>
        <rFont val="Calibri"/>
        <family val="2"/>
        <charset val="177"/>
        <scheme val="minor"/>
      </rPr>
      <t>ימינה</t>
    </r>
  </si>
  <si>
    <r>
      <t xml:space="preserve">מה יחסך לכל אחת מן המפלגות הבאות? </t>
    </r>
    <r>
      <rPr>
        <b/>
        <sz val="11"/>
        <color theme="1"/>
        <rFont val="Calibri"/>
        <family val="2"/>
        <charset val="177"/>
        <scheme val="minor"/>
      </rPr>
      <t>תקווה חדשה</t>
    </r>
  </si>
  <si>
    <r>
      <t xml:space="preserve">מה יחסך לכל אחת מהמפלגות הבאות? </t>
    </r>
    <r>
      <rPr>
        <b/>
        <sz val="11"/>
        <color theme="1"/>
        <rFont val="Calibri"/>
        <family val="2"/>
        <charset val="177"/>
        <scheme val="minor"/>
      </rPr>
      <t>הבית היהודי/מפד"ל</t>
    </r>
  </si>
  <si>
    <r>
      <t xml:space="preserve">מה יחסך לכל אחת מן המפלגות הבאות? </t>
    </r>
    <r>
      <rPr>
        <b/>
        <sz val="11"/>
        <color theme="1"/>
        <rFont val="Calibri"/>
        <family val="2"/>
        <charset val="177"/>
        <scheme val="minor"/>
      </rPr>
      <t>ישראל ביתנו</t>
    </r>
  </si>
  <si>
    <r>
      <t xml:space="preserve">מה יחסך לכל אחת מן המפלגות הבאות? </t>
    </r>
    <r>
      <rPr>
        <b/>
        <sz val="11"/>
        <color theme="1"/>
        <rFont val="Calibri"/>
        <family val="2"/>
        <charset val="177"/>
        <scheme val="minor"/>
      </rPr>
      <t>ש"ס</t>
    </r>
  </si>
  <si>
    <r>
      <t xml:space="preserve">מה יחסך לכל אחת מן המפלגות הבאות? </t>
    </r>
    <r>
      <rPr>
        <b/>
        <sz val="11"/>
        <color theme="1"/>
        <rFont val="Calibri"/>
        <family val="2"/>
        <charset val="177"/>
        <scheme val="minor"/>
      </rPr>
      <t>ישראל בעליה</t>
    </r>
  </si>
  <si>
    <r>
      <t xml:space="preserve">מה יחסך לכל אחת מן המפלגות הבאות? </t>
    </r>
    <r>
      <rPr>
        <b/>
        <sz val="11"/>
        <color theme="1"/>
        <rFont val="Calibri"/>
        <family val="2"/>
        <charset val="177"/>
        <scheme val="minor"/>
      </rPr>
      <t>עוצמה יהודית</t>
    </r>
  </si>
  <si>
    <r>
      <t xml:space="preserve">מה יחסך לכל אחת מן המפלגות הבאות? </t>
    </r>
    <r>
      <rPr>
        <b/>
        <sz val="11"/>
        <color theme="1"/>
        <rFont val="Calibri"/>
        <family val="2"/>
        <charset val="177"/>
        <scheme val="minor"/>
      </rPr>
      <t>יהדות התורה</t>
    </r>
  </si>
  <si>
    <r>
      <t xml:space="preserve">מה יחסך לכל אחת מן המפלגות הבאות? </t>
    </r>
    <r>
      <rPr>
        <b/>
        <sz val="11"/>
        <color theme="1"/>
        <rFont val="Calibri"/>
        <family val="2"/>
        <charset val="177"/>
        <scheme val="minor"/>
      </rPr>
      <t>כולנו</t>
    </r>
  </si>
  <si>
    <r>
      <t xml:space="preserve">מה יחסך לכל אחת מן המפלגות הבאות? </t>
    </r>
    <r>
      <rPr>
        <b/>
        <sz val="11"/>
        <color theme="1"/>
        <rFont val="Calibri"/>
        <family val="2"/>
        <charset val="177"/>
        <scheme val="minor"/>
      </rPr>
      <t>הרשימה המשותפת</t>
    </r>
  </si>
  <si>
    <r>
      <t xml:space="preserve">מה יחסך לכל אחת מן המפלגות הבאות? </t>
    </r>
    <r>
      <rPr>
        <b/>
        <sz val="11"/>
        <color theme="1"/>
        <rFont val="Calibri"/>
        <family val="2"/>
        <charset val="177"/>
        <scheme val="minor"/>
      </rPr>
      <t>רע"מ-בל"ד</t>
    </r>
  </si>
  <si>
    <r>
      <t xml:space="preserve">מה יחסך לכל אחת מן המפלגות הבאות? </t>
    </r>
    <r>
      <rPr>
        <b/>
        <sz val="11"/>
        <color theme="1"/>
        <rFont val="Calibri"/>
        <family val="2"/>
        <charset val="177"/>
        <scheme val="minor"/>
      </rPr>
      <t>רע"מ-תע"ל</t>
    </r>
  </si>
  <si>
    <r>
      <t xml:space="preserve">מה יחסך לכל אחת מן המפלגות הבאות? </t>
    </r>
    <r>
      <rPr>
        <b/>
        <sz val="11"/>
        <color theme="1"/>
        <rFont val="Calibri"/>
        <family val="2"/>
        <charset val="177"/>
        <scheme val="minor"/>
      </rPr>
      <t>חד"ש</t>
    </r>
  </si>
  <si>
    <r>
      <t xml:space="preserve">מה יחסך לכל אחת מן המפלגות הבאות? </t>
    </r>
    <r>
      <rPr>
        <b/>
        <sz val="11"/>
        <color theme="1"/>
        <rFont val="Calibri"/>
        <family val="2"/>
        <charset val="177"/>
        <scheme val="minor"/>
      </rPr>
      <t>תע"ל</t>
    </r>
  </si>
  <si>
    <r>
      <t xml:space="preserve">מה יחסך לכל אחת מן המפלגות הבאות? </t>
    </r>
    <r>
      <rPr>
        <b/>
        <sz val="11"/>
        <color theme="1"/>
        <rFont val="Calibri"/>
        <family val="2"/>
        <charset val="177"/>
        <scheme val="minor"/>
      </rPr>
      <t>רע"מ</t>
    </r>
  </si>
  <si>
    <r>
      <t xml:space="preserve">מה יחסך לכל אחת מן המפלגות הבאות? </t>
    </r>
    <r>
      <rPr>
        <b/>
        <sz val="11"/>
        <color theme="1"/>
        <rFont val="Calibri"/>
        <family val="2"/>
        <charset val="177"/>
        <scheme val="minor"/>
      </rPr>
      <t>בל"ד</t>
    </r>
  </si>
  <si>
    <r>
      <rPr>
        <u/>
        <sz val="11"/>
        <color theme="1"/>
        <rFont val="Calibri"/>
        <family val="2"/>
        <charset val="177"/>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charset val="177"/>
        <scheme val="minor"/>
      </rPr>
      <t>הציונות הדתית</t>
    </r>
  </si>
  <si>
    <r>
      <rPr>
        <u/>
        <sz val="11"/>
        <color theme="1"/>
        <rFont val="Calibri"/>
        <family val="2"/>
        <charset val="177"/>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charset val="177"/>
        <scheme val="minor"/>
      </rPr>
      <t>ימינה</t>
    </r>
  </si>
  <si>
    <r>
      <rPr>
        <u/>
        <sz val="11"/>
        <color theme="1"/>
        <rFont val="Calibri"/>
        <family val="2"/>
        <charset val="177"/>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charset val="177"/>
        <scheme val="minor"/>
      </rPr>
      <t>הרשימה המשותפת</t>
    </r>
  </si>
  <si>
    <r>
      <rPr>
        <u/>
        <sz val="11"/>
        <color theme="1"/>
        <rFont val="Calibri"/>
        <family val="2"/>
        <charset val="177"/>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charset val="177"/>
        <scheme val="minor"/>
      </rPr>
      <t>רע"מ</t>
    </r>
  </si>
  <si>
    <r>
      <rPr>
        <u/>
        <sz val="11"/>
        <color theme="1"/>
        <rFont val="Calibri"/>
        <family val="2"/>
        <charset val="177"/>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charset val="177"/>
        <scheme val="minor"/>
      </rPr>
      <t>יהדות התורה</t>
    </r>
  </si>
  <si>
    <r>
      <t xml:space="preserve">על סולם שבו 0 משמעו דחייה ושנאה, 10 משמעו תמיכה ואהדה ו-5 משמעו אמצע, </t>
    </r>
    <r>
      <rPr>
        <b/>
        <sz val="11"/>
        <color theme="1"/>
        <rFont val="Calibri"/>
        <family val="2"/>
        <charset val="177"/>
        <scheme val="minor"/>
      </rPr>
      <t>מה יחסך לימנים?</t>
    </r>
  </si>
  <si>
    <r>
      <t xml:space="preserve">על סולם שבו 0 משמעו דחייה ושנאה, 10 משמעו תמיכה ואהדה ו-5 משמעו אמצע, </t>
    </r>
    <r>
      <rPr>
        <b/>
        <sz val="11"/>
        <color theme="1"/>
        <rFont val="Calibri"/>
        <family val="2"/>
        <charset val="177"/>
        <scheme val="minor"/>
      </rPr>
      <t>מה יחסך לשמאלנים?</t>
    </r>
  </si>
  <si>
    <r>
      <t>מה יחסך ל</t>
    </r>
    <r>
      <rPr>
        <b/>
        <sz val="11"/>
        <color theme="1"/>
        <rFont val="Calibri"/>
        <family val="2"/>
        <charset val="177"/>
        <scheme val="minor"/>
      </rPr>
      <t>ערבים</t>
    </r>
    <r>
      <rPr>
        <sz val="11"/>
        <color theme="1"/>
        <rFont val="Calibri"/>
        <family val="2"/>
        <charset val="177"/>
        <scheme val="minor"/>
      </rPr>
      <t>?</t>
    </r>
  </si>
  <si>
    <r>
      <t>מה יחסך ל</t>
    </r>
    <r>
      <rPr>
        <b/>
        <sz val="11"/>
        <color theme="1"/>
        <rFont val="Calibri"/>
        <family val="2"/>
        <charset val="177"/>
        <scheme val="minor"/>
      </rPr>
      <t>דתיים</t>
    </r>
    <r>
      <rPr>
        <sz val="11"/>
        <color theme="1"/>
        <rFont val="Calibri"/>
        <family val="2"/>
        <charset val="177"/>
        <scheme val="minor"/>
      </rPr>
      <t>?</t>
    </r>
  </si>
  <si>
    <r>
      <t>מה יחסך ל</t>
    </r>
    <r>
      <rPr>
        <b/>
        <sz val="11"/>
        <color theme="1"/>
        <rFont val="Calibri"/>
        <family val="2"/>
        <charset val="177"/>
        <scheme val="minor"/>
      </rPr>
      <t>חרדים</t>
    </r>
    <r>
      <rPr>
        <sz val="11"/>
        <color theme="1"/>
        <rFont val="Calibri"/>
        <family val="2"/>
        <charset val="177"/>
        <scheme val="minor"/>
      </rPr>
      <t>?</t>
    </r>
  </si>
  <si>
    <r>
      <t>מה יחסך ל</t>
    </r>
    <r>
      <rPr>
        <b/>
        <sz val="11"/>
        <color theme="1"/>
        <rFont val="Calibri"/>
        <family val="2"/>
        <charset val="177"/>
        <scheme val="minor"/>
      </rPr>
      <t>חילונים</t>
    </r>
    <r>
      <rPr>
        <sz val="11"/>
        <color theme="1"/>
        <rFont val="Calibri"/>
        <family val="2"/>
        <charset val="177"/>
        <scheme val="minor"/>
      </rPr>
      <t>?</t>
    </r>
  </si>
  <si>
    <r>
      <t>מה יחסך ל</t>
    </r>
    <r>
      <rPr>
        <b/>
        <sz val="11"/>
        <color theme="1"/>
        <rFont val="Calibri"/>
        <family val="2"/>
        <charset val="177"/>
        <scheme val="minor"/>
      </rPr>
      <t>אשכנזים</t>
    </r>
    <r>
      <rPr>
        <sz val="11"/>
        <color theme="1"/>
        <rFont val="Calibri"/>
        <family val="2"/>
        <charset val="177"/>
        <scheme val="minor"/>
      </rPr>
      <t>?</t>
    </r>
  </si>
  <si>
    <r>
      <t>מה יחסך ל</t>
    </r>
    <r>
      <rPr>
        <b/>
        <sz val="11"/>
        <color theme="1"/>
        <rFont val="Calibri"/>
        <family val="2"/>
        <charset val="177"/>
        <scheme val="minor"/>
      </rPr>
      <t>ספרדים</t>
    </r>
    <r>
      <rPr>
        <sz val="11"/>
        <color theme="1"/>
        <rFont val="Calibri"/>
        <family val="2"/>
        <charset val="177"/>
        <scheme val="minor"/>
      </rPr>
      <t>?</t>
    </r>
  </si>
  <si>
    <r>
      <t>מה יחסך ל</t>
    </r>
    <r>
      <rPr>
        <b/>
        <sz val="11"/>
        <color theme="1"/>
        <rFont val="Calibri"/>
        <family val="2"/>
        <charset val="177"/>
        <scheme val="minor"/>
      </rPr>
      <t>מועצת יש"ע</t>
    </r>
    <r>
      <rPr>
        <sz val="11"/>
        <color theme="1"/>
        <rFont val="Calibri"/>
        <family val="2"/>
        <charset val="177"/>
        <scheme val="minor"/>
      </rPr>
      <t>?</t>
    </r>
  </si>
  <si>
    <r>
      <t>מה יחסך ל</t>
    </r>
    <r>
      <rPr>
        <b/>
        <sz val="11"/>
        <color theme="1"/>
        <rFont val="Calibri"/>
        <family val="2"/>
        <charset val="177"/>
        <scheme val="minor"/>
      </rPr>
      <t>תנועה האסלאמית</t>
    </r>
    <r>
      <rPr>
        <sz val="11"/>
        <color theme="1"/>
        <rFont val="Calibri"/>
        <family val="2"/>
        <charset val="177"/>
        <scheme val="minor"/>
      </rPr>
      <t>?</t>
    </r>
  </si>
  <si>
    <r>
      <t>מה יחסך ל</t>
    </r>
    <r>
      <rPr>
        <b/>
        <sz val="11"/>
        <color theme="1"/>
        <rFont val="Calibri"/>
        <family val="2"/>
        <charset val="177"/>
        <scheme val="minor"/>
      </rPr>
      <t>תנועת גוש אמונים</t>
    </r>
    <r>
      <rPr>
        <sz val="11"/>
        <color theme="1"/>
        <rFont val="Calibri"/>
        <family val="2"/>
        <charset val="177"/>
        <scheme val="minor"/>
      </rPr>
      <t>?</t>
    </r>
  </si>
  <si>
    <r>
      <t>מה יחסך ל</t>
    </r>
    <r>
      <rPr>
        <b/>
        <sz val="11"/>
        <color theme="1"/>
        <rFont val="Calibri"/>
        <family val="2"/>
        <charset val="177"/>
        <scheme val="minor"/>
      </rPr>
      <t>תנועת שלום עכשיו</t>
    </r>
    <r>
      <rPr>
        <sz val="11"/>
        <color theme="1"/>
        <rFont val="Calibri"/>
        <family val="2"/>
        <charset val="177"/>
        <scheme val="minor"/>
      </rPr>
      <t>?</t>
    </r>
  </si>
  <si>
    <r>
      <t xml:space="preserve">ועל אותו סולם, מה יחסך לאישים הבאים? </t>
    </r>
    <r>
      <rPr>
        <b/>
        <sz val="11"/>
        <color theme="1"/>
        <rFont val="Calibri"/>
        <family val="2"/>
        <charset val="177"/>
        <scheme val="minor"/>
      </rPr>
      <t>בנימין נתניהו</t>
    </r>
  </si>
  <si>
    <r>
      <t xml:space="preserve">ועל אותו סולם, מה יחסך לאישים הבאים? </t>
    </r>
    <r>
      <rPr>
        <b/>
        <sz val="11"/>
        <color theme="1"/>
        <rFont val="Calibri"/>
        <family val="2"/>
        <charset val="177"/>
        <scheme val="minor"/>
      </rPr>
      <t>אריאל שרון</t>
    </r>
  </si>
  <si>
    <r>
      <t xml:space="preserve">ועל אותו סולם, מה יחסך לאישים הבאים? </t>
    </r>
    <r>
      <rPr>
        <b/>
        <sz val="11"/>
        <color theme="1"/>
        <rFont val="Calibri"/>
        <family val="2"/>
        <charset val="177"/>
        <scheme val="minor"/>
      </rPr>
      <t>יצחק שמיר</t>
    </r>
  </si>
  <si>
    <r>
      <t xml:space="preserve">ועל אותו סולם, מה יחסך לאישים הבאים? </t>
    </r>
    <r>
      <rPr>
        <b/>
        <sz val="11"/>
        <color theme="1"/>
        <rFont val="Calibri"/>
        <family val="2"/>
        <charset val="177"/>
        <scheme val="minor"/>
      </rPr>
      <t>מנחם בגין</t>
    </r>
  </si>
  <si>
    <r>
      <t xml:space="preserve">ועל אותו סולם, מה יחסך לאישים הבאים? </t>
    </r>
    <r>
      <rPr>
        <b/>
        <sz val="11"/>
        <color theme="1"/>
        <rFont val="Calibri"/>
        <family val="2"/>
        <charset val="177"/>
        <scheme val="minor"/>
      </rPr>
      <t>אהוד אולמרט</t>
    </r>
  </si>
  <si>
    <r>
      <t xml:space="preserve">ועל אותו סולם, מה יחסך לאישים הבאים? </t>
    </r>
    <r>
      <rPr>
        <b/>
        <sz val="11"/>
        <color theme="1"/>
        <rFont val="Calibri"/>
        <family val="2"/>
        <charset val="177"/>
        <scheme val="minor"/>
      </rPr>
      <t>בני בגין</t>
    </r>
  </si>
  <si>
    <r>
      <t xml:space="preserve">ועל אותו סולם, מה יחסך לאישים הבאים? </t>
    </r>
    <r>
      <rPr>
        <b/>
        <sz val="11"/>
        <color theme="1"/>
        <rFont val="Calibri"/>
        <family val="2"/>
        <charset val="177"/>
        <scheme val="minor"/>
      </rPr>
      <t>איציק מרדכי</t>
    </r>
  </si>
  <si>
    <r>
      <t xml:space="preserve">ועל אותו סולם, מה יחסך לאישים הבאים? </t>
    </r>
    <r>
      <rPr>
        <b/>
        <sz val="11"/>
        <color theme="1"/>
        <rFont val="Calibri"/>
        <family val="2"/>
        <charset val="177"/>
        <scheme val="minor"/>
      </rPr>
      <t>דוד לוי</t>
    </r>
  </si>
  <si>
    <r>
      <t xml:space="preserve">ועל אותו סולם, מה יחסך לאישים הבאים? </t>
    </r>
    <r>
      <rPr>
        <b/>
        <sz val="11"/>
        <color theme="1"/>
        <rFont val="Calibri"/>
        <family val="2"/>
        <charset val="177"/>
        <scheme val="minor"/>
      </rPr>
      <t>יצחק נבון</t>
    </r>
  </si>
  <si>
    <r>
      <t xml:space="preserve">ועל אותו סולם, מה יחסך לאישים הבאים? </t>
    </r>
    <r>
      <rPr>
        <b/>
        <sz val="11"/>
        <color theme="1"/>
        <rFont val="Calibri"/>
        <family val="2"/>
        <charset val="177"/>
        <scheme val="minor"/>
      </rPr>
      <t>בני גנץ</t>
    </r>
  </si>
  <si>
    <r>
      <t xml:space="preserve">ועל אותו סולם, מה יחסך לאישים הבאים? </t>
    </r>
    <r>
      <rPr>
        <b/>
        <sz val="11"/>
        <color theme="1"/>
        <rFont val="Calibri"/>
        <family val="2"/>
        <charset val="177"/>
        <scheme val="minor"/>
      </rPr>
      <t>אביגדור ליברמן</t>
    </r>
  </si>
  <si>
    <r>
      <t xml:space="preserve">ועל אותו סולם, מה יחסך לאישים הבאים? </t>
    </r>
    <r>
      <rPr>
        <b/>
        <sz val="11"/>
        <color theme="1"/>
        <rFont val="Calibri"/>
        <family val="2"/>
        <charset val="177"/>
        <scheme val="minor"/>
      </rPr>
      <t>יאיר לפיד</t>
    </r>
  </si>
  <si>
    <r>
      <t xml:space="preserve">ועל אותו סולם, מה יחסך לאישים הבאים? </t>
    </r>
    <r>
      <rPr>
        <b/>
        <sz val="11"/>
        <color theme="1"/>
        <rFont val="Calibri"/>
        <family val="2"/>
        <charset val="177"/>
        <scheme val="minor"/>
      </rPr>
      <t>עמרם מצנע</t>
    </r>
  </si>
  <si>
    <r>
      <t xml:space="preserve">ועל אותו סולם, מה יחסך לאישים הבאים? </t>
    </r>
    <r>
      <rPr>
        <b/>
        <sz val="11"/>
        <color theme="1"/>
        <rFont val="Calibri"/>
        <family val="2"/>
        <charset val="177"/>
        <scheme val="minor"/>
      </rPr>
      <t>יצחק רבין</t>
    </r>
  </si>
  <si>
    <r>
      <t xml:space="preserve">ועל אותו סולם, מה יחסך לאישים הבאים? </t>
    </r>
    <r>
      <rPr>
        <b/>
        <sz val="11"/>
        <color theme="1"/>
        <rFont val="Calibri"/>
        <family val="2"/>
        <charset val="177"/>
        <scheme val="minor"/>
      </rPr>
      <t>שמעון פרס</t>
    </r>
  </si>
  <si>
    <r>
      <t xml:space="preserve">ועל אותו סולם, מה יחסך לאישים הבאים? </t>
    </r>
    <r>
      <rPr>
        <b/>
        <sz val="11"/>
        <color theme="1"/>
        <rFont val="Calibri"/>
        <family val="2"/>
        <charset val="177"/>
        <scheme val="minor"/>
      </rPr>
      <t>אהוד ברק</t>
    </r>
  </si>
  <si>
    <r>
      <t xml:space="preserve">ועל אותו סולם, מה יחסך לאישים הבאים? </t>
    </r>
    <r>
      <rPr>
        <b/>
        <sz val="11"/>
        <color theme="1"/>
        <rFont val="Calibri"/>
        <family val="2"/>
        <charset val="177"/>
        <scheme val="minor"/>
      </rPr>
      <t>שלי יחימוביץ</t>
    </r>
  </si>
  <si>
    <r>
      <t xml:space="preserve">ועל אותו סולם, מה יחסך לאישים הבאים? </t>
    </r>
    <r>
      <rPr>
        <b/>
        <sz val="11"/>
        <color theme="1"/>
        <rFont val="Calibri"/>
        <family val="2"/>
        <charset val="177"/>
        <scheme val="minor"/>
      </rPr>
      <t>יצחק הרצוג</t>
    </r>
  </si>
  <si>
    <r>
      <t xml:space="preserve">ועל אותו סולם, מה יחסך לאישים הבאים? </t>
    </r>
    <r>
      <rPr>
        <b/>
        <sz val="11"/>
        <color theme="1"/>
        <rFont val="Calibri"/>
        <family val="2"/>
        <charset val="177"/>
        <scheme val="minor"/>
      </rPr>
      <t>ציפי לבני</t>
    </r>
  </si>
  <si>
    <r>
      <t xml:space="preserve">ועל אותו סולם, מה יחסך לאישים הבאים? </t>
    </r>
    <r>
      <rPr>
        <b/>
        <sz val="11"/>
        <color theme="1"/>
        <rFont val="Calibri"/>
        <family val="2"/>
        <charset val="177"/>
        <scheme val="minor"/>
      </rPr>
      <t>אבי גבאי</t>
    </r>
  </si>
  <si>
    <r>
      <t xml:space="preserve">ועל אותו סולם, מה יחסך לאישים הבאים? </t>
    </r>
    <r>
      <rPr>
        <b/>
        <sz val="11"/>
        <color theme="1"/>
        <rFont val="Calibri"/>
        <family val="2"/>
        <charset val="177"/>
        <scheme val="minor"/>
      </rPr>
      <t>עמיר פרץ</t>
    </r>
  </si>
  <si>
    <r>
      <t xml:space="preserve">ועל אותו סולם, מה יחסך לאישים הבאים? </t>
    </r>
    <r>
      <rPr>
        <b/>
        <sz val="11"/>
        <color theme="1"/>
        <rFont val="Calibri"/>
        <family val="2"/>
        <charset val="177"/>
        <scheme val="minor"/>
      </rPr>
      <t>מרב מיכאלי</t>
    </r>
  </si>
  <si>
    <r>
      <t xml:space="preserve">ועל אותו סולם, מה יחסך לאישים הבאים? </t>
    </r>
    <r>
      <rPr>
        <b/>
        <sz val="11"/>
        <color theme="1"/>
        <rFont val="Calibri"/>
        <family val="2"/>
        <charset val="177"/>
        <scheme val="minor"/>
      </rPr>
      <t>גדעון סער</t>
    </r>
  </si>
  <si>
    <r>
      <t xml:space="preserve">ועל אותו סולם, מה יחסך לאישים הבאים? </t>
    </r>
    <r>
      <rPr>
        <b/>
        <sz val="11"/>
        <color theme="1"/>
        <rFont val="Calibri"/>
        <family val="2"/>
        <charset val="177"/>
        <scheme val="minor"/>
      </rPr>
      <t>נפתלי בנט</t>
    </r>
  </si>
  <si>
    <r>
      <t xml:space="preserve">ועל אותו סולם, מה יחסך לאישים הבאים? </t>
    </r>
    <r>
      <rPr>
        <b/>
        <sz val="11"/>
        <color theme="1"/>
        <rFont val="Calibri"/>
        <family val="2"/>
        <charset val="177"/>
        <scheme val="minor"/>
      </rPr>
      <t>איילת שקד</t>
    </r>
  </si>
  <si>
    <r>
      <t xml:space="preserve">ועל אותו סולם, מה יחסך לאישים הבאים? </t>
    </r>
    <r>
      <rPr>
        <b/>
        <sz val="11"/>
        <color theme="1"/>
        <rFont val="Calibri"/>
        <family val="2"/>
        <charset val="177"/>
        <scheme val="minor"/>
      </rPr>
      <t>בני אלון</t>
    </r>
  </si>
  <si>
    <r>
      <t xml:space="preserve">ועל אותו סולם, מה יחסך לאישים הבאים? </t>
    </r>
    <r>
      <rPr>
        <b/>
        <sz val="11"/>
        <color theme="1"/>
        <rFont val="Calibri"/>
        <family val="2"/>
        <charset val="177"/>
        <scheme val="minor"/>
      </rPr>
      <t>בצלאל סמוטריץ'</t>
    </r>
  </si>
  <si>
    <r>
      <t xml:space="preserve">ועל אותו סולם, מה יחסך לאישים הבאים? </t>
    </r>
    <r>
      <rPr>
        <b/>
        <sz val="11"/>
        <color theme="1"/>
        <rFont val="Calibri"/>
        <family val="2"/>
        <charset val="177"/>
        <scheme val="minor"/>
      </rPr>
      <t>הרב כהנא</t>
    </r>
  </si>
  <si>
    <r>
      <t xml:space="preserve">ועל אותו סולם, מה יחסך לאישים הבאים? </t>
    </r>
    <r>
      <rPr>
        <b/>
        <sz val="11"/>
        <color theme="1"/>
        <rFont val="Calibri"/>
        <family val="2"/>
        <charset val="177"/>
        <scheme val="minor"/>
      </rPr>
      <t>יוסי ביילין</t>
    </r>
  </si>
  <si>
    <r>
      <t xml:space="preserve">ועל אותו סולם, מה יחסך לאישים הבאים? </t>
    </r>
    <r>
      <rPr>
        <b/>
        <sz val="11"/>
        <color theme="1"/>
        <rFont val="Calibri"/>
        <family val="2"/>
        <charset val="177"/>
        <scheme val="minor"/>
      </rPr>
      <t>זהבה גלאון</t>
    </r>
  </si>
  <si>
    <r>
      <t xml:space="preserve">ועל אותו סולם, מה יחסך לאישים הבאים? </t>
    </r>
    <r>
      <rPr>
        <b/>
        <sz val="11"/>
        <color theme="1"/>
        <rFont val="Calibri"/>
        <family val="2"/>
        <charset val="177"/>
        <scheme val="minor"/>
      </rPr>
      <t>תמר זנדברג</t>
    </r>
  </si>
  <si>
    <r>
      <t xml:space="preserve">ועל אותו סולם, מה יחסך לאישים הבאים? </t>
    </r>
    <r>
      <rPr>
        <b/>
        <sz val="11"/>
        <color theme="1"/>
        <rFont val="Calibri"/>
        <family val="2"/>
        <charset val="177"/>
        <scheme val="minor"/>
      </rPr>
      <t>ניצן הורוביץ</t>
    </r>
  </si>
  <si>
    <r>
      <t xml:space="preserve">ועל אותו סולם, מה יחסך לאישים הבאים? </t>
    </r>
    <r>
      <rPr>
        <b/>
        <sz val="11"/>
        <color theme="1"/>
        <rFont val="Calibri"/>
        <family val="2"/>
        <charset val="177"/>
        <scheme val="minor"/>
      </rPr>
      <t>משה כחלון</t>
    </r>
  </si>
  <si>
    <r>
      <t>ועל אותו סולם, מה יחסך לאישים הבאים?</t>
    </r>
    <r>
      <rPr>
        <b/>
        <sz val="11"/>
        <color theme="1"/>
        <rFont val="Calibri"/>
        <family val="2"/>
        <charset val="177"/>
        <scheme val="minor"/>
      </rPr>
      <t xml:space="preserve"> אריה דרעי</t>
    </r>
  </si>
  <si>
    <r>
      <t>ועל אותו סולם, מה יחסך לאישים הבאים?</t>
    </r>
    <r>
      <rPr>
        <b/>
        <sz val="11"/>
        <color theme="1"/>
        <rFont val="Calibri"/>
        <family val="2"/>
        <charset val="177"/>
        <scheme val="minor"/>
      </rPr>
      <t xml:space="preserve"> אלי ישי</t>
    </r>
  </si>
  <si>
    <r>
      <t xml:space="preserve">ועל אותו סולם, מה יחסך לאישים הבאים? </t>
    </r>
    <r>
      <rPr>
        <b/>
        <sz val="11"/>
        <color theme="1"/>
        <rFont val="Calibri"/>
        <family val="2"/>
        <charset val="177"/>
        <scheme val="minor"/>
      </rPr>
      <t>נתן שרנסקי</t>
    </r>
  </si>
  <si>
    <r>
      <t xml:space="preserve">ועל אותו סולם, מה יחסך לאישים הבאים? </t>
    </r>
    <r>
      <rPr>
        <b/>
        <sz val="11"/>
        <color theme="1"/>
        <rFont val="Calibri"/>
        <family val="2"/>
        <charset val="177"/>
        <scheme val="minor"/>
      </rPr>
      <t>איימן עודה</t>
    </r>
  </si>
  <si>
    <r>
      <t xml:space="preserve">ועל אותו סולם, מה יחסך לאישים הבאים? </t>
    </r>
    <r>
      <rPr>
        <b/>
        <sz val="11"/>
        <color theme="1"/>
        <rFont val="Calibri"/>
        <family val="2"/>
        <charset val="177"/>
        <scheme val="minor"/>
      </rPr>
      <t>אחמד טיבי</t>
    </r>
  </si>
  <si>
    <r>
      <t>ועל אותו סולם, מה יחסך לאישים הבאים?</t>
    </r>
    <r>
      <rPr>
        <b/>
        <sz val="11"/>
        <color theme="1"/>
        <rFont val="Calibri"/>
        <family val="2"/>
        <charset val="177"/>
        <scheme val="minor"/>
      </rPr>
      <t xml:space="preserve"> מנסור עבאס</t>
    </r>
  </si>
  <si>
    <r>
      <t>ועל אותו סולם, מה יחסך לאישים הבאים?</t>
    </r>
    <r>
      <rPr>
        <b/>
        <sz val="11"/>
        <color theme="1"/>
        <rFont val="Calibri"/>
        <family val="2"/>
        <charset val="177"/>
        <scheme val="minor"/>
      </rPr>
      <t xml:space="preserve"> מטאנס שחאדה</t>
    </r>
  </si>
  <si>
    <r>
      <t>ועל אותו סולם, מה יחסך לאישים הבאים?</t>
    </r>
    <r>
      <rPr>
        <b/>
        <sz val="11"/>
        <color theme="1"/>
        <rFont val="Calibri"/>
        <family val="2"/>
        <charset val="177"/>
        <scheme val="minor"/>
      </rPr>
      <t xml:space="preserve"> עאידה תומא-סולימן</t>
    </r>
  </si>
  <si>
    <r>
      <t>ועל אותו סולם, מה יחסך לאישים הבאים?</t>
    </r>
    <r>
      <rPr>
        <b/>
        <sz val="11"/>
        <color theme="1"/>
        <rFont val="Calibri"/>
        <family val="2"/>
        <charset val="177"/>
        <scheme val="minor"/>
      </rPr>
      <t xml:space="preserve"> מסעוד גנאים</t>
    </r>
  </si>
  <si>
    <r>
      <t>ועל אותו סולם, מה יחסך לאישים הבאים?</t>
    </r>
    <r>
      <rPr>
        <b/>
        <sz val="11"/>
        <color theme="1"/>
        <rFont val="Calibri"/>
        <family val="2"/>
        <charset val="177"/>
        <scheme val="minor"/>
      </rPr>
      <t xml:space="preserve"> ג'מאל זחאלקה</t>
    </r>
  </si>
  <si>
    <r>
      <t>ועל אותו סולם, מה יחסך לאישים הבאים?</t>
    </r>
    <r>
      <rPr>
        <b/>
        <sz val="11"/>
        <color theme="1"/>
        <rFont val="Calibri"/>
        <family val="2"/>
        <charset val="177"/>
        <scheme val="minor"/>
      </rPr>
      <t xml:space="preserve"> חנין זועבי</t>
    </r>
  </si>
  <si>
    <r>
      <t>ועל אותו סולם, מה יחסך לאישים הבאים?</t>
    </r>
    <r>
      <rPr>
        <b/>
        <sz val="11"/>
        <color theme="1"/>
        <rFont val="Calibri"/>
        <family val="2"/>
        <charset val="177"/>
        <scheme val="minor"/>
      </rPr>
      <t xml:space="preserve"> מוחמד בראכה</t>
    </r>
  </si>
  <si>
    <r>
      <t>ועל אותו סולם, מה יחסך לאישים הבאים?</t>
    </r>
    <r>
      <rPr>
        <b/>
        <sz val="11"/>
        <color theme="1"/>
        <rFont val="Calibri"/>
        <family val="2"/>
        <charset val="177"/>
        <scheme val="minor"/>
      </rPr>
      <t xml:space="preserve"> איברהים צרצור</t>
    </r>
  </si>
  <si>
    <r>
      <t xml:space="preserve">ועל אותו סולם, מה יחסך לאישים הבאים? </t>
    </r>
    <r>
      <rPr>
        <b/>
        <sz val="11"/>
        <color theme="1"/>
        <rFont val="Calibri"/>
        <family val="2"/>
        <charset val="177"/>
        <scheme val="minor"/>
      </rPr>
      <t>עזמי בשארה</t>
    </r>
  </si>
  <si>
    <r>
      <t xml:space="preserve">ועל אותו סולם, מה יחסך לאישים הבאים? </t>
    </r>
    <r>
      <rPr>
        <b/>
        <sz val="11"/>
        <color theme="1"/>
        <rFont val="Calibri"/>
        <family val="2"/>
        <charset val="177"/>
        <scheme val="minor"/>
      </rPr>
      <t>ערפאת</t>
    </r>
  </si>
  <si>
    <r>
      <t xml:space="preserve">באיזו מידה אתה מסכים או לא מסכים עם כל אחת מן הטענות הבאות: </t>
    </r>
    <r>
      <rPr>
        <b/>
        <sz val="11"/>
        <color theme="1"/>
        <rFont val="Calibri"/>
        <family val="2"/>
        <charset val="177"/>
        <scheme val="minor"/>
      </rPr>
      <t>כשמישהו מעביר ביקורת על תומכים של (המפלגה שציין) זה מרגיש לך כמו עלבון אישי</t>
    </r>
  </si>
  <si>
    <r>
      <t xml:space="preserve">ציין באיזו מידה כל אחד מהמשפטים הבאים נכון או לא נכון לגביך: </t>
    </r>
    <r>
      <rPr>
        <b/>
        <sz val="11"/>
        <color theme="1"/>
        <rFont val="Calibri"/>
        <family val="2"/>
        <charset val="177"/>
        <scheme val="minor"/>
      </rPr>
      <t>אתה אדם שמתאים לו לקחת סיכונים</t>
    </r>
  </si>
  <si>
    <r>
      <t xml:space="preserve">נתחיל מהאירועים שהובילו לבחירות החוזרות ב-17 בספטמבר, לאחר שנתניהו לא הצליח להרכיב ממשלה. עד כמה לדעתך, כל אחד מהדברים הבאים, היה ראוי או לא ראוי בעינייך: </t>
    </r>
    <r>
      <rPr>
        <b/>
        <sz val="11"/>
        <color theme="1"/>
        <rFont val="Calibri"/>
        <family val="2"/>
        <charset val="177"/>
        <scheme val="minor"/>
      </rPr>
      <t>שהכנסת החליטה לפזר עצמה ולקיים בחירות חדשות</t>
    </r>
  </si>
  <si>
    <r>
      <t xml:space="preserve">לאנשים יש רגשות שונים כלפי מה שקרה אחרי הבחירות באפריל האחרון. באיזו מידה אתה מרגיש: </t>
    </r>
    <r>
      <rPr>
        <b/>
        <sz val="11"/>
        <color theme="1"/>
        <rFont val="Calibri"/>
        <family val="2"/>
        <charset val="177"/>
        <scheme val="minor"/>
      </rPr>
      <t>כעס</t>
    </r>
  </si>
  <si>
    <r>
      <t xml:space="preserve">לאנשים יש רגשות שונים כלפי מה שקרה אחרי הבחירות באפריל האחרון. באיזו מידה אתה מרגיש: </t>
    </r>
    <r>
      <rPr>
        <b/>
        <sz val="11"/>
        <color theme="1"/>
        <rFont val="Calibri"/>
        <family val="2"/>
        <charset val="177"/>
        <scheme val="minor"/>
      </rPr>
      <t>גועל</t>
    </r>
  </si>
  <si>
    <r>
      <t xml:space="preserve">לאנשים יש רגשות שונים כלפי מה שקרה אחרי הבחירות באפריל האחרון. באיזו מידה אתה מרגיש: </t>
    </r>
    <r>
      <rPr>
        <b/>
        <sz val="11"/>
        <color theme="1"/>
        <rFont val="Calibri"/>
        <family val="2"/>
        <charset val="177"/>
        <scheme val="minor"/>
      </rPr>
      <t>תקווה</t>
    </r>
  </si>
  <si>
    <r>
      <t xml:space="preserve">לאנשים יש רגשות שונים כלפי מה שקרה אחרי הבחירות באפריל האחרון. באיזו מידה אתה מרגיש: </t>
    </r>
    <r>
      <rPr>
        <b/>
        <sz val="11"/>
        <color theme="1"/>
        <rFont val="Calibri"/>
        <family val="2"/>
        <charset val="177"/>
        <scheme val="minor"/>
      </rPr>
      <t>ייאוש</t>
    </r>
  </si>
  <si>
    <r>
      <t xml:space="preserve">האם </t>
    </r>
    <r>
      <rPr>
        <b/>
        <sz val="11"/>
        <color theme="1"/>
        <rFont val="Calibri"/>
        <family val="2"/>
        <charset val="177"/>
        <scheme val="minor"/>
      </rPr>
      <t>שרון</t>
    </r>
    <r>
      <rPr>
        <sz val="11"/>
        <color theme="1"/>
        <rFont val="Calibri"/>
        <family val="2"/>
        <charset val="177"/>
        <scheme val="minor"/>
      </rPr>
      <t xml:space="preserve"> - בגלל אישיותו או בגלל מעשיו - גורם לך להרגיש </t>
    </r>
    <r>
      <rPr>
        <b/>
        <sz val="11"/>
        <color theme="1"/>
        <rFont val="Calibri"/>
        <family val="2"/>
        <charset val="177"/>
        <scheme val="minor"/>
      </rPr>
      <t>כעס</t>
    </r>
    <r>
      <rPr>
        <sz val="11"/>
        <color theme="1"/>
        <rFont val="Calibri"/>
        <family val="2"/>
        <charset val="177"/>
        <scheme val="minor"/>
      </rPr>
      <t>?</t>
    </r>
  </si>
  <si>
    <r>
      <t xml:space="preserve">האם </t>
    </r>
    <r>
      <rPr>
        <b/>
        <sz val="11"/>
        <color theme="1"/>
        <rFont val="Calibri"/>
        <family val="2"/>
        <charset val="177"/>
        <scheme val="minor"/>
      </rPr>
      <t>שרון</t>
    </r>
    <r>
      <rPr>
        <sz val="11"/>
        <color theme="1"/>
        <rFont val="Calibri"/>
        <family val="2"/>
        <charset val="177"/>
        <scheme val="minor"/>
      </rPr>
      <t xml:space="preserve"> גורם לך להרגיש </t>
    </r>
    <r>
      <rPr>
        <b/>
        <sz val="11"/>
        <color theme="1"/>
        <rFont val="Calibri"/>
        <family val="2"/>
        <charset val="177"/>
        <scheme val="minor"/>
      </rPr>
      <t>פחד</t>
    </r>
  </si>
  <si>
    <r>
      <t xml:space="preserve">האם </t>
    </r>
    <r>
      <rPr>
        <b/>
        <sz val="11"/>
        <color theme="1"/>
        <rFont val="Calibri"/>
        <family val="2"/>
        <charset val="177"/>
        <scheme val="minor"/>
      </rPr>
      <t>שרון</t>
    </r>
    <r>
      <rPr>
        <sz val="11"/>
        <color theme="1"/>
        <rFont val="Calibri"/>
        <family val="2"/>
        <charset val="177"/>
        <scheme val="minor"/>
      </rPr>
      <t xml:space="preserve"> גורם לך להרגיש </t>
    </r>
    <r>
      <rPr>
        <b/>
        <sz val="11"/>
        <color theme="1"/>
        <rFont val="Calibri"/>
        <family val="2"/>
        <charset val="177"/>
        <scheme val="minor"/>
      </rPr>
      <t>גאווה</t>
    </r>
  </si>
  <si>
    <r>
      <t xml:space="preserve">האם </t>
    </r>
    <r>
      <rPr>
        <b/>
        <sz val="11"/>
        <color theme="1"/>
        <rFont val="Calibri"/>
        <family val="2"/>
        <charset val="177"/>
        <scheme val="minor"/>
      </rPr>
      <t>שרון</t>
    </r>
    <r>
      <rPr>
        <sz val="11"/>
        <color theme="1"/>
        <rFont val="Calibri"/>
        <family val="2"/>
        <charset val="177"/>
        <scheme val="minor"/>
      </rPr>
      <t xml:space="preserve"> גורם לך להרגיש </t>
    </r>
    <r>
      <rPr>
        <b/>
        <sz val="11"/>
        <color theme="1"/>
        <rFont val="Calibri"/>
        <family val="2"/>
        <charset val="177"/>
        <scheme val="minor"/>
      </rPr>
      <t>תקווה</t>
    </r>
  </si>
  <si>
    <r>
      <t xml:space="preserve">האם </t>
    </r>
    <r>
      <rPr>
        <b/>
        <sz val="11"/>
        <color theme="1"/>
        <rFont val="Calibri"/>
        <family val="2"/>
        <charset val="177"/>
        <scheme val="minor"/>
      </rPr>
      <t>ברק</t>
    </r>
    <r>
      <rPr>
        <sz val="11"/>
        <color theme="1"/>
        <rFont val="Calibri"/>
        <family val="2"/>
        <charset val="177"/>
        <scheme val="minor"/>
      </rPr>
      <t xml:space="preserve"> - בגלל אישיותו או בגלל מעשיו - גורם לך להרגיש </t>
    </r>
    <r>
      <rPr>
        <b/>
        <sz val="11"/>
        <color theme="1"/>
        <rFont val="Calibri"/>
        <family val="2"/>
        <charset val="177"/>
        <scheme val="minor"/>
      </rPr>
      <t>כעס</t>
    </r>
    <r>
      <rPr>
        <sz val="11"/>
        <color theme="1"/>
        <rFont val="Calibri"/>
        <family val="2"/>
        <charset val="177"/>
        <scheme val="minor"/>
      </rPr>
      <t>?</t>
    </r>
  </si>
  <si>
    <r>
      <t xml:space="preserve">האם </t>
    </r>
    <r>
      <rPr>
        <b/>
        <sz val="11"/>
        <color theme="1"/>
        <rFont val="Calibri"/>
        <family val="2"/>
        <charset val="177"/>
        <scheme val="minor"/>
      </rPr>
      <t>ברק</t>
    </r>
    <r>
      <rPr>
        <sz val="11"/>
        <color theme="1"/>
        <rFont val="Calibri"/>
        <family val="2"/>
        <charset val="177"/>
        <scheme val="minor"/>
      </rPr>
      <t xml:space="preserve"> גורם לך להרגיש </t>
    </r>
    <r>
      <rPr>
        <b/>
        <sz val="11"/>
        <color theme="1"/>
        <rFont val="Calibri"/>
        <family val="2"/>
        <charset val="177"/>
        <scheme val="minor"/>
      </rPr>
      <t>פחד</t>
    </r>
  </si>
  <si>
    <r>
      <t xml:space="preserve">האם </t>
    </r>
    <r>
      <rPr>
        <b/>
        <sz val="11"/>
        <color theme="1"/>
        <rFont val="Calibri"/>
        <family val="2"/>
        <charset val="177"/>
        <scheme val="minor"/>
      </rPr>
      <t>ברק</t>
    </r>
    <r>
      <rPr>
        <sz val="11"/>
        <color theme="1"/>
        <rFont val="Calibri"/>
        <family val="2"/>
        <charset val="177"/>
        <scheme val="minor"/>
      </rPr>
      <t xml:space="preserve"> גורם לך להרגיש </t>
    </r>
    <r>
      <rPr>
        <b/>
        <sz val="11"/>
        <color theme="1"/>
        <rFont val="Calibri"/>
        <family val="2"/>
        <charset val="177"/>
        <scheme val="minor"/>
      </rPr>
      <t>גאווה</t>
    </r>
  </si>
  <si>
    <r>
      <t xml:space="preserve">האם </t>
    </r>
    <r>
      <rPr>
        <b/>
        <sz val="11"/>
        <color theme="1"/>
        <rFont val="Calibri"/>
        <family val="2"/>
        <charset val="177"/>
        <scheme val="minor"/>
      </rPr>
      <t>ברק</t>
    </r>
    <r>
      <rPr>
        <sz val="11"/>
        <color theme="1"/>
        <rFont val="Calibri"/>
        <family val="2"/>
        <charset val="177"/>
        <scheme val="minor"/>
      </rPr>
      <t xml:space="preserve"> גורם לך להרגיש </t>
    </r>
    <r>
      <rPr>
        <b/>
        <sz val="11"/>
        <color theme="1"/>
        <rFont val="Calibri"/>
        <family val="2"/>
        <charset val="177"/>
        <scheme val="minor"/>
      </rPr>
      <t>תקווה</t>
    </r>
  </si>
  <si>
    <r>
      <t xml:space="preserve">האם </t>
    </r>
    <r>
      <rPr>
        <b/>
        <sz val="11"/>
        <color theme="1"/>
        <rFont val="Calibri"/>
        <family val="2"/>
        <charset val="177"/>
        <scheme val="minor"/>
      </rPr>
      <t>פרס</t>
    </r>
    <r>
      <rPr>
        <sz val="11"/>
        <color theme="1"/>
        <rFont val="Calibri"/>
        <family val="2"/>
        <charset val="177"/>
        <scheme val="minor"/>
      </rPr>
      <t xml:space="preserve"> - בגלל אישיותו או בגלל מעשיו - גורם לך להרגיש </t>
    </r>
    <r>
      <rPr>
        <b/>
        <sz val="11"/>
        <color theme="1"/>
        <rFont val="Calibri"/>
        <family val="2"/>
        <charset val="177"/>
        <scheme val="minor"/>
      </rPr>
      <t>כעס</t>
    </r>
    <r>
      <rPr>
        <sz val="11"/>
        <color theme="1"/>
        <rFont val="Calibri"/>
        <family val="2"/>
        <charset val="177"/>
        <scheme val="minor"/>
      </rPr>
      <t>?</t>
    </r>
  </si>
  <si>
    <r>
      <t xml:space="preserve">האם </t>
    </r>
    <r>
      <rPr>
        <b/>
        <sz val="11"/>
        <color theme="1"/>
        <rFont val="Calibri"/>
        <family val="2"/>
        <charset val="177"/>
        <scheme val="minor"/>
      </rPr>
      <t>פרס</t>
    </r>
    <r>
      <rPr>
        <sz val="11"/>
        <color theme="1"/>
        <rFont val="Calibri"/>
        <family val="2"/>
        <charset val="177"/>
        <scheme val="minor"/>
      </rPr>
      <t xml:space="preserve"> גורם לך להרגיש </t>
    </r>
    <r>
      <rPr>
        <b/>
        <sz val="11"/>
        <color theme="1"/>
        <rFont val="Calibri"/>
        <family val="2"/>
        <charset val="177"/>
        <scheme val="minor"/>
      </rPr>
      <t>פחד</t>
    </r>
  </si>
  <si>
    <r>
      <t xml:space="preserve">האם </t>
    </r>
    <r>
      <rPr>
        <b/>
        <sz val="11"/>
        <color theme="1"/>
        <rFont val="Calibri"/>
        <family val="2"/>
        <charset val="177"/>
        <scheme val="minor"/>
      </rPr>
      <t>פרס</t>
    </r>
    <r>
      <rPr>
        <sz val="11"/>
        <color theme="1"/>
        <rFont val="Calibri"/>
        <family val="2"/>
        <charset val="177"/>
        <scheme val="minor"/>
      </rPr>
      <t xml:space="preserve"> גורם לך להרגיש </t>
    </r>
    <r>
      <rPr>
        <b/>
        <sz val="11"/>
        <color theme="1"/>
        <rFont val="Calibri"/>
        <family val="2"/>
        <charset val="177"/>
        <scheme val="minor"/>
      </rPr>
      <t>גאווה</t>
    </r>
  </si>
  <si>
    <r>
      <t xml:space="preserve">האם </t>
    </r>
    <r>
      <rPr>
        <b/>
        <sz val="11"/>
        <color theme="1"/>
        <rFont val="Calibri"/>
        <family val="2"/>
        <charset val="177"/>
        <scheme val="minor"/>
      </rPr>
      <t>פרס</t>
    </r>
    <r>
      <rPr>
        <sz val="11"/>
        <color theme="1"/>
        <rFont val="Calibri"/>
        <family val="2"/>
        <charset val="177"/>
        <scheme val="minor"/>
      </rPr>
      <t xml:space="preserve"> גורם לך להרגיש </t>
    </r>
    <r>
      <rPr>
        <b/>
        <sz val="11"/>
        <color theme="1"/>
        <rFont val="Calibri"/>
        <family val="2"/>
        <charset val="177"/>
        <scheme val="minor"/>
      </rPr>
      <t>תקווה</t>
    </r>
  </si>
  <si>
    <r>
      <t xml:space="preserve">האם </t>
    </r>
    <r>
      <rPr>
        <b/>
        <sz val="11"/>
        <color theme="1"/>
        <rFont val="Calibri"/>
        <family val="2"/>
        <charset val="177"/>
        <scheme val="minor"/>
      </rPr>
      <t>נתניהו</t>
    </r>
    <r>
      <rPr>
        <sz val="11"/>
        <color theme="1"/>
        <rFont val="Calibri"/>
        <family val="2"/>
        <charset val="177"/>
        <scheme val="minor"/>
      </rPr>
      <t xml:space="preserve"> - בגלל אישיותו או בגלל מעשיו - גורם לך להרגיש </t>
    </r>
    <r>
      <rPr>
        <b/>
        <sz val="11"/>
        <color theme="1"/>
        <rFont val="Calibri"/>
        <family val="2"/>
        <charset val="177"/>
        <scheme val="minor"/>
      </rPr>
      <t>כעס</t>
    </r>
    <r>
      <rPr>
        <sz val="11"/>
        <color theme="1"/>
        <rFont val="Calibri"/>
        <family val="2"/>
        <charset val="177"/>
        <scheme val="minor"/>
      </rPr>
      <t>?</t>
    </r>
  </si>
  <si>
    <r>
      <t xml:space="preserve">האם </t>
    </r>
    <r>
      <rPr>
        <b/>
        <sz val="11"/>
        <color theme="1"/>
        <rFont val="Calibri"/>
        <family val="2"/>
        <charset val="177"/>
        <scheme val="minor"/>
      </rPr>
      <t>נתניהו</t>
    </r>
    <r>
      <rPr>
        <sz val="11"/>
        <color theme="1"/>
        <rFont val="Calibri"/>
        <family val="2"/>
        <charset val="177"/>
        <scheme val="minor"/>
      </rPr>
      <t xml:space="preserve"> גורם לך להרגיש </t>
    </r>
    <r>
      <rPr>
        <b/>
        <sz val="11"/>
        <color theme="1"/>
        <rFont val="Calibri"/>
        <family val="2"/>
        <charset val="177"/>
        <scheme val="minor"/>
      </rPr>
      <t>פחד</t>
    </r>
  </si>
  <si>
    <r>
      <t xml:space="preserve">האם </t>
    </r>
    <r>
      <rPr>
        <b/>
        <sz val="11"/>
        <color theme="1"/>
        <rFont val="Calibri"/>
        <family val="2"/>
        <charset val="177"/>
        <scheme val="minor"/>
      </rPr>
      <t>נתניהו</t>
    </r>
    <r>
      <rPr>
        <sz val="11"/>
        <color theme="1"/>
        <rFont val="Calibri"/>
        <family val="2"/>
        <charset val="177"/>
        <scheme val="minor"/>
      </rPr>
      <t xml:space="preserve"> גורם לך להרגיש </t>
    </r>
    <r>
      <rPr>
        <b/>
        <sz val="11"/>
        <color theme="1"/>
        <rFont val="Calibri"/>
        <family val="2"/>
        <charset val="177"/>
        <scheme val="minor"/>
      </rPr>
      <t>גאווה</t>
    </r>
  </si>
  <si>
    <r>
      <t xml:space="preserve">האם </t>
    </r>
    <r>
      <rPr>
        <b/>
        <sz val="11"/>
        <color theme="1"/>
        <rFont val="Calibri"/>
        <family val="2"/>
        <charset val="177"/>
        <scheme val="minor"/>
      </rPr>
      <t>נתניהו</t>
    </r>
    <r>
      <rPr>
        <sz val="11"/>
        <color theme="1"/>
        <rFont val="Calibri"/>
        <family val="2"/>
        <charset val="177"/>
        <scheme val="minor"/>
      </rPr>
      <t xml:space="preserve"> גורם לך להרגיש </t>
    </r>
    <r>
      <rPr>
        <b/>
        <sz val="11"/>
        <color theme="1"/>
        <rFont val="Calibri"/>
        <family val="2"/>
        <charset val="177"/>
        <scheme val="minor"/>
      </rPr>
      <t>תקווה</t>
    </r>
  </si>
  <si>
    <r>
      <t xml:space="preserve">האם </t>
    </r>
    <r>
      <rPr>
        <b/>
        <sz val="11"/>
        <color theme="1"/>
        <rFont val="Calibri"/>
        <family val="2"/>
        <charset val="177"/>
        <scheme val="minor"/>
      </rPr>
      <t>מרדכי</t>
    </r>
    <r>
      <rPr>
        <sz val="11"/>
        <color theme="1"/>
        <rFont val="Calibri"/>
        <family val="2"/>
        <charset val="177"/>
        <scheme val="minor"/>
      </rPr>
      <t xml:space="preserve"> - בגלל אישיותו או בגלל מעשיו - גורם לך להרגיש </t>
    </r>
    <r>
      <rPr>
        <b/>
        <sz val="11"/>
        <color theme="1"/>
        <rFont val="Calibri"/>
        <family val="2"/>
        <charset val="177"/>
        <scheme val="minor"/>
      </rPr>
      <t>כעס</t>
    </r>
    <r>
      <rPr>
        <sz val="11"/>
        <color theme="1"/>
        <rFont val="Calibri"/>
        <family val="2"/>
        <charset val="177"/>
        <scheme val="minor"/>
      </rPr>
      <t>?</t>
    </r>
  </si>
  <si>
    <r>
      <t xml:space="preserve">האם </t>
    </r>
    <r>
      <rPr>
        <b/>
        <sz val="11"/>
        <color theme="1"/>
        <rFont val="Calibri"/>
        <family val="2"/>
        <charset val="177"/>
        <scheme val="minor"/>
      </rPr>
      <t>מרדכי</t>
    </r>
    <r>
      <rPr>
        <sz val="11"/>
        <color theme="1"/>
        <rFont val="Calibri"/>
        <family val="2"/>
        <charset val="177"/>
        <scheme val="minor"/>
      </rPr>
      <t xml:space="preserve"> גורם לך להרגיש </t>
    </r>
    <r>
      <rPr>
        <b/>
        <sz val="11"/>
        <color theme="1"/>
        <rFont val="Calibri"/>
        <family val="2"/>
        <charset val="177"/>
        <scheme val="minor"/>
      </rPr>
      <t>פחד</t>
    </r>
  </si>
  <si>
    <r>
      <t xml:space="preserve">האם </t>
    </r>
    <r>
      <rPr>
        <b/>
        <sz val="11"/>
        <color theme="1"/>
        <rFont val="Calibri"/>
        <family val="2"/>
        <charset val="177"/>
        <scheme val="minor"/>
      </rPr>
      <t>מרדכי</t>
    </r>
    <r>
      <rPr>
        <sz val="11"/>
        <color theme="1"/>
        <rFont val="Calibri"/>
        <family val="2"/>
        <charset val="177"/>
        <scheme val="minor"/>
      </rPr>
      <t xml:space="preserve"> גורם לך להרגיש </t>
    </r>
    <r>
      <rPr>
        <b/>
        <sz val="11"/>
        <color theme="1"/>
        <rFont val="Calibri"/>
        <family val="2"/>
        <charset val="177"/>
        <scheme val="minor"/>
      </rPr>
      <t>גאווה</t>
    </r>
  </si>
  <si>
    <r>
      <t xml:space="preserve">האם </t>
    </r>
    <r>
      <rPr>
        <b/>
        <sz val="11"/>
        <color theme="1"/>
        <rFont val="Calibri"/>
        <family val="2"/>
        <charset val="177"/>
        <scheme val="minor"/>
      </rPr>
      <t>מרדכי</t>
    </r>
    <r>
      <rPr>
        <sz val="11"/>
        <color theme="1"/>
        <rFont val="Calibri"/>
        <family val="2"/>
        <charset val="177"/>
        <scheme val="minor"/>
      </rPr>
      <t xml:space="preserve"> גורם לך להרגיש </t>
    </r>
    <r>
      <rPr>
        <b/>
        <sz val="11"/>
        <color theme="1"/>
        <rFont val="Calibri"/>
        <family val="2"/>
        <charset val="177"/>
        <scheme val="minor"/>
      </rPr>
      <t>תקווה</t>
    </r>
  </si>
  <si>
    <r>
      <t xml:space="preserve">לפניך רשימה של מנהיגים. מה יחסך אל כל אחד מהם, והאם יחס זה היה גורם חשוב מאד בהצבעתך? </t>
    </r>
    <r>
      <rPr>
        <b/>
        <sz val="11"/>
        <color theme="1"/>
        <rFont val="Calibri"/>
        <family val="2"/>
        <charset val="177"/>
        <scheme val="minor"/>
      </rPr>
      <t>גולדה מאיר</t>
    </r>
  </si>
  <si>
    <r>
      <t xml:space="preserve">לפניך רשימה של מנהיגים. מה יחסך אל כל אחד מהם, והאם יחס זה היה גורם חשוב מאד בהצבעתך? </t>
    </r>
    <r>
      <rPr>
        <b/>
        <sz val="11"/>
        <color theme="1"/>
        <rFont val="Calibri"/>
        <family val="2"/>
        <charset val="177"/>
        <scheme val="minor"/>
      </rPr>
      <t>מנחם בגין</t>
    </r>
  </si>
  <si>
    <r>
      <t xml:space="preserve">לפניך רשימה של מנהיגים. מה יחסך אל כל אחד מהם, והאם יחס זה היה גורם חשוב מאד בהצבעתך? </t>
    </r>
    <r>
      <rPr>
        <b/>
        <sz val="11"/>
        <color theme="1"/>
        <rFont val="Calibri"/>
        <family val="2"/>
        <charset val="177"/>
        <scheme val="minor"/>
      </rPr>
      <t>משה דיין</t>
    </r>
  </si>
  <si>
    <r>
      <t xml:space="preserve">לפניך רשימה של מנהיגים. מה יחסך אל כל אחד מהם, והאם יחס זה היה גורם חשוב מאד בהצבעתך? </t>
    </r>
    <r>
      <rPr>
        <b/>
        <sz val="11"/>
        <color theme="1"/>
        <rFont val="Calibri"/>
        <family val="2"/>
        <charset val="177"/>
        <scheme val="minor"/>
      </rPr>
      <t>פנחס ספיר</t>
    </r>
  </si>
  <si>
    <r>
      <t xml:space="preserve">לפניך רשימה של מנהיגים. מה יחסך אל כל אחד מהם, והאם יחס זה היה גורם חשוב מאד בהצבעתך? </t>
    </r>
    <r>
      <rPr>
        <b/>
        <sz val="11"/>
        <color theme="1"/>
        <rFont val="Calibri"/>
        <family val="2"/>
        <charset val="177"/>
        <scheme val="minor"/>
      </rPr>
      <t>אריק שרון</t>
    </r>
  </si>
  <si>
    <r>
      <t xml:space="preserve">לפניך רשימה של מנהיגים. מה יחסך אל כל אחד מהם, והאם יחס זה היה גורם חשוב מאד בהצבעתך? </t>
    </r>
    <r>
      <rPr>
        <b/>
        <sz val="11"/>
        <color theme="1"/>
        <rFont val="Calibri"/>
        <family val="2"/>
        <charset val="177"/>
        <scheme val="minor"/>
      </rPr>
      <t>יגאל אלון</t>
    </r>
  </si>
  <si>
    <r>
      <t xml:space="preserve">האם מלחמת יום כיפור גרמה, באופן כללי, לשינוי דעתך על האישים הבאים: </t>
    </r>
    <r>
      <rPr>
        <b/>
        <sz val="11"/>
        <color theme="1"/>
        <rFont val="Calibri"/>
        <family val="2"/>
        <charset val="177"/>
        <scheme val="minor"/>
      </rPr>
      <t>גולדה מאיר</t>
    </r>
  </si>
  <si>
    <r>
      <t xml:space="preserve">האם מלחמת יום כיפור גרמה, באופן כללי, לשינוי דעתך על האישים הבאים: </t>
    </r>
    <r>
      <rPr>
        <b/>
        <sz val="11"/>
        <color theme="1"/>
        <rFont val="Calibri"/>
        <family val="2"/>
        <charset val="177"/>
        <scheme val="minor"/>
      </rPr>
      <t>משה דיין</t>
    </r>
  </si>
  <si>
    <r>
      <t xml:space="preserve">האם מלחמת יום כיפור גרמה, באופן כללי, לשינוי דעתך על האישים הבאים: </t>
    </r>
    <r>
      <rPr>
        <b/>
        <sz val="11"/>
        <color theme="1"/>
        <rFont val="Calibri"/>
        <family val="2"/>
        <charset val="177"/>
        <scheme val="minor"/>
      </rPr>
      <t>מנחם בגין</t>
    </r>
  </si>
  <si>
    <r>
      <t xml:space="preserve">האם מלחמת יום כיפור גרמה, באופן כללי, לשינוי דעתך על האישים הבאים: </t>
    </r>
    <r>
      <rPr>
        <b/>
        <sz val="11"/>
        <color theme="1"/>
        <rFont val="Calibri"/>
        <family val="2"/>
        <charset val="177"/>
        <scheme val="minor"/>
      </rPr>
      <t>פנחס ספיר</t>
    </r>
  </si>
  <si>
    <r>
      <t xml:space="preserve">האם מלחמת יום כיפור גרמה, באופן כללי, לשינוי דעתך על האישים הבאים: </t>
    </r>
    <r>
      <rPr>
        <b/>
        <sz val="11"/>
        <color theme="1"/>
        <rFont val="Calibri"/>
        <family val="2"/>
        <charset val="177"/>
        <scheme val="minor"/>
      </rPr>
      <t>אריק שרון</t>
    </r>
  </si>
  <si>
    <r>
      <t xml:space="preserve">האם מלחמת יום כיפור גרמה, באופן כללי, לשינוי דעתך על האישים הבאים: </t>
    </r>
    <r>
      <rPr>
        <b/>
        <sz val="11"/>
        <color theme="1"/>
        <rFont val="Calibri"/>
        <family val="2"/>
        <charset val="177"/>
        <scheme val="minor"/>
      </rPr>
      <t>חיים בר-לב</t>
    </r>
  </si>
  <si>
    <r>
      <t xml:space="preserve">האם מלחמת יום כיפור גרמה, באופן כללי, לשינוי דעתך על האישים הבאים: </t>
    </r>
    <r>
      <rPr>
        <b/>
        <sz val="11"/>
        <color theme="1"/>
        <rFont val="Calibri"/>
        <family val="2"/>
        <charset val="177"/>
        <scheme val="minor"/>
      </rPr>
      <t>אריה אליאב</t>
    </r>
  </si>
  <si>
    <r>
      <t xml:space="preserve">האם מלחמת יום כיפור גרמה, באופן כללי, לשינוי דעתך על האישים הבאים: </t>
    </r>
    <r>
      <rPr>
        <b/>
        <sz val="11"/>
        <color theme="1"/>
        <rFont val="Calibri"/>
        <family val="2"/>
        <charset val="177"/>
        <scheme val="minor"/>
      </rPr>
      <t>מאיר פעיל</t>
    </r>
  </si>
  <si>
    <r>
      <t xml:space="preserve">מהי המפלגה </t>
    </r>
    <r>
      <rPr>
        <b/>
        <sz val="11"/>
        <color theme="1"/>
        <rFont val="Calibri"/>
        <family val="2"/>
        <charset val="177"/>
        <scheme val="minor"/>
      </rPr>
      <t>השנייה</t>
    </r>
    <r>
      <rPr>
        <sz val="11"/>
        <color theme="1"/>
        <rFont val="Calibri"/>
        <family val="2"/>
        <charset val="177"/>
        <scheme val="minor"/>
      </rPr>
      <t xml:space="preserve"> הכי קרובה אליך?</t>
    </r>
  </si>
  <si>
    <r>
      <t xml:space="preserve">מהי המפלגה </t>
    </r>
    <r>
      <rPr>
        <b/>
        <sz val="11"/>
        <color theme="1"/>
        <rFont val="Calibri"/>
        <family val="2"/>
        <charset val="177"/>
        <scheme val="minor"/>
      </rPr>
      <t xml:space="preserve">השלישית </t>
    </r>
    <r>
      <rPr>
        <sz val="11"/>
        <color theme="1"/>
        <rFont val="Calibri"/>
        <family val="2"/>
        <charset val="177"/>
        <scheme val="minor"/>
      </rPr>
      <t>הכי קרובה אליך?</t>
    </r>
  </si>
  <si>
    <r>
      <t xml:space="preserve">מהי המפלגה </t>
    </r>
    <r>
      <rPr>
        <u/>
        <sz val="11"/>
        <color theme="1"/>
        <rFont val="Calibri"/>
        <family val="2"/>
        <charset val="177"/>
        <scheme val="minor"/>
      </rPr>
      <t>הרחוקה</t>
    </r>
    <r>
      <rPr>
        <sz val="11"/>
        <color theme="1"/>
        <rFont val="Calibri"/>
        <family val="2"/>
        <charset val="177"/>
        <scheme val="minor"/>
      </rPr>
      <t xml:space="preserve"> ממך ביותר?</t>
    </r>
  </si>
  <si>
    <r>
      <t xml:space="preserve">מהי המפלגה </t>
    </r>
    <r>
      <rPr>
        <b/>
        <sz val="11"/>
        <color theme="1"/>
        <rFont val="Calibri"/>
        <family val="2"/>
        <charset val="177"/>
        <scheme val="minor"/>
      </rPr>
      <t>השנייה</t>
    </r>
    <r>
      <rPr>
        <sz val="11"/>
        <color theme="1"/>
        <rFont val="Calibri"/>
        <family val="2"/>
        <charset val="177"/>
        <scheme val="minor"/>
      </rPr>
      <t xml:space="preserve"> הכי רחוקה ממך?</t>
    </r>
  </si>
  <si>
    <r>
      <t xml:space="preserve">מהי המפלגה </t>
    </r>
    <r>
      <rPr>
        <b/>
        <sz val="11"/>
        <color theme="1"/>
        <rFont val="Calibri"/>
        <family val="2"/>
        <charset val="177"/>
        <scheme val="minor"/>
      </rPr>
      <t>השלישית</t>
    </r>
    <r>
      <rPr>
        <sz val="11"/>
        <color theme="1"/>
        <rFont val="Calibri"/>
        <family val="2"/>
        <charset val="177"/>
        <scheme val="minor"/>
      </rPr>
      <t xml:space="preserve"> הכי רחוקה ממך?</t>
    </r>
  </si>
  <si>
    <r>
      <t xml:space="preserve">מהמפלגות הנותרות, איך היית מדרג את מידת הקרבה אלייך: </t>
    </r>
    <r>
      <rPr>
        <b/>
        <sz val="11"/>
        <color theme="1"/>
        <rFont val="Calibri"/>
        <family val="2"/>
        <charset val="177"/>
        <scheme val="minor"/>
      </rPr>
      <t>מי הראשונה?</t>
    </r>
  </si>
  <si>
    <r>
      <t xml:space="preserve">מהמפלגות הנותרות, איך היית מדרג את מידת הקרבה אלייך: </t>
    </r>
    <r>
      <rPr>
        <b/>
        <sz val="11"/>
        <color theme="1"/>
        <rFont val="Calibri"/>
        <family val="2"/>
        <charset val="177"/>
        <scheme val="minor"/>
      </rPr>
      <t>מי השנייה?</t>
    </r>
  </si>
  <si>
    <r>
      <t xml:space="preserve">מהמפלגות הנותרות, איך היית מדרג את מידת הקרבה אלייך: </t>
    </r>
    <r>
      <rPr>
        <b/>
        <sz val="11"/>
        <color theme="1"/>
        <rFont val="Calibri"/>
        <family val="2"/>
        <charset val="177"/>
        <scheme val="minor"/>
      </rPr>
      <t>מי השלישית?</t>
    </r>
  </si>
  <si>
    <r>
      <t xml:space="preserve">מהמפלגות הנותרות, איך היית מדרג את מידת הקרבה אלייך: </t>
    </r>
    <r>
      <rPr>
        <b/>
        <sz val="11"/>
        <color theme="1"/>
        <rFont val="Calibri"/>
        <family val="2"/>
        <charset val="177"/>
        <scheme val="minor"/>
      </rPr>
      <t>מי הרביעית?</t>
    </r>
  </si>
  <si>
    <r>
      <t xml:space="preserve">כשאתה חושב על </t>
    </r>
    <r>
      <rPr>
        <b/>
        <sz val="11"/>
        <color theme="1"/>
        <rFont val="Calibri"/>
        <family val="2"/>
        <charset val="177"/>
        <scheme val="minor"/>
      </rPr>
      <t>מפד"ל</t>
    </r>
    <r>
      <rPr>
        <sz val="11"/>
        <color theme="1"/>
        <rFont val="Calibri"/>
        <family val="2"/>
        <charset val="177"/>
        <scheme val="minor"/>
      </rPr>
      <t>, מה נראה לך ביותר: המועמדים שלה, העמדות שלה, הציבור שהיא מייצגת, האם אפשר לסמוך עליה?</t>
    </r>
  </si>
  <si>
    <r>
      <t xml:space="preserve">כשאתה חושב על </t>
    </r>
    <r>
      <rPr>
        <b/>
        <sz val="11"/>
        <color theme="1"/>
        <rFont val="Calibri"/>
        <family val="2"/>
        <charset val="177"/>
        <scheme val="minor"/>
      </rPr>
      <t>הליכוד</t>
    </r>
    <r>
      <rPr>
        <sz val="11"/>
        <color theme="1"/>
        <rFont val="Calibri"/>
        <family val="2"/>
        <charset val="177"/>
        <scheme val="minor"/>
      </rPr>
      <t>, מה נראה לך ביותר: המועמדים שלה, העמדות שלה, הציבור שהיא מייצגת, האם אפשר לסמוך עליה?</t>
    </r>
  </si>
  <si>
    <r>
      <t xml:space="preserve">כשאתה חושב על </t>
    </r>
    <r>
      <rPr>
        <b/>
        <sz val="11"/>
        <color theme="1"/>
        <rFont val="Calibri"/>
        <family val="2"/>
        <charset val="177"/>
        <scheme val="minor"/>
      </rPr>
      <t>המערך</t>
    </r>
    <r>
      <rPr>
        <sz val="11"/>
        <color theme="1"/>
        <rFont val="Calibri"/>
        <family val="2"/>
        <charset val="177"/>
        <scheme val="minor"/>
      </rPr>
      <t>, מה נראה לך ביותר: המועמדים שלה, העמדות שלה, הציבור שהיא מייצגת, האם אפשר לסמוך עליה?</t>
    </r>
  </si>
  <si>
    <r>
      <rPr>
        <b/>
        <sz val="11"/>
        <color theme="1"/>
        <rFont val="Calibri"/>
        <family val="2"/>
        <charset val="177"/>
        <scheme val="minor"/>
      </rPr>
      <t xml:space="preserve">לאחר הבחירות: </t>
    </r>
    <r>
      <rPr>
        <sz val="11"/>
        <color theme="1"/>
        <rFont val="Calibri"/>
        <family val="2"/>
        <charset val="177"/>
        <scheme val="minor"/>
      </rPr>
      <t xml:space="preserve">מה יחסך </t>
    </r>
    <r>
      <rPr>
        <b/>
        <sz val="11"/>
        <color theme="1"/>
        <rFont val="Calibri"/>
        <family val="2"/>
        <charset val="177"/>
        <scheme val="minor"/>
      </rPr>
      <t>לימנים</t>
    </r>
    <r>
      <rPr>
        <sz val="11"/>
        <color theme="1"/>
        <rFont val="Calibri"/>
        <family val="2"/>
        <charset val="177"/>
        <scheme val="minor"/>
      </rPr>
      <t>?</t>
    </r>
  </si>
  <si>
    <r>
      <rPr>
        <b/>
        <sz val="11"/>
        <color theme="1"/>
        <rFont val="Calibri"/>
        <family val="2"/>
        <charset val="177"/>
        <scheme val="minor"/>
      </rPr>
      <t xml:space="preserve">לאחר הבחירות: </t>
    </r>
    <r>
      <rPr>
        <sz val="11"/>
        <color theme="1"/>
        <rFont val="Calibri"/>
        <family val="2"/>
        <charset val="177"/>
        <scheme val="minor"/>
      </rPr>
      <t xml:space="preserve">מה יחסך </t>
    </r>
    <r>
      <rPr>
        <b/>
        <sz val="11"/>
        <color theme="1"/>
        <rFont val="Calibri"/>
        <family val="2"/>
        <charset val="177"/>
        <scheme val="minor"/>
      </rPr>
      <t>לשמאלנים</t>
    </r>
    <r>
      <rPr>
        <sz val="11"/>
        <color theme="1"/>
        <rFont val="Calibri"/>
        <family val="2"/>
        <charset val="177"/>
        <scheme val="minor"/>
      </rPr>
      <t>?</t>
    </r>
  </si>
  <si>
    <r>
      <rPr>
        <b/>
        <sz val="11"/>
        <color theme="1"/>
        <rFont val="Calibri"/>
        <family val="2"/>
        <charset val="177"/>
        <scheme val="minor"/>
      </rPr>
      <t xml:space="preserve">לאחר הבחירות: </t>
    </r>
    <r>
      <rPr>
        <sz val="11"/>
        <color theme="1"/>
        <rFont val="Calibri"/>
        <family val="2"/>
        <charset val="177"/>
        <scheme val="minor"/>
      </rPr>
      <t xml:space="preserve">מה יחסך </t>
    </r>
    <r>
      <rPr>
        <b/>
        <sz val="11"/>
        <color theme="1"/>
        <rFont val="Calibri"/>
        <family val="2"/>
        <charset val="177"/>
        <scheme val="minor"/>
      </rPr>
      <t>לחרדים</t>
    </r>
    <r>
      <rPr>
        <sz val="11"/>
        <color theme="1"/>
        <rFont val="Calibri"/>
        <family val="2"/>
        <charset val="177"/>
        <scheme val="minor"/>
      </rPr>
      <t>?</t>
    </r>
  </si>
  <si>
    <r>
      <t xml:space="preserve">לאחר הבחירות: </t>
    </r>
    <r>
      <rPr>
        <sz val="11"/>
        <color theme="1"/>
        <rFont val="Calibri"/>
        <family val="2"/>
        <charset val="177"/>
        <scheme val="minor"/>
      </rPr>
      <t>מה יחסך</t>
    </r>
    <r>
      <rPr>
        <sz val="11"/>
        <color theme="1"/>
        <rFont val="Calibri"/>
        <family val="2"/>
        <charset val="177"/>
        <scheme val="minor"/>
      </rPr>
      <t xml:space="preserve"> לחילונים</t>
    </r>
    <r>
      <rPr>
        <sz val="11"/>
        <color theme="1"/>
        <rFont val="Calibri"/>
        <family val="2"/>
        <charset val="177"/>
        <scheme val="minor"/>
      </rPr>
      <t>?</t>
    </r>
  </si>
  <si>
    <r>
      <rPr>
        <b/>
        <sz val="11"/>
        <color theme="1"/>
        <rFont val="Calibri"/>
        <family val="2"/>
        <charset val="177"/>
        <scheme val="minor"/>
      </rPr>
      <t xml:space="preserve">לאחר הבחירות: </t>
    </r>
    <r>
      <rPr>
        <sz val="11"/>
        <color theme="1"/>
        <rFont val="Calibri"/>
        <family val="2"/>
        <charset val="177"/>
        <scheme val="minor"/>
      </rPr>
      <t xml:space="preserve">מה יחסך </t>
    </r>
    <r>
      <rPr>
        <b/>
        <sz val="11"/>
        <color theme="1"/>
        <rFont val="Calibri"/>
        <family val="2"/>
        <charset val="177"/>
        <scheme val="minor"/>
      </rPr>
      <t>לערבים</t>
    </r>
    <r>
      <rPr>
        <sz val="11"/>
        <color theme="1"/>
        <rFont val="Calibri"/>
        <family val="2"/>
        <charset val="177"/>
        <scheme val="minor"/>
      </rPr>
      <t xml:space="preserve"> (לערבים: מה יחסך </t>
    </r>
    <r>
      <rPr>
        <b/>
        <sz val="11"/>
        <color theme="1"/>
        <rFont val="Calibri"/>
        <family val="2"/>
        <charset val="177"/>
        <scheme val="minor"/>
      </rPr>
      <t>ליהודים</t>
    </r>
    <r>
      <rPr>
        <sz val="11"/>
        <color theme="1"/>
        <rFont val="Calibri"/>
        <family val="2"/>
        <charset val="177"/>
        <scheme val="minor"/>
      </rPr>
      <t>)</t>
    </r>
    <r>
      <rPr>
        <sz val="11"/>
        <color theme="1"/>
        <rFont val="Calibri"/>
        <family val="2"/>
        <charset val="177"/>
        <scheme val="minor"/>
      </rPr>
      <t>?</t>
    </r>
  </si>
  <si>
    <t>זיקה רגשית</t>
  </si>
  <si>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 xml:space="preserve">מפלגה שתדע לעמוד בתוקף במו"מ על שטחים ושלום </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</si>
  <si>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שתשמור על המשטר הדמוקרטי במדינה</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</si>
  <si>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שתדע לטפל בטרור</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</si>
  <si>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שתבטיח רוב יהודי במדינה</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</si>
  <si>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שיש בה שחיתות</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</si>
  <si>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שתצמצם פערים חברתיים</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</si>
  <si>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שתוכל להביא להפרדה בין ישראל והפלסטינים</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</si>
  <si>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תקטין את הפיצול בעם</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</si>
  <si>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שתצמצם את הפער העדתי</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</si>
  <si>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שמטפחת את הכבוד העצמי של בני עדות המזרח</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</si>
  <si>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שתדע לשמור על היחסים עם ארה"ב</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</si>
  <si>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עם מנהיגים מנוסים</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</si>
  <si>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שתדאג לשכבות החלשות</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</si>
  <si>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שתרמה לבנין הארץ</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</si>
  <si>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שתדע לקלוט עליה</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</si>
  <si>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שתדע לצמצם את האבטלה</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</si>
  <si>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שנותנת ייצוג הולם לעדות המזרח</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</si>
  <si>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שמבטיחה את עתיד המדינה</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</si>
  <si>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עדתית</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</si>
  <si>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שתדע לשמור על כמות השטחים הנחוצה למדינה</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</si>
  <si>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שתדע איך ומתי להוביל למלחמה מוצלחת</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</si>
  <si>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לאומית</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</si>
  <si>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שממנה אנשים מתאימים לתפקידים מרכזיים מבלי להתחשב ברקע העדתי</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</si>
  <si>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שתדע לצאת מלבנון ולהבטיח את הגבול הצפוני</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</si>
  <si>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שמנצלת את עדות המזרח לצרכים פוליטיים</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</si>
  <si>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חזקה</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</si>
  <si>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בעלת ניסיון</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</si>
  <si>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חדשנית</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</si>
  <si>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צעירה</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</si>
  <si>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מייצגת אשכזים ומזרחים</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</si>
  <si>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דואגת בעיקר לאינטרסים של האזרח</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</si>
  <si>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ישרה</t>
    </r>
  </si>
  <si>
    <r>
      <t xml:space="preserve">לפניך רשימה של תכונות שונות של מפלגות. לגבי כל אחת מהן, ציין לאיזו מפלגה היא מתאימה ביותר: </t>
    </r>
    <r>
      <rPr>
        <b/>
        <sz val="11"/>
        <color theme="1"/>
        <rFont val="Calibri"/>
        <family val="2"/>
        <charset val="177"/>
        <scheme val="minor"/>
      </rPr>
      <t>מפלגה אמינה</t>
    </r>
  </si>
  <si>
    <r>
      <t xml:space="preserve">לפניך רשימה של תכונות של מנהיגים. לגבי כל אחת מהתכונות ציין למי היא מתאימה יותר? </t>
    </r>
    <r>
      <rPr>
        <sz val="11"/>
        <color theme="1"/>
        <rFont val="Calibri"/>
        <family val="2"/>
        <charset val="177"/>
        <scheme val="minor"/>
      </rPr>
      <t>האם</t>
    </r>
    <r>
      <rPr>
        <b/>
        <sz val="11"/>
        <color theme="1"/>
        <rFont val="Calibri"/>
        <family val="2"/>
        <charset val="177"/>
        <scheme val="minor"/>
      </rPr>
      <t xml:space="preserve"> "כושר מנהיגות" </t>
    </r>
    <r>
      <rPr>
        <sz val="11"/>
        <color theme="1"/>
        <rFont val="Calibri"/>
        <family val="2"/>
        <charset val="177"/>
        <scheme val="minor"/>
      </rPr>
      <t>מתאים יותר ל:</t>
    </r>
  </si>
  <si>
    <r>
      <t xml:space="preserve">האם </t>
    </r>
    <r>
      <rPr>
        <b/>
        <sz val="11"/>
        <color theme="1"/>
        <rFont val="Calibri"/>
        <family val="2"/>
        <charset val="177"/>
        <scheme val="minor"/>
      </rPr>
      <t>"אכפתיות מאנשים כמוך"</t>
    </r>
    <r>
      <rPr>
        <sz val="11"/>
        <color theme="1"/>
        <rFont val="Calibri"/>
        <family val="2"/>
        <charset val="177"/>
        <scheme val="minor"/>
      </rPr>
      <t xml:space="preserve"> מתאימה יותר ל:</t>
    </r>
  </si>
  <si>
    <r>
      <t xml:space="preserve">האם </t>
    </r>
    <r>
      <rPr>
        <b/>
        <sz val="11"/>
        <color theme="1"/>
        <rFont val="Calibri"/>
        <family val="2"/>
        <charset val="177"/>
        <scheme val="minor"/>
      </rPr>
      <t>"יושר והגינות"</t>
    </r>
    <r>
      <rPr>
        <sz val="11"/>
        <color theme="1"/>
        <rFont val="Calibri"/>
        <family val="2"/>
        <charset val="177"/>
        <scheme val="minor"/>
      </rPr>
      <t xml:space="preserve"> מתאים יותר ל:</t>
    </r>
  </si>
  <si>
    <r>
      <t xml:space="preserve">האם </t>
    </r>
    <r>
      <rPr>
        <b/>
        <sz val="11"/>
        <color theme="1"/>
        <rFont val="Calibri"/>
        <family val="2"/>
        <charset val="177"/>
        <scheme val="minor"/>
      </rPr>
      <t>"אמין"</t>
    </r>
    <r>
      <rPr>
        <sz val="11"/>
        <color theme="1"/>
        <rFont val="Calibri"/>
        <family val="2"/>
        <charset val="177"/>
        <scheme val="minor"/>
      </rPr>
      <t xml:space="preserve"> מתאים יותר ל:</t>
    </r>
  </si>
  <si>
    <r>
      <t xml:space="preserve">האם </t>
    </r>
    <r>
      <rPr>
        <b/>
        <sz val="11"/>
        <color theme="1"/>
        <rFont val="Calibri"/>
        <family val="2"/>
        <charset val="177"/>
        <scheme val="minor"/>
      </rPr>
      <t>"יעדיף את טובת המדינה על פני שיקולים אחרים"</t>
    </r>
    <r>
      <rPr>
        <sz val="11"/>
        <color theme="1"/>
        <rFont val="Calibri"/>
        <family val="2"/>
        <charset val="177"/>
        <scheme val="minor"/>
      </rPr>
      <t xml:space="preserve"> מתאים יותר ל:</t>
    </r>
  </si>
  <si>
    <r>
      <t xml:space="preserve">האם </t>
    </r>
    <r>
      <rPr>
        <b/>
        <sz val="11"/>
        <color theme="1"/>
        <rFont val="Calibri"/>
        <family val="2"/>
        <charset val="177"/>
        <scheme val="minor"/>
      </rPr>
      <t>"יכולת טובה לניהול משא ומתן"</t>
    </r>
    <r>
      <rPr>
        <sz val="11"/>
        <color theme="1"/>
        <rFont val="Calibri"/>
        <family val="2"/>
        <charset val="177"/>
        <scheme val="minor"/>
      </rPr>
      <t xml:space="preserve"> מתאים יותר ל:</t>
    </r>
  </si>
  <si>
    <r>
      <t xml:space="preserve">האם </t>
    </r>
    <r>
      <rPr>
        <b/>
        <sz val="11"/>
        <color theme="1"/>
        <rFont val="Calibri"/>
        <family val="2"/>
        <charset val="177"/>
        <scheme val="minor"/>
      </rPr>
      <t>"ישמור על שלטון החוק"</t>
    </r>
    <r>
      <rPr>
        <sz val="11"/>
        <color theme="1"/>
        <rFont val="Calibri"/>
        <family val="2"/>
        <charset val="177"/>
        <scheme val="minor"/>
      </rPr>
      <t xml:space="preserve"> מתאים יותר ל:</t>
    </r>
  </si>
  <si>
    <r>
      <t xml:space="preserve">האם </t>
    </r>
    <r>
      <rPr>
        <b/>
        <sz val="11"/>
        <color theme="1"/>
        <rFont val="Calibri"/>
        <family val="2"/>
        <charset val="177"/>
        <scheme val="minor"/>
      </rPr>
      <t>"יעמוד במצבי לחץ"</t>
    </r>
    <r>
      <rPr>
        <sz val="11"/>
        <color theme="1"/>
        <rFont val="Calibri"/>
        <family val="2"/>
        <charset val="177"/>
        <scheme val="minor"/>
      </rPr>
      <t xml:space="preserve"> מתאים יותר ל:</t>
    </r>
  </si>
  <si>
    <r>
      <t xml:space="preserve">האם </t>
    </r>
    <r>
      <rPr>
        <b/>
        <sz val="11"/>
        <color theme="1"/>
        <rFont val="Calibri"/>
        <family val="2"/>
        <charset val="177"/>
        <scheme val="minor"/>
      </rPr>
      <t>"בעל ניסיון"</t>
    </r>
    <r>
      <rPr>
        <sz val="11"/>
        <color theme="1"/>
        <rFont val="Calibri"/>
        <family val="2"/>
        <charset val="177"/>
        <scheme val="minor"/>
      </rPr>
      <t xml:space="preserve"> מתאים יותר ל:</t>
    </r>
  </si>
  <si>
    <r>
      <t xml:space="preserve">האם </t>
    </r>
    <r>
      <rPr>
        <b/>
        <sz val="11"/>
        <color theme="1"/>
        <rFont val="Calibri"/>
        <family val="2"/>
        <charset val="177"/>
        <scheme val="minor"/>
      </rPr>
      <t>"יוריד את המתח בין דתיים לחילונים"</t>
    </r>
    <r>
      <rPr>
        <sz val="11"/>
        <color theme="1"/>
        <rFont val="Calibri"/>
        <family val="2"/>
        <charset val="177"/>
        <scheme val="minor"/>
      </rPr>
      <t xml:space="preserve"> מתאים יותר ל:</t>
    </r>
  </si>
  <si>
    <r>
      <t xml:space="preserve">האם </t>
    </r>
    <r>
      <rPr>
        <b/>
        <sz val="11"/>
        <color theme="1"/>
        <rFont val="Calibri"/>
        <family val="2"/>
        <charset val="177"/>
        <scheme val="minor"/>
      </rPr>
      <t>"בעל כושר החלטה"</t>
    </r>
    <r>
      <rPr>
        <sz val="11"/>
        <color theme="1"/>
        <rFont val="Calibri"/>
        <family val="2"/>
        <charset val="177"/>
        <scheme val="minor"/>
      </rPr>
      <t xml:space="preserve"> מתאים יותר ל:</t>
    </r>
  </si>
  <si>
    <r>
      <t xml:space="preserve">האם </t>
    </r>
    <r>
      <rPr>
        <b/>
        <sz val="11"/>
        <color theme="1"/>
        <rFont val="Calibri"/>
        <family val="2"/>
        <charset val="177"/>
        <scheme val="minor"/>
      </rPr>
      <t>"יוזמה ומעוף"</t>
    </r>
    <r>
      <rPr>
        <sz val="11"/>
        <color theme="1"/>
        <rFont val="Calibri"/>
        <family val="2"/>
        <charset val="177"/>
        <scheme val="minor"/>
      </rPr>
      <t xml:space="preserve"> מתאים יותר ל:</t>
    </r>
  </si>
  <si>
    <r>
      <t xml:space="preserve">האם </t>
    </r>
    <r>
      <rPr>
        <b/>
        <sz val="11"/>
        <color theme="1"/>
        <rFont val="Calibri"/>
        <family val="2"/>
        <charset val="177"/>
        <scheme val="minor"/>
      </rPr>
      <t>"יצמצם פערים חברתיים"</t>
    </r>
    <r>
      <rPr>
        <sz val="11"/>
        <color theme="1"/>
        <rFont val="Calibri"/>
        <family val="2"/>
        <charset val="177"/>
        <scheme val="minor"/>
      </rPr>
      <t xml:space="preserve"> מתאים יותר ל:</t>
    </r>
  </si>
  <si>
    <r>
      <t xml:space="preserve">האם </t>
    </r>
    <r>
      <rPr>
        <b/>
        <sz val="11"/>
        <color theme="1"/>
        <rFont val="Calibri"/>
        <family val="2"/>
        <charset val="177"/>
        <scheme val="minor"/>
      </rPr>
      <t>"חזק"</t>
    </r>
    <r>
      <rPr>
        <sz val="11"/>
        <color theme="1"/>
        <rFont val="Calibri"/>
        <family val="2"/>
        <charset val="177"/>
        <scheme val="minor"/>
      </rPr>
      <t xml:space="preserve"> מתאים יותר ל:</t>
    </r>
  </si>
  <si>
    <r>
      <t xml:space="preserve">לפניך סולמות בני 7 דרגות המתארים תכונות שונות של מפלגות. חשוב בבקשה על </t>
    </r>
    <r>
      <rPr>
        <u/>
        <sz val="11"/>
        <color theme="1"/>
        <rFont val="Calibri"/>
        <family val="2"/>
        <charset val="177"/>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charset val="177"/>
        <scheme val="minor"/>
      </rPr>
      <t>צעירה-זקנה</t>
    </r>
  </si>
  <si>
    <r>
      <t xml:space="preserve">לפניך סולמות בני 7 דרגות המתארים תכונות שונות של מפלגות. חשוב בבקשה על </t>
    </r>
    <r>
      <rPr>
        <u/>
        <sz val="11"/>
        <color theme="1"/>
        <rFont val="Calibri"/>
        <family val="2"/>
        <charset val="177"/>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charset val="177"/>
        <scheme val="minor"/>
      </rPr>
      <t>חזקה-חלשה</t>
    </r>
  </si>
  <si>
    <r>
      <t xml:space="preserve">לפניך סולמות בני 7 דרגות המתארים תכונות שונות של מפלגות. חשוב בבקשה על </t>
    </r>
    <r>
      <rPr>
        <u/>
        <sz val="11"/>
        <color theme="1"/>
        <rFont val="Calibri"/>
        <family val="2"/>
        <charset val="177"/>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charset val="177"/>
        <scheme val="minor"/>
      </rPr>
      <t>ימנית-שמאלית</t>
    </r>
  </si>
  <si>
    <r>
      <t xml:space="preserve">לפניך סולמות בני 7 דרגות המתארים תכונות שונות של מפלגות. חשוב בבקשה על </t>
    </r>
    <r>
      <rPr>
        <u/>
        <sz val="11"/>
        <color theme="1"/>
        <rFont val="Calibri"/>
        <family val="2"/>
        <charset val="177"/>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charset val="177"/>
        <scheme val="minor"/>
      </rPr>
      <t>מיושנת-חדשנית</t>
    </r>
  </si>
  <si>
    <r>
      <t xml:space="preserve">לפניך סולמות בני 7 דרגות המתארים תכונות שונות של מפלגות. חשוב בבקשה על </t>
    </r>
    <r>
      <rPr>
        <u/>
        <sz val="11"/>
        <color theme="1"/>
        <rFont val="Calibri"/>
        <family val="2"/>
        <charset val="177"/>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charset val="177"/>
        <scheme val="minor"/>
      </rPr>
      <t>מעמד בינוני-מעמד פועלים</t>
    </r>
  </si>
  <si>
    <r>
      <t xml:space="preserve">לפניך סולמות בני 7 דרגות המתארים תכונות שונות של מפלגות. חשוב בבקשה על </t>
    </r>
    <r>
      <rPr>
        <u/>
        <sz val="11"/>
        <color theme="1"/>
        <rFont val="Calibri"/>
        <family val="2"/>
        <charset val="177"/>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charset val="177"/>
        <scheme val="minor"/>
      </rPr>
      <t>ספרדית-אשכנזית</t>
    </r>
  </si>
  <si>
    <r>
      <t xml:space="preserve">לפניך סולמות בני 7 דרגות המתארים תכונות שונות של מפלגות. חשוב בבקשה על </t>
    </r>
    <r>
      <rPr>
        <u/>
        <sz val="11"/>
        <color theme="1"/>
        <rFont val="Calibri"/>
        <family val="2"/>
        <charset val="177"/>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charset val="177"/>
        <scheme val="minor"/>
      </rPr>
      <t>דואגת בעיקר לעצמה-דואגת בעיקר לאזרחים</t>
    </r>
  </si>
  <si>
    <r>
      <t xml:space="preserve">לפניך סולמות בני 7 דרגות המתארים תכונות שונות של מפלגות. חשוב בבקשה על </t>
    </r>
    <r>
      <rPr>
        <u/>
        <sz val="11"/>
        <color theme="1"/>
        <rFont val="Calibri"/>
        <family val="2"/>
        <charset val="177"/>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charset val="177"/>
        <scheme val="minor"/>
      </rPr>
      <t>חסרת ניסיון-בעלת ניסיון</t>
    </r>
  </si>
  <si>
    <r>
      <t xml:space="preserve">לפניך סולמות בני 7 דרגות המתארים תכונות שונות של מפלגות. חשוב בבקשה על </t>
    </r>
    <r>
      <rPr>
        <u/>
        <sz val="11"/>
        <color theme="1"/>
        <rFont val="Calibri"/>
        <family val="2"/>
        <charset val="177"/>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charset val="177"/>
        <scheme val="minor"/>
      </rPr>
      <t>יונית-ניצית</t>
    </r>
  </si>
  <si>
    <r>
      <t xml:space="preserve">עכשיו אתה מתבקש לדרג את </t>
    </r>
    <r>
      <rPr>
        <u/>
        <sz val="11"/>
        <color theme="1"/>
        <rFont val="Calibri"/>
        <family val="2"/>
        <charset val="177"/>
        <scheme val="minor"/>
      </rPr>
      <t>המערך</t>
    </r>
    <r>
      <rPr>
        <sz val="11"/>
        <color theme="1"/>
        <rFont val="Calibri"/>
        <family val="2"/>
        <charset val="177"/>
        <scheme val="minor"/>
      </rPr>
      <t xml:space="preserve"> על סולמות אלה: </t>
    </r>
    <r>
      <rPr>
        <b/>
        <sz val="11"/>
        <color theme="1"/>
        <rFont val="Calibri"/>
        <family val="2"/>
        <charset val="177"/>
        <scheme val="minor"/>
      </rPr>
      <t>צעירה-זקנה</t>
    </r>
  </si>
  <si>
    <r>
      <t xml:space="preserve">עכשיו אתה מתבקש לדרג את </t>
    </r>
    <r>
      <rPr>
        <u/>
        <sz val="11"/>
        <color theme="1"/>
        <rFont val="Calibri"/>
        <family val="2"/>
        <charset val="177"/>
        <scheme val="minor"/>
      </rPr>
      <t>המערך</t>
    </r>
    <r>
      <rPr>
        <sz val="11"/>
        <color theme="1"/>
        <rFont val="Calibri"/>
        <family val="2"/>
        <charset val="177"/>
        <scheme val="minor"/>
      </rPr>
      <t xml:space="preserve"> על סולמות אלה: </t>
    </r>
    <r>
      <rPr>
        <b/>
        <sz val="11"/>
        <color theme="1"/>
        <rFont val="Calibri"/>
        <family val="2"/>
        <charset val="177"/>
        <scheme val="minor"/>
      </rPr>
      <t>חזקה-חלשה</t>
    </r>
  </si>
  <si>
    <r>
      <t xml:space="preserve">עכשיו אתה מתבקש לדרג את </t>
    </r>
    <r>
      <rPr>
        <u/>
        <sz val="11"/>
        <color theme="1"/>
        <rFont val="Calibri"/>
        <family val="2"/>
        <charset val="177"/>
        <scheme val="minor"/>
      </rPr>
      <t>המערך</t>
    </r>
    <r>
      <rPr>
        <sz val="11"/>
        <color theme="1"/>
        <rFont val="Calibri"/>
        <family val="2"/>
        <charset val="177"/>
        <scheme val="minor"/>
      </rPr>
      <t xml:space="preserve"> על סולמות אלה: </t>
    </r>
    <r>
      <rPr>
        <b/>
        <sz val="11"/>
        <color theme="1"/>
        <rFont val="Calibri"/>
        <family val="2"/>
        <charset val="177"/>
        <scheme val="minor"/>
      </rPr>
      <t>ימנית-שמאלית</t>
    </r>
  </si>
  <si>
    <r>
      <t xml:space="preserve">עכשיו אתה מתבקש לדרג את </t>
    </r>
    <r>
      <rPr>
        <u/>
        <sz val="11"/>
        <color theme="1"/>
        <rFont val="Calibri"/>
        <family val="2"/>
        <charset val="177"/>
        <scheme val="minor"/>
      </rPr>
      <t>המערך</t>
    </r>
    <r>
      <rPr>
        <sz val="11"/>
        <color theme="1"/>
        <rFont val="Calibri"/>
        <family val="2"/>
        <charset val="177"/>
        <scheme val="minor"/>
      </rPr>
      <t xml:space="preserve"> על סולמות אלה: </t>
    </r>
    <r>
      <rPr>
        <b/>
        <sz val="11"/>
        <color theme="1"/>
        <rFont val="Calibri"/>
        <family val="2"/>
        <charset val="177"/>
        <scheme val="minor"/>
      </rPr>
      <t>מיושנת-חדשנית</t>
    </r>
  </si>
  <si>
    <r>
      <t xml:space="preserve">עכשיו אתה מתבקש לדרג את </t>
    </r>
    <r>
      <rPr>
        <u/>
        <sz val="11"/>
        <color theme="1"/>
        <rFont val="Calibri"/>
        <family val="2"/>
        <charset val="177"/>
        <scheme val="minor"/>
      </rPr>
      <t>המערך</t>
    </r>
    <r>
      <rPr>
        <sz val="11"/>
        <color theme="1"/>
        <rFont val="Calibri"/>
        <family val="2"/>
        <charset val="177"/>
        <scheme val="minor"/>
      </rPr>
      <t xml:space="preserve"> על סולמות אלה: </t>
    </r>
    <r>
      <rPr>
        <b/>
        <sz val="11"/>
        <color theme="1"/>
        <rFont val="Calibri"/>
        <family val="2"/>
        <charset val="177"/>
        <scheme val="minor"/>
      </rPr>
      <t>מעמד ביניים-מעמד פועלים</t>
    </r>
  </si>
  <si>
    <r>
      <t xml:space="preserve">עכשיו אתה מתבקש לדרג את </t>
    </r>
    <r>
      <rPr>
        <u/>
        <sz val="11"/>
        <color theme="1"/>
        <rFont val="Calibri"/>
        <family val="2"/>
        <charset val="177"/>
        <scheme val="minor"/>
      </rPr>
      <t>המערך</t>
    </r>
    <r>
      <rPr>
        <sz val="11"/>
        <color theme="1"/>
        <rFont val="Calibri"/>
        <family val="2"/>
        <charset val="177"/>
        <scheme val="minor"/>
      </rPr>
      <t xml:space="preserve"> על סולמות אלה: </t>
    </r>
    <r>
      <rPr>
        <b/>
        <sz val="11"/>
        <color theme="1"/>
        <rFont val="Calibri"/>
        <family val="2"/>
        <charset val="177"/>
        <scheme val="minor"/>
      </rPr>
      <t>ספרדית-אשכנזית</t>
    </r>
  </si>
  <si>
    <r>
      <t xml:space="preserve">עכשיו אתה מתבקש לדרג את </t>
    </r>
    <r>
      <rPr>
        <u/>
        <sz val="11"/>
        <color theme="1"/>
        <rFont val="Calibri"/>
        <family val="2"/>
        <charset val="177"/>
        <scheme val="minor"/>
      </rPr>
      <t>המערך</t>
    </r>
    <r>
      <rPr>
        <sz val="11"/>
        <color theme="1"/>
        <rFont val="Calibri"/>
        <family val="2"/>
        <charset val="177"/>
        <scheme val="minor"/>
      </rPr>
      <t xml:space="preserve"> על סולמות אלה: </t>
    </r>
    <r>
      <rPr>
        <b/>
        <sz val="11"/>
        <color theme="1"/>
        <rFont val="Calibri"/>
        <family val="2"/>
        <charset val="177"/>
        <scheme val="minor"/>
      </rPr>
      <t>דואגת בעיקר לעצמה-דואגת בעיקר לאזרח</t>
    </r>
  </si>
  <si>
    <r>
      <t xml:space="preserve">עכשיו אתה מתבקש לדרג את </t>
    </r>
    <r>
      <rPr>
        <u/>
        <sz val="11"/>
        <color theme="1"/>
        <rFont val="Calibri"/>
        <family val="2"/>
        <charset val="177"/>
        <scheme val="minor"/>
      </rPr>
      <t>המערך</t>
    </r>
    <r>
      <rPr>
        <sz val="11"/>
        <color theme="1"/>
        <rFont val="Calibri"/>
        <family val="2"/>
        <charset val="177"/>
        <scheme val="minor"/>
      </rPr>
      <t xml:space="preserve"> על סולמות אלה: </t>
    </r>
    <r>
      <rPr>
        <b/>
        <sz val="11"/>
        <color theme="1"/>
        <rFont val="Calibri"/>
        <family val="2"/>
        <charset val="177"/>
        <scheme val="minor"/>
      </rPr>
      <t>ישרה-מושחתת</t>
    </r>
  </si>
  <si>
    <r>
      <t xml:space="preserve">עכשיו אתה מתבקש לדרג את </t>
    </r>
    <r>
      <rPr>
        <u/>
        <sz val="11"/>
        <color theme="1"/>
        <rFont val="Calibri"/>
        <family val="2"/>
        <charset val="177"/>
        <scheme val="minor"/>
      </rPr>
      <t>המערך</t>
    </r>
    <r>
      <rPr>
        <sz val="11"/>
        <color theme="1"/>
        <rFont val="Calibri"/>
        <family val="2"/>
        <charset val="177"/>
        <scheme val="minor"/>
      </rPr>
      <t xml:space="preserve"> על סולמות אלה: </t>
    </r>
    <r>
      <rPr>
        <b/>
        <sz val="11"/>
        <color theme="1"/>
        <rFont val="Calibri"/>
        <family val="2"/>
        <charset val="177"/>
        <scheme val="minor"/>
      </rPr>
      <t>חסרת ניסיון-בעלת ניסיון</t>
    </r>
  </si>
  <si>
    <r>
      <t xml:space="preserve">עכשיו אתה מתבקש לדרג את </t>
    </r>
    <r>
      <rPr>
        <u/>
        <sz val="11"/>
        <color theme="1"/>
        <rFont val="Calibri"/>
        <family val="2"/>
        <charset val="177"/>
        <scheme val="minor"/>
      </rPr>
      <t>המערך</t>
    </r>
    <r>
      <rPr>
        <sz val="11"/>
        <color theme="1"/>
        <rFont val="Calibri"/>
        <family val="2"/>
        <charset val="177"/>
        <scheme val="minor"/>
      </rPr>
      <t xml:space="preserve"> על סולמות אלה: </t>
    </r>
    <r>
      <rPr>
        <b/>
        <sz val="11"/>
        <color theme="1"/>
        <rFont val="Calibri"/>
        <family val="2"/>
        <charset val="177"/>
        <scheme val="minor"/>
      </rPr>
      <t>בלתי אמינה-אמינה</t>
    </r>
  </si>
  <si>
    <r>
      <t xml:space="preserve">עכשיו אתה מתבקש לדרג את </t>
    </r>
    <r>
      <rPr>
        <u/>
        <sz val="11"/>
        <color theme="1"/>
        <rFont val="Calibri"/>
        <family val="2"/>
        <charset val="177"/>
        <scheme val="minor"/>
      </rPr>
      <t>המערך</t>
    </r>
    <r>
      <rPr>
        <sz val="11"/>
        <color theme="1"/>
        <rFont val="Calibri"/>
        <family val="2"/>
        <charset val="177"/>
        <scheme val="minor"/>
      </rPr>
      <t xml:space="preserve"> על סולמות אלה: </t>
    </r>
    <r>
      <rPr>
        <b/>
        <sz val="11"/>
        <color theme="1"/>
        <rFont val="Calibri"/>
        <family val="2"/>
        <charset val="177"/>
        <scheme val="minor"/>
      </rPr>
      <t>יונית-ניצית</t>
    </r>
  </si>
  <si>
    <r>
      <t xml:space="preserve">עכשיו אתה מתבקש לדרג את </t>
    </r>
    <r>
      <rPr>
        <u/>
        <sz val="11"/>
        <color theme="1"/>
        <rFont val="Calibri"/>
        <family val="2"/>
        <charset val="177"/>
        <scheme val="minor"/>
      </rPr>
      <t>הליכוד</t>
    </r>
    <r>
      <rPr>
        <sz val="11"/>
        <color theme="1"/>
        <rFont val="Calibri"/>
        <family val="2"/>
        <charset val="177"/>
        <scheme val="minor"/>
      </rPr>
      <t xml:space="preserve"> על סולמות אלה: </t>
    </r>
    <r>
      <rPr>
        <b/>
        <sz val="11"/>
        <color theme="1"/>
        <rFont val="Calibri"/>
        <family val="2"/>
        <charset val="177"/>
        <scheme val="minor"/>
      </rPr>
      <t>צעירה-זקנה</t>
    </r>
  </si>
  <si>
    <r>
      <t xml:space="preserve">עכשיו אתה מתבקש לדרג את </t>
    </r>
    <r>
      <rPr>
        <u/>
        <sz val="11"/>
        <color theme="1"/>
        <rFont val="Calibri"/>
        <family val="2"/>
        <charset val="177"/>
        <scheme val="minor"/>
      </rPr>
      <t>הליכוד</t>
    </r>
    <r>
      <rPr>
        <sz val="11"/>
        <color theme="1"/>
        <rFont val="Calibri"/>
        <family val="2"/>
        <charset val="177"/>
        <scheme val="minor"/>
      </rPr>
      <t xml:space="preserve"> על סולמות אלה: </t>
    </r>
    <r>
      <rPr>
        <b/>
        <sz val="11"/>
        <color theme="1"/>
        <rFont val="Calibri"/>
        <family val="2"/>
        <charset val="177"/>
        <scheme val="minor"/>
      </rPr>
      <t>חזקה-חלשה</t>
    </r>
  </si>
  <si>
    <r>
      <t xml:space="preserve">עכשיו אתה מתבקש לדרג את </t>
    </r>
    <r>
      <rPr>
        <u/>
        <sz val="11"/>
        <color theme="1"/>
        <rFont val="Calibri"/>
        <family val="2"/>
        <charset val="177"/>
        <scheme val="minor"/>
      </rPr>
      <t>הליכוד</t>
    </r>
    <r>
      <rPr>
        <sz val="11"/>
        <color theme="1"/>
        <rFont val="Calibri"/>
        <family val="2"/>
        <charset val="177"/>
        <scheme val="minor"/>
      </rPr>
      <t xml:space="preserve"> על סולמות אלה: </t>
    </r>
    <r>
      <rPr>
        <b/>
        <sz val="11"/>
        <color theme="1"/>
        <rFont val="Calibri"/>
        <family val="2"/>
        <charset val="177"/>
        <scheme val="minor"/>
      </rPr>
      <t>ימנית-שמאלית</t>
    </r>
  </si>
  <si>
    <r>
      <t xml:space="preserve">עכשיו אתה מתבקש לדרג את </t>
    </r>
    <r>
      <rPr>
        <u/>
        <sz val="11"/>
        <color theme="1"/>
        <rFont val="Calibri"/>
        <family val="2"/>
        <charset val="177"/>
        <scheme val="minor"/>
      </rPr>
      <t>הליכוד</t>
    </r>
    <r>
      <rPr>
        <sz val="11"/>
        <color theme="1"/>
        <rFont val="Calibri"/>
        <family val="2"/>
        <charset val="177"/>
        <scheme val="minor"/>
      </rPr>
      <t xml:space="preserve"> על סולמות אלה: </t>
    </r>
    <r>
      <rPr>
        <b/>
        <sz val="11"/>
        <color theme="1"/>
        <rFont val="Calibri"/>
        <family val="2"/>
        <charset val="177"/>
        <scheme val="minor"/>
      </rPr>
      <t>מיושנת-חדשנית</t>
    </r>
  </si>
  <si>
    <r>
      <t xml:space="preserve">עכשיו אתה מתבקש לדרג את </t>
    </r>
    <r>
      <rPr>
        <u/>
        <sz val="11"/>
        <color theme="1"/>
        <rFont val="Calibri"/>
        <family val="2"/>
        <charset val="177"/>
        <scheme val="minor"/>
      </rPr>
      <t>הליכוד</t>
    </r>
    <r>
      <rPr>
        <sz val="11"/>
        <color theme="1"/>
        <rFont val="Calibri"/>
        <family val="2"/>
        <charset val="177"/>
        <scheme val="minor"/>
      </rPr>
      <t xml:space="preserve"> על סולמות אלה: </t>
    </r>
    <r>
      <rPr>
        <b/>
        <sz val="11"/>
        <color theme="1"/>
        <rFont val="Calibri"/>
        <family val="2"/>
        <charset val="177"/>
        <scheme val="minor"/>
      </rPr>
      <t>מעמד ביניים-מעמד פועלים</t>
    </r>
  </si>
  <si>
    <r>
      <t xml:space="preserve">עכשיו אתה מתבקש לדרג את </t>
    </r>
    <r>
      <rPr>
        <u/>
        <sz val="11"/>
        <color theme="1"/>
        <rFont val="Calibri"/>
        <family val="2"/>
        <charset val="177"/>
        <scheme val="minor"/>
      </rPr>
      <t>הליכוד</t>
    </r>
    <r>
      <rPr>
        <sz val="11"/>
        <color theme="1"/>
        <rFont val="Calibri"/>
        <family val="2"/>
        <charset val="177"/>
        <scheme val="minor"/>
      </rPr>
      <t xml:space="preserve"> על סולמות אלה: </t>
    </r>
    <r>
      <rPr>
        <b/>
        <sz val="11"/>
        <color theme="1"/>
        <rFont val="Calibri"/>
        <family val="2"/>
        <charset val="177"/>
        <scheme val="minor"/>
      </rPr>
      <t>ספרדית-אשכנזית</t>
    </r>
  </si>
  <si>
    <r>
      <t xml:space="preserve">עכשיו אתה מתבקש לדרג את </t>
    </r>
    <r>
      <rPr>
        <u/>
        <sz val="11"/>
        <color theme="1"/>
        <rFont val="Calibri"/>
        <family val="2"/>
        <charset val="177"/>
        <scheme val="minor"/>
      </rPr>
      <t>הליכוד</t>
    </r>
    <r>
      <rPr>
        <sz val="11"/>
        <color theme="1"/>
        <rFont val="Calibri"/>
        <family val="2"/>
        <charset val="177"/>
        <scheme val="minor"/>
      </rPr>
      <t xml:space="preserve"> על סולמות אלה: </t>
    </r>
    <r>
      <rPr>
        <b/>
        <sz val="11"/>
        <color theme="1"/>
        <rFont val="Calibri"/>
        <family val="2"/>
        <charset val="177"/>
        <scheme val="minor"/>
      </rPr>
      <t>דואגת בעיקר לעצמה-דואגת בעיקר לאזרח</t>
    </r>
  </si>
  <si>
    <r>
      <t xml:space="preserve">עכשיו אתה מתבקש לדרג את </t>
    </r>
    <r>
      <rPr>
        <u/>
        <sz val="11"/>
        <color theme="1"/>
        <rFont val="Calibri"/>
        <family val="2"/>
        <charset val="177"/>
        <scheme val="minor"/>
      </rPr>
      <t>הליכוד</t>
    </r>
    <r>
      <rPr>
        <sz val="11"/>
        <color theme="1"/>
        <rFont val="Calibri"/>
        <family val="2"/>
        <charset val="177"/>
        <scheme val="minor"/>
      </rPr>
      <t xml:space="preserve"> על סולמות אלה: </t>
    </r>
    <r>
      <rPr>
        <b/>
        <sz val="11"/>
        <color theme="1"/>
        <rFont val="Calibri"/>
        <family val="2"/>
        <charset val="177"/>
        <scheme val="minor"/>
      </rPr>
      <t>ישרה-מושחתת</t>
    </r>
  </si>
  <si>
    <r>
      <t xml:space="preserve">עכשיו אתה מתבקש לדרג את </t>
    </r>
    <r>
      <rPr>
        <u/>
        <sz val="11"/>
        <color theme="1"/>
        <rFont val="Calibri"/>
        <family val="2"/>
        <charset val="177"/>
        <scheme val="minor"/>
      </rPr>
      <t>הליכוד</t>
    </r>
    <r>
      <rPr>
        <sz val="11"/>
        <color theme="1"/>
        <rFont val="Calibri"/>
        <family val="2"/>
        <charset val="177"/>
        <scheme val="minor"/>
      </rPr>
      <t xml:space="preserve"> על סולמות אלה: </t>
    </r>
    <r>
      <rPr>
        <b/>
        <sz val="11"/>
        <color theme="1"/>
        <rFont val="Calibri"/>
        <family val="2"/>
        <charset val="177"/>
        <scheme val="minor"/>
      </rPr>
      <t>חסרת ניסיון-בעלת ניסיון</t>
    </r>
  </si>
  <si>
    <r>
      <t xml:space="preserve">עכשיו אתה מתבקש לדרג את </t>
    </r>
    <r>
      <rPr>
        <u/>
        <sz val="11"/>
        <color theme="1"/>
        <rFont val="Calibri"/>
        <family val="2"/>
        <charset val="177"/>
        <scheme val="minor"/>
      </rPr>
      <t>הליכוד</t>
    </r>
    <r>
      <rPr>
        <sz val="11"/>
        <color theme="1"/>
        <rFont val="Calibri"/>
        <family val="2"/>
        <charset val="177"/>
        <scheme val="minor"/>
      </rPr>
      <t xml:space="preserve"> על סולמות אלה: </t>
    </r>
    <r>
      <rPr>
        <b/>
        <sz val="11"/>
        <color theme="1"/>
        <rFont val="Calibri"/>
        <family val="2"/>
        <charset val="177"/>
        <scheme val="minor"/>
      </rPr>
      <t>בלתי אמינה-אמינה</t>
    </r>
  </si>
  <si>
    <r>
      <t xml:space="preserve">עכשיו אתה מתבקש לדרג את </t>
    </r>
    <r>
      <rPr>
        <u/>
        <sz val="11"/>
        <color theme="1"/>
        <rFont val="Calibri"/>
        <family val="2"/>
        <charset val="177"/>
        <scheme val="minor"/>
      </rPr>
      <t>הליכוד</t>
    </r>
    <r>
      <rPr>
        <sz val="11"/>
        <color theme="1"/>
        <rFont val="Calibri"/>
        <family val="2"/>
        <charset val="177"/>
        <scheme val="minor"/>
      </rPr>
      <t xml:space="preserve"> על סולמות אלה: </t>
    </r>
    <r>
      <rPr>
        <b/>
        <sz val="11"/>
        <color theme="1"/>
        <rFont val="Calibri"/>
        <family val="2"/>
        <charset val="177"/>
        <scheme val="minor"/>
      </rPr>
      <t>יונית-ניצית</t>
    </r>
  </si>
  <si>
    <r>
      <t>לפניך רשימת של תכונות והיפוכן. לגבי כל אחת מהן ציין מה מתאים ל</t>
    </r>
    <r>
      <rPr>
        <u/>
        <sz val="11"/>
        <color theme="1"/>
        <rFont val="Calibri"/>
        <family val="2"/>
        <charset val="177"/>
        <scheme val="minor"/>
      </rPr>
      <t>מערכת הבחירות המתנהלת</t>
    </r>
    <r>
      <rPr>
        <sz val="11"/>
        <color theme="1"/>
        <rFont val="Calibri"/>
        <family val="2"/>
        <charset val="177"/>
        <scheme val="minor"/>
      </rPr>
      <t xml:space="preserve">: </t>
    </r>
    <r>
      <rPr>
        <b/>
        <sz val="11"/>
        <color theme="1"/>
        <rFont val="Calibri"/>
        <family val="2"/>
        <charset val="177"/>
        <scheme val="minor"/>
      </rPr>
      <t>חיובית-שלילית</t>
    </r>
  </si>
  <si>
    <r>
      <t>לפניך רשימת של תכונות והיפוכן. לגבי כל אחת מהן ציין מה מתאים ל</t>
    </r>
    <r>
      <rPr>
        <u/>
        <sz val="11"/>
        <color theme="1"/>
        <rFont val="Calibri"/>
        <family val="2"/>
        <charset val="177"/>
        <scheme val="minor"/>
      </rPr>
      <t>מערכת הבחירות המתנהלת</t>
    </r>
    <r>
      <rPr>
        <sz val="11"/>
        <color theme="1"/>
        <rFont val="Calibri"/>
        <family val="2"/>
        <charset val="177"/>
        <scheme val="minor"/>
      </rPr>
      <t xml:space="preserve">: </t>
    </r>
    <r>
      <rPr>
        <b/>
        <sz val="11"/>
        <color theme="1"/>
        <rFont val="Calibri"/>
        <family val="2"/>
        <charset val="177"/>
        <scheme val="minor"/>
      </rPr>
      <t>קצרה-ארוכה</t>
    </r>
  </si>
  <si>
    <r>
      <t>לפניך רשימת של תכונות והיפוכן. לגבי כל אחת מהן ציין מה מתאים ל</t>
    </r>
    <r>
      <rPr>
        <u/>
        <sz val="11"/>
        <color theme="1"/>
        <rFont val="Calibri"/>
        <family val="2"/>
        <charset val="177"/>
        <scheme val="minor"/>
      </rPr>
      <t>מערכת הבחירות המתנהלת</t>
    </r>
    <r>
      <rPr>
        <sz val="11"/>
        <color theme="1"/>
        <rFont val="Calibri"/>
        <family val="2"/>
        <charset val="177"/>
        <scheme val="minor"/>
      </rPr>
      <t xml:space="preserve">: </t>
    </r>
    <r>
      <rPr>
        <b/>
        <sz val="11"/>
        <color theme="1"/>
        <rFont val="Calibri"/>
        <family val="2"/>
        <charset val="177"/>
        <scheme val="minor"/>
      </rPr>
      <t>חינוכית-בלתי חינוכית</t>
    </r>
  </si>
  <si>
    <r>
      <t>לפניך רשימת של תכונות והיפוכן. לגבי כל אחת מהן ציין מה מתאים ל</t>
    </r>
    <r>
      <rPr>
        <u/>
        <sz val="11"/>
        <color theme="1"/>
        <rFont val="Calibri"/>
        <family val="2"/>
        <charset val="177"/>
        <scheme val="minor"/>
      </rPr>
      <t>מערכת הבחירות המתנהלת</t>
    </r>
    <r>
      <rPr>
        <sz val="11"/>
        <color theme="1"/>
        <rFont val="Calibri"/>
        <family val="2"/>
        <charset val="177"/>
        <scheme val="minor"/>
      </rPr>
      <t xml:space="preserve">: </t>
    </r>
    <r>
      <rPr>
        <b/>
        <sz val="11"/>
        <color theme="1"/>
        <rFont val="Calibri"/>
        <family val="2"/>
        <charset val="177"/>
        <scheme val="minor"/>
      </rPr>
      <t>עוזרת להחליט בעד מי להצביע-לא עוזרת להחליט</t>
    </r>
  </si>
  <si>
    <r>
      <t>לפניך רשימת של תכונות והיפוכן. לגבי כל אחת מהן ציין מה מתאים ל</t>
    </r>
    <r>
      <rPr>
        <u/>
        <sz val="11"/>
        <color theme="1"/>
        <rFont val="Calibri"/>
        <family val="2"/>
        <charset val="177"/>
        <scheme val="minor"/>
      </rPr>
      <t>מערכת הבחירות המתנהלת</t>
    </r>
    <r>
      <rPr>
        <sz val="11"/>
        <color theme="1"/>
        <rFont val="Calibri"/>
        <family val="2"/>
        <charset val="177"/>
        <scheme val="minor"/>
      </rPr>
      <t xml:space="preserve">: </t>
    </r>
    <r>
      <rPr>
        <b/>
        <sz val="11"/>
        <color theme="1"/>
        <rFont val="Calibri"/>
        <family val="2"/>
        <charset val="177"/>
        <scheme val="minor"/>
      </rPr>
      <t>עוזרת להבין את בעיות המדינה-לא עוזרת להבין</t>
    </r>
  </si>
  <si>
    <r>
      <t>לפניך רשימת של תכונות והיפוכן. לגבי כל אחת מהן ציין מה מתאים ל</t>
    </r>
    <r>
      <rPr>
        <u/>
        <sz val="11"/>
        <color theme="1"/>
        <rFont val="Calibri"/>
        <family val="2"/>
        <charset val="177"/>
        <scheme val="minor"/>
      </rPr>
      <t>מערכת הבחירות המתנהלת</t>
    </r>
    <r>
      <rPr>
        <sz val="11"/>
        <color theme="1"/>
        <rFont val="Calibri"/>
        <family val="2"/>
        <charset val="177"/>
        <scheme val="minor"/>
      </rPr>
      <t xml:space="preserve">: </t>
    </r>
    <r>
      <rPr>
        <b/>
        <sz val="11"/>
        <color theme="1"/>
        <rFont val="Calibri"/>
        <family val="2"/>
        <charset val="177"/>
        <scheme val="minor"/>
      </rPr>
      <t>עוזרת להכיר את ההבדלים בין המפלגות-לא עוזרת להכיר</t>
    </r>
  </si>
  <si>
    <r>
      <t>לפניך רשימת של תכונות והיפוכן. לגבי כל אחת מהן ציין מה מתאים ל</t>
    </r>
    <r>
      <rPr>
        <u/>
        <sz val="11"/>
        <color theme="1"/>
        <rFont val="Calibri"/>
        <family val="2"/>
        <charset val="177"/>
        <scheme val="minor"/>
      </rPr>
      <t>מערכת הבחירות המתנהלת</t>
    </r>
    <r>
      <rPr>
        <sz val="11"/>
        <color theme="1"/>
        <rFont val="Calibri"/>
        <family val="2"/>
        <charset val="177"/>
        <scheme val="minor"/>
      </rPr>
      <t xml:space="preserve">: </t>
    </r>
    <r>
      <rPr>
        <b/>
        <sz val="11"/>
        <color theme="1"/>
        <rFont val="Calibri"/>
        <family val="2"/>
        <charset val="177"/>
        <scheme val="minor"/>
      </rPr>
      <t>מאחדת את העם-מפוררת את העם</t>
    </r>
  </si>
  <si>
    <r>
      <t>לפניך רשימת של תכונות והיפוכן. לגבי כל אחת מהן ציין מה מתאים ל</t>
    </r>
    <r>
      <rPr>
        <u/>
        <sz val="11"/>
        <color theme="1"/>
        <rFont val="Calibri"/>
        <family val="2"/>
        <charset val="177"/>
        <scheme val="minor"/>
      </rPr>
      <t>מערכת הבחירות המתנהלת</t>
    </r>
    <r>
      <rPr>
        <sz val="11"/>
        <color theme="1"/>
        <rFont val="Calibri"/>
        <family val="2"/>
        <charset val="177"/>
        <scheme val="minor"/>
      </rPr>
      <t xml:space="preserve">: </t>
    </r>
    <r>
      <rPr>
        <b/>
        <sz val="11"/>
        <color theme="1"/>
        <rFont val="Calibri"/>
        <family val="2"/>
        <charset val="177"/>
        <scheme val="minor"/>
      </rPr>
      <t>עוזרת להכיר את המנהיגים-לא עוזרת להכיר</t>
    </r>
  </si>
  <si>
    <r>
      <t>לפניך רשימת של תכונות והיפוכן. לגבי כל אחת מהן ציין מה מתאים ל</t>
    </r>
    <r>
      <rPr>
        <u/>
        <sz val="11"/>
        <color theme="1"/>
        <rFont val="Calibri"/>
        <family val="2"/>
        <charset val="177"/>
        <scheme val="minor"/>
      </rPr>
      <t>מערכת הבחירות המתנהלת</t>
    </r>
    <r>
      <rPr>
        <sz val="11"/>
        <color theme="1"/>
        <rFont val="Calibri"/>
        <family val="2"/>
        <charset val="177"/>
        <scheme val="minor"/>
      </rPr>
      <t xml:space="preserve">: </t>
    </r>
    <r>
      <rPr>
        <b/>
        <sz val="11"/>
        <color theme="1"/>
        <rFont val="Calibri"/>
        <family val="2"/>
        <charset val="177"/>
        <scheme val="minor"/>
      </rPr>
      <t>נותנת תחושה של שייכות למדינה-לא נותנת תחושה של שייכות למדינה</t>
    </r>
  </si>
  <si>
    <r>
      <t>לפניך רשימת של תכונות והיפוכן. לגבי כל אחת מהן ציין מה מתאים ל</t>
    </r>
    <r>
      <rPr>
        <u/>
        <sz val="11"/>
        <color theme="1"/>
        <rFont val="Calibri"/>
        <family val="2"/>
        <charset val="177"/>
        <scheme val="minor"/>
      </rPr>
      <t>מערכת הבחירות המתנהלת</t>
    </r>
    <r>
      <rPr>
        <sz val="11"/>
        <color theme="1"/>
        <rFont val="Calibri"/>
        <family val="2"/>
        <charset val="177"/>
        <scheme val="minor"/>
      </rPr>
      <t xml:space="preserve">: </t>
    </r>
    <r>
      <rPr>
        <b/>
        <sz val="11"/>
        <color theme="1"/>
        <rFont val="Calibri"/>
        <family val="2"/>
        <charset val="177"/>
        <scheme val="minor"/>
      </rPr>
      <t>בזבזנית-שווה את ההשקעה</t>
    </r>
  </si>
  <si>
    <r>
      <t>לפניך רשימת של תכונות והיפוכן. לגבי כל אחת מהן ציין מה מתאים ל</t>
    </r>
    <r>
      <rPr>
        <u/>
        <sz val="11"/>
        <color theme="1"/>
        <rFont val="Calibri"/>
        <family val="2"/>
        <charset val="177"/>
        <scheme val="minor"/>
      </rPr>
      <t>מערכת הבחירות המתנהלת</t>
    </r>
    <r>
      <rPr>
        <sz val="11"/>
        <color theme="1"/>
        <rFont val="Calibri"/>
        <family val="2"/>
        <charset val="177"/>
        <scheme val="minor"/>
      </rPr>
      <t xml:space="preserve">: </t>
    </r>
    <r>
      <rPr>
        <b/>
        <sz val="11"/>
        <color theme="1"/>
        <rFont val="Calibri"/>
        <family val="2"/>
        <charset val="177"/>
        <scheme val="minor"/>
      </rPr>
      <t>גורלית-לא משנה הרבה</t>
    </r>
  </si>
  <si>
    <r>
      <t>לפניך רשימת של תכונות והיפוכן. לגבי כל אחת מהן ציין מה מתאים ל</t>
    </r>
    <r>
      <rPr>
        <u/>
        <sz val="11"/>
        <color theme="1"/>
        <rFont val="Calibri"/>
        <family val="2"/>
        <charset val="177"/>
        <scheme val="minor"/>
      </rPr>
      <t>מערכת הבחירות המתנהלת</t>
    </r>
    <r>
      <rPr>
        <sz val="11"/>
        <color theme="1"/>
        <rFont val="Calibri"/>
        <family val="2"/>
        <charset val="177"/>
        <scheme val="minor"/>
      </rPr>
      <t xml:space="preserve">: </t>
    </r>
    <r>
      <rPr>
        <b/>
        <sz val="11"/>
        <color theme="1"/>
        <rFont val="Calibri"/>
        <family val="2"/>
        <charset val="177"/>
        <scheme val="minor"/>
      </rPr>
      <t>חשובה-לא חשובה</t>
    </r>
  </si>
  <si>
    <r>
      <t>לפניך רשימת של תכונות והיפוכן. לגבי כל אחת מהן ציין מה מתאים ל</t>
    </r>
    <r>
      <rPr>
        <u/>
        <sz val="11"/>
        <color theme="1"/>
        <rFont val="Calibri"/>
        <family val="2"/>
        <charset val="177"/>
        <scheme val="minor"/>
      </rPr>
      <t>מדינת ישראל</t>
    </r>
    <r>
      <rPr>
        <sz val="11"/>
        <color theme="1"/>
        <rFont val="Calibri"/>
        <family val="2"/>
        <charset val="177"/>
        <scheme val="minor"/>
      </rPr>
      <t xml:space="preserve">: </t>
    </r>
    <r>
      <rPr>
        <b/>
        <sz val="11"/>
        <color theme="1"/>
        <rFont val="Calibri"/>
        <family val="2"/>
        <charset val="177"/>
        <scheme val="minor"/>
      </rPr>
      <t>חזקה-חלשה</t>
    </r>
  </si>
  <si>
    <r>
      <t>לפניך רשימת של תכונות והיפוכן. לגבי כל אחת מהן ציין מה מתאים ל</t>
    </r>
    <r>
      <rPr>
        <u/>
        <sz val="11"/>
        <color theme="1"/>
        <rFont val="Calibri"/>
        <family val="2"/>
        <charset val="177"/>
        <scheme val="minor"/>
      </rPr>
      <t>מדינת ישראל</t>
    </r>
    <r>
      <rPr>
        <sz val="11"/>
        <color theme="1"/>
        <rFont val="Calibri"/>
        <family val="2"/>
        <charset val="177"/>
        <scheme val="minor"/>
      </rPr>
      <t xml:space="preserve">: </t>
    </r>
    <r>
      <rPr>
        <b/>
        <sz val="11"/>
        <color theme="1"/>
        <rFont val="Calibri"/>
        <family val="2"/>
        <charset val="177"/>
        <scheme val="minor"/>
      </rPr>
      <t>נותנת תקווה-נותנת ייאוש</t>
    </r>
  </si>
  <si>
    <r>
      <t>לפניך רשימת של תכונות והיפוכן. לגבי כל אחת מהן ציין מה מתאים ל</t>
    </r>
    <r>
      <rPr>
        <u/>
        <sz val="11"/>
        <color theme="1"/>
        <rFont val="Calibri"/>
        <family val="2"/>
        <charset val="177"/>
        <scheme val="minor"/>
      </rPr>
      <t>מדינת ישראל</t>
    </r>
    <r>
      <rPr>
        <sz val="11"/>
        <color theme="1"/>
        <rFont val="Calibri"/>
        <family val="2"/>
        <charset val="177"/>
        <scheme val="minor"/>
      </rPr>
      <t xml:space="preserve">: </t>
    </r>
    <r>
      <rPr>
        <b/>
        <sz val="11"/>
        <color theme="1"/>
        <rFont val="Calibri"/>
        <family val="2"/>
        <charset val="177"/>
        <scheme val="minor"/>
      </rPr>
      <t>צודקת-לא צודקת</t>
    </r>
  </si>
  <si>
    <r>
      <t>לפניך רשימת של תכונות והיפוכן. לגבי כל אחת מהן ציין מה מתאים ל</t>
    </r>
    <r>
      <rPr>
        <u/>
        <sz val="11"/>
        <color theme="1"/>
        <rFont val="Calibri"/>
        <family val="2"/>
        <charset val="177"/>
        <scheme val="minor"/>
      </rPr>
      <t>מדינת ישראל</t>
    </r>
    <r>
      <rPr>
        <sz val="11"/>
        <color theme="1"/>
        <rFont val="Calibri"/>
        <family val="2"/>
        <charset val="177"/>
        <scheme val="minor"/>
      </rPr>
      <t xml:space="preserve">: </t>
    </r>
    <r>
      <rPr>
        <b/>
        <sz val="11"/>
        <color theme="1"/>
        <rFont val="Calibri"/>
        <family val="2"/>
        <charset val="177"/>
        <scheme val="minor"/>
      </rPr>
      <t>המקום שאני רוצה לחיות בו-המקום שאין אני רוצה לחיות בו</t>
    </r>
  </si>
  <si>
    <r>
      <t>לפניך רשימת של תכונות והיפוכן. לגבי כל אחת מהן ציין מה מתאים ל</t>
    </r>
    <r>
      <rPr>
        <u/>
        <sz val="11"/>
        <color theme="1"/>
        <rFont val="Calibri"/>
        <family val="2"/>
        <charset val="177"/>
        <scheme val="minor"/>
      </rPr>
      <t>מדינת ישראל</t>
    </r>
    <r>
      <rPr>
        <sz val="11"/>
        <color theme="1"/>
        <rFont val="Calibri"/>
        <family val="2"/>
        <charset val="177"/>
        <scheme val="minor"/>
      </rPr>
      <t xml:space="preserve">: </t>
    </r>
    <r>
      <rPr>
        <b/>
        <sz val="11"/>
        <color theme="1"/>
        <rFont val="Calibri"/>
        <family val="2"/>
        <charset val="177"/>
        <scheme val="minor"/>
      </rPr>
      <t>מקום שכל היהודים חייבים לעלות אליו-לא מקום שכל היהודים חייבים לעלות אליו</t>
    </r>
  </si>
  <si>
    <r>
      <t>לפניך רשימת של תכונות והיפוכן. לגבי כל אחת מהן ציין מה מתאים ל</t>
    </r>
    <r>
      <rPr>
        <u/>
        <sz val="11"/>
        <color theme="1"/>
        <rFont val="Calibri"/>
        <family val="2"/>
        <charset val="177"/>
        <scheme val="minor"/>
      </rPr>
      <t>מדינת ישראל</t>
    </r>
    <r>
      <rPr>
        <sz val="11"/>
        <color theme="1"/>
        <rFont val="Calibri"/>
        <family val="2"/>
        <charset val="177"/>
        <scheme val="minor"/>
      </rPr>
      <t xml:space="preserve">: </t>
    </r>
    <r>
      <rPr>
        <b/>
        <sz val="11"/>
        <color theme="1"/>
        <rFont val="Calibri"/>
        <family val="2"/>
        <charset val="177"/>
        <scheme val="minor"/>
      </rPr>
      <t>דמוקרטית-לא דמוקרטית</t>
    </r>
  </si>
  <si>
    <r>
      <t>לפניך רשימת של תכונות והיפוכן. לגבי כל אחת מהן ציין מה מתאים ל</t>
    </r>
    <r>
      <rPr>
        <u/>
        <sz val="11"/>
        <color theme="1"/>
        <rFont val="Calibri"/>
        <family val="2"/>
        <charset val="177"/>
        <scheme val="minor"/>
      </rPr>
      <t>מדינת ישראל</t>
    </r>
    <r>
      <rPr>
        <sz val="11"/>
        <color theme="1"/>
        <rFont val="Calibri"/>
        <family val="2"/>
        <charset val="177"/>
        <scheme val="minor"/>
      </rPr>
      <t xml:space="preserve">: </t>
    </r>
    <r>
      <rPr>
        <b/>
        <sz val="11"/>
        <color theme="1"/>
        <rFont val="Calibri"/>
        <family val="2"/>
        <charset val="177"/>
        <scheme val="minor"/>
      </rPr>
      <t>יש בה צדק חברתי-אין בה צדק חברתי</t>
    </r>
  </si>
  <si>
    <r>
      <t>לפניך רשימת של תכונות והיפוכן. לגבי כל אחת מהן ציין מה מתאים ל</t>
    </r>
    <r>
      <rPr>
        <u/>
        <sz val="11"/>
        <color theme="1"/>
        <rFont val="Calibri"/>
        <family val="2"/>
        <charset val="177"/>
        <scheme val="minor"/>
      </rPr>
      <t>מדינת ישראל</t>
    </r>
    <r>
      <rPr>
        <sz val="11"/>
        <color theme="1"/>
        <rFont val="Calibri"/>
        <family val="2"/>
        <charset val="177"/>
        <scheme val="minor"/>
      </rPr>
      <t xml:space="preserve">: </t>
    </r>
    <r>
      <rPr>
        <b/>
        <sz val="11"/>
        <color theme="1"/>
        <rFont val="Calibri"/>
        <family val="2"/>
        <charset val="177"/>
        <scheme val="minor"/>
      </rPr>
      <t>מוכנה לחיות בשכנות טובה עם ארצות ערב-לא מוכנה לחיות בשכנות טובה עם ארצות ערב</t>
    </r>
  </si>
  <si>
    <r>
      <t>לפניך רשימת של תכונות והיפוכן. לגבי כל אחת מהן ציין מה מתאים ל</t>
    </r>
    <r>
      <rPr>
        <u/>
        <sz val="11"/>
        <color theme="1"/>
        <rFont val="Calibri"/>
        <family val="2"/>
        <charset val="177"/>
        <scheme val="minor"/>
      </rPr>
      <t>מדינת ישראל</t>
    </r>
    <r>
      <rPr>
        <sz val="11"/>
        <color theme="1"/>
        <rFont val="Calibri"/>
        <family val="2"/>
        <charset val="177"/>
        <scheme val="minor"/>
      </rPr>
      <t xml:space="preserve">: </t>
    </r>
    <r>
      <rPr>
        <b/>
        <sz val="11"/>
        <color theme="1"/>
        <rFont val="Calibri"/>
        <family val="2"/>
        <charset val="177"/>
        <scheme val="minor"/>
      </rPr>
      <t>שוחרת שלום-מחרחרת מלחמה</t>
    </r>
  </si>
  <si>
    <r>
      <t>לפניך רשימת של תכונות והיפוכן. לגבי כל אחת מהן ציין מה מתאים ל</t>
    </r>
    <r>
      <rPr>
        <u/>
        <sz val="11"/>
        <color theme="1"/>
        <rFont val="Calibri"/>
        <family val="2"/>
        <charset val="177"/>
        <scheme val="minor"/>
      </rPr>
      <t>מדינת ישראל</t>
    </r>
    <r>
      <rPr>
        <sz val="11"/>
        <color theme="1"/>
        <rFont val="Calibri"/>
        <family val="2"/>
        <charset val="177"/>
        <scheme val="minor"/>
      </rPr>
      <t xml:space="preserve">: </t>
    </r>
    <r>
      <rPr>
        <b/>
        <sz val="11"/>
        <color theme="1"/>
        <rFont val="Calibri"/>
        <family val="2"/>
        <charset val="177"/>
        <scheme val="minor"/>
      </rPr>
      <t>התגשמות החלום הציוני-לא התגשמות החלום הציוני</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</si>
  <si>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</si>
  <si>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</si>
  <si>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</si>
  <si>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</si>
  <si>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</si>
  <si>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</si>
  <si>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ידע לעמוד בתוקף במו"מ על שטחים ושלום</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</si>
  <si>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ארבע שנים אינן מספיקות כדי לבנות מה שהמערך הרס ב-30 שנה</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</si>
  <si>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מדיניות הליכוד תגביר את סיכויי השלום</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</si>
  <si>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הליכוד יוכל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</si>
  <si>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אי אפשר להאמין למנהיגי המערך ולכן יש לתמוך בליכוד</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</si>
  <si>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הליכוד הוא הרע במיעוטו</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</si>
  <si>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המנהיגים של המערך הביאו את המדינה למצבה הקשה ביותר וכן אין לתת להם לחזור לשלטון</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</si>
  <si>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למערך ולדיין אין מדיניות ברורה בענייני חוץ ובטחון ולכן יש לתמוך בליכוד</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</si>
  <si>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האופציה הירדנית של של המערך והרעיונות של דיין יביאו למדינה פלשתינאית ולכן יש לתמוך בליכוד</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</si>
  <si>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חשוב לתת לגורם חדש לנסות את כוחו בשלטון</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</si>
  <si>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הליכוד מציע הנהגה רעננה</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</si>
  <si>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הליכוד יפעל ביד תקיפה להפסיק את השחיתות</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</si>
  <si>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מוסדות הליכוד דמוקרטיים</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</si>
  <si>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המנהיגים של המערך נתנו יד לשחיתות במדינה</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</si>
  <si>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הליכוד יעזור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</si>
  <si>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הליכוד יעזור לי בבעיות אישיות שלי, כגון: דיור, עזרה ממשלתית ועוד</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</si>
  <si>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המערך נכשל בתחום החברה והכלכלה</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</si>
  <si>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הליכוד לא יוותר על שטחים</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</si>
  <si>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המערך אחראי למחדלי המלחמה</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</si>
  <si>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הליכוד מציע מנהיגים טובים</t>
    </r>
  </si>
  <si>
    <r>
      <t xml:space="preserve">לפניך רשימה של נימוקים. באיזו מידה משכנע כל אחד מהנימוקים אלה כדי לתמוך הצבעה </t>
    </r>
    <r>
      <rPr>
        <u/>
        <sz val="11"/>
        <color theme="1"/>
        <rFont val="Calibri"/>
        <family val="2"/>
        <charset val="177"/>
        <scheme val="minor"/>
      </rPr>
      <t>בליכוד</t>
    </r>
    <r>
      <rPr>
        <sz val="11"/>
        <color theme="1"/>
        <rFont val="Calibri"/>
        <family val="2"/>
        <charset val="177"/>
        <scheme val="minor"/>
      </rPr>
      <t xml:space="preserve">: </t>
    </r>
    <r>
      <rPr>
        <b/>
        <sz val="11"/>
        <color theme="1"/>
        <rFont val="Calibri"/>
        <family val="2"/>
        <charset val="177"/>
        <scheme val="minor"/>
      </rPr>
      <t>הליכוד הציע הקמת ממשלת ליכוד לאומית</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</si>
  <si>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</si>
  <si>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</si>
  <si>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</si>
  <si>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</si>
  <si>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</si>
  <si>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</si>
  <si>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ידע לעמוד בתוקף במו"מ על שטחים ושלום</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</si>
  <si>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המערך בעל נסיון בשלטון</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</si>
  <si>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המערך מציע אנשים חדשים ורעיונות טובים לפתור את הבעיות במדינה</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</si>
  <si>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מדיניות המערך תגביר את סיכויי השלום</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</si>
  <si>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המערך יוכל לטפל טוב יותר בבעיות משק וחברה</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</si>
  <si>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המערך מתחדש ושוב ניתן להאמין בו</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</si>
  <si>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המערך הוא הרע במיעוטו</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</si>
  <si>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אחרי ד"ש אין להצביע בשביל מפלגות חדשות ויש לתמוך במערך</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</si>
  <si>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לליכוד אין מנהיגים טובים ולכן יש לתמוך במערך</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</si>
  <si>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האוטונומיה של בגין והרעיונות של דיין יביאו למדינה פלשתינאית ולכן יש לתמוך במערך</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</si>
  <si>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המערך מציע הנהגה רעננה</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</si>
  <si>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גמישות המערך בענייני שטחים עשוייה להביא לשלום</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</si>
  <si>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המערך יפעל ביד תקיפה להפסיק את השחיתות במדינה</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</si>
  <si>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המערך בעד שינוי שיטת הבחירות</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</si>
  <si>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פחד מפני קיצוניות הליכוד</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</si>
  <si>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ד"ש היא כמו המערך, אז למה לנסות משהו שהוא חדש</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</si>
  <si>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לליכוד ולד"ש אין מנהיגים מנוסים</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</si>
  <si>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המערך יעזור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</si>
  <si>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המערך יעזור לי בבעיות אישיות שלי, כגון: דיור, עזרה ממשלתית ועוד</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</si>
  <si>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המערך מציע מנהיגים טובים</t>
    </r>
  </si>
  <si>
    <r>
      <t xml:space="preserve">לפניך רשימה של נימוקים. באיזו מידה משכנע כל אחד מהנימוקים אלה כדי לתמוך הצבעה </t>
    </r>
    <r>
      <rPr>
        <u/>
        <sz val="11"/>
        <color theme="1"/>
        <rFont val="Calibri"/>
        <family val="2"/>
        <charset val="177"/>
        <scheme val="minor"/>
      </rPr>
      <t>במערך</t>
    </r>
    <r>
      <rPr>
        <sz val="11"/>
        <color theme="1"/>
        <rFont val="Calibri"/>
        <family val="2"/>
        <charset val="177"/>
        <scheme val="minor"/>
      </rPr>
      <t xml:space="preserve">: </t>
    </r>
    <r>
      <rPr>
        <b/>
        <sz val="11"/>
        <color theme="1"/>
        <rFont val="Calibri"/>
        <family val="2"/>
        <charset val="177"/>
        <scheme val="minor"/>
      </rPr>
      <t>חשש מפני זעזועים במדינה</t>
    </r>
  </si>
  <si>
    <r>
      <t>לפניך רשימה של נימוקים. באיזו מידה משכנע כל אחד מהנימוקים אלה כדי לתמוך הצבעה</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</si>
  <si>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</si>
  <si>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</si>
  <si>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</si>
  <si>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</si>
  <si>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</si>
  <si>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ידע לעמוד בתוקף במו"מ על שטחים ושלום</t>
    </r>
  </si>
  <si>
    <r>
      <t xml:space="preserve">לפניך רשימה של נימוקים. באיזו מידה משכנע כל אחד מהנימוקים אלה כדי לתמוך הצבעה </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המדיניות של דיין תגביר את סיכויי השלום</t>
    </r>
  </si>
  <si>
    <r>
      <t xml:space="preserve">לפניך רשימה של נימוקים. באיזו מידה משכנע כל אחד מהנימוקים אלה כדי לתמוך הצבעה </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רשימת דיין תוכל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</si>
  <si>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רשימת דיין היא הרע במיעוטו</t>
    </r>
  </si>
  <si>
    <r>
      <t xml:space="preserve">לפניך רשימה של נימוקים. באיזו מידה משכנע כל אחד מהנימוקים אלה כדי לתמוך הצבעה </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המערך והליכוד שניהם גרועים באותה מידה ולכן יש לתמוך בדיין</t>
    </r>
  </si>
  <si>
    <r>
      <t xml:space="preserve">לפניך רשימה של נימוקים. באיזו מידה משכנע כל אחד מהנימוקים אלה כדי לתמוך הצבעה </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לדיין היכולת להביא לשינוי אמיתי במדינה</t>
    </r>
  </si>
  <si>
    <r>
      <t xml:space="preserve">לפניך רשימה של נימוקים. באיזו מידה משכנע כל אחד מהנימוקים אלה כדי לתמוך הצבעה </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המנהיגים של המערך והליכוד הוכיחו שהם לא יכולים לנהל את העניינים ולכן יש לתמוך בדיין</t>
    </r>
  </si>
  <si>
    <r>
      <t xml:space="preserve">לפניך רשימה של נימוקים. באיזו מידה משכנע כל אחד מהנימוקים אלה כדי לתמוך הצבעה </t>
    </r>
    <r>
      <rPr>
        <u/>
        <sz val="11"/>
        <color theme="1"/>
        <rFont val="Calibri"/>
        <family val="2"/>
        <charset val="177"/>
        <scheme val="minor"/>
      </rPr>
      <t xml:space="preserve"> בתל"ם (משה דיין)</t>
    </r>
    <r>
      <rPr>
        <sz val="11"/>
        <color theme="1"/>
        <rFont val="Calibri"/>
        <family val="2"/>
        <charset val="177"/>
        <scheme val="minor"/>
      </rPr>
      <t xml:space="preserve">: </t>
    </r>
    <r>
      <rPr>
        <b/>
        <sz val="11"/>
        <color theme="1"/>
        <rFont val="Calibri"/>
        <family val="2"/>
        <charset val="177"/>
        <scheme val="minor"/>
      </rPr>
      <t>האוטונומיה של בגין והאופוציה הירדנית של המערך יובילו למדינה פלשתינאית ולכן יש לתמוך בדיין</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</si>
  <si>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חשוב לתת לגורם חדש לנסות את כוחו בשלטון</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</si>
  <si>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ד"ש מציעה מנהיגים טובים</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</si>
  <si>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ד"ש מציעה הנהגה רעננה</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</si>
  <si>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המדיניות של ד"ש תגביר את הסיכויים לשלום</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</si>
  <si>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המדיניות של ד"ש בענייני שטחים עשוייה להביא את השלום</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</si>
  <si>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ד"ש תוכל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</si>
  <si>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ד"ש תפעל ביד תקיפה להפסיק את השחיתות במדינה</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</si>
  <si>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ד"ש בעד שינוי שיטת הבחירות</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</si>
  <si>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ד"ש תנועה דמוקרטית</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</si>
  <si>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ד"ש היא הרע במיעוטו</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</si>
  <si>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המערך והליכוד אותו הדבר</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</si>
  <si>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לד"ש היכולת להביא שינוי אמיתי במדינה</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</si>
  <si>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המנהיגים של המערך והליכוד נתנו יד לשחיתות</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</si>
  <si>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הליכוד והמערך לא יכולים לשפר את החיים במדינה</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</si>
  <si>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ד"ש תעזור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</si>
  <si>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charset val="177"/>
        <scheme val="minor"/>
      </rPr>
      <t>בד"ש</t>
    </r>
    <r>
      <rPr>
        <sz val="11"/>
        <color theme="1"/>
        <rFont val="Calibri"/>
        <family val="2"/>
        <charset val="177"/>
        <scheme val="minor"/>
      </rPr>
      <t xml:space="preserve">: </t>
    </r>
    <r>
      <rPr>
        <b/>
        <sz val="11"/>
        <color theme="1"/>
        <rFont val="Calibri"/>
        <family val="2"/>
        <charset val="177"/>
        <scheme val="minor"/>
      </rPr>
      <t>ד"ש תעזור לי בבעיות אישיות כגון: דיור, עזרה ממשלתית ועוד</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</si>
  <si>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מביא תועלת למדינה-מביא נזק למדינה</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</si>
  <si>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שקול בהתבטאויותיו-לא שקול בהיתבטאויותיו</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</si>
  <si>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יציב-לא יציב</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</si>
  <si>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מנהיג שעבר זמנו-מנהיג שלא עבר זמנו</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</si>
  <si>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רה"מ גרוע-רה"מ מצוין</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</si>
  <si>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שר בטחון גרוע-שר בטחון מצוין</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</si>
  <si>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נתון למצבי רוח-לא נתון למצבי רוח</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</si>
  <si>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בריאותו אינו מאפשרת לו להמשיך בתפקיד-בריאותו מאפשרת לו להמשיך בתפקיד</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</si>
  <si>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הרפתקן-שקול ונבון</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</si>
  <si>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מקומו באופוזיציה-מקומו בשלטון</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</si>
  <si>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חזק-חלש</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</si>
  <si>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יכול לעבוד בצוות-לא יכול לעבוד בצוות</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</si>
  <si>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ישר-לא ישר</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</si>
  <si>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בעל כושר החלטה-חסר כושר החלטה</t>
    </r>
  </si>
  <si>
    <r>
      <t>לפניך רשימה של תכונות והיפוכן. לגבי כל אחת ציין מה מתאים ל</t>
    </r>
    <r>
      <rPr>
        <u/>
        <sz val="11"/>
        <color theme="1"/>
        <rFont val="Calibri"/>
        <family val="2"/>
        <charset val="177"/>
        <scheme val="minor"/>
      </rPr>
      <t>מנחם בגין</t>
    </r>
    <r>
      <rPr>
        <sz val="11"/>
        <color theme="1"/>
        <rFont val="Calibri"/>
        <family val="2"/>
        <charset val="177"/>
        <scheme val="minor"/>
      </rPr>
      <t xml:space="preserve">: </t>
    </r>
    <r>
      <rPr>
        <b/>
        <sz val="11"/>
        <color theme="1"/>
        <rFont val="Calibri"/>
        <family val="2"/>
        <charset val="177"/>
        <scheme val="minor"/>
      </rPr>
      <t>יכול לעמוד בלחצים-לא יכול לעמוד בלחצים</t>
    </r>
  </si>
  <si>
    <r>
      <t>לפניך רשימה של תכונות והיפוכן. לגבי כל אחת ציין מה מתאים ל</t>
    </r>
    <r>
      <rPr>
        <u/>
        <sz val="11"/>
        <color theme="1"/>
        <rFont val="Calibri"/>
        <family val="2"/>
        <charset val="177"/>
        <scheme val="minor"/>
      </rPr>
      <t>שמעון פרס</t>
    </r>
    <r>
      <rPr>
        <sz val="11"/>
        <color theme="1"/>
        <rFont val="Calibri"/>
        <family val="2"/>
        <charset val="177"/>
        <scheme val="minor"/>
      </rPr>
      <t xml:space="preserve">: </t>
    </r>
    <r>
      <rPr>
        <b/>
        <sz val="11"/>
        <color theme="1"/>
        <rFont val="Calibri"/>
        <family val="2"/>
        <charset val="177"/>
        <scheme val="minor"/>
      </rPr>
      <t>חזק-חלש</t>
    </r>
  </si>
  <si>
    <r>
      <t>לפניך רשימה של תכונות והיפוכן. לגבי כל אחת ציין מה מתאים ל</t>
    </r>
    <r>
      <rPr>
        <u/>
        <sz val="11"/>
        <color theme="1"/>
        <rFont val="Calibri"/>
        <family val="2"/>
        <charset val="177"/>
        <scheme val="minor"/>
      </rPr>
      <t>שמעון פרס</t>
    </r>
    <r>
      <rPr>
        <sz val="11"/>
        <color theme="1"/>
        <rFont val="Calibri"/>
        <family val="2"/>
        <charset val="177"/>
        <scheme val="minor"/>
      </rPr>
      <t xml:space="preserve">: </t>
    </r>
    <r>
      <rPr>
        <b/>
        <sz val="11"/>
        <color theme="1"/>
        <rFont val="Calibri"/>
        <family val="2"/>
        <charset val="177"/>
        <scheme val="minor"/>
      </rPr>
      <t>יכול לעבוד בצוות-לא יכול לעבוד בצוות</t>
    </r>
  </si>
  <si>
    <r>
      <t>לפניך רשימה של תכונות והיפוכן. לגבי כל אחת ציין מה מתאים ל</t>
    </r>
    <r>
      <rPr>
        <u/>
        <sz val="11"/>
        <color theme="1"/>
        <rFont val="Calibri"/>
        <family val="2"/>
        <charset val="177"/>
        <scheme val="minor"/>
      </rPr>
      <t>שמעון פרס</t>
    </r>
    <r>
      <rPr>
        <sz val="11"/>
        <color theme="1"/>
        <rFont val="Calibri"/>
        <family val="2"/>
        <charset val="177"/>
        <scheme val="minor"/>
      </rPr>
      <t xml:space="preserve">: </t>
    </r>
    <r>
      <rPr>
        <b/>
        <sz val="11"/>
        <color theme="1"/>
        <rFont val="Calibri"/>
        <family val="2"/>
        <charset val="177"/>
        <scheme val="minor"/>
      </rPr>
      <t>ישר-לא ישר</t>
    </r>
  </si>
  <si>
    <r>
      <t>לפניך רשימה של תכונות והיפוכן. לגבי כל אחת ציין מה מתאים ל</t>
    </r>
    <r>
      <rPr>
        <u/>
        <sz val="11"/>
        <color theme="1"/>
        <rFont val="Calibri"/>
        <family val="2"/>
        <charset val="177"/>
        <scheme val="minor"/>
      </rPr>
      <t>שמעון פרס</t>
    </r>
    <r>
      <rPr>
        <sz val="11"/>
        <color theme="1"/>
        <rFont val="Calibri"/>
        <family val="2"/>
        <charset val="177"/>
        <scheme val="minor"/>
      </rPr>
      <t xml:space="preserve">: </t>
    </r>
    <r>
      <rPr>
        <b/>
        <sz val="11"/>
        <color theme="1"/>
        <rFont val="Calibri"/>
        <family val="2"/>
        <charset val="177"/>
        <scheme val="minor"/>
      </rPr>
      <t>בעל כושר החלטה-חסר כושר החלטה</t>
    </r>
  </si>
  <si>
    <r>
      <t>לפניך רשימה של תכונות והיפוכן. לגבי כל אחת ציין מה מתאים ל</t>
    </r>
    <r>
      <rPr>
        <u/>
        <sz val="11"/>
        <color theme="1"/>
        <rFont val="Calibri"/>
        <family val="2"/>
        <charset val="177"/>
        <scheme val="minor"/>
      </rPr>
      <t>שמעון פרס</t>
    </r>
    <r>
      <rPr>
        <sz val="11"/>
        <color theme="1"/>
        <rFont val="Calibri"/>
        <family val="2"/>
        <charset val="177"/>
        <scheme val="minor"/>
      </rPr>
      <t xml:space="preserve">: </t>
    </r>
    <r>
      <rPr>
        <b/>
        <sz val="11"/>
        <color theme="1"/>
        <rFont val="Calibri"/>
        <family val="2"/>
        <charset val="177"/>
        <scheme val="minor"/>
      </rPr>
      <t>יכול לעמוד בלחצים-לא יכול לעמוד בלחצים</t>
    </r>
  </si>
  <si>
    <r>
      <t>לפניך רשימה של תכונות והיפוכן. לגבי כל אחת ציין מה מתאים ל</t>
    </r>
    <r>
      <rPr>
        <u/>
        <sz val="11"/>
        <color theme="1"/>
        <rFont val="Calibri"/>
        <family val="2"/>
        <charset val="177"/>
        <scheme val="minor"/>
      </rPr>
      <t>שמעון פרס</t>
    </r>
    <r>
      <rPr>
        <sz val="11"/>
        <color theme="1"/>
        <rFont val="Calibri"/>
        <family val="2"/>
        <charset val="177"/>
        <scheme val="minor"/>
      </rPr>
      <t xml:space="preserve">: </t>
    </r>
    <r>
      <rPr>
        <b/>
        <sz val="11"/>
        <color theme="1"/>
        <rFont val="Calibri"/>
        <family val="2"/>
        <charset val="177"/>
        <scheme val="minor"/>
      </rPr>
      <t>אמין בהופעתו בטלוויזיה-בלתי אמין בהופעתו בטלוויזיה</t>
    </r>
  </si>
  <si>
    <r>
      <t>לפניך רשימה של תכונות והיפוכן. לגבי כל אחת ציין מה מתאים ל</t>
    </r>
    <r>
      <rPr>
        <u/>
        <sz val="11"/>
        <color theme="1"/>
        <rFont val="Calibri"/>
        <family val="2"/>
        <charset val="177"/>
        <scheme val="minor"/>
      </rPr>
      <t>שמעון פרס</t>
    </r>
    <r>
      <rPr>
        <sz val="11"/>
        <color theme="1"/>
        <rFont val="Calibri"/>
        <family val="2"/>
        <charset val="177"/>
        <scheme val="minor"/>
      </rPr>
      <t xml:space="preserve">: </t>
    </r>
    <r>
      <rPr>
        <b/>
        <sz val="11"/>
        <color theme="1"/>
        <rFont val="Calibri"/>
        <family val="2"/>
        <charset val="177"/>
        <scheme val="minor"/>
      </rPr>
      <t>חלקלק-דוגרי</t>
    </r>
  </si>
  <si>
    <r>
      <t>לפניך רשימה של תכונות והיפוכן. לגבי כל אחת ציין מה מתאים ל</t>
    </r>
    <r>
      <rPr>
        <u/>
        <sz val="11"/>
        <color theme="1"/>
        <rFont val="Calibri"/>
        <family val="2"/>
        <charset val="177"/>
        <scheme val="minor"/>
      </rPr>
      <t>שמעון פרס</t>
    </r>
    <r>
      <rPr>
        <sz val="11"/>
        <color theme="1"/>
        <rFont val="Calibri"/>
        <family val="2"/>
        <charset val="177"/>
        <scheme val="minor"/>
      </rPr>
      <t xml:space="preserve">: </t>
    </r>
    <r>
      <rPr>
        <b/>
        <sz val="11"/>
        <color theme="1"/>
        <rFont val="Calibri"/>
        <family val="2"/>
        <charset val="177"/>
        <scheme val="minor"/>
      </rPr>
      <t>עייף-רענן</t>
    </r>
  </si>
  <si>
    <r>
      <t>לפניך רשימה של תכונות והיפוכן. לגבי כל אחת ציין מה מתאים ל</t>
    </r>
    <r>
      <rPr>
        <u/>
        <sz val="11"/>
        <color theme="1"/>
        <rFont val="Calibri"/>
        <family val="2"/>
        <charset val="177"/>
        <scheme val="minor"/>
      </rPr>
      <t>משה דיין</t>
    </r>
    <r>
      <rPr>
        <sz val="11"/>
        <color theme="1"/>
        <rFont val="Calibri"/>
        <family val="2"/>
        <charset val="177"/>
        <scheme val="minor"/>
      </rPr>
      <t xml:space="preserve">: </t>
    </r>
    <r>
      <rPr>
        <b/>
        <sz val="11"/>
        <color theme="1"/>
        <rFont val="Calibri"/>
        <family val="2"/>
        <charset val="177"/>
        <scheme val="minor"/>
      </rPr>
      <t>חזק-חלש</t>
    </r>
  </si>
  <si>
    <r>
      <t>לפניך רשימה של תכונות והיפוכן. לגבי כל אחת ציין מה מתאים ל</t>
    </r>
    <r>
      <rPr>
        <u/>
        <sz val="11"/>
        <color theme="1"/>
        <rFont val="Calibri"/>
        <family val="2"/>
        <charset val="177"/>
        <scheme val="minor"/>
      </rPr>
      <t>משה דיין</t>
    </r>
    <r>
      <rPr>
        <sz val="11"/>
        <color theme="1"/>
        <rFont val="Calibri"/>
        <family val="2"/>
        <charset val="177"/>
        <scheme val="minor"/>
      </rPr>
      <t xml:space="preserve">: </t>
    </r>
    <r>
      <rPr>
        <b/>
        <sz val="11"/>
        <color theme="1"/>
        <rFont val="Calibri"/>
        <family val="2"/>
        <charset val="177"/>
        <scheme val="minor"/>
      </rPr>
      <t>יכול לעבוד בצוות-לא יכול לעבוד בצוות</t>
    </r>
  </si>
  <si>
    <r>
      <t>לפניך רשימה של תכונות והיפוכן. לגבי כל אחת ציין מה מתאים ל</t>
    </r>
    <r>
      <rPr>
        <u/>
        <sz val="11"/>
        <color theme="1"/>
        <rFont val="Calibri"/>
        <family val="2"/>
        <charset val="177"/>
        <scheme val="minor"/>
      </rPr>
      <t>משה דיין</t>
    </r>
    <r>
      <rPr>
        <sz val="11"/>
        <color theme="1"/>
        <rFont val="Calibri"/>
        <family val="2"/>
        <charset val="177"/>
        <scheme val="minor"/>
      </rPr>
      <t xml:space="preserve">: </t>
    </r>
    <r>
      <rPr>
        <b/>
        <sz val="11"/>
        <color theme="1"/>
        <rFont val="Calibri"/>
        <family val="2"/>
        <charset val="177"/>
        <scheme val="minor"/>
      </rPr>
      <t>ישר-לא ישר</t>
    </r>
  </si>
  <si>
    <r>
      <t>לפניך רשימה של תכונות והיפוכן. לגבי כל אחת ציין מה מתאים ל</t>
    </r>
    <r>
      <rPr>
        <u/>
        <sz val="11"/>
        <color theme="1"/>
        <rFont val="Calibri"/>
        <family val="2"/>
        <charset val="177"/>
        <scheme val="minor"/>
      </rPr>
      <t>משה דיין</t>
    </r>
    <r>
      <rPr>
        <sz val="11"/>
        <color theme="1"/>
        <rFont val="Calibri"/>
        <family val="2"/>
        <charset val="177"/>
        <scheme val="minor"/>
      </rPr>
      <t xml:space="preserve">: </t>
    </r>
    <r>
      <rPr>
        <b/>
        <sz val="11"/>
        <color theme="1"/>
        <rFont val="Calibri"/>
        <family val="2"/>
        <charset val="177"/>
        <scheme val="minor"/>
      </rPr>
      <t>בעל כושר החלטה-חסר כושר החלטה</t>
    </r>
  </si>
  <si>
    <r>
      <t>לפניך רשימה של תכונות והיפוכן. לגבי כל אחת ציין מה מתאים ל</t>
    </r>
    <r>
      <rPr>
        <u/>
        <sz val="11"/>
        <color theme="1"/>
        <rFont val="Calibri"/>
        <family val="2"/>
        <charset val="177"/>
        <scheme val="minor"/>
      </rPr>
      <t>משה דיין</t>
    </r>
    <r>
      <rPr>
        <sz val="11"/>
        <color theme="1"/>
        <rFont val="Calibri"/>
        <family val="2"/>
        <charset val="177"/>
        <scheme val="minor"/>
      </rPr>
      <t xml:space="preserve">: </t>
    </r>
    <r>
      <rPr>
        <b/>
        <sz val="11"/>
        <color theme="1"/>
        <rFont val="Calibri"/>
        <family val="2"/>
        <charset val="177"/>
        <scheme val="minor"/>
      </rPr>
      <t>יכול לעמוד בלחצים-לא יכול לעמוד בלחצים</t>
    </r>
  </si>
  <si>
    <r>
      <t xml:space="preserve">באיזו מידה ישפיע או לא ישפיע כל אחד מהנושאים הבאים על ההצבעה שלך לכנסת? </t>
    </r>
    <r>
      <rPr>
        <b/>
        <sz val="11"/>
        <color theme="1"/>
        <rFont val="Calibri"/>
        <family val="2"/>
        <charset val="177"/>
        <scheme val="minor"/>
      </rPr>
      <t>מדיניות כלכלית-חברתית</t>
    </r>
  </si>
  <si>
    <r>
      <t xml:space="preserve">באיזו מידה ישפיע או לא ישפיע כל אחד מהנושאים הבאים על ההצבעה שלך לכנסת? </t>
    </r>
    <r>
      <rPr>
        <b/>
        <sz val="11"/>
        <color theme="1"/>
        <rFont val="Calibri"/>
        <family val="2"/>
        <charset val="177"/>
        <scheme val="minor"/>
      </rPr>
      <t>כלכלה</t>
    </r>
  </si>
  <si>
    <r>
      <t xml:space="preserve">באיזו מידה ישפיע או לא ישפיע כל אחד מהנושאים הבאים על ההצבעה שלך לכנסת? </t>
    </r>
    <r>
      <rPr>
        <b/>
        <sz val="11"/>
        <color theme="1"/>
        <rFont val="Calibri"/>
        <family val="2"/>
        <charset val="177"/>
        <scheme val="minor"/>
      </rPr>
      <t>מדיניות חברתית</t>
    </r>
  </si>
  <si>
    <r>
      <t xml:space="preserve">באיזו מידה ישפיע או לא ישפיע כל אחד מהנושאים הבאים על ההצבעה שלך לכנסת? </t>
    </r>
    <r>
      <rPr>
        <b/>
        <sz val="11"/>
        <color theme="1"/>
        <rFont val="Calibri"/>
        <family val="2"/>
        <charset val="177"/>
        <scheme val="minor"/>
      </rPr>
      <t>דת ומדינה</t>
    </r>
  </si>
  <si>
    <r>
      <t xml:space="preserve">באיזו מידה ישפיע או לא ישפיע כל אחד מהנושאים הבאים על ההצבעה שלך לכנסת? </t>
    </r>
    <r>
      <rPr>
        <b/>
        <sz val="11"/>
        <color theme="1"/>
        <rFont val="Calibri"/>
        <family val="2"/>
        <charset val="177"/>
        <scheme val="minor"/>
      </rPr>
      <t>שלום ושטחים</t>
    </r>
  </si>
  <si>
    <r>
      <t xml:space="preserve">באיזו מידה ישפיע או לא ישפיע כל אחד מהנושאים הבאים על ההצבעה שלך לכנסת? </t>
    </r>
    <r>
      <rPr>
        <b/>
        <sz val="11"/>
        <color theme="1"/>
        <rFont val="Calibri"/>
        <family val="2"/>
        <charset val="177"/>
        <scheme val="minor"/>
      </rPr>
      <t>בטחון וטרור</t>
    </r>
  </si>
  <si>
    <r>
      <t xml:space="preserve">באיזו מידה ישפיע או לא ישפיע כל אחד מהנושאים הבאים על ההצבעה שלך לכנסת? </t>
    </r>
    <r>
      <rPr>
        <b/>
        <sz val="11"/>
        <color theme="1"/>
        <rFont val="Calibri"/>
        <family val="2"/>
        <charset val="177"/>
        <scheme val="minor"/>
      </rPr>
      <t>שחיתות</t>
    </r>
  </si>
  <si>
    <r>
      <t xml:space="preserve">באיזו מידה ישפיע או לא ישפיע כל אחד מהנושאים הבאים על ההצבעה שלך לכנסת? </t>
    </r>
    <r>
      <rPr>
        <b/>
        <sz val="11"/>
        <color theme="1"/>
        <rFont val="Calibri"/>
        <family val="2"/>
        <charset val="177"/>
        <scheme val="minor"/>
      </rPr>
      <t>היחס לדמוקרטיה</t>
    </r>
  </si>
  <si>
    <r>
      <t xml:space="preserve">באיזו מידה ישפיע או לא ישפיע כל אחד מהנושאים הבאים על ההצבעה שלך לכנסת? </t>
    </r>
    <r>
      <rPr>
        <b/>
        <sz val="11"/>
        <color theme="1"/>
        <rFont val="Calibri"/>
        <family val="2"/>
        <charset val="177"/>
        <scheme val="minor"/>
      </rPr>
      <t>השיקול למנוע בחירות נוספות</t>
    </r>
  </si>
  <si>
    <r>
      <t xml:space="preserve">באיזו מידה ישפיע או לא ישפיע כל אחד מהנושאים הבאים על ההצבעה שלך לכנסת? </t>
    </r>
    <r>
      <rPr>
        <b/>
        <sz val="11"/>
        <color theme="1"/>
        <rFont val="Calibri"/>
        <family val="2"/>
        <charset val="177"/>
        <scheme val="minor"/>
      </rPr>
      <t>האיום האיראני</t>
    </r>
  </si>
  <si>
    <r>
      <t xml:space="preserve">באיזו מידה ישפיע או לא ישפיע כל אחד מהנושאים הבאים על ההצבעה שלך לכנסת? </t>
    </r>
    <r>
      <rPr>
        <b/>
        <sz val="11"/>
        <color theme="1"/>
        <rFont val="Calibri"/>
        <family val="2"/>
        <charset val="177"/>
        <scheme val="minor"/>
      </rPr>
      <t>ירושלים</t>
    </r>
  </si>
  <si>
    <r>
      <t xml:space="preserve">באיזו מידה ישפיע או לא ישפיע כל אחד מהנושאים הבאים על ההצבעה שלך לכנסת? </t>
    </r>
    <r>
      <rPr>
        <b/>
        <sz val="11"/>
        <color theme="1"/>
        <rFont val="Calibri"/>
        <family val="2"/>
        <charset val="177"/>
        <scheme val="minor"/>
      </rPr>
      <t>לבנון</t>
    </r>
  </si>
  <si>
    <r>
      <t xml:space="preserve">באיזו מידה ישפיע או לא ישפיע כל אחד מהנושאים הבאים על ההצבעה שלך לכנסת? </t>
    </r>
    <r>
      <rPr>
        <b/>
        <sz val="11"/>
        <color theme="1"/>
        <rFont val="Calibri"/>
        <family val="2"/>
        <charset val="177"/>
        <scheme val="minor"/>
      </rPr>
      <t>משפט דרעי</t>
    </r>
  </si>
  <si>
    <r>
      <t xml:space="preserve">באיזו מידה ישפיע או לא ישפיע כל אחד מהנושאים הבאים על ההצבעה שלך לכנסת? </t>
    </r>
    <r>
      <rPr>
        <b/>
        <sz val="11"/>
        <color theme="1"/>
        <rFont val="Calibri"/>
        <family val="2"/>
        <charset val="177"/>
        <scheme val="minor"/>
      </rPr>
      <t>רצח רבין</t>
    </r>
  </si>
  <si>
    <r>
      <t xml:space="preserve">באיזו מידה ישפיע או לא ישפיע כל אחד מהנושאים הבאים על ההצבעה שלך לכנסת? </t>
    </r>
    <r>
      <rPr>
        <b/>
        <sz val="11"/>
        <color theme="1"/>
        <rFont val="Calibri"/>
        <family val="2"/>
        <charset val="177"/>
        <scheme val="minor"/>
      </rPr>
      <t>משבר הקורונה</t>
    </r>
  </si>
  <si>
    <r>
      <t xml:space="preserve">באיזו מידה משפיע או לא משפיע כל אחד מהנושאים הבאים על ההצבעה שלך: </t>
    </r>
    <r>
      <rPr>
        <b/>
        <sz val="11"/>
        <color theme="1"/>
        <rFont val="Calibri"/>
        <family val="2"/>
        <charset val="177"/>
        <scheme val="minor"/>
      </rPr>
      <t>אם אישה עומדת בראש הרשימה</t>
    </r>
  </si>
  <si>
    <r>
      <t xml:space="preserve">באיזו מידה משפיע או לא משפיע כל אחד מהנושאים הבאים על ההצבעה שלך: </t>
    </r>
    <r>
      <rPr>
        <b/>
        <sz val="11"/>
        <color theme="1"/>
        <rFont val="Calibri"/>
        <family val="2"/>
        <charset val="177"/>
        <scheme val="minor"/>
      </rPr>
      <t>אם מזרחי עומד בראש הרשימה</t>
    </r>
  </si>
  <si>
    <r>
      <t xml:space="preserve">באיזו מידה משפיע או לא משפיע כל אחד מהנושאים הבאים על ההצבעה שלך: </t>
    </r>
    <r>
      <rPr>
        <b/>
        <sz val="11"/>
        <color theme="1"/>
        <rFont val="Calibri"/>
        <family val="2"/>
        <charset val="177"/>
        <scheme val="minor"/>
      </rPr>
      <t>מספר הנשים ברשימה לכנסת</t>
    </r>
  </si>
  <si>
    <r>
      <t xml:space="preserve">באיזו מידה משפיע או לא משפיע כל אחד מהנושאים הבאים על ההצבעה שלך: </t>
    </r>
    <r>
      <rPr>
        <b/>
        <sz val="11"/>
        <color theme="1"/>
        <rFont val="Calibri"/>
        <family val="2"/>
        <charset val="177"/>
        <scheme val="minor"/>
      </rPr>
      <t>מספר המזרחים ברשימה לכנסת</t>
    </r>
  </si>
  <si>
    <r>
      <t xml:space="preserve">בבחירות האחרונות השתתפו הרבה פחות בוחרים מבעבר. עד כמה לדעתך כל סיבה כזאת חשובה או לא חשובה לאלה שלא הלכו להצביע: </t>
    </r>
    <r>
      <rPr>
        <b/>
        <sz val="11"/>
        <color theme="1"/>
        <rFont val="Calibri"/>
        <family val="2"/>
        <charset val="177"/>
        <scheme val="minor"/>
      </rPr>
      <t>אין הבדל בין המפלגות</t>
    </r>
  </si>
  <si>
    <r>
      <t xml:space="preserve">אילו היו שני פתקים בבחירות האלה, אחד לראש הממשלה ואחד לכנסת, </t>
    </r>
    <r>
      <rPr>
        <b/>
        <sz val="11"/>
        <color theme="1"/>
        <rFont val="Calibri"/>
        <family val="2"/>
        <charset val="177"/>
        <scheme val="minor"/>
      </rPr>
      <t>עבור מי היית מצביע לראשות הממשלה?</t>
    </r>
  </si>
  <si>
    <r>
      <t xml:space="preserve">אילו היו שני פתקים בבחירות האלה, אחד לראש הממשלה ואחד לכנסת, </t>
    </r>
    <r>
      <rPr>
        <b/>
        <sz val="11"/>
        <color theme="1"/>
        <rFont val="Calibri"/>
        <family val="2"/>
        <charset val="177"/>
        <scheme val="minor"/>
      </rPr>
      <t>עבור מי היית מצביע לכנסת?</t>
    </r>
  </si>
  <si>
    <r>
      <t xml:space="preserve">באיזו מידה ישפיע או לא ישפיע כל אחד מהנושאים הבאים על ההצבעה שלך לראש הממשלה? </t>
    </r>
    <r>
      <rPr>
        <b/>
        <sz val="11"/>
        <color theme="1"/>
        <rFont val="Calibri"/>
        <family val="2"/>
        <charset val="177"/>
        <scheme val="minor"/>
      </rPr>
      <t>כלכלה</t>
    </r>
  </si>
  <si>
    <r>
      <t xml:space="preserve">באיזו מידה ישפיע או לא ישפיע כל אחד מהנושאים הבאים על ההצבעה שלך לראש הממשלה? </t>
    </r>
    <r>
      <rPr>
        <b/>
        <sz val="11"/>
        <color theme="1"/>
        <rFont val="Calibri"/>
        <family val="2"/>
        <charset val="177"/>
        <scheme val="minor"/>
      </rPr>
      <t>מדיניות חברתית</t>
    </r>
  </si>
  <si>
    <r>
      <t xml:space="preserve">באיזו מידה ישפיע או לא ישפיע כל אחד מהנושאים הבאים על ההצבעה שלך לראש הממשלה? </t>
    </r>
    <r>
      <rPr>
        <b/>
        <sz val="11"/>
        <color theme="1"/>
        <rFont val="Calibri"/>
        <family val="2"/>
        <charset val="177"/>
        <scheme val="minor"/>
      </rPr>
      <t>דת ומדינה</t>
    </r>
  </si>
  <si>
    <r>
      <t xml:space="preserve">באיזו מידה ישפיע או לא ישפיע כל אחד מהנושאים הבאים על ההצבעה שלך לראש הממשלה? </t>
    </r>
    <r>
      <rPr>
        <b/>
        <sz val="11"/>
        <color theme="1"/>
        <rFont val="Calibri"/>
        <family val="2"/>
        <charset val="177"/>
        <scheme val="minor"/>
      </rPr>
      <t>שלום ושטחים</t>
    </r>
  </si>
  <si>
    <r>
      <t xml:space="preserve">באיזו מידה ישפיע או לא ישפיע כל אחד מהנושאים הבאים על ההצבעה שלך לראש הממשלה? </t>
    </r>
    <r>
      <rPr>
        <b/>
        <sz val="11"/>
        <color theme="1"/>
        <rFont val="Calibri"/>
        <family val="2"/>
        <charset val="177"/>
        <scheme val="minor"/>
      </rPr>
      <t>בטחון וטרור</t>
    </r>
  </si>
  <si>
    <r>
      <t xml:space="preserve">באיזו מידה ישפיע או לא ישפיע כל אחד מהנושאים הבאים על ההצבעה שלך לראש הממשלה? </t>
    </r>
    <r>
      <rPr>
        <b/>
        <sz val="11"/>
        <color theme="1"/>
        <rFont val="Calibri"/>
        <family val="2"/>
        <charset val="177"/>
        <scheme val="minor"/>
      </rPr>
      <t>ירושלים</t>
    </r>
  </si>
  <si>
    <r>
      <t xml:space="preserve">באיזו מידה ישפיע או לא ישפיע כל אחד מהנושאים הבאים על ההצבעה שלך לראש הממשלה? </t>
    </r>
    <r>
      <rPr>
        <b/>
        <sz val="11"/>
        <color theme="1"/>
        <rFont val="Calibri"/>
        <family val="2"/>
        <charset val="177"/>
        <scheme val="minor"/>
      </rPr>
      <t>לבנון</t>
    </r>
  </si>
  <si>
    <r>
      <t xml:space="preserve">באיזו מידה ישפיע או לא ישפיע כל אחד מהנושאים הבאים על ההצבעה שלך לראש הממשלה? </t>
    </r>
    <r>
      <rPr>
        <b/>
        <sz val="11"/>
        <color theme="1"/>
        <rFont val="Calibri"/>
        <family val="2"/>
        <charset val="177"/>
        <scheme val="minor"/>
      </rPr>
      <t>רצח רבין</t>
    </r>
  </si>
  <si>
    <r>
      <t xml:space="preserve">לו יכלת להצביע עבור עוד שתי רשימות, מלבד לזו שאמרת, לאילו שתי רשימות היית מצביע: </t>
    </r>
    <r>
      <rPr>
        <b/>
        <sz val="11"/>
        <color theme="1"/>
        <rFont val="Calibri"/>
        <family val="2"/>
        <charset val="177"/>
        <scheme val="minor"/>
      </rPr>
      <t>הראשונה</t>
    </r>
  </si>
  <si>
    <r>
      <t xml:space="preserve">לו יכלת להצביע עבור עוד שתי רשימות, מלבד לזו שאמרת, לאילו שתי רשימות היית מצביע: </t>
    </r>
    <r>
      <rPr>
        <b/>
        <sz val="11"/>
        <color theme="1"/>
        <rFont val="Calibri"/>
        <family val="2"/>
        <charset val="177"/>
        <scheme val="minor"/>
      </rPr>
      <t>השנייה</t>
    </r>
  </si>
  <si>
    <r>
      <t xml:space="preserve">הגורמים הבאים משפיע או לא משפיע על החלטתך עבור מי להצביע? </t>
    </r>
    <r>
      <rPr>
        <b/>
        <sz val="11"/>
        <color theme="1"/>
        <rFont val="Calibri"/>
        <family val="2"/>
        <charset val="177"/>
        <scheme val="minor"/>
      </rPr>
      <t>העמדת יצחק שמיר בראש הליכוד</t>
    </r>
  </si>
  <si>
    <r>
      <t xml:space="preserve">הגורמים הבאים משפיע או לא משפיע על החלטתך עבור מי להצביע? </t>
    </r>
    <r>
      <rPr>
        <b/>
        <sz val="11"/>
        <color theme="1"/>
        <rFont val="Calibri"/>
        <family val="2"/>
        <charset val="177"/>
        <scheme val="minor"/>
      </rPr>
      <t>הפריימריז בעבודה</t>
    </r>
  </si>
  <si>
    <r>
      <t xml:space="preserve">הגורמים הבאים משפיע או לא משפיע על החלטתך עבור מי להצביע? </t>
    </r>
    <r>
      <rPr>
        <b/>
        <sz val="11"/>
        <color theme="1"/>
        <rFont val="Calibri"/>
        <family val="2"/>
        <charset val="177"/>
        <scheme val="minor"/>
      </rPr>
      <t>הרכב רשימת העבודה</t>
    </r>
  </si>
  <si>
    <r>
      <t xml:space="preserve">הגורמים הבאים משפיע או לא משפיע על החלטתך עבור מי להצביע? </t>
    </r>
    <r>
      <rPr>
        <b/>
        <sz val="11"/>
        <color theme="1"/>
        <rFont val="Calibri"/>
        <family val="2"/>
        <charset val="177"/>
        <scheme val="minor"/>
      </rPr>
      <t>הרכב רשימת הליכוד</t>
    </r>
  </si>
  <si>
    <r>
      <t xml:space="preserve">הגורמים הבאים משפיע או לא משפיע על החלטתך עבור מי להצביע? </t>
    </r>
    <r>
      <rPr>
        <b/>
        <sz val="11"/>
        <color theme="1"/>
        <rFont val="Calibri"/>
        <family val="2"/>
        <charset val="177"/>
        <scheme val="minor"/>
      </rPr>
      <t>הליך בחירת השביעיות בליכוד</t>
    </r>
  </si>
  <si>
    <r>
      <t xml:space="preserve">הגורמים הבאים משפיע או לא משפיע על החלטתך עבור מי להצביע? </t>
    </r>
    <r>
      <rPr>
        <b/>
        <sz val="11"/>
        <color theme="1"/>
        <rFont val="Calibri"/>
        <family val="2"/>
        <charset val="177"/>
        <scheme val="minor"/>
      </rPr>
      <t>העמדת יצחק רבין בראש העבודה</t>
    </r>
  </si>
  <si>
    <r>
      <t xml:space="preserve">הגורמים הבאים משפיע או לא משפיע על החלטתך עבור מי להצביע? </t>
    </r>
    <r>
      <rPr>
        <b/>
        <sz val="11"/>
        <color theme="1"/>
        <rFont val="Calibri"/>
        <family val="2"/>
        <charset val="177"/>
        <scheme val="minor"/>
      </rPr>
      <t>הסיכוי שתהיה ממשלת אחדות לאומית</t>
    </r>
  </si>
  <si>
    <r>
      <t xml:space="preserve">הגורמים הבאים משפיע או לא משפיע על החלטתך עבור מי להצביע? </t>
    </r>
    <r>
      <rPr>
        <b/>
        <sz val="11"/>
        <color theme="1"/>
        <rFont val="Calibri"/>
        <family val="2"/>
        <charset val="177"/>
        <scheme val="minor"/>
      </rPr>
      <t>מצב היחסים עם ארה"ב</t>
    </r>
  </si>
  <si>
    <r>
      <t xml:space="preserve">הגורמים הבאים משפיע או לא משפיע על החלטתך עבור מי להצביע? </t>
    </r>
    <r>
      <rPr>
        <b/>
        <sz val="11"/>
        <color theme="1"/>
        <rFont val="Calibri"/>
        <family val="2"/>
        <charset val="177"/>
        <scheme val="minor"/>
      </rPr>
      <t>מצב קליטת העליה</t>
    </r>
  </si>
  <si>
    <r>
      <t xml:space="preserve">הגורמים הבאים משפיע או לא משפיע על החלטתך עבור מי להצביע? </t>
    </r>
    <r>
      <rPr>
        <b/>
        <sz val="11"/>
        <color theme="1"/>
        <rFont val="Calibri"/>
        <family val="2"/>
        <charset val="177"/>
        <scheme val="minor"/>
      </rPr>
      <t>האבטלה</t>
    </r>
  </si>
  <si>
    <r>
      <t xml:space="preserve">הגורמים הבאים משפיע או לא משפיע על החלטתך עבור מי להצביע? </t>
    </r>
    <r>
      <rPr>
        <b/>
        <sz val="11"/>
        <color theme="1"/>
        <rFont val="Calibri"/>
        <family val="2"/>
        <charset val="177"/>
        <scheme val="minor"/>
      </rPr>
      <t>השחיתויות בשלטון ודוח מבקר המדינה</t>
    </r>
  </si>
  <si>
    <r>
      <t xml:space="preserve">הגורמים הבאים משפיע או לא משפיע על החלטתך עבור מי להצביע? </t>
    </r>
    <r>
      <rPr>
        <b/>
        <sz val="11"/>
        <color theme="1"/>
        <rFont val="Calibri"/>
        <family val="2"/>
        <charset val="177"/>
        <scheme val="minor"/>
      </rPr>
      <t>האינתיפאדה</t>
    </r>
  </si>
  <si>
    <r>
      <t xml:space="preserve">הגורמים הבאים משפיע או לא משפיע על החלטתך עבור מי להצביע? </t>
    </r>
    <r>
      <rPr>
        <b/>
        <sz val="11"/>
        <color theme="1"/>
        <rFont val="Calibri"/>
        <family val="2"/>
        <charset val="177"/>
        <scheme val="minor"/>
      </rPr>
      <t>התחלת שיחות השלום</t>
    </r>
  </si>
  <si>
    <r>
      <t xml:space="preserve">הגורמים הבאים משפיע או לא משפיע על החלטתך עבור מי להצביע? </t>
    </r>
    <r>
      <rPr>
        <b/>
        <sz val="11"/>
        <color theme="1"/>
        <rFont val="Calibri"/>
        <family val="2"/>
        <charset val="177"/>
        <scheme val="minor"/>
      </rPr>
      <t>טיפול הממשלה בשיחות השלום</t>
    </r>
  </si>
  <si>
    <r>
      <t xml:space="preserve">הגורמים הבאים משפיע או לא משפיע על החלטתך עבור מי להצביע? </t>
    </r>
    <r>
      <rPr>
        <b/>
        <sz val="11"/>
        <color theme="1"/>
        <rFont val="Calibri"/>
        <family val="2"/>
        <charset val="177"/>
        <scheme val="minor"/>
      </rPr>
      <t>המצב בתחום דתיים-חילונים</t>
    </r>
  </si>
  <si>
    <r>
      <t xml:space="preserve">הגורמים הבאים משפיע או לא משפיע על החלטתך עבור מי להצביע? </t>
    </r>
    <r>
      <rPr>
        <b/>
        <sz val="11"/>
        <color theme="1"/>
        <rFont val="Calibri"/>
        <family val="2"/>
        <charset val="177"/>
        <scheme val="minor"/>
      </rPr>
      <t>מדינות ההתנחלויות של הליכוד</t>
    </r>
  </si>
  <si>
    <r>
      <t xml:space="preserve">הגורמים הבאים משפיע או לא משפיע על החלטתך עבור מי להצביע? </t>
    </r>
    <r>
      <rPr>
        <b/>
        <sz val="11"/>
        <color theme="1"/>
        <rFont val="Calibri"/>
        <family val="2"/>
        <charset val="177"/>
        <scheme val="minor"/>
      </rPr>
      <t>מצבך האישי כיום</t>
    </r>
  </si>
  <si>
    <r>
      <t xml:space="preserve">האם בגלל ההתקוממות בשטחים (האינתיפאדה) השתנו או לא השתנו לגביך כל אחד מן הדברים הבאים: </t>
    </r>
    <r>
      <rPr>
        <b/>
        <sz val="11"/>
        <color theme="1"/>
        <rFont val="Calibri"/>
        <family val="2"/>
        <charset val="177"/>
        <scheme val="minor"/>
      </rPr>
      <t>ההצבעה שלך?</t>
    </r>
  </si>
  <si>
    <r>
      <t xml:space="preserve">אם המפלגה שאתה תומך בה תשנה את עמדתה בנושא </t>
    </r>
    <r>
      <rPr>
        <b/>
        <sz val="11"/>
        <color theme="1"/>
        <rFont val="Calibri"/>
        <family val="2"/>
        <charset val="177"/>
        <scheme val="minor"/>
      </rPr>
      <t>השטחים</t>
    </r>
    <r>
      <rPr>
        <sz val="11"/>
        <color theme="1"/>
        <rFont val="Calibri"/>
        <family val="2"/>
        <charset val="177"/>
        <scheme val="minor"/>
      </rPr>
      <t>, האם תשנה את הצבעתך?</t>
    </r>
  </si>
  <si>
    <r>
      <t xml:space="preserve">אם המפלגה שאתה תומך בה תשנה את עמדתה בנושא </t>
    </r>
    <r>
      <rPr>
        <b/>
        <sz val="11"/>
        <color theme="1"/>
        <rFont val="Calibri"/>
        <family val="2"/>
        <charset val="177"/>
        <scheme val="minor"/>
      </rPr>
      <t>הכלכלי-חברתי</t>
    </r>
    <r>
      <rPr>
        <sz val="11"/>
        <color theme="1"/>
        <rFont val="Calibri"/>
        <family val="2"/>
        <charset val="177"/>
        <scheme val="minor"/>
      </rPr>
      <t>, האם תשנה את הצבעתך?</t>
    </r>
  </si>
  <si>
    <r>
      <t xml:space="preserve">ישנם מספר גורמים עיקריים המביאים אדם להצביע למפלגה מסויימת. האם בין הגורמים האלה יש אחד בולט, הנראה לך כחשוב מכולם בהצבעתך </t>
    </r>
    <r>
      <rPr>
        <u/>
        <sz val="11"/>
        <color theme="1"/>
        <rFont val="Calibri"/>
        <family val="2"/>
        <charset val="177"/>
        <scheme val="minor"/>
      </rPr>
      <t>לעירייה</t>
    </r>
    <r>
      <rPr>
        <sz val="11"/>
        <color theme="1"/>
        <rFont val="Calibri"/>
        <family val="2"/>
        <charset val="177"/>
        <scheme val="minor"/>
      </rPr>
      <t>?</t>
    </r>
  </si>
  <si>
    <r>
      <t xml:space="preserve">איזה הוא הגורם שלדעתך חשיבותו הרבה ביותר משל האחרים בהצבעתך </t>
    </r>
    <r>
      <rPr>
        <u/>
        <sz val="11"/>
        <color theme="1"/>
        <rFont val="Calibri"/>
        <family val="2"/>
        <charset val="177"/>
        <scheme val="minor"/>
      </rPr>
      <t>לעירייה</t>
    </r>
    <r>
      <rPr>
        <sz val="11"/>
        <color theme="1"/>
        <rFont val="Calibri"/>
        <family val="2"/>
        <charset val="177"/>
        <scheme val="minor"/>
      </rPr>
      <t>?</t>
    </r>
  </si>
  <si>
    <r>
      <t xml:space="preserve">האם אתה מזדהה עם עמדה של מפלגה מסויימת לגבי הבעיה </t>
    </r>
    <r>
      <rPr>
        <b/>
        <sz val="11"/>
        <color theme="1"/>
        <rFont val="Calibri"/>
        <family val="2"/>
        <charset val="177"/>
        <scheme val="minor"/>
      </rPr>
      <t>הראשונה</t>
    </r>
    <r>
      <rPr>
        <sz val="11"/>
        <color theme="1"/>
        <rFont val="Calibri"/>
        <family val="2"/>
        <charset val="177"/>
        <scheme val="minor"/>
      </rPr>
      <t xml:space="preserve"> שציינת? האם הזדהות זו משפיעה על הצבעתך?</t>
    </r>
  </si>
  <si>
    <r>
      <t xml:space="preserve">האם אתה מזדהה עם עמדה של מפלגה מסויימת לגבי הבעיה </t>
    </r>
    <r>
      <rPr>
        <b/>
        <sz val="11"/>
        <color theme="1"/>
        <rFont val="Calibri"/>
        <family val="2"/>
        <charset val="177"/>
        <scheme val="minor"/>
      </rPr>
      <t>השנייה</t>
    </r>
    <r>
      <rPr>
        <sz val="11"/>
        <color theme="1"/>
        <rFont val="Calibri"/>
        <family val="2"/>
        <charset val="177"/>
        <scheme val="minor"/>
      </rPr>
      <t xml:space="preserve"> שציינת? האם הזדהות זו משפיעה על הצבעתך?</t>
    </r>
  </si>
  <si>
    <r>
      <t xml:space="preserve">באיזה אופן </t>
    </r>
    <r>
      <rPr>
        <u/>
        <sz val="11"/>
        <color theme="1"/>
        <rFont val="Calibri"/>
        <family val="2"/>
        <charset val="177"/>
        <scheme val="minor"/>
      </rPr>
      <t>מסע הבחירות</t>
    </r>
    <r>
      <rPr>
        <sz val="11"/>
        <color theme="1"/>
        <rFont val="Calibri"/>
        <family val="2"/>
        <charset val="177"/>
        <scheme val="minor"/>
      </rPr>
      <t xml:space="preserve"> השפיע על החלטתך איך להצביע בבחירות לכנסת?</t>
    </r>
  </si>
  <si>
    <t>הצבעה</t>
  </si>
  <si>
    <r>
      <t xml:space="preserve">לדעתך, מה הסיכוי שהמפלגה הבאה תהיה בקואליציה: </t>
    </r>
    <r>
      <rPr>
        <b/>
        <sz val="11"/>
        <color theme="1"/>
        <rFont val="Calibri"/>
        <family val="2"/>
        <charset val="177"/>
        <scheme val="minor"/>
      </rPr>
      <t>קדימה</t>
    </r>
  </si>
  <si>
    <r>
      <t xml:space="preserve">לדעתך, מה הסיכוי שהמפלגה הבאה תהיה בקואליציה: </t>
    </r>
    <r>
      <rPr>
        <b/>
        <sz val="11"/>
        <color theme="1"/>
        <rFont val="Calibri"/>
        <family val="2"/>
        <charset val="177"/>
        <scheme val="minor"/>
      </rPr>
      <t>העובדה</t>
    </r>
  </si>
  <si>
    <r>
      <t xml:space="preserve">לדעתך, מה הסיכוי שהמפלגה הבאה תהיה בקואליציה: </t>
    </r>
    <r>
      <rPr>
        <b/>
        <sz val="11"/>
        <color theme="1"/>
        <rFont val="Calibri"/>
        <family val="2"/>
        <charset val="177"/>
        <scheme val="minor"/>
      </rPr>
      <t>הליכוד</t>
    </r>
  </si>
  <si>
    <r>
      <t xml:space="preserve">לדעתך, מה הסיכוי שהמפלגה הבאה תהיה בקואליציה: </t>
    </r>
    <r>
      <rPr>
        <b/>
        <sz val="11"/>
        <color theme="1"/>
        <rFont val="Calibri"/>
        <family val="2"/>
        <charset val="177"/>
        <scheme val="minor"/>
      </rPr>
      <t>מרצ</t>
    </r>
  </si>
  <si>
    <r>
      <t xml:space="preserve">לדעתך, מה הסיכוי שהמפלגה הבאה תהיה בקואליציה: </t>
    </r>
    <r>
      <rPr>
        <b/>
        <sz val="11"/>
        <color theme="1"/>
        <rFont val="Calibri"/>
        <family val="2"/>
        <charset val="177"/>
        <scheme val="minor"/>
      </rPr>
      <t>מפד"ל</t>
    </r>
  </si>
  <si>
    <r>
      <t xml:space="preserve">לדעתך, מה הסיכוי שהמפלגה הבאה תהיה בקואליציה: </t>
    </r>
    <r>
      <rPr>
        <b/>
        <sz val="11"/>
        <color theme="1"/>
        <rFont val="Calibri"/>
        <family val="2"/>
        <charset val="177"/>
        <scheme val="minor"/>
      </rPr>
      <t>שינוי</t>
    </r>
  </si>
  <si>
    <r>
      <t xml:space="preserve">לדעתך, מה הסיכוי שהמפלגה הבאה תהיה בקואליציה: </t>
    </r>
    <r>
      <rPr>
        <b/>
        <sz val="11"/>
        <color theme="1"/>
        <rFont val="Calibri"/>
        <family val="2"/>
        <charset val="177"/>
        <scheme val="minor"/>
      </rPr>
      <t>איחוד לאומי</t>
    </r>
  </si>
  <si>
    <r>
      <t xml:space="preserve">לדעתך, מה הסיכוי שהמפלגה הבאה תהיה בקואליציה: </t>
    </r>
    <r>
      <rPr>
        <b/>
        <sz val="11"/>
        <color theme="1"/>
        <rFont val="Calibri"/>
        <family val="2"/>
        <charset val="177"/>
        <scheme val="minor"/>
      </rPr>
      <t>ש"ס</t>
    </r>
  </si>
  <si>
    <r>
      <t xml:space="preserve">לדעתך, מה הסיכוי שהמפלגה הבאה תהיה בקואליציה: </t>
    </r>
    <r>
      <rPr>
        <b/>
        <sz val="11"/>
        <color theme="1"/>
        <rFont val="Calibri"/>
        <family val="2"/>
        <charset val="177"/>
        <scheme val="minor"/>
      </rPr>
      <t>ישראל בעליה</t>
    </r>
  </si>
  <si>
    <r>
      <t xml:space="preserve">לדעתך, מה הסיכוי שהמפלגה הבאה תהיה בקואליציה: </t>
    </r>
    <r>
      <rPr>
        <b/>
        <sz val="11"/>
        <color theme="1"/>
        <rFont val="Calibri"/>
        <family val="2"/>
        <charset val="177"/>
        <scheme val="minor"/>
      </rPr>
      <t>המפלגה שאתה מצביע</t>
    </r>
  </si>
  <si>
    <r>
      <t xml:space="preserve">לדעתך, כמה חברי כנסת יהיו למפלגה הבאה: </t>
    </r>
    <r>
      <rPr>
        <b/>
        <sz val="11"/>
        <color theme="1"/>
        <rFont val="Calibri"/>
        <family val="2"/>
        <charset val="177"/>
        <scheme val="minor"/>
      </rPr>
      <t>קדימה</t>
    </r>
  </si>
  <si>
    <r>
      <t xml:space="preserve">לדעתך, כמה חברי כנסת יהיו למפלגה הבאה: </t>
    </r>
    <r>
      <rPr>
        <b/>
        <sz val="11"/>
        <color theme="1"/>
        <rFont val="Calibri"/>
        <family val="2"/>
        <charset val="177"/>
        <scheme val="minor"/>
      </rPr>
      <t>העבודה</t>
    </r>
  </si>
  <si>
    <r>
      <t xml:space="preserve">לדעתך, כמה חברי כנסת יהיו למפלגה הבאה: </t>
    </r>
    <r>
      <rPr>
        <b/>
        <sz val="11"/>
        <color theme="1"/>
        <rFont val="Calibri"/>
        <family val="2"/>
        <charset val="177"/>
        <scheme val="minor"/>
      </rPr>
      <t>הליכוד</t>
    </r>
  </si>
  <si>
    <r>
      <t xml:space="preserve">לדעתך, כמה חברי כנסת יהיו למפלגה הבאה: </t>
    </r>
    <r>
      <rPr>
        <b/>
        <sz val="11"/>
        <color theme="1"/>
        <rFont val="Calibri"/>
        <family val="2"/>
        <charset val="177"/>
        <scheme val="minor"/>
      </rPr>
      <t>מרצ</t>
    </r>
  </si>
  <si>
    <r>
      <t xml:space="preserve">לדעתך, כמה חברי כנסת יהיו למפלגה הבאה: </t>
    </r>
    <r>
      <rPr>
        <b/>
        <sz val="11"/>
        <color theme="1"/>
        <rFont val="Calibri"/>
        <family val="2"/>
        <charset val="177"/>
        <scheme val="minor"/>
      </rPr>
      <t>מפד"ל</t>
    </r>
  </si>
  <si>
    <r>
      <t xml:space="preserve">לדעתך, כמה חברי כנסת יהיו למפלגה הבאה: </t>
    </r>
    <r>
      <rPr>
        <b/>
        <sz val="11"/>
        <color theme="1"/>
        <rFont val="Calibri"/>
        <family val="2"/>
        <charset val="177"/>
        <scheme val="minor"/>
      </rPr>
      <t>שינוי</t>
    </r>
  </si>
  <si>
    <r>
      <t xml:space="preserve">לדעתך, כמה חברי כנסת יהיו למפלגה הבאה: </t>
    </r>
    <r>
      <rPr>
        <b/>
        <sz val="11"/>
        <color theme="1"/>
        <rFont val="Calibri"/>
        <family val="2"/>
        <charset val="177"/>
        <scheme val="minor"/>
      </rPr>
      <t>איחוד לאומי</t>
    </r>
  </si>
  <si>
    <r>
      <t xml:space="preserve">לדעתך, כמה חברי כנסת יהיו למפלגה הבאה: </t>
    </r>
    <r>
      <rPr>
        <b/>
        <sz val="11"/>
        <color theme="1"/>
        <rFont val="Calibri"/>
        <family val="2"/>
        <charset val="177"/>
        <scheme val="minor"/>
      </rPr>
      <t>ש"ס</t>
    </r>
  </si>
  <si>
    <r>
      <t xml:space="preserve">לדעתך, כמה חברי כנסת יהיו למפלגה הבאה: </t>
    </r>
    <r>
      <rPr>
        <b/>
        <sz val="11"/>
        <color theme="1"/>
        <rFont val="Calibri"/>
        <family val="2"/>
        <charset val="177"/>
        <scheme val="minor"/>
      </rPr>
      <t>ישראל בעליה</t>
    </r>
  </si>
  <si>
    <r>
      <t xml:space="preserve">לדעתך, כמה חברי כנסת יהיו למפלגה הבאה: </t>
    </r>
    <r>
      <rPr>
        <b/>
        <sz val="11"/>
        <color theme="1"/>
        <rFont val="Calibri"/>
        <family val="2"/>
        <charset val="177"/>
        <scheme val="minor"/>
      </rPr>
      <t>המפלגה שאתה מתכוון להצביע לה</t>
    </r>
  </si>
  <si>
    <r>
      <t xml:space="preserve">הסיכויים לקואליציות שונות לאחר הבחירות: </t>
    </r>
    <r>
      <rPr>
        <b/>
        <sz val="11"/>
        <color theme="1"/>
        <rFont val="Calibri"/>
        <family val="2"/>
        <charset val="177"/>
        <scheme val="minor"/>
      </rPr>
      <t>קדימה-עבודה</t>
    </r>
  </si>
  <si>
    <r>
      <t xml:space="preserve">הסיכויים לקואליציות שונות לאחר הבחירות: </t>
    </r>
    <r>
      <rPr>
        <b/>
        <sz val="11"/>
        <color theme="1"/>
        <rFont val="Calibri"/>
        <family val="2"/>
        <charset val="177"/>
        <scheme val="minor"/>
      </rPr>
      <t>קדימה-ליכוד</t>
    </r>
  </si>
  <si>
    <r>
      <t xml:space="preserve">הסיכויים לקואליציות שונות לאחר הבחירות: </t>
    </r>
    <r>
      <rPr>
        <b/>
        <sz val="11"/>
        <color theme="1"/>
        <rFont val="Calibri"/>
        <family val="2"/>
        <charset val="177"/>
        <scheme val="minor"/>
      </rPr>
      <t>קדימה-ליכוד-מפלגות חרדיות</t>
    </r>
  </si>
  <si>
    <r>
      <t xml:space="preserve">הסיכויים לקואליציות שונות לאחר הבחירות: </t>
    </r>
    <r>
      <rPr>
        <b/>
        <sz val="11"/>
        <color theme="1"/>
        <rFont val="Calibri"/>
        <family val="2"/>
        <charset val="177"/>
        <scheme val="minor"/>
      </rPr>
      <t>קדימה-עבודה-מפלגות חרדיות</t>
    </r>
  </si>
  <si>
    <r>
      <t xml:space="preserve">הסיכויים לקואליציות שונות לאחר הבחירות: </t>
    </r>
    <r>
      <rPr>
        <b/>
        <sz val="11"/>
        <color theme="1"/>
        <rFont val="Calibri"/>
        <family val="2"/>
        <charset val="177"/>
        <scheme val="minor"/>
      </rPr>
      <t>קדימה-ליכוד-מפלגות ימין</t>
    </r>
  </si>
  <si>
    <r>
      <t xml:space="preserve">הסיכויים לקואליציות שונות לאחר הבחירות: </t>
    </r>
    <r>
      <rPr>
        <b/>
        <sz val="11"/>
        <color theme="1"/>
        <rFont val="Calibri"/>
        <family val="2"/>
        <charset val="177"/>
        <scheme val="minor"/>
      </rPr>
      <t>קדימה-עבודה-מרצ</t>
    </r>
  </si>
  <si>
    <r>
      <t xml:space="preserve">הסיכויים לקואליציות שונות לאחר הבחירות: </t>
    </r>
    <r>
      <rPr>
        <b/>
        <sz val="11"/>
        <color theme="1"/>
        <rFont val="Calibri"/>
        <family val="2"/>
        <charset val="177"/>
        <scheme val="minor"/>
      </rPr>
      <t>קדימה-עבודה-ליכוד-מפלגות ימין-מפלגות חרדיות (אחדות לאומית)</t>
    </r>
  </si>
  <si>
    <r>
      <t xml:space="preserve">הסיכויים לקואליציות שונות לאחר הבחירות: </t>
    </r>
    <r>
      <rPr>
        <b/>
        <sz val="11"/>
        <color theme="1"/>
        <rFont val="Calibri"/>
        <family val="2"/>
        <charset val="177"/>
        <scheme val="minor"/>
      </rPr>
      <t>ליכוד-ימין-דתיים</t>
    </r>
  </si>
  <si>
    <r>
      <t xml:space="preserve">הסיכויים לקואליציות שונות לאחר הבחירות: </t>
    </r>
    <r>
      <rPr>
        <b/>
        <sz val="11"/>
        <color theme="1"/>
        <rFont val="Calibri"/>
        <family val="2"/>
        <charset val="177"/>
        <scheme val="minor"/>
      </rPr>
      <t>ליכוד-עבודה-שינוי (בלי חרדים)</t>
    </r>
  </si>
  <si>
    <r>
      <t xml:space="preserve">הסיכויים לקואליציות שונות לאחר הבחירות: </t>
    </r>
    <r>
      <rPr>
        <b/>
        <sz val="11"/>
        <color theme="1"/>
        <rFont val="Calibri"/>
        <family val="2"/>
        <charset val="177"/>
        <scheme val="minor"/>
      </rPr>
      <t>עבודה-מרצ-ערבים</t>
    </r>
  </si>
  <si>
    <r>
      <t xml:space="preserve">מה מידת התמיכה שלך בכל אחת מן הקואליציות הבאות: </t>
    </r>
    <r>
      <rPr>
        <b/>
        <sz val="11"/>
        <color theme="1"/>
        <rFont val="Calibri"/>
        <family val="2"/>
        <charset val="177"/>
        <scheme val="minor"/>
      </rPr>
      <t>קדימה-עבודה</t>
    </r>
  </si>
  <si>
    <r>
      <t xml:space="preserve">מה מידת התמיכה שלך בכל אחת מן הקואליציות הבאות: </t>
    </r>
    <r>
      <rPr>
        <b/>
        <sz val="11"/>
        <color theme="1"/>
        <rFont val="Calibri"/>
        <family val="2"/>
        <charset val="177"/>
        <scheme val="minor"/>
      </rPr>
      <t>קדימה-ליכוד</t>
    </r>
  </si>
  <si>
    <r>
      <t xml:space="preserve">מה מידת התמיכה שלך בכל אחת מן הקואליציות הבאות: </t>
    </r>
    <r>
      <rPr>
        <b/>
        <sz val="11"/>
        <color theme="1"/>
        <rFont val="Calibri"/>
        <family val="2"/>
        <charset val="177"/>
        <scheme val="minor"/>
      </rPr>
      <t>קדימה-ליכוד</t>
    </r>
    <r>
      <rPr>
        <sz val="11"/>
        <color theme="1"/>
        <rFont val="Calibri"/>
        <family val="2"/>
        <charset val="177"/>
        <scheme val="minor"/>
      </rPr>
      <t>-</t>
    </r>
    <r>
      <rPr>
        <b/>
        <sz val="11"/>
        <color theme="1"/>
        <rFont val="Calibri"/>
        <family val="2"/>
        <charset val="177"/>
        <scheme val="minor"/>
      </rPr>
      <t>מפלגות חרדיות</t>
    </r>
  </si>
  <si>
    <r>
      <t xml:space="preserve">מה מידת התמיכה שלך בכל אחת מן הקואליציות הבאות: </t>
    </r>
    <r>
      <rPr>
        <b/>
        <sz val="11"/>
        <color theme="1"/>
        <rFont val="Calibri"/>
        <family val="2"/>
        <charset val="177"/>
        <scheme val="minor"/>
      </rPr>
      <t>קדימה-עבודה</t>
    </r>
    <r>
      <rPr>
        <sz val="11"/>
        <color theme="1"/>
        <rFont val="Calibri"/>
        <family val="2"/>
        <charset val="177"/>
        <scheme val="minor"/>
      </rPr>
      <t>-</t>
    </r>
    <r>
      <rPr>
        <b/>
        <sz val="11"/>
        <color theme="1"/>
        <rFont val="Calibri"/>
        <family val="2"/>
        <charset val="177"/>
        <scheme val="minor"/>
      </rPr>
      <t>מפלגות חרדיות</t>
    </r>
  </si>
  <si>
    <r>
      <t xml:space="preserve">מה מידת התמיכה שלך בכל אחת מן הקואליציות הבאות: </t>
    </r>
    <r>
      <rPr>
        <b/>
        <sz val="11"/>
        <color theme="1"/>
        <rFont val="Calibri"/>
        <family val="2"/>
        <charset val="177"/>
        <scheme val="minor"/>
      </rPr>
      <t>קדימה-ליכוד</t>
    </r>
    <r>
      <rPr>
        <sz val="11"/>
        <color theme="1"/>
        <rFont val="Calibri"/>
        <family val="2"/>
        <charset val="177"/>
        <scheme val="minor"/>
      </rPr>
      <t>-</t>
    </r>
    <r>
      <rPr>
        <b/>
        <sz val="11"/>
        <color theme="1"/>
        <rFont val="Calibri"/>
        <family val="2"/>
        <charset val="177"/>
        <scheme val="minor"/>
      </rPr>
      <t>מפלגות ימין</t>
    </r>
  </si>
  <si>
    <r>
      <t xml:space="preserve">מה מידת התמיכה שלך בכל אחת מן הקואליציות הבאות: </t>
    </r>
    <r>
      <rPr>
        <b/>
        <sz val="11"/>
        <color theme="1"/>
        <rFont val="Calibri"/>
        <family val="2"/>
        <charset val="177"/>
        <scheme val="minor"/>
      </rPr>
      <t>קדימה-עבודה</t>
    </r>
    <r>
      <rPr>
        <sz val="11"/>
        <color theme="1"/>
        <rFont val="Calibri"/>
        <family val="2"/>
        <charset val="177"/>
        <scheme val="minor"/>
      </rPr>
      <t>-</t>
    </r>
    <r>
      <rPr>
        <b/>
        <sz val="11"/>
        <color theme="1"/>
        <rFont val="Calibri"/>
        <family val="2"/>
        <charset val="177"/>
        <scheme val="minor"/>
      </rPr>
      <t>מרצ</t>
    </r>
  </si>
  <si>
    <r>
      <t xml:space="preserve">מה מידת התמיכה שלך בכל אחת מן הקואליציות הבאות: </t>
    </r>
    <r>
      <rPr>
        <b/>
        <sz val="11"/>
        <color theme="1"/>
        <rFont val="Calibri"/>
        <family val="2"/>
        <charset val="177"/>
        <scheme val="minor"/>
      </rPr>
      <t>קדימה-עבודה-ליכוד-מפלגות ימין-מפלגות חרדיות (אחדות לאומית)</t>
    </r>
  </si>
  <si>
    <r>
      <t xml:space="preserve">מה מידת התמיכה שלך בכל אחת מן הקואליציות הבאות: </t>
    </r>
    <r>
      <rPr>
        <b/>
        <sz val="11"/>
        <color theme="1"/>
        <rFont val="Calibri"/>
        <family val="2"/>
        <charset val="177"/>
        <scheme val="minor"/>
      </rPr>
      <t>ליכוד-ימין-דתיים</t>
    </r>
  </si>
  <si>
    <r>
      <t xml:space="preserve">מה מידת התמיכה שלך בכל אחת מן הקואליציות הבאות: </t>
    </r>
    <r>
      <rPr>
        <b/>
        <sz val="11"/>
        <color theme="1"/>
        <rFont val="Calibri"/>
        <family val="2"/>
        <charset val="177"/>
        <scheme val="minor"/>
      </rPr>
      <t>ליכוד-עבודה-שינוי</t>
    </r>
  </si>
  <si>
    <r>
      <t xml:space="preserve">מה מידת התמיכה שלך בכל אחת מן הקואליציות הבאות: </t>
    </r>
    <r>
      <rPr>
        <b/>
        <sz val="11"/>
        <color theme="1"/>
        <rFont val="Calibri"/>
        <family val="2"/>
        <charset val="177"/>
        <scheme val="minor"/>
      </rPr>
      <t>עבודה-מרצ-ערבים</t>
    </r>
  </si>
  <si>
    <r>
      <t xml:space="preserve">האם בגלל ההתקוממות בשטחים (האינתיפאדה) השתנו או לא השתנו לגביך כל אחד מן הדברים הבאים: </t>
    </r>
    <r>
      <rPr>
        <b/>
        <sz val="11"/>
        <color theme="1"/>
        <rFont val="Calibri"/>
        <family val="2"/>
        <charset val="177"/>
        <scheme val="minor"/>
      </rPr>
      <t>הערכתך לגבי תוצאות הבחירות?</t>
    </r>
  </si>
  <si>
    <r>
      <t xml:space="preserve">האם לדעתך מלחמת יום כיפור שינתה את סיכויי </t>
    </r>
    <r>
      <rPr>
        <b/>
        <sz val="11"/>
        <color theme="1"/>
        <rFont val="Calibri"/>
        <family val="2"/>
        <charset val="177"/>
        <scheme val="minor"/>
      </rPr>
      <t>המערך</t>
    </r>
    <r>
      <rPr>
        <sz val="11"/>
        <color theme="1"/>
        <rFont val="Calibri"/>
        <family val="2"/>
        <charset val="177"/>
        <scheme val="minor"/>
      </rPr>
      <t xml:space="preserve"> בבחירות לכנסת לעומת אלו שהיו לפני המלחמה?</t>
    </r>
  </si>
  <si>
    <r>
      <t xml:space="preserve">האם לדעתך מלחמת יום כיפור שינתה את סיכויי </t>
    </r>
    <r>
      <rPr>
        <b/>
        <sz val="11"/>
        <color theme="1"/>
        <rFont val="Calibri"/>
        <family val="2"/>
        <charset val="177"/>
        <scheme val="minor"/>
      </rPr>
      <t>הליכוד</t>
    </r>
    <r>
      <rPr>
        <sz val="11"/>
        <color theme="1"/>
        <rFont val="Calibri"/>
        <family val="2"/>
        <charset val="177"/>
        <scheme val="minor"/>
      </rPr>
      <t xml:space="preserve"> בבחירות לכנסת לעומת אלו שהיו לפני המלחמה?</t>
    </r>
  </si>
  <si>
    <r>
      <t xml:space="preserve">יש כל מיני דעות "על מה" היו הבחירות האחרונות. באיזו מידה אתה מסכים או לא מסכים עם כל אחד מהמשפטים הבאים: </t>
    </r>
    <r>
      <rPr>
        <b/>
        <sz val="11"/>
        <color theme="1"/>
        <rFont val="Calibri"/>
        <family val="2"/>
        <charset val="177"/>
        <scheme val="minor"/>
      </rPr>
      <t>הבחירות האלה היו משאל עם על נתניהו</t>
    </r>
  </si>
  <si>
    <r>
      <t xml:space="preserve">באיזו מידה ישפיע או לא ישפיע לדעתך </t>
    </r>
    <r>
      <rPr>
        <b/>
        <sz val="11"/>
        <color theme="1"/>
        <rFont val="Calibri"/>
        <family val="2"/>
        <charset val="177"/>
        <scheme val="minor"/>
      </rPr>
      <t>נושא השטחים</t>
    </r>
    <r>
      <rPr>
        <sz val="11"/>
        <color theme="1"/>
        <rFont val="Calibri"/>
        <family val="2"/>
        <charset val="177"/>
        <scheme val="minor"/>
      </rPr>
      <t xml:space="preserve"> על תוצאות הבחירות הקרובות לכנסת?</t>
    </r>
  </si>
  <si>
    <r>
      <t xml:space="preserve">באיזו מידה ישפיע או לא ישפיע לדעתך </t>
    </r>
    <r>
      <rPr>
        <b/>
        <sz val="11"/>
        <color theme="1"/>
        <rFont val="Calibri"/>
        <family val="2"/>
        <charset val="177"/>
        <scheme val="minor"/>
      </rPr>
      <t>הנושא הכלכלי</t>
    </r>
    <r>
      <rPr>
        <sz val="11"/>
        <color theme="1"/>
        <rFont val="Calibri"/>
        <family val="2"/>
        <charset val="177"/>
        <scheme val="minor"/>
      </rPr>
      <t xml:space="preserve"> על תוצאות הבחירות הקרובות לכנסת?</t>
    </r>
  </si>
  <si>
    <r>
      <t xml:space="preserve">באיזו מידה ישפיע או לא ישפיע לדעתך </t>
    </r>
    <r>
      <rPr>
        <b/>
        <sz val="11"/>
        <color theme="1"/>
        <rFont val="Calibri"/>
        <family val="2"/>
        <charset val="177"/>
        <scheme val="minor"/>
      </rPr>
      <t>הנושא הבטחוני</t>
    </r>
    <r>
      <rPr>
        <sz val="11"/>
        <color theme="1"/>
        <rFont val="Calibri"/>
        <family val="2"/>
        <charset val="177"/>
        <scheme val="minor"/>
      </rPr>
      <t xml:space="preserve"> על תוצאות הבחירות הקרובות לכנסת?</t>
    </r>
  </si>
  <si>
    <t>סוגיות</t>
  </si>
  <si>
    <r>
      <t xml:space="preserve">לעמדה של מי אתה קרוב יותר בכל אחד מהנושאים הבאים: </t>
    </r>
    <r>
      <rPr>
        <b/>
        <sz val="11"/>
        <color theme="1"/>
        <rFont val="Calibri"/>
        <family val="2"/>
        <charset val="177"/>
        <scheme val="minor"/>
      </rPr>
      <t>כלכלה</t>
    </r>
  </si>
  <si>
    <r>
      <t xml:space="preserve">מי לדעתך יטפל טוב יותר בבעיית </t>
    </r>
    <r>
      <rPr>
        <b/>
        <sz val="11"/>
        <color theme="1"/>
        <rFont val="Calibri"/>
        <family val="2"/>
        <charset val="177"/>
        <scheme val="minor"/>
      </rPr>
      <t>הכלכלה והחברה</t>
    </r>
    <r>
      <rPr>
        <sz val="11"/>
        <color theme="1"/>
        <rFont val="Calibri"/>
        <family val="2"/>
        <charset val="177"/>
        <scheme val="minor"/>
      </rPr>
      <t xml:space="preserve"> של המדינה?</t>
    </r>
  </si>
  <si>
    <r>
      <t xml:space="preserve">מי לדעתך יטפל יותר טוב בבעיות </t>
    </r>
    <r>
      <rPr>
        <b/>
        <sz val="11"/>
        <color theme="1"/>
        <rFont val="Calibri"/>
        <family val="2"/>
        <charset val="177"/>
        <scheme val="minor"/>
      </rPr>
      <t>הכלכליות</t>
    </r>
    <r>
      <rPr>
        <sz val="11"/>
        <color theme="1"/>
        <rFont val="Calibri"/>
        <family val="2"/>
        <charset val="177"/>
        <scheme val="minor"/>
      </rPr>
      <t xml:space="preserve"> של המדינה?</t>
    </r>
  </si>
  <si>
    <r>
      <t xml:space="preserve">מי לדעתך יטפל יותר טוב בבעיות </t>
    </r>
    <r>
      <rPr>
        <b/>
        <sz val="11"/>
        <color theme="1"/>
        <rFont val="Calibri"/>
        <family val="2"/>
        <charset val="177"/>
        <scheme val="minor"/>
      </rPr>
      <t>החברתיות</t>
    </r>
    <r>
      <rPr>
        <sz val="11"/>
        <color theme="1"/>
        <rFont val="Calibri"/>
        <family val="2"/>
        <charset val="177"/>
        <scheme val="minor"/>
      </rPr>
      <t xml:space="preserve"> של המדינה?</t>
    </r>
  </si>
  <si>
    <r>
      <t xml:space="preserve">באיזו מידה אה מסכים או לא מסכים למשפטים הבאים? </t>
    </r>
    <r>
      <rPr>
        <b/>
        <sz val="11"/>
        <color theme="1"/>
        <rFont val="Calibri"/>
        <family val="2"/>
        <charset val="177"/>
        <scheme val="minor"/>
      </rPr>
      <t>אנשים עם הכנסה גבוהה צריכים לשלם יותר מיסים ממה שהם משלמים היום</t>
    </r>
  </si>
  <si>
    <r>
      <t xml:space="preserve">לגבי כל אחד מהסעיפים הבאים, ציין האם לדעתך על המדינה להוציא יותר כספים, פחות כספים או כמו עכשיו: </t>
    </r>
    <r>
      <rPr>
        <b/>
        <sz val="11"/>
        <color theme="1"/>
        <rFont val="Calibri"/>
        <family val="2"/>
        <charset val="177"/>
        <scheme val="minor"/>
      </rPr>
      <t>חינוך</t>
    </r>
  </si>
  <si>
    <r>
      <t xml:space="preserve">איזו משתי המפלגות הגדולות אחראית יותר לדעתך לכל אחת מהתופעות הבאות בארץ: </t>
    </r>
    <r>
      <rPr>
        <b/>
        <sz val="11"/>
        <color theme="1"/>
        <rFont val="Calibri"/>
        <family val="2"/>
        <charset val="177"/>
        <scheme val="minor"/>
      </rPr>
      <t>אלימות</t>
    </r>
  </si>
  <si>
    <r>
      <t xml:space="preserve">איזו משתי המפלגות הגדולות אחראית יותר לדעתך לכל אחת מהתופעות הבאות בארץ: </t>
    </r>
    <r>
      <rPr>
        <b/>
        <sz val="11"/>
        <color theme="1"/>
        <rFont val="Calibri"/>
        <family val="2"/>
        <charset val="177"/>
        <scheme val="minor"/>
      </rPr>
      <t>ירידה מהארץ</t>
    </r>
  </si>
  <si>
    <r>
      <t xml:space="preserve">איזו משתי המפלגות הגדולות אחראית יותר לדעתך לכל אחת מהתופעות הבאות בארץ: </t>
    </r>
    <r>
      <rPr>
        <b/>
        <sz val="11"/>
        <color theme="1"/>
        <rFont val="Calibri"/>
        <family val="2"/>
        <charset val="177"/>
        <scheme val="minor"/>
      </rPr>
      <t>אינפלציה גבוהה</t>
    </r>
  </si>
  <si>
    <r>
      <t xml:space="preserve">איזו משתי המפלגות הגדולות אחראית יותר לדעתך לכל אחת מהתופעות הבאות בארץ: </t>
    </r>
    <r>
      <rPr>
        <b/>
        <sz val="11"/>
        <color theme="1"/>
        <rFont val="Calibri"/>
        <family val="2"/>
        <charset val="177"/>
        <scheme val="minor"/>
      </rPr>
      <t>מוסר ירוד (שחיתות)</t>
    </r>
  </si>
  <si>
    <r>
      <t xml:space="preserve">איזו משתי המפלגות הגדולות אחראית יותר לדעתך לכל אחת מהתופעות הבאות בארץ: </t>
    </r>
    <r>
      <rPr>
        <b/>
        <sz val="11"/>
        <color theme="1"/>
        <rFont val="Calibri"/>
        <family val="2"/>
        <charset val="177"/>
        <scheme val="minor"/>
      </rPr>
      <t>פשע במדינה</t>
    </r>
  </si>
  <si>
    <r>
      <t xml:space="preserve">איזו משתי המפלגות הגדולות אחראית יותר לדעתך לכל אחת מהתופעות הבאות בארץ: </t>
    </r>
    <r>
      <rPr>
        <b/>
        <sz val="11"/>
        <color theme="1"/>
        <rFont val="Calibri"/>
        <family val="2"/>
        <charset val="177"/>
        <scheme val="minor"/>
      </rPr>
      <t>פער עדתי</t>
    </r>
  </si>
  <si>
    <r>
      <t xml:space="preserve">על סולם 1-10, עד כמה את קרוב או רחוק בנושאי כלכלה-חברה מהמפלגות הבאות: </t>
    </r>
    <r>
      <rPr>
        <b/>
        <sz val="11"/>
        <color theme="1"/>
        <rFont val="Calibri"/>
        <family val="2"/>
        <charset val="177"/>
        <scheme val="minor"/>
      </rPr>
      <t>העבודה</t>
    </r>
  </si>
  <si>
    <r>
      <t xml:space="preserve">על סולם 1-10, עד כמה את קרוב או רחוק בנושאי כלכלה-חברה מהמפלגות הבאות: </t>
    </r>
    <r>
      <rPr>
        <b/>
        <sz val="11"/>
        <color theme="1"/>
        <rFont val="Calibri"/>
        <family val="2"/>
        <charset val="177"/>
        <scheme val="minor"/>
      </rPr>
      <t>הליכוד</t>
    </r>
  </si>
  <si>
    <r>
      <t xml:space="preserve">על סולם 1-10, עד כמה את קרוב או רחוק בנושאי כלכלה-חברה מהמפלגות הבאות: </t>
    </r>
    <r>
      <rPr>
        <b/>
        <sz val="11"/>
        <color theme="1"/>
        <rFont val="Calibri"/>
        <family val="2"/>
        <charset val="177"/>
        <scheme val="minor"/>
      </rPr>
      <t>שינוי</t>
    </r>
  </si>
  <si>
    <r>
      <t xml:space="preserve">על סולם 1-10, עד כמה אתה קרוב או רחוק בנושאי כלכלה-חברה מ: </t>
    </r>
    <r>
      <rPr>
        <b/>
        <sz val="11"/>
        <color theme="1"/>
        <rFont val="Calibri"/>
        <family val="2"/>
        <charset val="177"/>
        <scheme val="minor"/>
      </rPr>
      <t>בנימין נתניהו</t>
    </r>
  </si>
  <si>
    <r>
      <t xml:space="preserve">על סולם 1-10, עד כמה אתה קרוב או רחוק בנושאי כלכלה-חברה מ: </t>
    </r>
    <r>
      <rPr>
        <b/>
        <sz val="11"/>
        <color theme="1"/>
        <rFont val="Calibri"/>
        <family val="2"/>
        <charset val="177"/>
        <scheme val="minor"/>
      </rPr>
      <t>אהוד ברק</t>
    </r>
  </si>
  <si>
    <r>
      <t xml:space="preserve">על סולם 1-10, עד כמה אתה קרוב או רחוק בנושאי כלכלה-חברה מ: </t>
    </r>
    <r>
      <rPr>
        <b/>
        <sz val="11"/>
        <color theme="1"/>
        <rFont val="Calibri"/>
        <family val="2"/>
        <charset val="177"/>
        <scheme val="minor"/>
      </rPr>
      <t>איציק מרדכי</t>
    </r>
  </si>
  <si>
    <r>
      <t xml:space="preserve">על סולם 1-10, עד כמה אתה קרוב או רחוק בנושאי כלכלה-חברה מ: </t>
    </r>
    <r>
      <rPr>
        <b/>
        <sz val="11"/>
        <color theme="1"/>
        <rFont val="Calibri"/>
        <family val="2"/>
        <charset val="177"/>
        <scheme val="minor"/>
      </rPr>
      <t>בני בגין</t>
    </r>
  </si>
  <si>
    <r>
      <t xml:space="preserve">על סולם 1-10, עד כמה אתה קרוב או רחוק בנושאי כלכלה-חברה מ: </t>
    </r>
    <r>
      <rPr>
        <b/>
        <sz val="11"/>
        <color theme="1"/>
        <rFont val="Calibri"/>
        <family val="2"/>
        <charset val="177"/>
        <scheme val="minor"/>
      </rPr>
      <t>עזמי בשארה</t>
    </r>
  </si>
  <si>
    <r>
      <t xml:space="preserve">באיזה אופן </t>
    </r>
    <r>
      <rPr>
        <u/>
        <sz val="11"/>
        <color theme="1"/>
        <rFont val="Calibri"/>
        <family val="2"/>
        <charset val="177"/>
        <scheme val="minor"/>
      </rPr>
      <t>מסע הבחירות</t>
    </r>
    <r>
      <rPr>
        <sz val="11"/>
        <color theme="1"/>
        <rFont val="Calibri"/>
        <family val="2"/>
        <charset val="177"/>
        <scheme val="minor"/>
      </rPr>
      <t xml:space="preserve"> השפיע על החלטתך איך להצביע בבחירות להסתדרות?</t>
    </r>
  </si>
  <si>
    <r>
      <t xml:space="preserve">לפניך רשימה של ענפים. ציין בבקשה לגבי כל אחד מהם אם היית תומך בכך שיהיו בבעלות ממשלתית או מתנגד לכך: </t>
    </r>
    <r>
      <rPr>
        <b/>
        <sz val="11"/>
        <color theme="1"/>
        <rFont val="Calibri"/>
        <family val="2"/>
        <charset val="177"/>
        <scheme val="minor"/>
      </rPr>
      <t>הדואר</t>
    </r>
  </si>
  <si>
    <r>
      <t xml:space="preserve">לפניך רשימה של ענפים. ציין בבקשה לגבי כל אחד מהם אם היית תומך בכך שיהיו בבעלות ממשלתית או מתנגד לכך: </t>
    </r>
    <r>
      <rPr>
        <b/>
        <sz val="11"/>
        <color theme="1"/>
        <rFont val="Calibri"/>
        <family val="2"/>
        <charset val="177"/>
        <scheme val="minor"/>
      </rPr>
      <t>הרכבת</t>
    </r>
  </si>
  <si>
    <r>
      <t xml:space="preserve">לפניך רשימה של ענפים. ציין בבקשה לגבי כל אחד מהם אם היית תומך בכך שיהיו בבעלות ממשלתית או מתנגד לכך: </t>
    </r>
    <r>
      <rPr>
        <b/>
        <sz val="11"/>
        <color theme="1"/>
        <rFont val="Calibri"/>
        <family val="2"/>
        <charset val="177"/>
        <scheme val="minor"/>
      </rPr>
      <t>חברת החשמל</t>
    </r>
  </si>
  <si>
    <r>
      <t xml:space="preserve">לפניך רשימה של ענפים. ציין בבקשה לגבי כל אחד מהם אם היית תומך בכך שיהיו בבעלות ממשלתית או מתנגד לכך: </t>
    </r>
    <r>
      <rPr>
        <b/>
        <sz val="11"/>
        <color theme="1"/>
        <rFont val="Calibri"/>
        <family val="2"/>
        <charset val="177"/>
        <scheme val="minor"/>
      </rPr>
      <t>שיווק של מזון</t>
    </r>
  </si>
  <si>
    <r>
      <t xml:space="preserve">לפניך רשימה של ענפים. ציין בבקשה לגבי כל אחד מהם אם היית תומך בכך שיהיו בבעלות ממשלתית או מתנגד לכך: </t>
    </r>
    <r>
      <rPr>
        <b/>
        <sz val="11"/>
        <color theme="1"/>
        <rFont val="Calibri"/>
        <family val="2"/>
        <charset val="177"/>
        <scheme val="minor"/>
      </rPr>
      <t>רדיו וטלוויזיה</t>
    </r>
  </si>
  <si>
    <r>
      <t xml:space="preserve">לפניך רשימה של ענפים. ציין בבקשה לגבי כל אחד מהם אם היית תומך בכך שיהיו בבעלות ממשלתית או מתנגד לכך: </t>
    </r>
    <r>
      <rPr>
        <b/>
        <sz val="11"/>
        <color theme="1"/>
        <rFont val="Calibri"/>
        <family val="2"/>
        <charset val="177"/>
        <scheme val="minor"/>
      </rPr>
      <t>קופות החולים</t>
    </r>
  </si>
  <si>
    <r>
      <t xml:space="preserve">לפניך רשימה של ענפים. ציין בבקשה לגבי כל אחד מהם אם היית תומך בכך שיהיו בבעלות ממשלתית או מתנגד לכך: </t>
    </r>
    <r>
      <rPr>
        <b/>
        <sz val="11"/>
        <color theme="1"/>
        <rFont val="Calibri"/>
        <family val="2"/>
        <charset val="177"/>
        <scheme val="minor"/>
      </rPr>
      <t>שירותי הטלפון</t>
    </r>
  </si>
  <si>
    <r>
      <t xml:space="preserve">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t>
    </r>
    <r>
      <rPr>
        <b/>
        <sz val="11"/>
        <color theme="1"/>
        <rFont val="Calibri"/>
        <family val="2"/>
        <charset val="177"/>
        <scheme val="minor"/>
      </rPr>
      <t>איזה החשוב לך ביותר</t>
    </r>
    <r>
      <rPr>
        <sz val="11"/>
        <color theme="1"/>
        <rFont val="Calibri"/>
        <family val="2"/>
        <charset val="177"/>
        <scheme val="minor"/>
      </rPr>
      <t>?</t>
    </r>
  </si>
  <si>
    <r>
      <t xml:space="preserve">באיזו מידה אתה מסכים או לא מסכים עם המשפטים הבאים: </t>
    </r>
    <r>
      <rPr>
        <b/>
        <sz val="11"/>
        <color theme="1"/>
        <rFont val="Calibri"/>
        <family val="2"/>
        <charset val="177"/>
        <scheme val="minor"/>
      </rPr>
      <t>יש להנהיג נישואים אזרחיים בנוסף לנישואים דתיים בישראל</t>
    </r>
  </si>
  <si>
    <r>
      <t xml:space="preserve">באיזו מידה אתה מסכים או לא מסכים עם המשפטים הבאים: </t>
    </r>
    <r>
      <rPr>
        <b/>
        <sz val="11"/>
        <color theme="1"/>
        <rFont val="Calibri"/>
        <family val="2"/>
        <charset val="177"/>
        <scheme val="minor"/>
      </rPr>
      <t>יש לחייב את החרדים לשרת בצה"ל או בשירות הלאומי</t>
    </r>
  </si>
  <si>
    <r>
      <t xml:space="preserve">באיזו מידה אתה מסכים או לא מסכים עם המשפטים הבאים: </t>
    </r>
    <r>
      <rPr>
        <b/>
        <sz val="11"/>
        <color theme="1"/>
        <rFont val="Calibri"/>
        <family val="2"/>
        <charset val="177"/>
        <scheme val="minor"/>
      </rPr>
      <t>יש להפריד את הדת מהמדינה</t>
    </r>
  </si>
  <si>
    <r>
      <t xml:space="preserve">על סולם 1-10, כד כמה אתה קרוב או רחוק בנושאי דת ומדינה מהמפלגות הבאות: </t>
    </r>
    <r>
      <rPr>
        <b/>
        <sz val="11"/>
        <color theme="1"/>
        <rFont val="Calibri"/>
        <family val="2"/>
        <charset val="177"/>
        <scheme val="minor"/>
      </rPr>
      <t>העבודה</t>
    </r>
  </si>
  <si>
    <r>
      <t xml:space="preserve">על סולם 1-10, כד כמה אתה קרוב או רחוק בנושאי דת ומדינה מהמפלגות הבאות: </t>
    </r>
    <r>
      <rPr>
        <b/>
        <sz val="11"/>
        <color theme="1"/>
        <rFont val="Calibri"/>
        <family val="2"/>
        <charset val="177"/>
        <scheme val="minor"/>
      </rPr>
      <t>הליכוד</t>
    </r>
  </si>
  <si>
    <r>
      <t xml:space="preserve">על סולם 1-10, כד כמה אתה קרוב או רחוק בנושאי דת ומדינה מהמפלגות הבאות: </t>
    </r>
    <r>
      <rPr>
        <b/>
        <sz val="11"/>
        <color theme="1"/>
        <rFont val="Calibri"/>
        <family val="2"/>
        <charset val="177"/>
        <scheme val="minor"/>
      </rPr>
      <t>שינוי</t>
    </r>
  </si>
  <si>
    <r>
      <t xml:space="preserve">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t>
    </r>
    <r>
      <rPr>
        <b/>
        <sz val="11"/>
        <color theme="1"/>
        <rFont val="Calibri"/>
        <family val="2"/>
        <charset val="177"/>
        <scheme val="minor"/>
      </rPr>
      <t>איזה החשוב לך ביותר</t>
    </r>
    <r>
      <rPr>
        <sz val="11"/>
        <color theme="1"/>
        <rFont val="Calibri"/>
        <family val="2"/>
        <charset val="177"/>
        <scheme val="minor"/>
      </rPr>
      <t xml:space="preserve">? </t>
    </r>
    <r>
      <rPr>
        <b/>
        <sz val="11"/>
        <color theme="1"/>
        <rFont val="Calibri"/>
        <family val="2"/>
        <charset val="177"/>
        <scheme val="minor"/>
      </rPr>
      <t>(אחרי הבחירות)</t>
    </r>
  </si>
  <si>
    <r>
      <t xml:space="preserve">ואיזה שני בחשיבותו? </t>
    </r>
    <r>
      <rPr>
        <b/>
        <sz val="11"/>
        <color theme="1"/>
        <rFont val="Calibri"/>
        <family val="2"/>
        <charset val="177"/>
        <scheme val="minor"/>
      </rPr>
      <t>(אחרי הבחירות)</t>
    </r>
  </si>
  <si>
    <r>
      <t xml:space="preserve">ומה השלישי בחשיבותו? </t>
    </r>
    <r>
      <rPr>
        <b/>
        <sz val="11"/>
        <color theme="1"/>
        <rFont val="Calibri"/>
        <family val="2"/>
        <charset val="177"/>
        <scheme val="minor"/>
      </rPr>
      <t>(אחרי הבחירות)</t>
    </r>
  </si>
  <si>
    <r>
      <t xml:space="preserve">ומה הרביעי בחשיבותו? </t>
    </r>
    <r>
      <rPr>
        <b/>
        <sz val="11"/>
        <color theme="1"/>
        <rFont val="Calibri"/>
        <family val="2"/>
        <charset val="177"/>
        <scheme val="minor"/>
      </rPr>
      <t>(אחרי הבחירות)</t>
    </r>
  </si>
  <si>
    <r>
      <t xml:space="preserve">באיזו מידה כל אחד מהמצבים הבאים מהווה איום בעיניך: </t>
    </r>
    <r>
      <rPr>
        <b/>
        <sz val="11"/>
        <color theme="1"/>
        <rFont val="Calibri"/>
        <family val="2"/>
        <charset val="177"/>
        <scheme val="minor"/>
      </rPr>
      <t>מדינת הלכה</t>
    </r>
  </si>
  <si>
    <r>
      <t xml:space="preserve">באיזו מידה כל אחד מהמצבים הבאים מהווה איום בעיניך: </t>
    </r>
    <r>
      <rPr>
        <b/>
        <sz val="11"/>
        <color theme="1"/>
        <rFont val="Calibri"/>
        <family val="2"/>
        <charset val="177"/>
        <scheme val="minor"/>
      </rPr>
      <t>הפרדת דת ומדינה</t>
    </r>
  </si>
  <si>
    <r>
      <t xml:space="preserve">מהם הסיכויים שיתקיים כל אחד מהמצבים הבאים בעתיד הנראה לעין: </t>
    </r>
    <r>
      <rPr>
        <b/>
        <sz val="11"/>
        <color theme="1"/>
        <rFont val="Calibri"/>
        <family val="2"/>
        <charset val="177"/>
        <scheme val="minor"/>
      </rPr>
      <t>מדינת הלכה</t>
    </r>
  </si>
  <si>
    <r>
      <t xml:space="preserve">מהם הסיכויים שיתקיים כל אחד מהמצבים הבאים בעתיד הנראה לעין: </t>
    </r>
    <r>
      <rPr>
        <b/>
        <sz val="11"/>
        <color theme="1"/>
        <rFont val="Calibri"/>
        <family val="2"/>
        <charset val="177"/>
        <scheme val="minor"/>
      </rPr>
      <t>הפרדת דת ומדינה</t>
    </r>
  </si>
  <si>
    <t>דת ומדינה</t>
  </si>
  <si>
    <r>
      <t xml:space="preserve">לעמדה של מי אתה קרוב יותר בכל אחד מהנושאים הבאים: </t>
    </r>
    <r>
      <rPr>
        <b/>
        <sz val="11"/>
        <color theme="1"/>
        <rFont val="Calibri"/>
        <family val="2"/>
        <charset val="177"/>
        <scheme val="minor"/>
      </rPr>
      <t>בטחון וטרור</t>
    </r>
  </si>
  <si>
    <r>
      <t xml:space="preserve">באיזו מידה אתה מסכים או לא מסכים עם המשפטים הבאים: </t>
    </r>
    <r>
      <rPr>
        <b/>
        <sz val="11"/>
        <color theme="1"/>
        <rFont val="Calibri"/>
        <family val="2"/>
        <charset val="177"/>
        <scheme val="minor"/>
      </rPr>
      <t>על ישראל לעשות את מה שטוב בשביל ביטחונה גם במחיר של עימות עם הממשל האמריקאי</t>
    </r>
  </si>
  <si>
    <r>
      <t xml:space="preserve">באיזו מידה אתה מסכים או לא מסכים עם המשפטים הבאים: </t>
    </r>
    <r>
      <rPr>
        <b/>
        <sz val="11"/>
        <color theme="1"/>
        <rFont val="Calibri"/>
        <family val="2"/>
        <charset val="177"/>
        <scheme val="minor"/>
      </rPr>
      <t>במהלך מלחמה צה"ל צריך להמנע מפגיעה באוכלוסיה אזרחית</t>
    </r>
  </si>
  <si>
    <r>
      <t xml:space="preserve">באיזו מידה אתה מסכים או לא מסכים עם המשפטים הבאים: </t>
    </r>
    <r>
      <rPr>
        <b/>
        <sz val="11"/>
        <color theme="1"/>
        <rFont val="Calibri"/>
        <family val="2"/>
        <charset val="177"/>
        <scheme val="minor"/>
      </rPr>
      <t>אם יכשלו המאמצעים הדיפלומטים, על ישראל לתקוף צבאית את מתקני הגרעין האיראניים</t>
    </r>
  </si>
  <si>
    <r>
      <t xml:space="preserve">באיזו מידה אתה מסכים או לא מסכים עם המשפטים הבאים: </t>
    </r>
    <r>
      <rPr>
        <b/>
        <sz val="11"/>
        <color theme="1"/>
        <rFont val="Calibri"/>
        <family val="2"/>
        <charset val="177"/>
        <scheme val="minor"/>
      </rPr>
      <t>יש להרחיב את סמכויות המשטרה לשם הגנה על הסדר הציבורי</t>
    </r>
  </si>
  <si>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charset val="177"/>
        <scheme val="minor"/>
      </rPr>
      <t>נשק כימי וביולוגי בידי מדינת אויב</t>
    </r>
  </si>
  <si>
    <r>
      <t xml:space="preserve">לגבי כל אחת מהאופשרויות הבאות, מהו לדעתך הסיכוי שהיא תביא למלחמה ישראלית-ערבית נוספת? </t>
    </r>
    <r>
      <rPr>
        <b/>
        <sz val="11"/>
        <color theme="1"/>
        <rFont val="Calibri"/>
        <family val="2"/>
        <charset val="177"/>
        <scheme val="minor"/>
      </rPr>
      <t>החזרת שטחים לירדן</t>
    </r>
  </si>
  <si>
    <r>
      <t xml:space="preserve">האם תוכל או לא תוכל מדינת ישראל להתמודד עם כל אחד מהדברים הבאים: </t>
    </r>
    <r>
      <rPr>
        <b/>
        <sz val="11"/>
        <color theme="1"/>
        <rFont val="Calibri"/>
        <family val="2"/>
        <charset val="177"/>
        <scheme val="minor"/>
      </rPr>
      <t>מלחמה כוללת של כל מדינות ערב נגדנו</t>
    </r>
  </si>
  <si>
    <r>
      <t xml:space="preserve">במלחמה נגד הטרור אפשר לנקוט במספר פעולות, באיזו מידה אתה תומך בכל אחת מהפעולות הבאות או מתנגד להן: </t>
    </r>
    <r>
      <rPr>
        <b/>
        <sz val="11"/>
        <color theme="1"/>
        <rFont val="Calibri"/>
        <family val="2"/>
        <charset val="177"/>
        <scheme val="minor"/>
      </rPr>
      <t>הריסת בתים שבעליהם איכסנו מחבלים וידעו שהם מחבלים</t>
    </r>
  </si>
  <si>
    <r>
      <t xml:space="preserve">האם מוצדק או לא מוצדק לצאת למלחמה יזומה בכל אחד מהמצבים/תנאים הבאים: </t>
    </r>
    <r>
      <rPr>
        <b/>
        <sz val="11"/>
        <color theme="1"/>
        <rFont val="Calibri"/>
        <family val="2"/>
        <charset val="177"/>
        <scheme val="minor"/>
      </rPr>
      <t>כפועל התגוננות כדי למנוע נסיון להשמיד את המדינה</t>
    </r>
  </si>
  <si>
    <r>
      <t xml:space="preserve">האם מוצדק או לא מוצדק שישראל תשתמש בנשק גרעיני בכל אחד מהתנאים הבאים: </t>
    </r>
    <r>
      <rPr>
        <b/>
        <sz val="11"/>
        <color theme="1"/>
        <rFont val="Calibri"/>
        <family val="2"/>
        <charset val="177"/>
        <scheme val="minor"/>
      </rPr>
      <t>כתגובה על התקפה גרעינית מצד מדינה אחרת</t>
    </r>
  </si>
  <si>
    <r>
      <t xml:space="preserve">באיזה מידה אתה מסכים או לא מסכים עם כל אחת מהדעות הבאות: </t>
    </r>
    <r>
      <rPr>
        <b/>
        <sz val="11"/>
        <color theme="1"/>
        <rFont val="Calibri"/>
        <family val="2"/>
        <charset val="177"/>
        <scheme val="minor"/>
      </rPr>
      <t>צריך להקריב קורבנות בתחום האישי, הכלכלי והחברתי כדי לשמור על עצמתנו, במידה שתספיק לקיום ביטחוננו</t>
    </r>
  </si>
  <si>
    <r>
      <t xml:space="preserve">באיזה מידה אתה מסכים או לא מסכים עם כל אחת מהדעות הבאות: </t>
    </r>
    <r>
      <rPr>
        <b/>
        <sz val="11"/>
        <color theme="1"/>
        <rFont val="Calibri"/>
        <family val="2"/>
        <charset val="177"/>
        <scheme val="minor"/>
      </rPr>
      <t>צריך לעבור לפיתוח נשק גרעיני כדי להרתיע את הערבים</t>
    </r>
  </si>
  <si>
    <r>
      <t xml:space="preserve">באיזה מידה אתה מסכים או לא מסכים עם כל אחת מהדעות הבאות: </t>
    </r>
    <r>
      <rPr>
        <b/>
        <sz val="11"/>
        <color theme="1"/>
        <rFont val="Calibri"/>
        <family val="2"/>
        <charset val="177"/>
        <scheme val="minor"/>
      </rPr>
      <t>צריך לכרות ברית הגנה עם ארה"ב כדי שהערבים לא יתקיפו אותנו</t>
    </r>
  </si>
  <si>
    <r>
      <t xml:space="preserve">מבין המדינות והקבוצות הבאות, ציין את השתיים שהן האויב המסוכן ביותר לישראל ודרג אותן לפי סדר חשיבותן: </t>
    </r>
    <r>
      <rPr>
        <b/>
        <sz val="11"/>
        <color theme="1"/>
        <rFont val="Calibri"/>
        <family val="2"/>
        <charset val="177"/>
        <scheme val="minor"/>
      </rPr>
      <t>האויב המסוכן ביותר</t>
    </r>
  </si>
  <si>
    <r>
      <t xml:space="preserve">באיזו מידה מהווים כל אחד מהגורמים הבאים סיבה להתנגדות הערבים למדינת ישראל: </t>
    </r>
    <r>
      <rPr>
        <b/>
        <sz val="11"/>
        <color theme="1"/>
        <rFont val="Calibri"/>
        <family val="2"/>
        <charset val="177"/>
        <scheme val="minor"/>
      </rPr>
      <t>קיימת בקרבם שנאת יהודים</t>
    </r>
  </si>
  <si>
    <r>
      <t xml:space="preserve">מבין כל הגורמים הנ"ל, ציין את שני הגורמים העיקריים להתנגדות הערבים למדינת ישראל ודרג אותם לפי סדר חשיבותם: </t>
    </r>
    <r>
      <rPr>
        <b/>
        <sz val="11"/>
        <color theme="1"/>
        <rFont val="Calibri"/>
        <family val="2"/>
        <charset val="177"/>
        <scheme val="minor"/>
      </rPr>
      <t>הגורם העיקרי</t>
    </r>
  </si>
  <si>
    <r>
      <t xml:space="preserve">מבין כל הגורמים הנ"ל, ציין את שני הגורמים העיקריים להתנגדות הערבים למדינת ישראל ודרג אותם לפי סדר חשיבותם: </t>
    </r>
    <r>
      <rPr>
        <b/>
        <sz val="11"/>
        <color theme="1"/>
        <rFont val="Calibri"/>
        <family val="2"/>
        <charset val="177"/>
        <scheme val="minor"/>
      </rPr>
      <t>גורם משני</t>
    </r>
  </si>
  <si>
    <r>
      <t xml:space="preserve">נתייחס עתה לאיש צבא בכיר שלא מסכים עם המדיניות הננקטת ע"י הממשלה - מה מבין הדברים הבאים מותר לו לעשות ומה אסור לו לעשות לדעתך: </t>
    </r>
    <r>
      <rPr>
        <b/>
        <sz val="11"/>
        <color theme="1"/>
        <rFont val="Calibri"/>
        <family val="2"/>
        <charset val="177"/>
        <scheme val="minor"/>
      </rPr>
      <t>האם מותר או אסור לו לדבר עם הממונים עליו בצבא על כך שאינו מסכים עם מדיניות הממשלה?</t>
    </r>
  </si>
  <si>
    <r>
      <t xml:space="preserve">האם בגלל ההתקוממות בשטחים (האינתיפאדה) השתנו או לא השתנו לגביך כל אחד מן הדברים הבאים: </t>
    </r>
    <r>
      <rPr>
        <b/>
        <sz val="11"/>
        <color theme="1"/>
        <rFont val="Calibri"/>
        <family val="2"/>
        <charset val="177"/>
        <scheme val="minor"/>
      </rPr>
      <t>מצב הרוח שלך?</t>
    </r>
  </si>
  <si>
    <r>
      <t xml:space="preserve">האם בגלל ההתקוממות בשטחים (האינתיפאדה) השתנו או לא השתנו לגביך כל אחד מן הדברים הבאים: </t>
    </r>
    <r>
      <rPr>
        <b/>
        <sz val="11"/>
        <color theme="1"/>
        <rFont val="Calibri"/>
        <family val="2"/>
        <charset val="177"/>
        <scheme val="minor"/>
      </rPr>
      <t>מצב הרוח הלאומי?</t>
    </r>
  </si>
  <si>
    <r>
      <t xml:space="preserve">האם בגלל ההתקוממות בשטחים (האינתיפאדה) השתנו או לא השתנו לגביך כל אחד מן הדברים הבאים: </t>
    </r>
    <r>
      <rPr>
        <b/>
        <sz val="11"/>
        <color theme="1"/>
        <rFont val="Calibri"/>
        <family val="2"/>
        <charset val="177"/>
        <scheme val="minor"/>
      </rPr>
      <t>הפעילות הפוליטית שלך?</t>
    </r>
  </si>
  <si>
    <r>
      <t xml:space="preserve">האם בגלל ההתקוממות בשטחים (האינתיפאדה) השתנו או לא השתנו לגביך כל אחד מן הדברים הבאים: </t>
    </r>
    <r>
      <rPr>
        <b/>
        <sz val="11"/>
        <color theme="1"/>
        <rFont val="Calibri"/>
        <family val="2"/>
        <charset val="177"/>
        <scheme val="minor"/>
      </rPr>
      <t>רצונך לחיות בארץ?</t>
    </r>
  </si>
  <si>
    <r>
      <t xml:space="preserve">האם בגלל ההתקוממות בשטחים (האינתיפאדה) השתנו או לא השתנו לגביך כל אחד מן הדברים הבאים: </t>
    </r>
    <r>
      <rPr>
        <b/>
        <sz val="11"/>
        <color theme="1"/>
        <rFont val="Calibri"/>
        <family val="2"/>
        <charset val="177"/>
        <scheme val="minor"/>
      </rPr>
      <t>היחס שלך לערבים?</t>
    </r>
  </si>
  <si>
    <t>חוץ וביטחון</t>
  </si>
  <si>
    <r>
      <t xml:space="preserve">לעמדה של מי אתה קרוב יותר בכל אחד מהנושאים הבאים: </t>
    </r>
    <r>
      <rPr>
        <b/>
        <sz val="11"/>
        <color theme="1"/>
        <rFont val="Calibri"/>
        <family val="2"/>
        <charset val="177"/>
        <scheme val="minor"/>
      </rPr>
      <t>ירושלים</t>
    </r>
  </si>
  <si>
    <r>
      <t xml:space="preserve">לעמדה של מי אתה קרוב יותר בכל אחד מהנושאים הבאים: </t>
    </r>
    <r>
      <rPr>
        <b/>
        <sz val="11"/>
        <color theme="1"/>
        <rFont val="Calibri"/>
        <family val="2"/>
        <charset val="177"/>
        <scheme val="minor"/>
      </rPr>
      <t>שלום ושטחים</t>
    </r>
  </si>
  <si>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charset val="177"/>
        <scheme val="minor"/>
      </rPr>
      <t>החזרת שטחים במסגרת הסכם שלום</t>
    </r>
  </si>
  <si>
    <r>
      <t xml:space="preserve">באיזו מידה אתה מסכים או לא מסכים עם המשפטים הבאים: </t>
    </r>
    <r>
      <rPr>
        <b/>
        <sz val="11"/>
        <color theme="1"/>
        <rFont val="Calibri"/>
        <family val="2"/>
        <charset val="177"/>
        <scheme val="minor"/>
      </rPr>
      <t>אפשר להגיע להסדר שלום עם הפלסטינים בלי להחזיר שטחים</t>
    </r>
  </si>
  <si>
    <r>
      <t xml:space="preserve">באיזו מידה אתה מסכים או לא מסכים עם המשפטים הבאים: </t>
    </r>
    <r>
      <rPr>
        <b/>
        <sz val="11"/>
        <color theme="1"/>
        <rFont val="Calibri"/>
        <family val="2"/>
        <charset val="177"/>
        <scheme val="minor"/>
      </rPr>
      <t>יש להפסיק את תהליך השלום אפילו אם נסתכן במלחמה נוספת</t>
    </r>
  </si>
  <si>
    <r>
      <t xml:space="preserve">באיזו מידה אתה מסכים או לא מסכים עם המשפטים הבאים: </t>
    </r>
    <r>
      <rPr>
        <b/>
        <sz val="11"/>
        <color theme="1"/>
        <rFont val="Calibri"/>
        <family val="2"/>
        <charset val="177"/>
        <scheme val="minor"/>
      </rPr>
      <t>יש להחזיר שטחים תמורת שלום</t>
    </r>
  </si>
  <si>
    <r>
      <t xml:space="preserve">באיזו מידה אתה מסכים או לא מסכים עם המשפטים הבאים: </t>
    </r>
    <r>
      <rPr>
        <b/>
        <sz val="11"/>
        <color theme="1"/>
        <rFont val="Calibri"/>
        <family val="2"/>
        <charset val="177"/>
        <scheme val="minor"/>
      </rPr>
      <t>על הממשלה לעודד הגירת ערבים מהארץ</t>
    </r>
  </si>
  <si>
    <r>
      <t xml:space="preserve">באיזו מידה אתה מסכים או לא מסכים: </t>
    </r>
    <r>
      <rPr>
        <b/>
        <sz val="11"/>
        <color theme="1"/>
        <rFont val="Calibri"/>
        <family val="2"/>
        <charset val="177"/>
        <scheme val="minor"/>
      </rPr>
      <t>לבנות גדר הפרדה ביננו לבין הפלסטינים</t>
    </r>
  </si>
  <si>
    <r>
      <t xml:space="preserve">באיזו מידה אתה מסכים או לא מסכים: </t>
    </r>
    <r>
      <rPr>
        <b/>
        <sz val="11"/>
        <color theme="1"/>
        <rFont val="Calibri"/>
        <family val="2"/>
        <charset val="177"/>
        <scheme val="minor"/>
      </rPr>
      <t>לנהל מו"מ עם הפלסטינים גם אם הטרור ממשיך</t>
    </r>
  </si>
  <si>
    <r>
      <t xml:space="preserve">באיזו מידה אתה מסכים או לא מסכים: </t>
    </r>
    <r>
      <rPr>
        <b/>
        <sz val="11"/>
        <color theme="1"/>
        <rFont val="Calibri"/>
        <family val="2"/>
        <charset val="177"/>
        <scheme val="minor"/>
      </rPr>
      <t>שישראל תחליט על הגבולות רצויים לה ביו"ש ועזה, ושצה"ל יסוג באופן חד צדדי מגבולות אלו</t>
    </r>
  </si>
  <si>
    <r>
      <t xml:space="preserve">באיזו מידה אתה מסכים או לא מסכים: </t>
    </r>
    <r>
      <rPr>
        <b/>
        <sz val="11"/>
        <color theme="1"/>
        <rFont val="Calibri"/>
        <family val="2"/>
        <charset val="177"/>
        <scheme val="minor"/>
      </rPr>
      <t>לפנות התנחלויות במסגרת הסדר קבע, פרט לגושי ההתיישבות הגדולים</t>
    </r>
  </si>
  <si>
    <r>
      <t xml:space="preserve">באיזו מידה אתה מסכים או לא מסכים: </t>
    </r>
    <r>
      <rPr>
        <b/>
        <sz val="11"/>
        <color theme="1"/>
        <rFont val="Calibri"/>
        <family val="2"/>
        <charset val="177"/>
        <scheme val="minor"/>
      </rPr>
      <t>לטרנספר של ערביי השטחים</t>
    </r>
  </si>
  <si>
    <r>
      <t xml:space="preserve">באיזו מידה אתה מסכים או לא מסכים: </t>
    </r>
    <r>
      <rPr>
        <b/>
        <sz val="11"/>
        <color theme="1"/>
        <rFont val="Calibri"/>
        <family val="2"/>
        <charset val="177"/>
        <scheme val="minor"/>
      </rPr>
      <t>לטרנספר של ערבים אזרחי ישראל</t>
    </r>
  </si>
  <si>
    <r>
      <t>באיזו מידה אתה מסכים או לא מסכים:</t>
    </r>
    <r>
      <rPr>
        <b/>
        <sz val="11"/>
        <color theme="1"/>
        <rFont val="Calibri"/>
        <family val="2"/>
        <charset val="177"/>
        <scheme val="minor"/>
      </rPr>
      <t xml:space="preserve"> צריך להיכנס לתהליך מדיני של הסכמי שלום מיד, אפילו במחיר של ויתורים טריטוריאליים</t>
    </r>
  </si>
  <si>
    <r>
      <t xml:space="preserve">באיזוד מידה אתה תומך או מתנגד לוויתורים הישראלים הבאים, במסגרת הסכם השלום עם הפלסטינים שהציע הנשיא קלינטון: </t>
    </r>
    <r>
      <rPr>
        <b/>
        <sz val="11"/>
        <color theme="1"/>
        <rFont val="Calibri"/>
        <family val="2"/>
        <charset val="177"/>
        <scheme val="minor"/>
      </rPr>
      <t>תקום מדינה פלסטינית על 95% מהגדה והרצועה, וישראל תשמור על גושי ההתנחלויות</t>
    </r>
  </si>
  <si>
    <r>
      <t xml:space="preserve">כמה אחוזים לפי דעתך מהציבור מסכימים להקמת מדינה פלסטינית </t>
    </r>
    <r>
      <rPr>
        <b/>
        <sz val="11"/>
        <color theme="1"/>
        <rFont val="Calibri"/>
        <family val="2"/>
        <charset val="177"/>
        <scheme val="minor"/>
      </rPr>
      <t>(אחרי בחירות)</t>
    </r>
  </si>
  <si>
    <r>
      <t xml:space="preserve">איזו דעה תתחזק בקרב הציבור לדעתך? האם בשבועות הקרובים יגדל מספר האנשים המוכנים לתמוך בהקמת מדינה פלסטינית או יגדל מס' האנשים המתנגדים לכך? </t>
    </r>
    <r>
      <rPr>
        <b/>
        <sz val="11"/>
        <color theme="1"/>
        <rFont val="Calibri"/>
        <family val="2"/>
        <charset val="177"/>
        <scheme val="minor"/>
      </rPr>
      <t>(אחרי הבחירות)</t>
    </r>
  </si>
  <si>
    <r>
      <t xml:space="preserve">בתקופה האחרונה נשמעות בתקשרות סיבות שונות מדוע צריך לתמוך או לא לתמוך בהסדר שהציע קלינטון. אשאל קודם על הסיבות לתמוך בהסדר, עד כמה כל אחת מהסיבות הבאות מדוע יש לתמוך בהסדר נשמעת לך משכנעת: </t>
    </r>
    <r>
      <rPr>
        <b/>
        <sz val="11"/>
        <color theme="1"/>
        <rFont val="Calibri"/>
        <family val="2"/>
        <charset val="177"/>
        <scheme val="minor"/>
      </rPr>
      <t>אם לא נגיע כעת להסכם שלום עם הפלסטינים תפרוץ מלחמה</t>
    </r>
  </si>
  <si>
    <r>
      <t xml:space="preserve">ועד כמה כל אחת מהסיבות הבאות מדוע אסור לתמוך בהסדר נשמעת לך משכנעת: </t>
    </r>
    <r>
      <rPr>
        <b/>
        <sz val="11"/>
        <color theme="1"/>
        <rFont val="Calibri"/>
        <family val="2"/>
        <charset val="177"/>
        <scheme val="minor"/>
      </rPr>
      <t>השטחים הם נכס בטחוני שאסור לוותר עליו בשום מצב</t>
    </r>
  </si>
  <si>
    <r>
      <t xml:space="preserve">מבלי להתחשב בדעתך האישית, האם להערכתך במשך 10 השנים הבאות תקום או לא תקום מדינה פלסטינית ביו"ש? </t>
    </r>
    <r>
      <rPr>
        <b/>
        <sz val="11"/>
        <color theme="1"/>
        <rFont val="Calibri"/>
        <family val="2"/>
        <charset val="177"/>
        <scheme val="minor"/>
      </rPr>
      <t>(אחרי הבחירות)</t>
    </r>
  </si>
  <si>
    <r>
      <t xml:space="preserve">מהם הסיכויים שיתקיים כל אחד מהמצבים הבאים בעתיד הנראה לעין: </t>
    </r>
    <r>
      <rPr>
        <b/>
        <sz val="11"/>
        <color theme="1"/>
        <rFont val="Calibri"/>
        <family val="2"/>
        <charset val="177"/>
        <scheme val="minor"/>
      </rPr>
      <t>החזרת שטחים</t>
    </r>
  </si>
  <si>
    <r>
      <t xml:space="preserve">להלן מספר סיבות בגללן אנשים חושבים שישראל צריכה להמשיך ולהחזיק ביו"ש ועזה. דרג אותן לפי סדר חשיבותן: </t>
    </r>
    <r>
      <rPr>
        <b/>
        <sz val="11"/>
        <color theme="1"/>
        <rFont val="Calibri"/>
        <family val="2"/>
        <charset val="177"/>
        <scheme val="minor"/>
      </rPr>
      <t>זוכי זכותנו על הארץ</t>
    </r>
  </si>
  <si>
    <r>
      <t xml:space="preserve">להלן מספר סיבות בגללן אנשים חושבים שישראל צריכה להמשיך ולהחזיק ביו"ש ועזה. דרג אותן לפי סדר חשיבותן: </t>
    </r>
    <r>
      <rPr>
        <b/>
        <sz val="11"/>
        <color theme="1"/>
        <rFont val="Calibri"/>
        <family val="2"/>
        <charset val="177"/>
        <scheme val="minor"/>
      </rPr>
      <t>מונעת הקמת מדינה פלסטינית שתסכן את ביטחוננו</t>
    </r>
  </si>
  <si>
    <r>
      <t xml:space="preserve">להלן מספר סיבות בגללן אנשים חושבים שישראל צריכה להמשיך ולהחזיק ביו"ש ועזה. דרג אותן לפי סדר חשיבותן: </t>
    </r>
    <r>
      <rPr>
        <b/>
        <sz val="11"/>
        <color theme="1"/>
        <rFont val="Calibri"/>
        <family val="2"/>
        <charset val="177"/>
        <scheme val="minor"/>
      </rPr>
      <t>מעניקה עומק אסטרטגי במקרה של מלחמה בחזית המזרחית</t>
    </r>
  </si>
  <si>
    <r>
      <t xml:space="preserve">להלן מספר סיבות בגללן אנשים חושבים שישראל צריכה להמשיך ולהחזיק ביו"ש ועזה. דרג אותן לפי סדר חשיבותן: </t>
    </r>
    <r>
      <rPr>
        <b/>
        <sz val="11"/>
        <color theme="1"/>
        <rFont val="Calibri"/>
        <family val="2"/>
        <charset val="177"/>
        <scheme val="minor"/>
      </rPr>
      <t>מאפשרת מטבע למיקוח במו"מ לשלום עם ירדן</t>
    </r>
  </si>
  <si>
    <r>
      <t xml:space="preserve">על סולם 1-10, עד כמה אתה קרוב או רחוק בנושאי שלום ובטחון מהמפלגה הבאה: </t>
    </r>
    <r>
      <rPr>
        <b/>
        <sz val="11"/>
        <color theme="1"/>
        <rFont val="Calibri"/>
        <family val="2"/>
        <charset val="177"/>
        <scheme val="minor"/>
      </rPr>
      <t>העבודה</t>
    </r>
  </si>
  <si>
    <r>
      <t xml:space="preserve">על סולם 1-10, עד כמה אתה קרוב או רחוק בנושאי שלום ובטחון מהמפלגה הבאה: </t>
    </r>
    <r>
      <rPr>
        <b/>
        <sz val="11"/>
        <color theme="1"/>
        <rFont val="Calibri"/>
        <family val="2"/>
        <charset val="177"/>
        <scheme val="minor"/>
      </rPr>
      <t>הליכוד</t>
    </r>
  </si>
  <si>
    <r>
      <t xml:space="preserve">על סולם 1-10, עד כמה אתה קרוב או רחוק בנושאי שלום ובטחון מהמפלגה הבאה: </t>
    </r>
    <r>
      <rPr>
        <b/>
        <sz val="11"/>
        <color theme="1"/>
        <rFont val="Calibri"/>
        <family val="2"/>
        <charset val="177"/>
        <scheme val="minor"/>
      </rPr>
      <t>שינוי</t>
    </r>
  </si>
  <si>
    <r>
      <t xml:space="preserve">על סולם 1-10, עד כמה אתה קרוב או רחוק בנושאי שלום ובטחון מ: </t>
    </r>
    <r>
      <rPr>
        <b/>
        <sz val="11"/>
        <color theme="1"/>
        <rFont val="Calibri"/>
        <family val="2"/>
        <charset val="177"/>
        <scheme val="minor"/>
      </rPr>
      <t>בנימין נתניהו</t>
    </r>
  </si>
  <si>
    <r>
      <t xml:space="preserve">על סולם 1-10, עד כמה אתה קרוב או רחוק בנושאי שלום ובטחון מ: </t>
    </r>
    <r>
      <rPr>
        <b/>
        <sz val="11"/>
        <color theme="1"/>
        <rFont val="Calibri"/>
        <family val="2"/>
        <charset val="177"/>
        <scheme val="minor"/>
      </rPr>
      <t>אהוד ברק</t>
    </r>
  </si>
  <si>
    <r>
      <t xml:space="preserve">על סולם 1-10, עד כמה אתה קרוב או רחוק בנושאי שלום ובטחון מ: </t>
    </r>
    <r>
      <rPr>
        <b/>
        <sz val="11"/>
        <color theme="1"/>
        <rFont val="Calibri"/>
        <family val="2"/>
        <charset val="177"/>
        <scheme val="minor"/>
      </rPr>
      <t>איציק מרדכי</t>
    </r>
  </si>
  <si>
    <r>
      <t xml:space="preserve">על סולם 1-10, עד כמה אתה קרוב או רחוק בנושאי שלום ובטחון מ: </t>
    </r>
    <r>
      <rPr>
        <b/>
        <sz val="11"/>
        <color theme="1"/>
        <rFont val="Calibri"/>
        <family val="2"/>
        <charset val="177"/>
        <scheme val="minor"/>
      </rPr>
      <t>בני בגין</t>
    </r>
  </si>
  <si>
    <r>
      <t xml:space="preserve">על סולם 1-10, עד כמה אתה קרוב או רחוק בנושאי שלום ובטחון מ: </t>
    </r>
    <r>
      <rPr>
        <b/>
        <sz val="11"/>
        <color theme="1"/>
        <rFont val="Calibri"/>
        <family val="2"/>
        <charset val="177"/>
        <scheme val="minor"/>
      </rPr>
      <t>עזמי בשארה</t>
    </r>
  </si>
  <si>
    <t>שלום</t>
  </si>
  <si>
    <r>
      <t xml:space="preserve">באיזו מידה אתה מסכים או לא מסכים, עם המשפטים הבאים: </t>
    </r>
    <r>
      <rPr>
        <b/>
        <sz val="11"/>
        <color theme="1"/>
        <rFont val="Calibri"/>
        <family val="2"/>
        <charset val="177"/>
        <scheme val="minor"/>
      </rPr>
      <t>אתה מרגיש מחויב למשטר הדמוקרטי בישראל, גם אם יש תקופות שבהן ההחלטות לא מוצאות חן בעיניך?</t>
    </r>
  </si>
  <si>
    <r>
      <t xml:space="preserve">באיזו מידה אתה מסכים או לא מסכים, עם המשפטים הבאים: </t>
    </r>
    <r>
      <rPr>
        <b/>
        <sz val="11"/>
        <color theme="1"/>
        <rFont val="Calibri"/>
        <family val="2"/>
        <charset val="177"/>
        <scheme val="minor"/>
      </rPr>
      <t>כדי לטפל בבעיות המיוחדות של ישראל יש צורך במנהיג חזק שלא יתחשב בכנסת ובבחירות</t>
    </r>
  </si>
  <si>
    <r>
      <t xml:space="preserve">באיזו מידה אתה מסכים או לא מסכים, עם המשפטים הבאים: </t>
    </r>
    <r>
      <rPr>
        <b/>
        <sz val="11"/>
        <color theme="1"/>
        <rFont val="Calibri"/>
        <family val="2"/>
        <charset val="177"/>
        <scheme val="minor"/>
      </rPr>
      <t>יש פעמים שנדמה שעדיף לחרוג מכללי המשחק הדמוקרטיים כדי להשיג שינוי משמעותי</t>
    </r>
  </si>
  <si>
    <r>
      <t xml:space="preserve">באיזו מידה אתה מסכים או לא מסכים, עם המשפטים הבאים: </t>
    </r>
    <r>
      <rPr>
        <b/>
        <sz val="11"/>
        <color theme="1"/>
        <rFont val="Calibri"/>
        <family val="2"/>
        <charset val="177"/>
        <scheme val="minor"/>
      </rPr>
      <t>המדינה צריכה להבטיח שוויון זכויות חברתי ופוליטי מלא לכל האזרחים ללא הבדל זת גזע ומין</t>
    </r>
  </si>
  <si>
    <r>
      <t xml:space="preserve">באיזו מידה אתה מסכים או לא מסכים, עם המשפטים הבאים: </t>
    </r>
    <r>
      <rPr>
        <b/>
        <sz val="11"/>
        <color theme="1"/>
        <rFont val="Calibri"/>
        <family val="2"/>
        <charset val="177"/>
        <scheme val="minor"/>
      </rPr>
      <t>יש להבטיח חופש ביטוי גם לאנשים המתבטאים נגד המדינה</t>
    </r>
  </si>
  <si>
    <r>
      <t xml:space="preserve">באיזו מידה אתה מסכים או לא מסכים, עם המשפטים הבאים: </t>
    </r>
    <r>
      <rPr>
        <b/>
        <sz val="11"/>
        <color theme="1"/>
        <rFont val="Calibri"/>
        <family val="2"/>
        <charset val="177"/>
        <scheme val="minor"/>
      </rPr>
      <t>מי שמתפשר בפוליטיקה בעצם מוכר את העקרונות שלו</t>
    </r>
  </si>
  <si>
    <r>
      <t xml:space="preserve">מה מידת האמון שיש לך ב: </t>
    </r>
    <r>
      <rPr>
        <b/>
        <sz val="11"/>
        <color theme="1"/>
        <rFont val="Calibri"/>
        <family val="2"/>
        <charset val="177"/>
        <scheme val="minor"/>
      </rPr>
      <t>ממשלה</t>
    </r>
  </si>
  <si>
    <r>
      <t xml:space="preserve">מה מידת האמון שיש לך ב: </t>
    </r>
    <r>
      <rPr>
        <b/>
        <sz val="11"/>
        <color theme="1"/>
        <rFont val="Calibri"/>
        <family val="2"/>
        <charset val="177"/>
        <scheme val="minor"/>
      </rPr>
      <t>כנסת</t>
    </r>
  </si>
  <si>
    <r>
      <t xml:space="preserve">מה מידת האמון שיש לך ב: </t>
    </r>
    <r>
      <rPr>
        <b/>
        <sz val="11"/>
        <color theme="1"/>
        <rFont val="Calibri"/>
        <family val="2"/>
        <charset val="177"/>
        <scheme val="minor"/>
      </rPr>
      <t>בית המשפט העליון</t>
    </r>
  </si>
  <si>
    <r>
      <t xml:space="preserve">מה מידת האמון שיש לך ב: </t>
    </r>
    <r>
      <rPr>
        <b/>
        <sz val="11"/>
        <color theme="1"/>
        <rFont val="Calibri"/>
        <family val="2"/>
        <charset val="177"/>
        <scheme val="minor"/>
      </rPr>
      <t>פוליטיקאים</t>
    </r>
  </si>
  <si>
    <r>
      <t xml:space="preserve">מה מידת האמון שיש לך ב: </t>
    </r>
    <r>
      <rPr>
        <b/>
        <sz val="11"/>
        <color theme="1"/>
        <rFont val="Calibri"/>
        <family val="2"/>
        <charset val="177"/>
        <scheme val="minor"/>
      </rPr>
      <t>המפלגות</t>
    </r>
  </si>
  <si>
    <r>
      <t xml:space="preserve">מה מידת האמון שיש לך ב: </t>
    </r>
    <r>
      <rPr>
        <b/>
        <sz val="11"/>
        <color theme="1"/>
        <rFont val="Calibri"/>
        <family val="2"/>
        <charset val="177"/>
        <scheme val="minor"/>
      </rPr>
      <t>ראש הממשלה</t>
    </r>
  </si>
  <si>
    <r>
      <t xml:space="preserve">מה מידת האמון שיש לך ב: </t>
    </r>
    <r>
      <rPr>
        <b/>
        <sz val="11"/>
        <color theme="1"/>
        <rFont val="Calibri"/>
        <family val="2"/>
        <charset val="177"/>
        <scheme val="minor"/>
      </rPr>
      <t>התקשורת</t>
    </r>
  </si>
  <si>
    <r>
      <t xml:space="preserve">מה מידת האמון שיש לך ב: </t>
    </r>
    <r>
      <rPr>
        <b/>
        <sz val="11"/>
        <color theme="1"/>
        <rFont val="Calibri"/>
        <family val="2"/>
        <charset val="177"/>
        <scheme val="minor"/>
      </rPr>
      <t>פרקליטות המדינה</t>
    </r>
  </si>
  <si>
    <r>
      <t xml:space="preserve">מה מידת האמון שיש לך ב: </t>
    </r>
    <r>
      <rPr>
        <b/>
        <sz val="11"/>
        <color theme="1"/>
        <rFont val="Calibri"/>
        <family val="2"/>
        <charset val="177"/>
        <scheme val="minor"/>
      </rPr>
      <t>המשטרה</t>
    </r>
  </si>
  <si>
    <r>
      <t xml:space="preserve">מה מידת האמון שיש לך ב: </t>
    </r>
    <r>
      <rPr>
        <b/>
        <sz val="11"/>
        <color theme="1"/>
        <rFont val="Calibri"/>
        <family val="2"/>
        <charset val="177"/>
        <scheme val="minor"/>
      </rPr>
      <t>המפלגות</t>
    </r>
    <r>
      <rPr>
        <sz val="11"/>
        <color theme="1"/>
        <rFont val="Calibri"/>
        <family val="2"/>
        <charset val="177"/>
        <scheme val="minor"/>
      </rPr>
      <t xml:space="preserve"> </t>
    </r>
    <r>
      <rPr>
        <b/>
        <sz val="11"/>
        <color theme="1"/>
        <rFont val="Calibri"/>
        <family val="2"/>
        <charset val="177"/>
        <scheme val="minor"/>
      </rPr>
      <t>(אחרי בחירות)</t>
    </r>
  </si>
  <si>
    <r>
      <t xml:space="preserve">מה מידת האמון שיש לך ב: </t>
    </r>
    <r>
      <rPr>
        <b/>
        <sz val="11"/>
        <color theme="1"/>
        <rFont val="Calibri"/>
        <family val="2"/>
        <charset val="177"/>
        <scheme val="minor"/>
      </rPr>
      <t>התקשורת (אחרי בחירות)</t>
    </r>
  </si>
  <si>
    <r>
      <t xml:space="preserve">מה מידת האמון שיש לך ב: </t>
    </r>
    <r>
      <rPr>
        <b/>
        <sz val="11"/>
        <color theme="1"/>
        <rFont val="Calibri"/>
        <family val="2"/>
        <charset val="177"/>
        <scheme val="minor"/>
      </rPr>
      <t>פרקליטות המדינה</t>
    </r>
    <r>
      <rPr>
        <sz val="11"/>
        <color theme="1"/>
        <rFont val="Calibri"/>
        <family val="2"/>
        <charset val="177"/>
        <scheme val="minor"/>
      </rPr>
      <t xml:space="preserve"> </t>
    </r>
    <r>
      <rPr>
        <b/>
        <sz val="11"/>
        <color theme="1"/>
        <rFont val="Calibri"/>
        <family val="2"/>
        <charset val="177"/>
        <scheme val="minor"/>
      </rPr>
      <t>(אחרי בחירות)</t>
    </r>
  </si>
  <si>
    <r>
      <t xml:space="preserve">מה מידת האמון שיש לך ב: </t>
    </r>
    <r>
      <rPr>
        <b/>
        <sz val="11"/>
        <color theme="1"/>
        <rFont val="Calibri"/>
        <family val="2"/>
        <charset val="177"/>
        <scheme val="minor"/>
      </rPr>
      <t>בית המשפט העליון</t>
    </r>
    <r>
      <rPr>
        <sz val="11"/>
        <color theme="1"/>
        <rFont val="Calibri"/>
        <family val="2"/>
        <charset val="177"/>
        <scheme val="minor"/>
      </rPr>
      <t xml:space="preserve"> </t>
    </r>
    <r>
      <rPr>
        <b/>
        <sz val="11"/>
        <color theme="1"/>
        <rFont val="Calibri"/>
        <family val="2"/>
        <charset val="177"/>
        <scheme val="minor"/>
      </rPr>
      <t>(אחרי בחירות)</t>
    </r>
  </si>
  <si>
    <r>
      <t xml:space="preserve">מה מידת האמון שיש לך ב: </t>
    </r>
    <r>
      <rPr>
        <b/>
        <sz val="11"/>
        <color theme="1"/>
        <rFont val="Calibri"/>
        <family val="2"/>
        <charset val="177"/>
        <scheme val="minor"/>
      </rPr>
      <t>המשטרה</t>
    </r>
    <r>
      <rPr>
        <sz val="11"/>
        <color theme="1"/>
        <rFont val="Calibri"/>
        <family val="2"/>
        <charset val="177"/>
        <scheme val="minor"/>
      </rPr>
      <t xml:space="preserve"> </t>
    </r>
    <r>
      <rPr>
        <b/>
        <sz val="11"/>
        <color theme="1"/>
        <rFont val="Calibri"/>
        <family val="2"/>
        <charset val="177"/>
        <scheme val="minor"/>
      </rPr>
      <t>(אחרי בחירות)</t>
    </r>
  </si>
  <si>
    <r>
      <t xml:space="preserve">באיזו מידה אתה מרוצה או לא מרוצה מהדמוקרטיה בישראל? </t>
    </r>
    <r>
      <rPr>
        <b/>
        <sz val="11"/>
        <color theme="1"/>
        <rFont val="Calibri"/>
        <family val="2"/>
        <charset val="177"/>
        <scheme val="minor"/>
      </rPr>
      <t>(אחרי בחירות)</t>
    </r>
  </si>
  <si>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charset val="177"/>
        <scheme val="minor"/>
      </rPr>
      <t>משטר לא דמוקרטי בישראל</t>
    </r>
  </si>
  <si>
    <r>
      <t xml:space="preserve">מהם הסיכויים שיתקיים כל אחד מהמצבים הבאים בעתיד הנראה לעין: </t>
    </r>
    <r>
      <rPr>
        <b/>
        <sz val="11"/>
        <color theme="1"/>
        <rFont val="Calibri"/>
        <family val="2"/>
        <charset val="177"/>
        <scheme val="minor"/>
      </rPr>
      <t>משטר לא דמוקרטי בישראל</t>
    </r>
  </si>
  <si>
    <r>
      <t>באיזו מידה אתה מסכים או לא מסכים עם המשפטים הבאים:</t>
    </r>
    <r>
      <rPr>
        <b/>
        <sz val="11"/>
        <color theme="1"/>
        <rFont val="Calibri"/>
        <family val="2"/>
        <charset val="177"/>
        <scheme val="minor"/>
      </rPr>
      <t xml:space="preserve"> דמוקרטיה היא צורת השלטון הטובה ביותר</t>
    </r>
  </si>
  <si>
    <r>
      <t>באיזו מידה אתה מסכים או לא מסכים עם המשפטים הבאים:</t>
    </r>
    <r>
      <rPr>
        <b/>
        <sz val="11"/>
        <color theme="1"/>
        <rFont val="Calibri"/>
        <family val="2"/>
        <charset val="177"/>
        <scheme val="minor"/>
      </rPr>
      <t xml:space="preserve"> לבית המשפט העליון צריכה להיות הסמכות לבטל חוק שחוקקה הכנסת</t>
    </r>
  </si>
  <si>
    <r>
      <t xml:space="preserve">באיזו מידה אתה מסכים או לא מסכים לכל אחד מהדברים הבאים בהקשר לקבוצה שאתה מתנגד לה ביותר: </t>
    </r>
    <r>
      <rPr>
        <b/>
        <sz val="11"/>
        <color theme="1"/>
        <rFont val="Calibri"/>
        <family val="2"/>
        <charset val="177"/>
        <scheme val="minor"/>
      </rPr>
      <t>יש לאסור על חבר הקבוצה להיות ראש ממשלה</t>
    </r>
  </si>
  <si>
    <r>
      <t xml:space="preserve">לגבי כל אחת מהקבוצות הבאות אתה מתבקש לציין באיזו מידה אתה בעד או נגד הוצאתה מחוץ לחוק: </t>
    </r>
    <r>
      <rPr>
        <b/>
        <sz val="11"/>
        <color theme="1"/>
        <rFont val="Calibri"/>
        <family val="2"/>
        <charset val="177"/>
        <scheme val="minor"/>
      </rPr>
      <t>הרשימה המתקדמת לשלום</t>
    </r>
  </si>
  <si>
    <r>
      <t xml:space="preserve">לגבי כל אחת מהקבוצות הבאות אתה מתבקש לציין באיזו מידה אתה בעד או נגד הוצאתה מחוץ לחוק: </t>
    </r>
    <r>
      <rPr>
        <b/>
        <sz val="11"/>
        <color theme="1"/>
        <rFont val="Calibri"/>
        <family val="2"/>
        <charset val="177"/>
        <scheme val="minor"/>
      </rPr>
      <t>כ"ך (כהנא)</t>
    </r>
  </si>
  <si>
    <r>
      <t xml:space="preserve">לגבי כל אחת מהקבוצות הבאות אתה מתבקש לציין באיזו מידה אתה בעד או נגד הוצאתה מחוץ לחוק: </t>
    </r>
    <r>
      <rPr>
        <b/>
        <sz val="11"/>
        <color theme="1"/>
        <rFont val="Calibri"/>
        <family val="2"/>
        <charset val="177"/>
        <scheme val="minor"/>
      </rPr>
      <t>רק"ח</t>
    </r>
  </si>
  <si>
    <r>
      <t xml:space="preserve">לגבי כל אחת מהקבוצות הבאות אתה מתבקש לציין באיזו מידה אתה בעד או נגד הוצאתה מחוץ לחוק: </t>
    </r>
    <r>
      <rPr>
        <b/>
        <sz val="11"/>
        <color theme="1"/>
        <rFont val="Calibri"/>
        <family val="2"/>
        <charset val="177"/>
        <scheme val="minor"/>
      </rPr>
      <t>גוש אמונים</t>
    </r>
  </si>
  <si>
    <r>
      <t xml:space="preserve">לגבי כל אחת מהקבוצות הבאות אתה מתבקש לציין באיזו מידה אתה בעד או נגד הוצאתה מחוץ לחוק: </t>
    </r>
    <r>
      <rPr>
        <b/>
        <sz val="11"/>
        <color theme="1"/>
        <rFont val="Calibri"/>
        <family val="2"/>
        <charset val="177"/>
        <scheme val="minor"/>
      </rPr>
      <t>שלום עכשיו</t>
    </r>
  </si>
  <si>
    <r>
      <t xml:space="preserve">להלן מספר משפטים שנאמרו ע"י אנשים ביחס לערבים אזרחי ישראל. לגבי כל אחד מהם אתה מתבקש לציין באיזו מידה אתה מסכים או לא מסכים עימו: </t>
    </r>
    <r>
      <rPr>
        <b/>
        <sz val="11"/>
        <color theme="1"/>
        <rFont val="Calibri"/>
        <family val="2"/>
        <charset val="177"/>
        <scheme val="minor"/>
      </rPr>
      <t>יש לאסור על ערבי להיות ראש ממשלה</t>
    </r>
  </si>
  <si>
    <r>
      <t xml:space="preserve">באיזו מידה אתה מסכים או לא מסכים עם המשפטים הבאים: </t>
    </r>
    <r>
      <rPr>
        <b/>
        <sz val="11"/>
        <color theme="1"/>
        <rFont val="Calibri"/>
        <family val="2"/>
        <charset val="177"/>
        <scheme val="minor"/>
      </rPr>
      <t>ליהודים שמבצעים פעולות לא חוקיות נגד ערבים יש לתת עונשים קלים יותר מאשר לערבים שמבצעים פעולות דומות נגד יהודים</t>
    </r>
  </si>
  <si>
    <r>
      <t xml:space="preserve">באיזו מידה אתה מסכים או לא מסכים עם המשפטים הבאים: </t>
    </r>
    <r>
      <rPr>
        <b/>
        <sz val="11"/>
        <color theme="1"/>
        <rFont val="Calibri"/>
        <family val="2"/>
        <charset val="177"/>
        <scheme val="minor"/>
      </rPr>
      <t>מספר מנהיגים חזקים יכולים להועיל למדינה יותר מכל הדיונים והחוקים</t>
    </r>
  </si>
  <si>
    <r>
      <t xml:space="preserve">באיזו מידה אתה מסכים או לא מסכים עם המשפטים הבאים: </t>
    </r>
    <r>
      <rPr>
        <b/>
        <sz val="11"/>
        <color theme="1"/>
        <rFont val="Calibri"/>
        <family val="2"/>
        <charset val="177"/>
        <scheme val="minor"/>
      </rPr>
      <t xml:space="preserve">לכל אדם צריכות להיות אותן זכויות בפני החוק ללא קשר עם עמדותיו הפוליטיות </t>
    </r>
  </si>
  <si>
    <r>
      <t xml:space="preserve">באיזו מידה אתה מסכים או לא מסכים עם המשפטים הבאים: </t>
    </r>
    <r>
      <rPr>
        <b/>
        <sz val="11"/>
        <color theme="1"/>
        <rFont val="Calibri"/>
        <family val="2"/>
        <charset val="177"/>
        <scheme val="minor"/>
      </rPr>
      <t xml:space="preserve">יש לאפשר לקבוצות או אנשים שבמיעוט לפעול כדי להשיג את תמיכת הרוב לעמדותיהם </t>
    </r>
  </si>
  <si>
    <r>
      <t xml:space="preserve">באיזו מידה אתה מסכים או לא מסכים עם המשפטים הבאים: </t>
    </r>
    <r>
      <rPr>
        <b/>
        <sz val="11"/>
        <color theme="1"/>
        <rFont val="Calibri"/>
        <family val="2"/>
        <charset val="177"/>
        <scheme val="minor"/>
      </rPr>
      <t>אני מאמין בחופש ביטוי לכל האנשים ללא קשר לעמדותיהם</t>
    </r>
  </si>
  <si>
    <r>
      <t xml:space="preserve">באיזו מידה אתה מסכים או לא מסכים עם המשפטים הבאים: </t>
    </r>
    <r>
      <rPr>
        <b/>
        <sz val="11"/>
        <color theme="1"/>
        <rFont val="Calibri"/>
        <family val="2"/>
        <charset val="177"/>
        <scheme val="minor"/>
      </rPr>
      <t>יש מצבים בהם נראה כי עדיף שאנשים יקחו בעצמם את החוק לידיהם</t>
    </r>
  </si>
  <si>
    <r>
      <t xml:space="preserve">באיזו מידה אתה מסכים או לא מסכים עם המשפטים הבאים: </t>
    </r>
    <r>
      <rPr>
        <b/>
        <sz val="11"/>
        <color theme="1"/>
        <rFont val="Calibri"/>
        <family val="2"/>
        <charset val="177"/>
        <scheme val="minor"/>
      </rPr>
      <t>הכי טוב היה להרוס את כל המוסדות ולהתחיל מחדש</t>
    </r>
  </si>
  <si>
    <r>
      <t xml:space="preserve">באיזו מידה אתה מסכים או לא מסכים עם המשפטים הבאים: </t>
    </r>
    <r>
      <rPr>
        <b/>
        <sz val="11"/>
        <color theme="1"/>
        <rFont val="Calibri"/>
        <family val="2"/>
        <charset val="177"/>
        <scheme val="minor"/>
      </rPr>
      <t>היום רק מי שהולך בכוח מצליח להשיג את שלו במדינה</t>
    </r>
  </si>
  <si>
    <r>
      <t xml:space="preserve">באיזו מידה אתה מסכים או לא מסכים, עם המשפטים הבאים: </t>
    </r>
    <r>
      <rPr>
        <b/>
        <sz val="11"/>
        <color theme="1"/>
        <rFont val="Calibri"/>
        <family val="2"/>
        <charset val="177"/>
        <scheme val="minor"/>
      </rPr>
      <t>כדי לטפל בבעיות המיוחדות של ישראל עדיף שמומחים, ולא נציגים נבחרים, יקבלו החלטות על הבסיס הבנתם מה טוב למדינה</t>
    </r>
  </si>
  <si>
    <t>דמוקרטיה</t>
  </si>
  <si>
    <r>
      <t xml:space="preserve">בדרך כלל, באיזו מידה אתה משתמש בכל אחד מאמצעי התקשרות הבאים לצריכת חדשות ומידע פוליטי: </t>
    </r>
    <r>
      <rPr>
        <b/>
        <sz val="11"/>
        <color theme="1"/>
        <rFont val="Calibri"/>
        <family val="2"/>
        <charset val="177"/>
        <scheme val="minor"/>
      </rPr>
      <t>אתרי חדשות או עיתונים</t>
    </r>
  </si>
  <si>
    <r>
      <t xml:space="preserve">בשבוע האחרון, כמה פעמים יצא לך לעשות את הפעולות הבאות ברשתות החברתיות שאתה פעיל בהן, כמו וואטספ, פייסבוק, טוויטר, אינסטגרם, טלגרם וכו': </t>
    </r>
    <r>
      <rPr>
        <b/>
        <sz val="11"/>
        <color theme="1"/>
        <rFont val="Calibri"/>
        <family val="2"/>
        <charset val="177"/>
        <scheme val="minor"/>
      </rPr>
      <t>כתבת בעמוד הפייסבוק או הטוויטר של פוליטיקאי או מפלגה</t>
    </r>
  </si>
  <si>
    <r>
      <t xml:space="preserve">באילו מהאמצעים הבאים של האינטרנט יצא לך להשתמש בהקשר של הבחירות? </t>
    </r>
    <r>
      <rPr>
        <b/>
        <sz val="11"/>
        <color theme="1"/>
        <rFont val="Calibri"/>
        <family val="2"/>
        <charset val="177"/>
        <scheme val="minor"/>
      </rPr>
      <t>אי-מייל</t>
    </r>
  </si>
  <si>
    <r>
      <t xml:space="preserve">יש כאלה הרוצים לראות את המנהיג בפעילותו הפוליטית וציבורית ויש כאלה המעדיפים לראותו בשידור הטלוויזיה כאדם פרטי בחייו היום-יומיים. איך היית רוצה לראות את המנהיג שציינת </t>
    </r>
    <r>
      <rPr>
        <b/>
        <sz val="11"/>
        <color theme="1"/>
        <rFont val="Calibri"/>
        <family val="2"/>
        <charset val="177"/>
        <scheme val="minor"/>
      </rPr>
      <t>ראשון</t>
    </r>
    <r>
      <rPr>
        <sz val="11"/>
        <color theme="1"/>
        <rFont val="Calibri"/>
        <family val="2"/>
        <charset val="177"/>
        <scheme val="minor"/>
      </rPr>
      <t xml:space="preserve"> ?</t>
    </r>
  </si>
  <si>
    <r>
      <t xml:space="preserve">יש כאלה הרוצים לראות את המנהיג בפעילותו הפוליטית וציבורית ויש כאלה המעדיפים לראותו בשידור הטלוויזיה כאדם פרטי בחייו היום-יומיים. איך היית רוצה לראות את המנהיג שציינת </t>
    </r>
    <r>
      <rPr>
        <b/>
        <sz val="11"/>
        <color theme="1"/>
        <rFont val="Calibri"/>
        <family val="2"/>
        <charset val="177"/>
        <scheme val="minor"/>
      </rPr>
      <t>שני</t>
    </r>
    <r>
      <rPr>
        <sz val="11"/>
        <color theme="1"/>
        <rFont val="Calibri"/>
        <family val="2"/>
        <charset val="177"/>
        <scheme val="minor"/>
      </rPr>
      <t xml:space="preserve"> ?</t>
    </r>
  </si>
  <si>
    <r>
      <t xml:space="preserve">נעבור עתה לחוד, סיבה אחר סיבה שבגללן </t>
    </r>
    <r>
      <rPr>
        <u/>
        <sz val="11"/>
        <color theme="1"/>
        <rFont val="Calibri"/>
        <family val="2"/>
        <charset val="177"/>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charset val="177"/>
        <scheme val="minor"/>
      </rPr>
      <t>לשמוע נימוקים על מנת שישמשו לי נשק בוויכוח פוליטי</t>
    </r>
  </si>
  <si>
    <r>
      <t xml:space="preserve">נעבור עתה לחוד, סיבה אחר סיבה שבגללן </t>
    </r>
    <r>
      <rPr>
        <u/>
        <sz val="11"/>
        <color theme="1"/>
        <rFont val="Calibri"/>
        <family val="2"/>
        <charset val="177"/>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charset val="177"/>
        <scheme val="minor"/>
      </rPr>
      <t>על מנת להכיר את המנהיגים הפוליטיים</t>
    </r>
  </si>
  <si>
    <r>
      <t xml:space="preserve">נעבור עתה לחוד, סיבה אחר סיבה שבגללן </t>
    </r>
    <r>
      <rPr>
        <u/>
        <sz val="11"/>
        <color theme="1"/>
        <rFont val="Calibri"/>
        <family val="2"/>
        <charset val="177"/>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charset val="177"/>
        <scheme val="minor"/>
      </rPr>
      <t>על מנת להכיר את התוכניות הפוליטיות של המפלגות</t>
    </r>
  </si>
  <si>
    <r>
      <t xml:space="preserve">נעבור עתה לחוד, סיבה אחר סיבה שבגללן </t>
    </r>
    <r>
      <rPr>
        <u/>
        <sz val="11"/>
        <color theme="1"/>
        <rFont val="Calibri"/>
        <family val="2"/>
        <charset val="177"/>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charset val="177"/>
        <scheme val="minor"/>
      </rPr>
      <t>על מנת להבהיר לעצמי במי לבחור</t>
    </r>
  </si>
  <si>
    <r>
      <t xml:space="preserve">נעבור עתה לחוד, סיבה אחר סיבה שבגללן </t>
    </r>
    <r>
      <rPr>
        <u/>
        <sz val="11"/>
        <color theme="1"/>
        <rFont val="Calibri"/>
        <family val="2"/>
        <charset val="177"/>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charset val="177"/>
        <scheme val="minor"/>
      </rPr>
      <t>על מנת לעמוד מחדש את עמדת המפלגה שאני תומך בה</t>
    </r>
  </si>
  <si>
    <r>
      <t xml:space="preserve">נעבור עתה לחוד, סיבה אחר סיבה שבגללן </t>
    </r>
    <r>
      <rPr>
        <u/>
        <sz val="11"/>
        <color theme="1"/>
        <rFont val="Calibri"/>
        <family val="2"/>
        <charset val="177"/>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charset val="177"/>
        <scheme val="minor"/>
      </rPr>
      <t>על מנת לעזור לי להעריך את סיכויי ההצלחה של המפלגות</t>
    </r>
  </si>
  <si>
    <r>
      <t xml:space="preserve">נעבור עתה לחוד, סיבה אחר סיבה שבגללן </t>
    </r>
    <r>
      <rPr>
        <u/>
        <sz val="11"/>
        <color theme="1"/>
        <rFont val="Calibri"/>
        <family val="2"/>
        <charset val="177"/>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charset val="177"/>
        <scheme val="minor"/>
      </rPr>
      <t>על מנת להיות מעודכן במצב הפוליטי הכללי</t>
    </r>
  </si>
  <si>
    <r>
      <t xml:space="preserve">נעבור עתה לחוד, סיבה אחר סיבה שבגללן </t>
    </r>
    <r>
      <rPr>
        <u/>
        <sz val="11"/>
        <color theme="1"/>
        <rFont val="Calibri"/>
        <family val="2"/>
        <charset val="177"/>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charset val="177"/>
        <scheme val="minor"/>
      </rPr>
      <t>אני נהנה מן המאבק והוויכוח הפוליטי</t>
    </r>
  </si>
  <si>
    <r>
      <t xml:space="preserve">נעבור עתה לחוד, סיבה אחר סיבה שבגללן </t>
    </r>
    <r>
      <rPr>
        <u/>
        <sz val="11"/>
        <color theme="1"/>
        <rFont val="Calibri"/>
        <family val="2"/>
        <charset val="177"/>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charset val="177"/>
        <scheme val="minor"/>
      </rPr>
      <t>כי זה השידור היחיד שאני יכול לקלוט בטלוויזיה באותו זמן</t>
    </r>
  </si>
  <si>
    <r>
      <t xml:space="preserve">נעבור עתה לחוד, סיבה אחר סיבה שבגללן </t>
    </r>
    <r>
      <rPr>
        <u/>
        <sz val="11"/>
        <color theme="1"/>
        <rFont val="Calibri"/>
        <family val="2"/>
        <charset val="177"/>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charset val="177"/>
        <scheme val="minor"/>
      </rPr>
      <t>אינני מתעניין בפוליטיקה</t>
    </r>
  </si>
  <si>
    <r>
      <t xml:space="preserve">נעבור עתה לחוד, סיבה אחר סיבה שבגללן </t>
    </r>
    <r>
      <rPr>
        <u/>
        <sz val="11"/>
        <color theme="1"/>
        <rFont val="Calibri"/>
        <family val="2"/>
        <charset val="177"/>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charset val="177"/>
        <scheme val="minor"/>
      </rPr>
      <t>מעדיף בידור בטלוויזיה</t>
    </r>
  </si>
  <si>
    <r>
      <t xml:space="preserve">נעבור עתה לחוד, סיבה אחר סיבה שבגללן </t>
    </r>
    <r>
      <rPr>
        <u/>
        <sz val="11"/>
        <color theme="1"/>
        <rFont val="Calibri"/>
        <family val="2"/>
        <charset val="177"/>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charset val="177"/>
        <scheme val="minor"/>
      </rPr>
      <t>אינני מאמין לטענות המפלגות</t>
    </r>
  </si>
  <si>
    <r>
      <t xml:space="preserve">נעבור עתה לחוד, סיבה אחר סיבה שבגללן </t>
    </r>
    <r>
      <rPr>
        <u/>
        <sz val="11"/>
        <color theme="1"/>
        <rFont val="Calibri"/>
        <family val="2"/>
        <charset val="177"/>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charset val="177"/>
        <scheme val="minor"/>
      </rPr>
      <t>משום שחלק מהמועמדים אינם מתייחסים ברצינות לקהל</t>
    </r>
  </si>
  <si>
    <r>
      <t xml:space="preserve">נעבור עתה לחוד, סיבה אחר סיבה שבגללן </t>
    </r>
    <r>
      <rPr>
        <u/>
        <sz val="11"/>
        <color theme="1"/>
        <rFont val="Calibri"/>
        <family val="2"/>
        <charset val="177"/>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charset val="177"/>
        <scheme val="minor"/>
      </rPr>
      <t>כבר החלטתי במי לבחור ואין לי צורך להסתכל</t>
    </r>
  </si>
  <si>
    <r>
      <t xml:space="preserve">נעבור עתה לחוד, סיבה אחר סיבה שבגללן </t>
    </r>
    <r>
      <rPr>
        <u/>
        <sz val="11"/>
        <color theme="1"/>
        <rFont val="Calibri"/>
        <family val="2"/>
        <charset val="177"/>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charset val="177"/>
        <scheme val="minor"/>
      </rPr>
      <t>משום שלעיתים קרובות קשה לי להבין מה שהמועמדים רוצים להגיד</t>
    </r>
  </si>
  <si>
    <r>
      <t xml:space="preserve">נעבור עתה לחוד, סיבה אחר סיבה שבגללן </t>
    </r>
    <r>
      <rPr>
        <u/>
        <sz val="11"/>
        <color theme="1"/>
        <rFont val="Calibri"/>
        <family val="2"/>
        <charset val="177"/>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charset val="177"/>
        <scheme val="minor"/>
      </rPr>
      <t>אינני רוצה לפתוח את ביתי לתעמולה פוליטית</t>
    </r>
  </si>
  <si>
    <r>
      <t xml:space="preserve">נעבור עתה לחוד, סיבה אחר סיבה שבגללן </t>
    </r>
    <r>
      <rPr>
        <u/>
        <sz val="11"/>
        <color theme="1"/>
        <rFont val="Calibri"/>
        <family val="2"/>
        <charset val="177"/>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charset val="177"/>
        <scheme val="minor"/>
      </rPr>
      <t>משום שאין להם שום דבר חדש לומר לי</t>
    </r>
  </si>
  <si>
    <r>
      <t xml:space="preserve">נעבור עתה לחוד, סיבה אחר סיבה שבגללן </t>
    </r>
    <r>
      <rPr>
        <u/>
        <sz val="11"/>
        <color theme="1"/>
        <rFont val="Calibri"/>
        <family val="2"/>
        <charset val="177"/>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charset val="177"/>
        <scheme val="minor"/>
      </rPr>
      <t>כי אינני אוהב שהפוליטיקאים יסדרו אותי</t>
    </r>
  </si>
  <si>
    <r>
      <t xml:space="preserve">כמה פעמים בשבוע אתה קורא את העיתון הבא: </t>
    </r>
    <r>
      <rPr>
        <b/>
        <sz val="11"/>
        <color theme="1"/>
        <rFont val="Calibri"/>
        <family val="2"/>
        <charset val="177"/>
        <scheme val="minor"/>
      </rPr>
      <t>הארץ</t>
    </r>
  </si>
  <si>
    <r>
      <t xml:space="preserve">כמה פעמים בשבוע אתה קורא את העיתון הבא: </t>
    </r>
    <r>
      <rPr>
        <b/>
        <sz val="11"/>
        <color theme="1"/>
        <rFont val="Calibri"/>
        <family val="2"/>
        <charset val="177"/>
        <scheme val="minor"/>
      </rPr>
      <t>דבר</t>
    </r>
  </si>
  <si>
    <r>
      <t xml:space="preserve">כמה פעמים בשבוע אתה קורא את העיתון הבא: </t>
    </r>
    <r>
      <rPr>
        <b/>
        <sz val="11"/>
        <color theme="1"/>
        <rFont val="Calibri"/>
        <family val="2"/>
        <charset val="177"/>
        <scheme val="minor"/>
      </rPr>
      <t>אומר</t>
    </r>
  </si>
  <si>
    <r>
      <t xml:space="preserve">כמה פעמים בשבוע אתה קורא את העיתון הבא: </t>
    </r>
    <r>
      <rPr>
        <b/>
        <sz val="11"/>
        <color theme="1"/>
        <rFont val="Calibri"/>
        <family val="2"/>
        <charset val="177"/>
        <scheme val="minor"/>
      </rPr>
      <t>למרחב</t>
    </r>
  </si>
  <si>
    <r>
      <t xml:space="preserve">כמה פעמים בשבוע אתה קורא את העיתון הבא: </t>
    </r>
    <r>
      <rPr>
        <b/>
        <sz val="11"/>
        <color theme="1"/>
        <rFont val="Calibri"/>
        <family val="2"/>
        <charset val="177"/>
        <scheme val="minor"/>
      </rPr>
      <t>על המשמר</t>
    </r>
  </si>
  <si>
    <r>
      <t xml:space="preserve">כמה פעמים בשבוע אתה קורא את העיתון הבא: </t>
    </r>
    <r>
      <rPr>
        <b/>
        <sz val="11"/>
        <color theme="1"/>
        <rFont val="Calibri"/>
        <family val="2"/>
        <charset val="177"/>
        <scheme val="minor"/>
      </rPr>
      <t>היום</t>
    </r>
  </si>
  <si>
    <r>
      <t xml:space="preserve">כמה פעמים בשבוע אתה קורא את העיתון הבא: </t>
    </r>
    <r>
      <rPr>
        <b/>
        <sz val="11"/>
        <color theme="1"/>
        <rFont val="Calibri"/>
        <family val="2"/>
        <charset val="177"/>
        <scheme val="minor"/>
      </rPr>
      <t>קול העם</t>
    </r>
  </si>
  <si>
    <r>
      <t xml:space="preserve">כמה פעמים בשבוע אתה קורא את העיתון הבא: </t>
    </r>
    <r>
      <rPr>
        <b/>
        <sz val="11"/>
        <color theme="1"/>
        <rFont val="Calibri"/>
        <family val="2"/>
        <charset val="177"/>
        <scheme val="minor"/>
      </rPr>
      <t>הצופה</t>
    </r>
  </si>
  <si>
    <r>
      <t xml:space="preserve">כמה פעמים בשבוע אתה קורא את העיתון הבא: </t>
    </r>
    <r>
      <rPr>
        <b/>
        <sz val="11"/>
        <color theme="1"/>
        <rFont val="Calibri"/>
        <family val="2"/>
        <charset val="177"/>
        <scheme val="minor"/>
      </rPr>
      <t>מעריב</t>
    </r>
  </si>
  <si>
    <r>
      <t xml:space="preserve">כמה פעמים בשבוע אתה קורא את העיתון הבא: </t>
    </r>
    <r>
      <rPr>
        <b/>
        <sz val="11"/>
        <color theme="1"/>
        <rFont val="Calibri"/>
        <family val="2"/>
        <charset val="177"/>
        <scheme val="minor"/>
      </rPr>
      <t>ידיעות אחרונות</t>
    </r>
  </si>
  <si>
    <r>
      <t xml:space="preserve">כמה פעמים בשבוע אתה קורא את העיתון הבא: </t>
    </r>
    <r>
      <rPr>
        <b/>
        <sz val="11"/>
        <color theme="1"/>
        <rFont val="Calibri"/>
        <family val="2"/>
        <charset val="177"/>
        <scheme val="minor"/>
      </rPr>
      <t>ג'רוזלם פוסט</t>
    </r>
  </si>
  <si>
    <r>
      <t xml:space="preserve">כמה פעמים בשבוע אתה קורא את העיתון הבא: </t>
    </r>
    <r>
      <rPr>
        <b/>
        <sz val="11"/>
        <color theme="1"/>
        <rFont val="Calibri"/>
        <family val="2"/>
        <charset val="177"/>
        <scheme val="minor"/>
      </rPr>
      <t>עיתון לועזי</t>
    </r>
  </si>
  <si>
    <r>
      <t xml:space="preserve">כמה פעמים בשבוע אתה קורא את העיתון הבא: </t>
    </r>
    <r>
      <rPr>
        <b/>
        <sz val="11"/>
        <color theme="1"/>
        <rFont val="Calibri"/>
        <family val="2"/>
        <charset val="177"/>
        <scheme val="minor"/>
      </rPr>
      <t>אחר</t>
    </r>
  </si>
  <si>
    <t>ידע כללי</t>
  </si>
  <si>
    <r>
      <t xml:space="preserve">באיזו מידה אתה מסכים או לא מסכים עם המשפטים הבאים: </t>
    </r>
    <r>
      <rPr>
        <b/>
        <sz val="11"/>
        <color theme="1"/>
        <rFont val="Calibri"/>
        <family val="2"/>
        <charset val="177"/>
        <scheme val="minor"/>
      </rPr>
      <t>נשים בישראל מופלות בשכר ובקידום במקום העבודה</t>
    </r>
  </si>
  <si>
    <r>
      <t xml:space="preserve">באיזו מידה אתה מסכים או לא מסכים למשפטים הבאים? </t>
    </r>
    <r>
      <rPr>
        <b/>
        <sz val="11"/>
        <color theme="1"/>
        <rFont val="Calibri"/>
        <family val="2"/>
        <charset val="177"/>
        <scheme val="minor"/>
      </rPr>
      <t>פוליטיקאי אינו נוטה להתחשב בדעתו של האזרח ברחוב</t>
    </r>
  </si>
  <si>
    <r>
      <t xml:space="preserve">באיזו מידה אתה מסכים או לא מסכים עם המשפטים הבאים לגבי הממשלה: </t>
    </r>
    <r>
      <rPr>
        <b/>
        <sz val="11"/>
        <color theme="1"/>
        <rFont val="Calibri"/>
        <family val="2"/>
        <charset val="177"/>
        <scheme val="minor"/>
      </rPr>
      <t>חברי הממשלה מגיעים מכל חלקי החברה</t>
    </r>
  </si>
  <si>
    <r>
      <t xml:space="preserve">באיזו מידה אתה מסכים או לא מסכים עם המשפטים הבאים: </t>
    </r>
    <r>
      <rPr>
        <b/>
        <sz val="11"/>
        <color theme="1"/>
        <rFont val="Calibri"/>
        <family val="2"/>
        <charset val="177"/>
        <scheme val="minor"/>
      </rPr>
      <t>לא חשוב עבור מי מצביעים, זה לא משנה את המצב</t>
    </r>
  </si>
  <si>
    <r>
      <t xml:space="preserve">באיזו מידה אתה מסכים או לא מסכים עם המשפטים הבאים: </t>
    </r>
    <r>
      <rPr>
        <b/>
        <sz val="11"/>
        <color theme="1"/>
        <rFont val="Calibri"/>
        <family val="2"/>
        <charset val="177"/>
        <scheme val="minor"/>
      </rPr>
      <t>פוליטיקאים מבטיחים במערכת הבחירות דברים שאין להם שום כוונה לקיים</t>
    </r>
  </si>
  <si>
    <r>
      <t xml:space="preserve">באיזו מידה אתה מסכים או לא מסכים עם המשפטים הבאים: </t>
    </r>
    <r>
      <rPr>
        <b/>
        <sz val="11"/>
        <color theme="1"/>
        <rFont val="Calibri"/>
        <family val="2"/>
        <charset val="177"/>
        <scheme val="minor"/>
      </rPr>
      <t>רוב הפוליטיקאים נקיים משחיתות</t>
    </r>
  </si>
  <si>
    <r>
      <t xml:space="preserve">באיזו מידה אתה מסכים או לא מסכים עם המשפטים הבאים: </t>
    </r>
    <r>
      <rPr>
        <b/>
        <sz val="11"/>
        <color theme="1"/>
        <rFont val="Calibri"/>
        <family val="2"/>
        <charset val="177"/>
        <scheme val="minor"/>
      </rPr>
      <t>יותר מדי גורמים מתערבים בבחירות כך שהתוצאה לא מייצגת את רצון הבוחר</t>
    </r>
  </si>
  <si>
    <r>
      <t xml:space="preserve">באיזו מידה אתה מסכים או לא מסכים עם המשפטים הבאים: </t>
    </r>
    <r>
      <rPr>
        <b/>
        <sz val="11"/>
        <color theme="1"/>
        <rFont val="Calibri"/>
        <family val="2"/>
        <charset val="177"/>
        <scheme val="minor"/>
      </rPr>
      <t>שיטת הבחירות מעוותת את רצון הבוחר</t>
    </r>
  </si>
  <si>
    <r>
      <t xml:space="preserve">מתוך רשימה של קבוצות זו אתה מתבקש לבחור את שתי הקבוצות שהיית רוצה שתקבלנה יצוג יותר גדול במפלגה עבורה אתה מתכוון להצביע: </t>
    </r>
    <r>
      <rPr>
        <b/>
        <sz val="11"/>
        <color theme="1"/>
        <rFont val="Calibri"/>
        <family val="2"/>
        <charset val="177"/>
        <scheme val="minor"/>
      </rPr>
      <t>הקבוצה הראשונה</t>
    </r>
  </si>
  <si>
    <r>
      <t xml:space="preserve">מתוך רשימה של קבוצות זו אתה מתבקש לבחור את שתי הקבוצות שהיית רוצה שתקבלנה יצוג יותר גדול במפלגה עבורה אתה מתכוון להצביע: </t>
    </r>
    <r>
      <rPr>
        <b/>
        <sz val="11"/>
        <color theme="1"/>
        <rFont val="Calibri"/>
        <family val="2"/>
        <charset val="177"/>
        <scheme val="minor"/>
      </rPr>
      <t>הקבוצה השנייה</t>
    </r>
  </si>
  <si>
    <t>ייצוגיות</t>
  </si>
  <si>
    <r>
      <t xml:space="preserve">באיזה מידה אתה מסכים או לא מסכים למשפטים הבאים: </t>
    </r>
    <r>
      <rPr>
        <b/>
        <sz val="11"/>
        <color theme="1"/>
        <rFont val="Calibri"/>
        <family val="2"/>
        <charset val="177"/>
        <scheme val="minor"/>
      </rPr>
      <t>מדינה פלסטינית לצד מדינת ישראל היא הדרך הטובה ביותר לפתרון הסכסוך הישראלי-פלסטיני</t>
    </r>
  </si>
  <si>
    <r>
      <t xml:space="preserve">באיזה מידה אתה מסכים או לא מסכים למשפטים הבאים: </t>
    </r>
    <r>
      <rPr>
        <b/>
        <sz val="11"/>
        <color theme="1"/>
        <rFont val="Calibri"/>
        <family val="2"/>
        <charset val="177"/>
        <scheme val="minor"/>
      </rPr>
      <t>השאיפה העיקרית של האזרחים הערבים בישראל היא שוויון אזרחי מלא</t>
    </r>
  </si>
  <si>
    <t>שחיתות</t>
  </si>
  <si>
    <t>ערבים בלבד</t>
  </si>
  <si>
    <t>preference_party_1</t>
  </si>
  <si>
    <t>preference_party_2</t>
  </si>
  <si>
    <t>preference_party_3</t>
  </si>
  <si>
    <t>preference_party_least_1</t>
  </si>
  <si>
    <t>preference_party_least_2</t>
  </si>
  <si>
    <t>preference_party_least_3</t>
  </si>
  <si>
    <t>preference_civilsociety_organization_least</t>
  </si>
  <si>
    <t>preference_party_strongvscareful</t>
  </si>
  <si>
    <t>preference_party_politician</t>
  </si>
  <si>
    <t>לשוניות</t>
  </si>
  <si>
    <t>עניין פוליטי, זיקה רגשית, העדפות, ציפיות</t>
  </si>
  <si>
    <t>voting_decision_radio</t>
  </si>
  <si>
    <t>XXX</t>
  </si>
  <si>
    <t>preference_coalition_kadima_haavoda</t>
  </si>
  <si>
    <t>preference_coalition_kadima_likud</t>
  </si>
  <si>
    <t>preference_coalition_kadima_likudultraorthodox</t>
  </si>
  <si>
    <t>preference_coalition_kadima_haavodaultraorthodox</t>
  </si>
  <si>
    <t>preference_coalition_kadima_likudright</t>
  </si>
  <si>
    <t>preference_coalition_kadima_haavodameretz</t>
  </si>
  <si>
    <t>preference_coalition_kadima_nationalunity</t>
  </si>
  <si>
    <t>preference_coalition_likud_rightultraorthodox</t>
  </si>
  <si>
    <t>preference_coalition_likud_haavodashinui</t>
  </si>
  <si>
    <t>preference_coalition_haavoda_meretzarab</t>
  </si>
  <si>
    <t>preference_coalition</t>
  </si>
  <si>
    <t>preference_primeminister</t>
  </si>
  <si>
    <t>preference_ministerdefence</t>
  </si>
  <si>
    <t>preference_ministerfinance</t>
  </si>
  <si>
    <t>preference_ministerforeignaffairs</t>
  </si>
  <si>
    <t>preference_coalition_habayithayehudi</t>
  </si>
  <si>
    <t>preference_electionsystem_primaries</t>
  </si>
  <si>
    <t>preference_electionsystem_directelections</t>
  </si>
  <si>
    <t>preference_electionsystem_regional</t>
  </si>
  <si>
    <t xml:space="preserve"> </t>
  </si>
  <si>
    <t>behavior_protest_2011</t>
  </si>
  <si>
    <t>questionnaire_date_post</t>
  </si>
  <si>
    <t>demography_identity_sector</t>
  </si>
  <si>
    <t>demography_age</t>
  </si>
  <si>
    <t>demography_identity_jewishetnicity</t>
  </si>
  <si>
    <t>demography_age_group</t>
  </si>
  <si>
    <t>demography_identity_gender</t>
  </si>
  <si>
    <t>demography_educ</t>
  </si>
  <si>
    <t>demography_educ_years</t>
  </si>
  <si>
    <t>demography_educ_religious</t>
  </si>
  <si>
    <t>demography_educ_partner</t>
  </si>
  <si>
    <t>demography_educ_academy</t>
  </si>
  <si>
    <t>demography_educ_last</t>
  </si>
  <si>
    <t>demography_birthcountry_self</t>
  </si>
  <si>
    <t>demography_birthcountry_father</t>
  </si>
  <si>
    <t>demography_birthcountry_mother</t>
  </si>
  <si>
    <t>demography_birthcountry_partner</t>
  </si>
  <si>
    <t>demography_imm_year</t>
  </si>
  <si>
    <t>demography_imm_USSR</t>
  </si>
  <si>
    <t>demography_imm_USSR_residence</t>
  </si>
  <si>
    <t>demography_imm_USSR_nationality</t>
  </si>
  <si>
    <t>???_friends_imm_USSR</t>
  </si>
  <si>
    <t>demography_identity_hierarchy_1</t>
  </si>
  <si>
    <t>demography_identity_hierarchy_3</t>
  </si>
  <si>
    <t>demography_identity_hierarchy_2</t>
  </si>
  <si>
    <t>demography_identity_hierarchy_4</t>
  </si>
  <si>
    <t>demography_identity_class</t>
  </si>
  <si>
    <t>demography_wealth_incomepersonal</t>
  </si>
  <si>
    <t>demography_wealth_household_expense</t>
  </si>
  <si>
    <t>demography_wealth_household_incomeprimery</t>
  </si>
  <si>
    <t>demography_wealth_household_incomehousehold</t>
  </si>
  <si>
    <t>demography_wealth_household_incomeproportion</t>
  </si>
  <si>
    <t>demography_household_rooms</t>
  </si>
  <si>
    <t>demography_household_residents</t>
  </si>
  <si>
    <t>demography_household_consistency</t>
  </si>
  <si>
    <t>demography_identity_religion</t>
  </si>
  <si>
    <t>demography_identity_religiousety</t>
  </si>
  <si>
    <t>demography_occupation_domestic</t>
  </si>
  <si>
    <t>demography_occupation_status</t>
  </si>
  <si>
    <t>demography_occupation_status_partner</t>
  </si>
  <si>
    <t>demography_occupation_extent</t>
  </si>
  <si>
    <t>demography_occupation_description</t>
  </si>
  <si>
    <t>demography_occupation_sector</t>
  </si>
  <si>
    <t>affect_threat_occupation_fired</t>
  </si>
  <si>
    <t>demography_household_status</t>
  </si>
  <si>
    <t>demography_household_children</t>
  </si>
  <si>
    <t>demography_household_children_num</t>
  </si>
  <si>
    <t>demography_household_childern_16</t>
  </si>
  <si>
    <t>demography_household_childern_18</t>
  </si>
  <si>
    <t>demography_household_childern_23</t>
  </si>
  <si>
    <t>demography_household_childern_inhousehold</t>
  </si>
  <si>
    <t>demography_IDF_rank</t>
  </si>
  <si>
    <t>demography_household_head</t>
  </si>
  <si>
    <t>demography_educ_father</t>
  </si>
  <si>
    <t>demography_educ_mother</t>
  </si>
  <si>
    <t>demography_household_occupation_status_head</t>
  </si>
  <si>
    <t>demography_household_occupation_description_head</t>
  </si>
  <si>
    <t>demography_occupation_ownership</t>
  </si>
  <si>
    <t>demography_occupation_industrial</t>
  </si>
  <si>
    <t>demography_welfare_healthcare</t>
  </si>
  <si>
    <t>demography_household_language</t>
  </si>
  <si>
    <t>demography_household_washingmachine</t>
  </si>
  <si>
    <t>demography_household_car</t>
  </si>
  <si>
    <t>demography_household_residence_lastelections</t>
  </si>
  <si>
    <t>behavior_association_histadrut</t>
  </si>
  <si>
    <t>behavior_association_youth_organization</t>
  </si>
  <si>
    <t>behavior_association_kibbutz</t>
  </si>
  <si>
    <t>perception_satisfaction_government</t>
  </si>
  <si>
    <t>perception_problem_hierarchy_1</t>
  </si>
  <si>
    <t>perception_problem_hierarchy_2</t>
  </si>
  <si>
    <t>perception_problem_hierarchy_3</t>
  </si>
  <si>
    <t>preference_importance_historical_event</t>
  </si>
  <si>
    <t>preference_importance_event_future</t>
  </si>
  <si>
    <t>preference_importance_historical_persona</t>
  </si>
  <si>
    <t>perception_agreement_politicalcomplexity</t>
  </si>
  <si>
    <t xml:space="preserve">preference_agreement_deportforeignworkers </t>
  </si>
  <si>
    <t>preference_support_arabparty_minister</t>
  </si>
  <si>
    <t>perception_expectation_peaceprocess_civilwar</t>
  </si>
  <si>
    <t>perception_expectation_goal_achieve_all</t>
  </si>
  <si>
    <t>???_friends_arabs</t>
  </si>
  <si>
    <t>affect_threat_jewisharabratio</t>
  </si>
  <si>
    <t>affect_threat_USAendaid</t>
  </si>
  <si>
    <t>perception_expectation_jewisharabratio</t>
  </si>
  <si>
    <t>perception_expectation_USAendaid</t>
  </si>
  <si>
    <t>perception_agreement_moralabsolutism</t>
  </si>
  <si>
    <t>preference_agreement_commongood</t>
  </si>
  <si>
    <t>preference_agreement_territoriesrestitution</t>
  </si>
  <si>
    <t>perception_agreement_providence_war</t>
  </si>
  <si>
    <t>perception_expectation_long_existence</t>
  </si>
  <si>
    <t>perception_satisfaction_IDF_service_burdendivision</t>
  </si>
  <si>
    <t>perception_satisfaction_IDF_reserve_efficiency</t>
  </si>
  <si>
    <t>perception_satisfaction_IDF_service_duration</t>
  </si>
  <si>
    <t>perception_agreement_phrase_1</t>
  </si>
  <si>
    <t>perception_agreement_phrase_2</t>
  </si>
  <si>
    <t>perception_agreement_phrase_3</t>
  </si>
  <si>
    <t>perception_agreement_phrase_4</t>
  </si>
  <si>
    <t>perception_agreement_phrase_5</t>
  </si>
  <si>
    <t>perception_agreement_phrase_6</t>
  </si>
  <si>
    <t>perception_agreement_phrase_7</t>
  </si>
  <si>
    <t>perception_agreement_phrase_8</t>
  </si>
  <si>
    <t>perception_agreement_phrase_9</t>
  </si>
  <si>
    <t>affect_trust_protector_israel</t>
  </si>
  <si>
    <t>perception_agreement_endsjustifymeans</t>
  </si>
  <si>
    <t>perception_agreement_antisemitic_criticism</t>
  </si>
  <si>
    <t>affect_trust_people</t>
  </si>
  <si>
    <t>perception_public_selfishness</t>
  </si>
  <si>
    <t>preference_importance_value_list</t>
  </si>
  <si>
    <t>perception_agreement_self_reliance</t>
  </si>
  <si>
    <t>perception_agreement_lifeisstruggle</t>
  </si>
  <si>
    <t>perception_agreement_political_compromise</t>
  </si>
  <si>
    <t>perception_agreement_opinion_diversity</t>
  </si>
  <si>
    <t>perception_agreement_polarizing_objectivism</t>
  </si>
  <si>
    <t>perception_agreement_new_ideas_worth</t>
  </si>
  <si>
    <t>perception_agreement_friends_similarity</t>
  </si>
  <si>
    <t>perception_agreement_decision_capability</t>
  </si>
  <si>
    <t>affect_termo_USA</t>
  </si>
  <si>
    <t>affect_termo_USA_neutral</t>
  </si>
  <si>
    <t>perception_satisfaction_personal_condition</t>
  </si>
  <si>
    <t>post_perception_problem</t>
  </si>
  <si>
    <t>preference_leaveisrael</t>
  </si>
  <si>
    <t>perception_public_reason_leaveisrael</t>
  </si>
  <si>
    <t>perception_satisfaction_IDF_service</t>
  </si>
  <si>
    <t>preference_reason_IDF_noservice</t>
  </si>
  <si>
    <t>demography_holocaust_survivor</t>
  </si>
  <si>
    <t>demography_household_holocaust_survivor</t>
  </si>
  <si>
    <t>demography_household_holocaust_injuredkilled</t>
  </si>
  <si>
    <t>perception_behavior_good_citizen_tax</t>
  </si>
  <si>
    <t>perception_behavior_good_citizen_vote</t>
  </si>
  <si>
    <t>perception_behavior_good_citizen_obedience</t>
  </si>
  <si>
    <t>perception_behavior_good_citizen_educabroad</t>
  </si>
  <si>
    <t>perception_behavior_good_citizen_commongood</t>
  </si>
  <si>
    <t>perception_behavior_good_citizen_emigrate</t>
  </si>
  <si>
    <t>perception_behavior_good_citizen_selfishness</t>
  </si>
  <si>
    <t>affect_trust_party_elections</t>
  </si>
  <si>
    <t>perception_satisfaction_election_reason</t>
  </si>
  <si>
    <t>perception_satisfaction_elections</t>
  </si>
  <si>
    <t>perception_behavior_elections_prestige</t>
  </si>
  <si>
    <t>perception_behavior_elections_connections</t>
  </si>
  <si>
    <t>demography_IDF_reserve_husband</t>
  </si>
  <si>
    <t>demography_IDF_service_family</t>
  </si>
  <si>
    <t>demography_IDF_injured</t>
  </si>
  <si>
    <t>demography_IDF_killed</t>
  </si>
  <si>
    <t>perception_responsibility_government</t>
  </si>
  <si>
    <t>perception_responsibility_IDF</t>
  </si>
  <si>
    <t>perception_responsibility_arabcountries</t>
  </si>
  <si>
    <t>perception_responsibility_Superpowers</t>
  </si>
  <si>
    <t>affect_trust_government_golda</t>
  </si>
  <si>
    <t>affect_belonging_nation_importance</t>
  </si>
  <si>
    <t>affect_belonging_nation_voting</t>
  </si>
  <si>
    <t>affect_belonging_friends_importance</t>
  </si>
  <si>
    <t>affect_belonging_friends_voting</t>
  </si>
  <si>
    <t>affect_importance_influence_elections</t>
  </si>
  <si>
    <t>affect_voting_influence_elections</t>
  </si>
  <si>
    <t>perception_satisfaction_municipality</t>
  </si>
  <si>
    <t>perception_problem_municipality</t>
  </si>
  <si>
    <t>perception_municipality_solution_clarity</t>
  </si>
  <si>
    <t>perception_expectation_solution_government</t>
  </si>
  <si>
    <t>perception_expectation_solution_candidates</t>
  </si>
  <si>
    <t>perception_expectation_solution_party</t>
  </si>
  <si>
    <t>perception_expectation_solution_team84</t>
  </si>
  <si>
    <t>perception_expectation_municipality_solution_party</t>
  </si>
  <si>
    <t>perception_satisfaction_municipality_services</t>
  </si>
  <si>
    <t>preference_municipality_mayor_replace</t>
  </si>
  <si>
    <t>preference_municipality_mayor_electionsystem</t>
  </si>
  <si>
    <t>preference_party_youth_organization</t>
  </si>
  <si>
    <t>perception_problem_clarity</t>
  </si>
  <si>
    <t>perception_policy_solution_clarity</t>
  </si>
  <si>
    <t>preference_importance_issues_party</t>
  </si>
  <si>
    <t>affect_appreciation_occupation_1</t>
  </si>
  <si>
    <t>affect_appreciation_occupation_2</t>
  </si>
  <si>
    <t>behavior_political_persuasion</t>
  </si>
  <si>
    <t>perception_agreement_rulingparty_younge</t>
  </si>
  <si>
    <t>affect_threat_covid</t>
  </si>
  <si>
    <t>perception_policy_influence</t>
  </si>
  <si>
    <t>behavior_political_asked</t>
  </si>
  <si>
    <t>behavior_political_asking</t>
  </si>
  <si>
    <t>behavior_political_discuss</t>
  </si>
  <si>
    <t>behavior_political_discuss_friends</t>
  </si>
  <si>
    <t>behavior_political_express_security</t>
  </si>
  <si>
    <t>affect_importance_express_political</t>
  </si>
  <si>
    <t>affect_voting_express_political</t>
  </si>
  <si>
    <t>behavior_political_discuss_family</t>
  </si>
  <si>
    <t>perception_similarity_family_security</t>
  </si>
  <si>
    <t>behavior_political_discuss_household</t>
  </si>
  <si>
    <t>behavior_political_discuss_father</t>
  </si>
  <si>
    <t>behavior_association_party</t>
  </si>
  <si>
    <t>behavior_association_party_elections_rally</t>
  </si>
  <si>
    <t>behavior_association_party_elections_houseclasses</t>
  </si>
  <si>
    <t>behavior_association_party_elections_hostinghouseclasses</t>
  </si>
  <si>
    <t>perception_interest_elections_sportingevent</t>
  </si>
  <si>
    <t>behavior_political_work_elections</t>
  </si>
  <si>
    <t>perception_interest_elections_histadrut</t>
  </si>
  <si>
    <t>perception_interest_elections_municipality</t>
  </si>
  <si>
    <t>perception_interest_elections</t>
  </si>
  <si>
    <t>preference_interest_issues</t>
  </si>
  <si>
    <t>perception_interest_politics</t>
  </si>
  <si>
    <t>perception_interest_politics_elections</t>
  </si>
  <si>
    <t>behavior_political_knowledge_lectures</t>
  </si>
  <si>
    <t xml:space="preserve">behavior_political_knowledge_read_security </t>
  </si>
  <si>
    <t>behavior_association_civilsociety_organization</t>
  </si>
  <si>
    <t>perception_elections_knowledge_politicians</t>
  </si>
  <si>
    <t>perception_party_supporters_Hamaarakh_age</t>
  </si>
  <si>
    <t>perception_party_supporters_Hamaarakh_jewishetnicity</t>
  </si>
  <si>
    <t>perception_party_supporters_Hamaarakh_occupation</t>
  </si>
  <si>
    <t>perception_party_supporters_Herut_age</t>
  </si>
  <si>
    <t>perception_party_supporters_Herut_jewishetnicity</t>
  </si>
  <si>
    <t>perception_party_supporters_Herut_occupation</t>
  </si>
  <si>
    <t>perception_party_supporters_Haolamhazeh_age</t>
  </si>
  <si>
    <t>perception_party_supporters_Haolamhazeh_jewishetnicity</t>
  </si>
  <si>
    <t>perception_party_supporters_Haolamhazeh_occupation</t>
  </si>
  <si>
    <t>perception_public_influence_occupation_1</t>
  </si>
  <si>
    <t>perception_public_influence_occupation_2</t>
  </si>
  <si>
    <t>perception_policy_influence_occupation_1</t>
  </si>
  <si>
    <t>perception_policy_influence_occupation_2</t>
  </si>
  <si>
    <t>perception_problem_influence_occupation_1</t>
  </si>
  <si>
    <t>perception_problem_influence_occupation_2</t>
  </si>
  <si>
    <t>perception_problem_influence_friends_birthcountry1</t>
  </si>
  <si>
    <t>perception_problem_influence_friends_occupation1</t>
  </si>
  <si>
    <t>perception_problem_influence_friends_age1</t>
  </si>
  <si>
    <t>perception_problem_influence_friends_birthcountry2</t>
  </si>
  <si>
    <t>perception_problem_influence_friends_occupation2</t>
  </si>
  <si>
    <t>perception_problem_influence_friends_age2</t>
  </si>
  <si>
    <t>affect_importance_knowledge_politicians</t>
  </si>
  <si>
    <t>affect_importance_knowledge_problem</t>
  </si>
  <si>
    <t>perception_elections_knowledge_problem</t>
  </si>
  <si>
    <t>perception_interest_politics_father</t>
  </si>
  <si>
    <t>perception_interest_inequality_socioeconomic</t>
  </si>
  <si>
    <t>perception_interest_problem_socioeconomic</t>
  </si>
  <si>
    <t>perception_interest_problem_security</t>
  </si>
  <si>
    <t>perception_interest_elections_results</t>
  </si>
  <si>
    <t>perception_importance_problem_economic</t>
  </si>
  <si>
    <t>preference_importance_citizen_problem_socio</t>
  </si>
  <si>
    <t>perception_interest_politics_municipality</t>
  </si>
  <si>
    <t>perception_importance_problem_security</t>
  </si>
  <si>
    <t>perception_interest_problem_socio</t>
  </si>
  <si>
    <t>preference_importance_citizen_politics_municipality</t>
  </si>
  <si>
    <t>behavior_political_discuss_security</t>
  </si>
  <si>
    <t>behavior_political_discuss_economic</t>
  </si>
  <si>
    <t>behavior_political_discuss_socio</t>
  </si>
  <si>
    <t>affect_trust_information_friends</t>
  </si>
  <si>
    <t>behavior_political_protest_peaceprocess</t>
  </si>
  <si>
    <t>behavior_political_protest_rabinassassination</t>
  </si>
  <si>
    <t>behavior_political_protest</t>
  </si>
  <si>
    <t>perception_leftright_explain_right</t>
  </si>
  <si>
    <t>perception_leftright_explain_left</t>
  </si>
  <si>
    <t>polidentity_leftright_affiliation_5</t>
  </si>
  <si>
    <t>polidentity_leftright_affiliation_7</t>
  </si>
  <si>
    <t>polidentity_leftright_affiliation_neutral</t>
  </si>
  <si>
    <t>polidentity_leftright_affiliation_conversion</t>
  </si>
  <si>
    <t>polidentity_leftright_affiliation_10</t>
  </si>
  <si>
    <t>polidentity_leftright_affiliation_security</t>
  </si>
  <si>
    <t>polidentity_leftright_affiliation_economic</t>
  </si>
  <si>
    <t>polidentity_leftright_affiliation_foreignaffairs</t>
  </si>
  <si>
    <t>polidentity_leftright_importance</t>
  </si>
  <si>
    <t>polidentity_leftright_agreement_personal_criticism</t>
  </si>
  <si>
    <t>polidentity_leftright_agreement_personal_connection</t>
  </si>
  <si>
    <t>polidentity_leftright_agreement_personal_appraisal</t>
  </si>
  <si>
    <t>perception_difference_leftright</t>
  </si>
  <si>
    <t>perception_difference_party</t>
  </si>
  <si>
    <t>perception_difference_party_socioeconomic</t>
  </si>
  <si>
    <t>perception_difference_party_statereligion</t>
  </si>
  <si>
    <t>perception_difference_party_peaceprocess</t>
  </si>
  <si>
    <t>perception_difference_party_security</t>
  </si>
  <si>
    <t>perception_difference_party_democracy</t>
  </si>
  <si>
    <t>perception_difference_party_iran</t>
  </si>
  <si>
    <t>perception_difference_party_jerusalem</t>
  </si>
  <si>
    <t>perception_difference_party_lebanon</t>
  </si>
  <si>
    <t>perception_difference_party_corruption</t>
  </si>
  <si>
    <t>perception_leftright_likud</t>
  </si>
  <si>
    <t>perception_leftright_haavoda</t>
  </si>
  <si>
    <t>perception_leftright_kadima</t>
  </si>
  <si>
    <t>perception_leftright_shas</t>
  </si>
  <si>
    <t>perception_leftright_habayithayehudi</t>
  </si>
  <si>
    <t>perception_leftright_yisraelbeiteinu</t>
  </si>
  <si>
    <t>perception_leftright_meretz</t>
  </si>
  <si>
    <t>perception_leftright_kahollavan</t>
  </si>
  <si>
    <t>perception_leftright_yeshatid</t>
  </si>
  <si>
    <t>perception_leftright_tikvahadasha</t>
  </si>
  <si>
    <t>perception_leftright_yamina</t>
  </si>
  <si>
    <t>perception_leftright_yahaduthatora</t>
  </si>
  <si>
    <t>perception_leftright_hareshimahameshutefet</t>
  </si>
  <si>
    <t>perception_leftright_raam</t>
  </si>
  <si>
    <t>perception_expectation_belonging_convertion</t>
  </si>
  <si>
    <t>perception_difference_party_talkvsact</t>
  </si>
  <si>
    <t>perception_importance_leftright</t>
  </si>
  <si>
    <t>perception_elections_knowledge_party_problem</t>
  </si>
  <si>
    <t>affect_importance_knowledge_party_problem</t>
  </si>
  <si>
    <t>perception_difference_party_problem</t>
  </si>
  <si>
    <t>perception_leftright_likud_3</t>
  </si>
  <si>
    <t>affect_termo_likud</t>
  </si>
  <si>
    <t>affect_termo_kahollavan</t>
  </si>
  <si>
    <t>affect_termo_yeshatid</t>
  </si>
  <si>
    <t>affect_termo_shinui</t>
  </si>
  <si>
    <t>affect_termo_miflegethamerkaz</t>
  </si>
  <si>
    <t>affect_termo_haavoda</t>
  </si>
  <si>
    <t>affect_termo_yisraelahat</t>
  </si>
  <si>
    <t>affect_termo_kadima</t>
  </si>
  <si>
    <t>affect_termo_hatnua</t>
  </si>
  <si>
    <t>affect_termo_meretz</t>
  </si>
  <si>
    <t>affect_termo_yamina</t>
  </si>
  <si>
    <t>affect_termo_tikvahadasha</t>
  </si>
  <si>
    <t>affect_termo_habayithayehudi</t>
  </si>
  <si>
    <t>affect_termo_yisraelbeiteinu</t>
  </si>
  <si>
    <t>affect_termo_shas</t>
  </si>
  <si>
    <t>affect_termo_yisraelbaaliyah</t>
  </si>
  <si>
    <t>affect_termo_otzmayehudit</t>
  </si>
  <si>
    <t>affect_termo_yahaduthatora</t>
  </si>
  <si>
    <t>affect_termo_kulanu</t>
  </si>
  <si>
    <t>affect_termo_hareshimahameshutefet</t>
  </si>
  <si>
    <t>affect_termo_raambalad</t>
  </si>
  <si>
    <t>affect_termo_raamtaal</t>
  </si>
  <si>
    <t>affect_termo_hadash</t>
  </si>
  <si>
    <t>affect_termo_taal</t>
  </si>
  <si>
    <t>affect_termo_raam</t>
  </si>
  <si>
    <t>affect_termo_balad</t>
  </si>
  <si>
    <t>post_affect_termo_habayithayehudi</t>
  </si>
  <si>
    <t>post_affect_termo_yamina</t>
  </si>
  <si>
    <t>post_affect_termo_hareshimahameshutefet</t>
  </si>
  <si>
    <t>post_affect_termo_raam</t>
  </si>
  <si>
    <t>post_affect_termo_yahaduthatora</t>
  </si>
  <si>
    <t>affect_termo_rightist</t>
  </si>
  <si>
    <t>affect_termo_leftist</t>
  </si>
  <si>
    <t>affect_termo_arab</t>
  </si>
  <si>
    <t>affect_termo_religious</t>
  </si>
  <si>
    <t>affect_termo_ultraorthodox</t>
  </si>
  <si>
    <t>affect_termo_secular</t>
  </si>
  <si>
    <t>affect_termo_ashkenazi</t>
  </si>
  <si>
    <t>affect_termo_moetzetyesha</t>
  </si>
  <si>
    <t>affect_termo_hatnuahaislamit</t>
  </si>
  <si>
    <t>affect_termo_gushemunim</t>
  </si>
  <si>
    <t>affect_termo_shalomachshav</t>
  </si>
  <si>
    <t>affect_termo_netanyahu</t>
  </si>
  <si>
    <t>affect_termo_sharon</t>
  </si>
  <si>
    <t>affect_termo_shamir</t>
  </si>
  <si>
    <t>affect_termo_menachembegin</t>
  </si>
  <si>
    <t>affect_termo_olmert</t>
  </si>
  <si>
    <t>affect_termo_bennybegin</t>
  </si>
  <si>
    <t>affect_termo_yitzhakmordechai</t>
  </si>
  <si>
    <t>affect_termo_davidlevy</t>
  </si>
  <si>
    <t>affect_termo_yitzhaknavon</t>
  </si>
  <si>
    <t>affect_termo_gantz</t>
  </si>
  <si>
    <t>affect_termo_liberman</t>
  </si>
  <si>
    <t>affect_termo_lapid</t>
  </si>
  <si>
    <t>affect_termo_amrammitzna</t>
  </si>
  <si>
    <t>affect_termo_rabin</t>
  </si>
  <si>
    <t>affect_termo_peres</t>
  </si>
  <si>
    <t>affect_termo_barak</t>
  </si>
  <si>
    <t>affect_termo_yachimovich</t>
  </si>
  <si>
    <t>affect_termo_herzog</t>
  </si>
  <si>
    <t>affect_termo_livni</t>
  </si>
  <si>
    <t>affect_termo_gabay</t>
  </si>
  <si>
    <t>affect_termo_peretz</t>
  </si>
  <si>
    <t>affect_termo_michaeli</t>
  </si>
  <si>
    <t>affect_termo_saar</t>
  </si>
  <si>
    <t>affect_termo_bennett</t>
  </si>
  <si>
    <t>affect_termo_shaked</t>
  </si>
  <si>
    <t>affect_termo_binyaminelon</t>
  </si>
  <si>
    <t>affect_termo_smotrich</t>
  </si>
  <si>
    <t>affect_termo_kahane</t>
  </si>
  <si>
    <t>affect_termo_yossibeilin</t>
  </si>
  <si>
    <t>affect_termo_galon</t>
  </si>
  <si>
    <t>affect_termo_zandberg</t>
  </si>
  <si>
    <t>affect_termo_horowitz</t>
  </si>
  <si>
    <t>affect_termo_kahlon</t>
  </si>
  <si>
    <t>affect_termo_deri</t>
  </si>
  <si>
    <t>affect_termo_eliyishai</t>
  </si>
  <si>
    <t>affect_termo_natansharansky</t>
  </si>
  <si>
    <t>affect_termo_odeh</t>
  </si>
  <si>
    <t>affect_termo_tibi</t>
  </si>
  <si>
    <t>affect_termo_mansourabbas</t>
  </si>
  <si>
    <t>affect_termo_mtanesshehadeh</t>
  </si>
  <si>
    <t>affect_termo_toumasuleiman</t>
  </si>
  <si>
    <t>affect_termo_masudghnaim</t>
  </si>
  <si>
    <t>affect_termo_jamalzahalka</t>
  </si>
  <si>
    <t>affect_termo_haneenzoabi</t>
  </si>
  <si>
    <t>affect_termo_mohammadbarakeh</t>
  </si>
  <si>
    <t>affect_termo_ibrahimsarsur</t>
  </si>
  <si>
    <t>affect_termo_azmibishara</t>
  </si>
  <si>
    <t>affect_termo_arafat</t>
  </si>
  <si>
    <t>polidentity_party_importance</t>
  </si>
  <si>
    <t>polidentity_party</t>
  </si>
  <si>
    <t>polidentity_party_agreement_personal_criticism</t>
  </si>
  <si>
    <t>polidentity_party_agreement_personal_connection</t>
  </si>
  <si>
    <t>polidentity_party_agreement_personal_appraisal</t>
  </si>
  <si>
    <t>affect_importance_jewishetnicity</t>
  </si>
  <si>
    <t>perception_agreement_personality_risktolerance</t>
  </si>
  <si>
    <t>perception_agreement_personality_apathy</t>
  </si>
  <si>
    <t>perception_agreement_personality_riskaverse</t>
  </si>
  <si>
    <t>perception_agreement_personality_empathy</t>
  </si>
  <si>
    <t>perception_satisfaction_appropriate_politicalcrisis_1</t>
  </si>
  <si>
    <t>perception_satisfaction_appropriate_politicalcrisis_2</t>
  </si>
  <si>
    <t>perception_satisfaction_appropriate_politicalcrisis_3</t>
  </si>
  <si>
    <t>perception_satisfaction_appropriate_politicalcrisis_4</t>
  </si>
  <si>
    <t>perception_satisfaction_appropriate_politicalcrisis_5</t>
  </si>
  <si>
    <t>affect_emotion_anger_politicalcrisis</t>
  </si>
  <si>
    <t>affect_emotion_disgust_politicalcrisis</t>
  </si>
  <si>
    <t>affect_emotion_hope_politicalcrisis</t>
  </si>
  <si>
    <t>affect_emotion_despair_politicalcrisis</t>
  </si>
  <si>
    <t>affect_emotion_happiness</t>
  </si>
  <si>
    <t>affect_threat_anxiety_sirens</t>
  </si>
  <si>
    <t>affect_threat_anxiety_intifada</t>
  </si>
  <si>
    <t>affect_termo_sephardic</t>
  </si>
  <si>
    <t>affect_emotion_anger_sharon</t>
  </si>
  <si>
    <t>affect_emotion_fear_sharon</t>
  </si>
  <si>
    <t>affect_emotion_pride_sharon</t>
  </si>
  <si>
    <t>affect_emotion_hope_sharon</t>
  </si>
  <si>
    <t>affect_emotion_anger_barak</t>
  </si>
  <si>
    <t>affect_emotion_fear_barak</t>
  </si>
  <si>
    <t>affect_emotion_pride_barak</t>
  </si>
  <si>
    <t>affect_emotion_hope_barak</t>
  </si>
  <si>
    <t>affect_emotion_anger_peres</t>
  </si>
  <si>
    <t>affect_emotion_fear_peres</t>
  </si>
  <si>
    <t>affect_emotion_pride_peres</t>
  </si>
  <si>
    <t>affect_emotion_hope_peres</t>
  </si>
  <si>
    <t>affect_emotion_anger_netanyahu</t>
  </si>
  <si>
    <t>affect_emotion_fear_netanyahu</t>
  </si>
  <si>
    <t>affect_emotion_pride_netanyahu</t>
  </si>
  <si>
    <t>affect_emotion_hope_netanyahu</t>
  </si>
  <si>
    <t>affect_emotion_anger_yitzhakmordechai</t>
  </si>
  <si>
    <t>affect_emotion_fear_yitzhakmordechai</t>
  </si>
  <si>
    <t>affect_emotion_pride_yitzhakmordechai</t>
  </si>
  <si>
    <t>affect_emotion_hope_yitzhakmordechai</t>
  </si>
  <si>
    <t>affect_termo_golda_saliency</t>
  </si>
  <si>
    <t>affect_termo_menachembegin_saliency</t>
  </si>
  <si>
    <t>affect_termo_dayan_saliency</t>
  </si>
  <si>
    <t>affect_termo_pinchassapir_saliency</t>
  </si>
  <si>
    <t>affect_termo_sharon_saliency</t>
  </si>
  <si>
    <t>affect_termo_yigalallon_saliency</t>
  </si>
  <si>
    <t>perception_difference_kippurwar_golda</t>
  </si>
  <si>
    <t>perception_difference_kippurwar_dayan</t>
  </si>
  <si>
    <t>perception_difference_kippurwar_menachembegin</t>
  </si>
  <si>
    <t>perception_difference_kippurwar_pinchassapir</t>
  </si>
  <si>
    <t>perception_difference_kippurwar_sharon</t>
  </si>
  <si>
    <t>perception_difference_kippurwar_haimbarlev</t>
  </si>
  <si>
    <t>perception_difference_kippurwar_aryeheliav</t>
  </si>
  <si>
    <t>perception_difference_kippurwar_meirpail</t>
  </si>
  <si>
    <t>affect_importance_polidentity_politicians</t>
  </si>
  <si>
    <t>affect_voting_polidentity_politicians</t>
  </si>
  <si>
    <t>affect_importance_polidentity_party</t>
  </si>
  <si>
    <t>affect_voting_polidentity_party</t>
  </si>
  <si>
    <t>perception_elections_knowledge_party_similar</t>
  </si>
  <si>
    <t>affect_importance_knowledge_party_similar</t>
  </si>
  <si>
    <t>affect_affinity_party_yesno</t>
  </si>
  <si>
    <t>affect_affinity_party_1</t>
  </si>
  <si>
    <t>affect_affinity_party_termo</t>
  </si>
  <si>
    <t>affect_affinity_party_2</t>
  </si>
  <si>
    <t>affect_affinity_party_3</t>
  </si>
  <si>
    <t>affect_affinity_party_10</t>
  </si>
  <si>
    <t>affect_affinity_party_9</t>
  </si>
  <si>
    <t>affect_affinity_party_8</t>
  </si>
  <si>
    <t>affect_affinity_party_4</t>
  </si>
  <si>
    <t>affect_affinity_party_5</t>
  </si>
  <si>
    <t>affect_affinity_party_6</t>
  </si>
  <si>
    <t>affect_affinity_party_7</t>
  </si>
  <si>
    <t>perception_party_mostsalient_mafdal</t>
  </si>
  <si>
    <t>perception_party_mostsalient_likud</t>
  </si>
  <si>
    <t>perception_party_mostsalient_hamaarakh</t>
  </si>
  <si>
    <t>post_affect_termo_rightist</t>
  </si>
  <si>
    <t>post_affect_termo_leftist</t>
  </si>
  <si>
    <t>post_affect_termo_ultraorthodox</t>
  </si>
  <si>
    <t>post_affect_termo_secular</t>
  </si>
  <si>
    <t>post_affect_termo_arab</t>
  </si>
  <si>
    <t>perception_party_hawkvsdove_likud</t>
  </si>
  <si>
    <t>perception_party_hawkvsdove_hamaarakh</t>
  </si>
  <si>
    <t>perception_party_strongnegotiator</t>
  </si>
  <si>
    <t>perception_party_strongnegotiator_least</t>
  </si>
  <si>
    <t>perception_party_protectdemocracy</t>
  </si>
  <si>
    <t>perception_party_peaceprocess_least</t>
  </si>
  <si>
    <t>perception_party_dealwithterrorism</t>
  </si>
  <si>
    <t>perception_party_dealwithterrorism_least</t>
  </si>
  <si>
    <t>perception_party_jewishmajority</t>
  </si>
  <si>
    <t>perception_party_jewishmajority_least</t>
  </si>
  <si>
    <t>perception_party_corrupted</t>
  </si>
  <si>
    <t>perception_party_corrupted_least</t>
  </si>
  <si>
    <t>perception_party_reducesocioinequality</t>
  </si>
  <si>
    <t>perception_party_reducesocioinequality_least</t>
  </si>
  <si>
    <t>perception_party_separateisraelpalestinians</t>
  </si>
  <si>
    <t>perception_party_reducedividednation</t>
  </si>
  <si>
    <t>perception_party_reducejewishethniccleavage</t>
  </si>
  <si>
    <t>perception_party_fostermizrahidignity</t>
  </si>
  <si>
    <t>perception_party_goodrelationsusa</t>
  </si>
  <si>
    <t>perception_party_experiencedleaders</t>
  </si>
  <si>
    <t>perception_party_careforweak</t>
  </si>
  <si>
    <t>perception_party_developedthestate</t>
  </si>
  <si>
    <t>perception_party_integrateimmigrants</t>
  </si>
  <si>
    <t>perception_party_decreaseunemployment</t>
  </si>
  <si>
    <t>perception_party_representsmizrahi</t>
  </si>
  <si>
    <t>perception_party_securefuture</t>
  </si>
  <si>
    <t>perception_party_sectorial</t>
  </si>
  <si>
    <t>perception_party_territories</t>
  </si>
  <si>
    <t>perception_party_winwars</t>
  </si>
  <si>
    <t>perception_party_national</t>
  </si>
  <si>
    <t>perception_party_professionalassigning</t>
  </si>
  <si>
    <t>perception_party_withdrawallebanon</t>
  </si>
  <si>
    <t>perception_party_exploitingmizrahivoters</t>
  </si>
  <si>
    <t>perception_party_strong</t>
  </si>
  <si>
    <t>perception_party_experienced</t>
  </si>
  <si>
    <t>perception_party_innovative</t>
  </si>
  <si>
    <t>perception_party_young</t>
  </si>
  <si>
    <t>perception_party_representsjewishetnicity</t>
  </si>
  <si>
    <t>perception_party_careforcitizens</t>
  </si>
  <si>
    <t>perception_party_honest</t>
  </si>
  <si>
    <t>perception_party_reliable</t>
  </si>
  <si>
    <t>perception_politician_leadership</t>
  </si>
  <si>
    <t>perception_politician_leadership_least</t>
  </si>
  <si>
    <t>perception_politician_careforrespondentsimillars</t>
  </si>
  <si>
    <t>perception_politician_honest</t>
  </si>
  <si>
    <t>perception_politician_trustworthy</t>
  </si>
  <si>
    <t>perception_politician_trustworthy_least</t>
  </si>
  <si>
    <t>perception_politician_stateinterest</t>
  </si>
  <si>
    <t>perception_politician_stateinterest_least</t>
  </si>
  <si>
    <t>perception_politician_negotiator</t>
  </si>
  <si>
    <t>perception_politician_negotiator_least</t>
  </si>
  <si>
    <t>perception_politician_ruleoflaw</t>
  </si>
  <si>
    <t>perception_politician_ruleoflaw_least</t>
  </si>
  <si>
    <t>perception_politician_pressure</t>
  </si>
  <si>
    <t>perception_politician_pressure_least</t>
  </si>
  <si>
    <t>perception_politician_experienced</t>
  </si>
  <si>
    <t>perception_politician_experienced_least</t>
  </si>
  <si>
    <t>perception_politician_religioncleavage</t>
  </si>
  <si>
    <t>perception_politician_religioncleavage_least</t>
  </si>
  <si>
    <t>perception_politician_decisionmaking</t>
  </si>
  <si>
    <t>perception_politician_decisionmaking_least</t>
  </si>
  <si>
    <t>perception_politician_initiative</t>
  </si>
  <si>
    <t>perception_politician_initiative_least</t>
  </si>
  <si>
    <t>perception_politician_reducesocioinequality</t>
  </si>
  <si>
    <t>perception_politician_reducesocioinequality_least</t>
  </si>
  <si>
    <t>perception_politician_strong</t>
  </si>
  <si>
    <t>preference_party_ideal_youngold</t>
  </si>
  <si>
    <t>preference_party_ideal_strongweak</t>
  </si>
  <si>
    <t>preference_party_ideal_rightleft</t>
  </si>
  <si>
    <t>preference_party_ideal_conservativeinnovative</t>
  </si>
  <si>
    <t>preference_party_ideal_middleclassworkingclass</t>
  </si>
  <si>
    <t>preference_party_ideal_sephardicashkenazi</t>
  </si>
  <si>
    <t>preference_party_ideal_selfinterestcitizeninterest</t>
  </si>
  <si>
    <t>preference_party_ideal_experience</t>
  </si>
  <si>
    <t>preference_party_ideal_dovishhawkish</t>
  </si>
  <si>
    <t>preference_party_rightleft_Hamaarakh</t>
  </si>
  <si>
    <t>perception_party_youngold_hamaarakh</t>
  </si>
  <si>
    <t>perception_party_strongweak_hamaarakh</t>
  </si>
  <si>
    <t>perception_party_conservativeinnovative_Hamaarakh</t>
  </si>
  <si>
    <t>perception_party_middleclassworkingclass_Hamaarakh</t>
  </si>
  <si>
    <t>perception_party_sephardicashkenazi_Hamaarakh</t>
  </si>
  <si>
    <t>perception_party_selfinterestcitizeninterest_Hamaarakh</t>
  </si>
  <si>
    <t>perception_party_honestcorrupted_Hamaarakh</t>
  </si>
  <si>
    <t>perception_party_experience_Hamaarakh</t>
  </si>
  <si>
    <t>perception_party_reliability_Hamaarakh</t>
  </si>
  <si>
    <t>perception_party_dovishhawkish_Hamaarakh</t>
  </si>
  <si>
    <t>perception_party_youngold_likud</t>
  </si>
  <si>
    <t>perception_party_strongweak_likud</t>
  </si>
  <si>
    <t>perception_party_rightleft_likud</t>
  </si>
  <si>
    <t>perception_party_conservativeinnovative_likud</t>
  </si>
  <si>
    <t>perception_party_middleclassworkingclass_likud</t>
  </si>
  <si>
    <t>perception_party_sephardicashkenazi_likud</t>
  </si>
  <si>
    <t>perception_party_selfinterestcitizeninterest_likud</t>
  </si>
  <si>
    <t>perception_party_honestcorrupted_likud</t>
  </si>
  <si>
    <t>perception_party_experience_likud</t>
  </si>
  <si>
    <t>perception_party_reliability_likud</t>
  </si>
  <si>
    <t>perception_party_dovishhawkish_likud</t>
  </si>
  <si>
    <t>perception_elections_positivenegative</t>
  </si>
  <si>
    <t>perception_elections_shortlong</t>
  </si>
  <si>
    <t>perception_elections_educational</t>
  </si>
  <si>
    <t>perception_elections_helpvoting</t>
  </si>
  <si>
    <t>perception_elections_knowproblem</t>
  </si>
  <si>
    <t>perception_elections_knowdifference</t>
  </si>
  <si>
    <t>perception_elections_unitingdividing</t>
  </si>
  <si>
    <t>perception_elections_knowpolitician</t>
  </si>
  <si>
    <t>perception_elections_belonging</t>
  </si>
  <si>
    <t>perception_elections_wasteful</t>
  </si>
  <si>
    <t>perception_elections_crucial</t>
  </si>
  <si>
    <t>perception_elections_importance</t>
  </si>
  <si>
    <t>perception_israel_strongweak</t>
  </si>
  <si>
    <t>perception_israel_hopefuldespair</t>
  </si>
  <si>
    <t>perception_israel_just</t>
  </si>
  <si>
    <t>perception_israel_wanttolive</t>
  </si>
  <si>
    <t>perception_israel_livablejews</t>
  </si>
  <si>
    <t>perception_israel_socialjustice</t>
  </si>
  <si>
    <t>perception_israel_goodnighbour</t>
  </si>
  <si>
    <t>perception_israel_dovishhawkish</t>
  </si>
  <si>
    <t>perception_israel_zionistdream</t>
  </si>
  <si>
    <t>perception_argument_strongleaders_likud</t>
  </si>
  <si>
    <t>perception_argument_economiccare_likud</t>
  </si>
  <si>
    <t>perception_argument_securefuture_likud</t>
  </si>
  <si>
    <t>perception_argument_jewishstate_likud</t>
  </si>
  <si>
    <t>perception_argument_security_likud</t>
  </si>
  <si>
    <t>perception_argument_livablejews_likud</t>
  </si>
  <si>
    <t>perception_argument_strongnegotiator_likud</t>
  </si>
  <si>
    <t>perception_argument_Hamaarakhrebuild_likud</t>
  </si>
  <si>
    <t>perception_argument_peaceprocess_likud</t>
  </si>
  <si>
    <t>perception_argument_socioeconomic_likud</t>
  </si>
  <si>
    <t>perception_argument_Hamaarakhcanttrust_likud</t>
  </si>
  <si>
    <t>perception_argument_lesserevil_likud</t>
  </si>
  <si>
    <t>perception_argument_Hamaarakhbadleaders_likud</t>
  </si>
  <si>
    <t>perception_argument_Hamaarakhsecuritypolicy_likud</t>
  </si>
  <si>
    <t>perception_argument_Hamaarakhpalestinianstate_likud</t>
  </si>
  <si>
    <t>perception_argument_newleadership_likud</t>
  </si>
  <si>
    <t>perception_argument_freshleadership_likud</t>
  </si>
  <si>
    <t>perception_argument_stopcorruption_likud</t>
  </si>
  <si>
    <t>perception_argument_democraticparty_likud</t>
  </si>
  <si>
    <t>perception_argument_Hamaarakhcorruption_likud</t>
  </si>
  <si>
    <t>perception_argument_helpcareer_likud</t>
  </si>
  <si>
    <t>perception_argument_helppersonally_likud</t>
  </si>
  <si>
    <t>perception_argument_Hamaarakhsocioeconomic_likud</t>
  </si>
  <si>
    <t>perception_argument_noterritoriesrestitution_likud</t>
  </si>
  <si>
    <t>perception_argument_Hamaarakhresponsible73_likud</t>
  </si>
  <si>
    <t>perception_argument_betterleaders_likud</t>
  </si>
  <si>
    <t>perception_argument_offeredbigcoalition_likud</t>
  </si>
  <si>
    <t>perception_argument_strongleaders_Hamaarakh</t>
  </si>
  <si>
    <t>perception_argument_economiccare_Hamaarakh</t>
  </si>
  <si>
    <t>perception_argument_securefuture_Hamaarakh</t>
  </si>
  <si>
    <t>perception_argument_jewishstate_Hamaarakh</t>
  </si>
  <si>
    <t>perception_argument_security_Hamaarakh</t>
  </si>
  <si>
    <t>perception_argument_livablejews_Hamaarakh</t>
  </si>
  <si>
    <t>perception_argument_strongnegotiator_Hamaarakh</t>
  </si>
  <si>
    <t>perception_argument_problemsolving_Hamaarakh</t>
  </si>
  <si>
    <t>perception_argument_peaceprocess_Hamaarakh</t>
  </si>
  <si>
    <t>perception_argument_socioeconomic_Hamaarakh</t>
  </si>
  <si>
    <t>perception_argument_trustworthy_Hamaarakh</t>
  </si>
  <si>
    <t>perception_argument_lesserevil_Hamaarakh</t>
  </si>
  <si>
    <t>perception_argument_bloccohesion_Hamaarakh</t>
  </si>
  <si>
    <t>perception_argument_likudbadleaders_Hamaarakh</t>
  </si>
  <si>
    <t>perception_argument_palestinianstate_Hamaarakh</t>
  </si>
  <si>
    <t>perception_argument_freshleadership_Hamaarakh</t>
  </si>
  <si>
    <t>perception_argument_restitutionforpeace_Hamaarakh</t>
  </si>
  <si>
    <t>perception_argument_corruption_Hamaarakh</t>
  </si>
  <si>
    <t>perception_argument_changeelectionsystem_Hamaarakh</t>
  </si>
  <si>
    <t>perception_argument_likudextremist_Hamaarakh</t>
  </si>
  <si>
    <t>perception_argument_dashsimilar_Hamaarakh</t>
  </si>
  <si>
    <t>perception_argument_likuddashinexperiencedleaders_Hamaarakh</t>
  </si>
  <si>
    <t>perception_argument_helpcareer_Hamaarakh</t>
  </si>
  <si>
    <t>perception_argument_helppersonally_Hamaarakh</t>
  </si>
  <si>
    <t>perception_argument_betterleaders_Hamaarakh</t>
  </si>
  <si>
    <t>perception_argument_fearofinstability_Hamaarakh</t>
  </si>
  <si>
    <t>perception_argument_strongleaders_telem</t>
  </si>
  <si>
    <t>perception_argument_economiccare_telem</t>
  </si>
  <si>
    <t>perception_argument_securefuture_telem</t>
  </si>
  <si>
    <t>perception_argument_jewishstate_telem</t>
  </si>
  <si>
    <t>perception_argument_security_telem</t>
  </si>
  <si>
    <t>perception_argument_livablejews_telem</t>
  </si>
  <si>
    <t>perception_argument_strongnegotiator_telem</t>
  </si>
  <si>
    <t>perception_argument_socioeconomic_telem</t>
  </si>
  <si>
    <t>perception_argument_lesserevil_telem</t>
  </si>
  <si>
    <t>perception_argument_truechange_telem</t>
  </si>
  <si>
    <t>perception_argument_Hamaarakhlikudcantmanage_telem</t>
  </si>
  <si>
    <t>perception_argument_Hamaarakhlikudpalestinianstate_telem</t>
  </si>
  <si>
    <t>perception_argument_Hamaarakhlikudworst_telem</t>
  </si>
  <si>
    <t>perception_argument_peaceprocess_telem</t>
  </si>
  <si>
    <t>perception_argument_newleadership_dash</t>
  </si>
  <si>
    <t>perception_argument_goodleadership_dash</t>
  </si>
  <si>
    <t>perception_argument_freshleadership_dash</t>
  </si>
  <si>
    <t>perception_argument_peaceprocess_dash</t>
  </si>
  <si>
    <t>perception_argument_territoriespeace_dash</t>
  </si>
  <si>
    <t>perception_argument_socioeconomic_dash</t>
  </si>
  <si>
    <t>perception_argument_corruption_dash</t>
  </si>
  <si>
    <t>perception_argument_changeelectionsystem_dash</t>
  </si>
  <si>
    <t>perception_argument_democraticparty_dash</t>
  </si>
  <si>
    <t>perception_argument_lesserevil_dash</t>
  </si>
  <si>
    <t>perception_argument_Hamaarakhlikudsimilar_dash</t>
  </si>
  <si>
    <t>perception_argument_truechange_dash</t>
  </si>
  <si>
    <t>perception_argument_hamaarakhlikudcorruption_dash</t>
  </si>
  <si>
    <t>perception_argument_hamaarakhlikudcantimprove_dash</t>
  </si>
  <si>
    <t>perception_argument_helpcareer_dash</t>
  </si>
  <si>
    <t>perception_argument_helppersonally_dash</t>
  </si>
  <si>
    <t>perception_politician_menachembegin_goodforstate</t>
  </si>
  <si>
    <t>perception_politician_menachembegin_considerstatements</t>
  </si>
  <si>
    <t>perception_politician_menachembegin_stable</t>
  </si>
  <si>
    <t>perception_politician_menachembegin_obsolete</t>
  </si>
  <si>
    <t>perception_politician_menachembegin_badprimeminister</t>
  </si>
  <si>
    <t>perception_politician_menachembegin_badministerdefence</t>
  </si>
  <si>
    <t>perception_politician_menachembegin_temperamental</t>
  </si>
  <si>
    <t>perception_politician_menachembegin_medicallyunfit</t>
  </si>
  <si>
    <t>perception_politician_menachembegin_adventurous</t>
  </si>
  <si>
    <t>perception_politician_menachembegin_belongtoopposition</t>
  </si>
  <si>
    <t>perception_politician_menachembegin_strongweak</t>
  </si>
  <si>
    <t>perception_politician_menachembegin_teamwork</t>
  </si>
  <si>
    <t>perception_politician_menachembegin_honest</t>
  </si>
  <si>
    <t>perception_politician_menachembegin_decisive</t>
  </si>
  <si>
    <t>perception_politician_menachembegin_pressure</t>
  </si>
  <si>
    <t>perception_politician_peres_strongweak</t>
  </si>
  <si>
    <t>perception_politician_peres_teamwork</t>
  </si>
  <si>
    <t>perception_politician_peres_honest</t>
  </si>
  <si>
    <t>perception_politician_peres_decisive</t>
  </si>
  <si>
    <t>perception_politician_peres_pressure</t>
  </si>
  <si>
    <t>perception_politician_peres_television</t>
  </si>
  <si>
    <t>perception_politician_peres_slippery</t>
  </si>
  <si>
    <t>perception_politician_peres_tired</t>
  </si>
  <si>
    <t>perception_politician_dayan_strongweak</t>
  </si>
  <si>
    <t>perception_politician_dayan_teamwork</t>
  </si>
  <si>
    <t>perception_politician_dayan_honest</t>
  </si>
  <si>
    <t>perception_politician_dayan_decisive</t>
  </si>
  <si>
    <t>perception_politician_dayan_pressure</t>
  </si>
  <si>
    <t>preference_politician_primeminister</t>
  </si>
  <si>
    <t>perception_politician_ministerdefence</t>
  </si>
  <si>
    <t>perception_politician_ministerforeignaffairs</t>
  </si>
  <si>
    <t>perception_voting_saliency_socioeconomic</t>
  </si>
  <si>
    <t>perception_voting_party_importance_reason</t>
  </si>
  <si>
    <t>perception_voting_politician_importance_reason</t>
  </si>
  <si>
    <t>perception_voting_party_importance_hierarchy</t>
  </si>
  <si>
    <t>perception_voting_saliency_statereligion</t>
  </si>
  <si>
    <t>perception_voting_saliency_peaceprocess</t>
  </si>
  <si>
    <t>perception_voting_saliency_security</t>
  </si>
  <si>
    <t>perception_voting_saliency_corruption</t>
  </si>
  <si>
    <t>perception_voting_saliency_democracy</t>
  </si>
  <si>
    <t>perception_voting_saliency_reelection</t>
  </si>
  <si>
    <t>perception_voting_saliency_iran</t>
  </si>
  <si>
    <t>perception_voting_saliency_jerusalem</t>
  </si>
  <si>
    <t>perception_voting_saliency_lebanon</t>
  </si>
  <si>
    <t>perception_voting_saliency_deritrial</t>
  </si>
  <si>
    <t>perception_voting_saliency_rabinassassination</t>
  </si>
  <si>
    <t>perception_voting_saliency_covid</t>
  </si>
  <si>
    <t>perception_voting_saliency</t>
  </si>
  <si>
    <t>behavior_voting_today</t>
  </si>
  <si>
    <t>behavior_voting_today_neutral</t>
  </si>
  <si>
    <t>behavior_voting_lastelections</t>
  </si>
  <si>
    <t>behavior_voting_today_direct</t>
  </si>
  <si>
    <t>behavior_voting_lastelections_direct</t>
  </si>
  <si>
    <t>behavior_voting_scenario_direct_99</t>
  </si>
  <si>
    <t>behavior_voting_lastelections_2</t>
  </si>
  <si>
    <t>behavior_voting_lastelections_3</t>
  </si>
  <si>
    <t>behavior_voting_direct_99</t>
  </si>
  <si>
    <t>post_behavior_voting_voted</t>
  </si>
  <si>
    <t>post_behavior_voting</t>
  </si>
  <si>
    <t>post_behavior_voting_deliberating</t>
  </si>
  <si>
    <t>post_behavior_voting_deliberating_3</t>
  </si>
  <si>
    <t>behavior_voting_deliberating</t>
  </si>
  <si>
    <t>perception_voting_deliberating_rabinresignation</t>
  </si>
  <si>
    <t>post_behavior_voting_direct</t>
  </si>
  <si>
    <t>post_behavior_voting_direct_5</t>
  </si>
  <si>
    <t>post_behavior_voting_direct_deliberating</t>
  </si>
  <si>
    <t>post_behavior_voting_direct_deliberating2</t>
  </si>
  <si>
    <t>behavior_voting_scenario_direct</t>
  </si>
  <si>
    <t>behavior_voting_scenario_threshold</t>
  </si>
  <si>
    <t>behavior_voting_scenario_threshold_2</t>
  </si>
  <si>
    <t>behavior_voting_scenario_threshold_3</t>
  </si>
  <si>
    <t>post_behavior_voting_decision</t>
  </si>
  <si>
    <t>post_perception_voting_decision_reason</t>
  </si>
  <si>
    <t>post_behavior_voting_white</t>
  </si>
  <si>
    <t>post_perception_voting_decision_polls</t>
  </si>
  <si>
    <t>perception_public_voting_decision_polls</t>
  </si>
  <si>
    <t>perception_voting_decision_newspapers</t>
  </si>
  <si>
    <t>perception_voting_decision_houseclasses</t>
  </si>
  <si>
    <t>perception_voting_decision_rally</t>
  </si>
  <si>
    <t>behavior_voting_intention</t>
  </si>
  <si>
    <t>behavior_voting_intention_2</t>
  </si>
  <si>
    <t>perception_voting_scenario_bigpartytie</t>
  </si>
  <si>
    <t>perception_voting_scenario_bigpartytie_2</t>
  </si>
  <si>
    <t>behavior_voting_decision_media_corruption</t>
  </si>
  <si>
    <t>preference_voting_scenario_separatedlikud_96</t>
  </si>
  <si>
    <t>preference_voting_scenario_separatedlikud_13</t>
  </si>
  <si>
    <t>preference_politician_voting_gender</t>
  </si>
  <si>
    <t>preference_politician_voting_jewishetnicity</t>
  </si>
  <si>
    <t>perception_voting_saliency_femalecandidate</t>
  </si>
  <si>
    <t>perception_voting_saliency_mizrahicandidate</t>
  </si>
  <si>
    <t>perception_voting_saliency_womeninparty</t>
  </si>
  <si>
    <t>perception_voting_saliency_mizrahiinparty</t>
  </si>
  <si>
    <t>perception_voting_today_partner</t>
  </si>
  <si>
    <t>perception_voting_post_partner</t>
  </si>
  <si>
    <t>perception_elections_voting_decision</t>
  </si>
  <si>
    <t>perception_public_voting_notvoting</t>
  </si>
  <si>
    <t>ומבין כל הסיבות האלה, מה היתה לדעתך הסיבה העיקרית להשתתפות הנמוכה בבחירות?</t>
  </si>
  <si>
    <t>post_perception_public_voting_notvoting</t>
  </si>
  <si>
    <t>post_perception_public_notvoting_1</t>
  </si>
  <si>
    <t>post_perception_public_notvoting_2</t>
  </si>
  <si>
    <t>post_perception_public_notvoting_3</t>
  </si>
  <si>
    <t>post_perception_public_notvoting_4</t>
  </si>
  <si>
    <t>post_perception_public_notvoting_5</t>
  </si>
  <si>
    <t>post_perception_public_notvoting_6</t>
  </si>
  <si>
    <t>behavior_voting_scenario_direct_primeminister</t>
  </si>
  <si>
    <t>behavior_voting_scenario_direct_party</t>
  </si>
  <si>
    <t>behavior_voting_scenario_indirect_party</t>
  </si>
  <si>
    <t>behavior_voting_municipality</t>
  </si>
  <si>
    <t>demography_association_party_calls</t>
  </si>
  <si>
    <t>behavior_voting_scenario_barakresignation_01</t>
  </si>
  <si>
    <t>perception_voting_saliency_socioeconomic_primeminister</t>
  </si>
  <si>
    <t>perception_voting_saliency_statereligion_primeminister</t>
  </si>
  <si>
    <t>perception_voting_saliency_peaceprocess_primeminister</t>
  </si>
  <si>
    <t>perception_voting_saliency_security_primeminister</t>
  </si>
  <si>
    <t>perception_voting_saliency_jerusalem_primeminister</t>
  </si>
  <si>
    <t>perception_voting_saliency_lebanon_primeminister</t>
  </si>
  <si>
    <t>perception_voting_saliency_rabinassassination_primeminister</t>
  </si>
  <si>
    <t>behavior_voting_scenario_multipalevotes_1</t>
  </si>
  <si>
    <t>behavior_voting_scenario_multipalevotes_2</t>
  </si>
  <si>
    <t>perception_voting_saliency_shamirlikudleader</t>
  </si>
  <si>
    <t>perception_voting_saliency_haavodaprimaries</t>
  </si>
  <si>
    <t>perception_voting_saliency_haavodalist</t>
  </si>
  <si>
    <t>perception_voting_saliency_likudlist</t>
  </si>
  <si>
    <t>perception_voting_saliency_likudprimaries</t>
  </si>
  <si>
    <t>perception_voting_saliency_rabinhaavodaleader</t>
  </si>
  <si>
    <t>perception_voting_saliency_nationalunitygovernment</t>
  </si>
  <si>
    <t>perception_voting_saliency_USA</t>
  </si>
  <si>
    <t>perception_voting_saliency_immintegration</t>
  </si>
  <si>
    <t>perception_voting_saliency_unemployment</t>
  </si>
  <si>
    <t>perception_voting_saliency_intifada</t>
  </si>
  <si>
    <t>perception_voting_saliency_peaceprocessgovpolicy</t>
  </si>
  <si>
    <t>perception_voting_saliency_religioncleavage</t>
  </si>
  <si>
    <t>perception_voting_saliency_likudsettlementpolicy</t>
  </si>
  <si>
    <t>perception_voting_saliency_personalcondition</t>
  </si>
  <si>
    <t>behavior_voting_firstelection_year</t>
  </si>
  <si>
    <t>behavior_voting_firstelection_party</t>
  </si>
  <si>
    <t>demography_household_voting_lastelections_father</t>
  </si>
  <si>
    <t>demography_household_voting_lastelections_mother</t>
  </si>
  <si>
    <t>demography_household_voting_similarity</t>
  </si>
  <si>
    <t>demography_association_voting_similarity_friends</t>
  </si>
  <si>
    <t>demography_association_voting_similarity_coworkers</t>
  </si>
  <si>
    <t>demography_association_voting_similarity_boss</t>
  </si>
  <si>
    <t>demography_household_voting_similarity_partner</t>
  </si>
  <si>
    <t>demography_household_voting_lastelections_partner</t>
  </si>
  <si>
    <t>perception_voting_influence_family</t>
  </si>
  <si>
    <t>perception_voting_influence_familymember</t>
  </si>
  <si>
    <t>perception_voting_influence_group</t>
  </si>
  <si>
    <t>perception_importance_similarity_family</t>
  </si>
  <si>
    <t>demography_household_voting_father</t>
  </si>
  <si>
    <t>demography_household_voting_mother</t>
  </si>
  <si>
    <t>perception_voting_saliency_inflation</t>
  </si>
  <si>
    <t>perception_behavior_voting_decision_certainty</t>
  </si>
  <si>
    <t>behavior_voting_today_2</t>
  </si>
  <si>
    <t>perception_voting_saliency_aridorplan</t>
  </si>
  <si>
    <t>perception_public_voting_influence_aridorplan</t>
  </si>
  <si>
    <t>behavior_voting_intention_vacation</t>
  </si>
  <si>
    <t>perception_voting_decision_certainty_reason</t>
  </si>
  <si>
    <t>behavior_voting_intention_decision</t>
  </si>
  <si>
    <t>behavior_voting_intention_decision_help</t>
  </si>
  <si>
    <t>behavior_voting_intention_befor2months_lebanon81</t>
  </si>
  <si>
    <t>behavior_voting_intention_befor2months_peresrabin81</t>
  </si>
  <si>
    <t>perception_voting_decision_beformonth</t>
  </si>
  <si>
    <t>perception_voting_decision_befor2months</t>
  </si>
  <si>
    <t>perception_voting_decision_befor2months_reason</t>
  </si>
  <si>
    <t>preference_party_voting_never</t>
  </si>
  <si>
    <t>perception_public_voting_decision_delay</t>
  </si>
  <si>
    <t>preference_voting_decision_delay</t>
  </si>
  <si>
    <t>perception_public_voting_decision_help2</t>
  </si>
  <si>
    <t>perception_public_voting_decision_help1</t>
  </si>
  <si>
    <t>perception_public_voting_decision_media1</t>
  </si>
  <si>
    <t>perception_public_voting_decision_media2</t>
  </si>
  <si>
    <t>perception_voting_decision_forvsagainst</t>
  </si>
  <si>
    <t>behavior_voting_intention_likeusual</t>
  </si>
  <si>
    <t>behavior_voting_scenario_dayanparty_81</t>
  </si>
  <si>
    <t>behavior_voting_scenario_hamaarakhwinhistadrut_81</t>
  </si>
  <si>
    <t>perception_voting_saliency_histadrutelections</t>
  </si>
  <si>
    <t>behavior_voting_intention_histadrutelections_sameasparliament</t>
  </si>
  <si>
    <t>perception_voting_reason_forvsagainst</t>
  </si>
  <si>
    <t>perception_voting_saliency_problem</t>
  </si>
  <si>
    <t>perception_voting_intention_likeusual</t>
  </si>
  <si>
    <t>behavior_voting_scenario_party_peaceprocess</t>
  </si>
  <si>
    <t>behavior_voting_scenario_party_socioeconomic</t>
  </si>
  <si>
    <t>behavior_voting_scenario_party_importantsubject</t>
  </si>
  <si>
    <t>behavior_voting_scenario_party_favoritepolitician</t>
  </si>
  <si>
    <t>preference_voting_scenario_separatedhamaarakh_77</t>
  </si>
  <si>
    <t>behavior_voting_post_party_69</t>
  </si>
  <si>
    <t>behavior_voting_kippurwar</t>
  </si>
  <si>
    <t>perception_voting_decision_hard</t>
  </si>
  <si>
    <t>perception_behavior_voting_duty</t>
  </si>
  <si>
    <t>perception_voting_reason_voting</t>
  </si>
  <si>
    <t>behavior_voting_intention_municipality</t>
  </si>
  <si>
    <t>behavior_voting_municipality_lastelections</t>
  </si>
  <si>
    <t>perception_voting_reason_municipality</t>
  </si>
  <si>
    <t>perception_importance_voting_reason_municipality</t>
  </si>
  <si>
    <t>behavior_voting_municipality_sameasparliament</t>
  </si>
  <si>
    <t>post_behavior_voting_today</t>
  </si>
  <si>
    <t>behavior_voting_consult_partner</t>
  </si>
  <si>
    <t>perception_voting_consult_kippurwar</t>
  </si>
  <si>
    <t>behavior_voting_husband</t>
  </si>
  <si>
    <t>perception_voting_efficacy</t>
  </si>
  <si>
    <t>perception_voting_notvoting_opinion_1</t>
  </si>
  <si>
    <t>perception_voting_notvoting_opinion_2</t>
  </si>
  <si>
    <t>perception_importance_voting</t>
  </si>
  <si>
    <t>perception_voting_notvoting_opinion_3</t>
  </si>
  <si>
    <t>behavior_voting_intention_similarity_lastelections</t>
  </si>
  <si>
    <t>perception_voting_similarity_lastelections_loyalty</t>
  </si>
  <si>
    <t>perception_voting_similarity_lastelections_reason</t>
  </si>
  <si>
    <t>behavior_voting_othercountry</t>
  </si>
  <si>
    <t>perception_voting_othercountry_difference</t>
  </si>
  <si>
    <t>perception_problem_hierarchy_1_voting</t>
  </si>
  <si>
    <t>perception_problem_hierarchy_2_voting</t>
  </si>
  <si>
    <t>perception_voting_influence_likud</t>
  </si>
  <si>
    <t>perception_voting_decision_campaign</t>
  </si>
  <si>
    <t>perception_voting_saliency_sitwithnetanyahu</t>
  </si>
  <si>
    <t>affect_importance_polidentity_israeli</t>
  </si>
  <si>
    <t>preference_importance_value_1</t>
  </si>
  <si>
    <t>preference_importance_value_2</t>
  </si>
  <si>
    <t>preference_importance_value_3</t>
  </si>
  <si>
    <t>preference_importance_value_4</t>
  </si>
  <si>
    <t>perception_similarity_religion_aavoda</t>
  </si>
  <si>
    <t>perception_similarity_religion_likud</t>
  </si>
  <si>
    <t>perception_similarity_religion_shinui</t>
  </si>
  <si>
    <t>post_preference_importance_value_1</t>
  </si>
  <si>
    <t>post_preference_importance_value_2</t>
  </si>
  <si>
    <t>post_preference_importance_value_3</t>
  </si>
  <si>
    <t>post_preference_importance_value_4</t>
  </si>
  <si>
    <t>preference_policy_religion_jewishvscivic</t>
  </si>
  <si>
    <t>preference_agreement_policy_religion_separatereligionstate</t>
  </si>
  <si>
    <t>preference_agreement_policy_religion_civilmarrige</t>
  </si>
  <si>
    <t>preference_policy_religion_jewishvsdemocratic</t>
  </si>
  <si>
    <t>preference_policy_religion_jewishpubliclife</t>
  </si>
  <si>
    <t>preference_policy_religion_publicpool</t>
  </si>
  <si>
    <t>preference_agreement_policy_religion_uoserve</t>
  </si>
  <si>
    <t>preference_agreement_policy_religion_yeshivaexemption</t>
  </si>
  <si>
    <t>preference_agreement_policy_religion_transportationshabbat</t>
  </si>
  <si>
    <t>affect_threat_religion_religiousstate</t>
  </si>
  <si>
    <t>affect_threat_religion_separatereligionstate</t>
  </si>
  <si>
    <t>perception_expectation_religion_religiousstate</t>
  </si>
  <si>
    <t>perception_expectation_religion_separatereligionstate</t>
  </si>
  <si>
    <t>preference_agreement_policy_religion_footballshabbat</t>
  </si>
  <si>
    <t>perception_public_policy_religion_footballshabbat</t>
  </si>
  <si>
    <t>perception_expectation_direct_win</t>
  </si>
  <si>
    <t>perception_expectation_direct_secondround</t>
  </si>
  <si>
    <t>perception_expectation_primeminister_livni</t>
  </si>
  <si>
    <t>perception_expectation_primeminister_netanyahu</t>
  </si>
  <si>
    <t>perception_expectation_primeminister_barak</t>
  </si>
  <si>
    <t>perception_expectation_party_biggest</t>
  </si>
  <si>
    <t>preference_party_government</t>
  </si>
  <si>
    <t>perception_expectation_party_government</t>
  </si>
  <si>
    <t>perception_expectation_coalition_kadima</t>
  </si>
  <si>
    <t>perception_expectation_coalition_haavoda</t>
  </si>
  <si>
    <t>perception_expectation_coalition_likud</t>
  </si>
  <si>
    <t>perception_expectation_coalition_meretz</t>
  </si>
  <si>
    <t>perception_expectation_coalition_habayithayehudi</t>
  </si>
  <si>
    <t>perception_expectation_coalition_shinui</t>
  </si>
  <si>
    <t>perception_expectation_coalition_haihudhaleumi</t>
  </si>
  <si>
    <t>perception_expectation_coalition_shas</t>
  </si>
  <si>
    <t>perception_expectation_coalition_yisraelbaaliyah</t>
  </si>
  <si>
    <t>perception_expectation_coalition_votingparty</t>
  </si>
  <si>
    <t>perception_expectation_sits_kadima</t>
  </si>
  <si>
    <t>perception_expectation_sits_haavoda</t>
  </si>
  <si>
    <t>perception_expectation_sits_likud</t>
  </si>
  <si>
    <t>perception_expectation_sits_meretz</t>
  </si>
  <si>
    <t>perception_expectation_sits_habayithayehudi</t>
  </si>
  <si>
    <t>perception_expectation_sits_shinui</t>
  </si>
  <si>
    <t>perception_expectation_sits_haihudhaleumi</t>
  </si>
  <si>
    <t>perception_expectation_sits_shas</t>
  </si>
  <si>
    <t>perception_expectation_sits_yisraelbaaliyah</t>
  </si>
  <si>
    <t>perception_expectation_sits_votingparty</t>
  </si>
  <si>
    <t>perception_expectation_coalition_kadima_haavoda</t>
  </si>
  <si>
    <t>perception_expectation_coalition_kadima_likud</t>
  </si>
  <si>
    <t>perception_expectation_coalition_kadima_likudultraorthodox</t>
  </si>
  <si>
    <t>perception_expectation_coalition_kadima_haavodaultraorthodox</t>
  </si>
  <si>
    <t>perception_expectation_coalition_kadima_likudright</t>
  </si>
  <si>
    <t>perception_expectation_coalition_kadima_haavodameretz</t>
  </si>
  <si>
    <t>perception_expectation_coalition_kadima_nationalunity</t>
  </si>
  <si>
    <t>perception_expectation_coalition_likud_rightultraorthodox</t>
  </si>
  <si>
    <t>perception_expectation_coalition_likud_haavodashinui</t>
  </si>
  <si>
    <t>perception_expectation_coalition_haavoda_meretzarab</t>
  </si>
  <si>
    <t>preference_coalition_nationalunity</t>
  </si>
  <si>
    <t>perception_expectation_coalition</t>
  </si>
  <si>
    <t>post_affect_importance_leftright_electionday</t>
  </si>
  <si>
    <t>post_preference_coalition</t>
  </si>
  <si>
    <t>post_perception_satisfaction_elections</t>
  </si>
  <si>
    <t>post_preference_breakpromise</t>
  </si>
  <si>
    <t>affect_importance_primeminister</t>
  </si>
  <si>
    <t>perception_expectation_party_hamaarakhrival</t>
  </si>
  <si>
    <t>post_preference_scenario_hamaarakhgovernmentstructure</t>
  </si>
  <si>
    <t>perception_expectation_kippurwar_hamaarakh</t>
  </si>
  <si>
    <t>perception_expectation_kippurwar_likud</t>
  </si>
  <si>
    <t>perception_expectation_kippurwar_smallparties</t>
  </si>
  <si>
    <t>perception_expectation_party_influential</t>
  </si>
  <si>
    <t>post_perception_issues_elections</t>
  </si>
  <si>
    <t>perception_agreement_issues_netanyahu_1</t>
  </si>
  <si>
    <t>perception_agreement_issues_netanyahu_2</t>
  </si>
  <si>
    <t>perception_agreement_issues_democracy</t>
  </si>
  <si>
    <t>perception_agreement_issues_netanyahu_3</t>
  </si>
  <si>
    <t>perception_agreement_issues_security</t>
  </si>
  <si>
    <t>perception_agreement_issues_socioeconomic_1</t>
  </si>
  <si>
    <t>perception_agreement_issues_bigparties</t>
  </si>
  <si>
    <t>perception_agreement_issues_right</t>
  </si>
  <si>
    <t>perception_agreement_issues_center</t>
  </si>
  <si>
    <t>perception_agreement_issues_corruption_1</t>
  </si>
  <si>
    <t>perception_agreement_issues_socioeconomic_2</t>
  </si>
  <si>
    <t>perception_agreement_issues_foreigninterest</t>
  </si>
  <si>
    <t>perception_agreement_issues_peaceprocess_1</t>
  </si>
  <si>
    <t>perception_agreement_issues_iran</t>
  </si>
  <si>
    <t>perception_agreement_issues_socioeconomic_3</t>
  </si>
  <si>
    <t>perception_agreement_issues_arabjewish_1</t>
  </si>
  <si>
    <t>perception_agreement_issues_leaders_1</t>
  </si>
  <si>
    <t>perception_agreement_issues_extremists</t>
  </si>
  <si>
    <t>perception_agreement_issues_socioeconomic_4</t>
  </si>
  <si>
    <t>perception_agreement_issues_service</t>
  </si>
  <si>
    <t>perception_agreement_issues_leaders_2</t>
  </si>
  <si>
    <t>perception_agreement_issues_corruption_2</t>
  </si>
  <si>
    <t>perception_agreement_issues_socioeconomic_5</t>
  </si>
  <si>
    <t>perception_agreement_issues_arabjewish_2</t>
  </si>
  <si>
    <t>perception_agreement_issues_kadima</t>
  </si>
  <si>
    <t>perception_agreement_issues_femaleprimeminister</t>
  </si>
  <si>
    <t>perception_agreement_issues_socioeconomic_6</t>
  </si>
  <si>
    <t>perception_agreement_issues_peaceprocess_2</t>
  </si>
  <si>
    <t>perception_agreement_issues_protest</t>
  </si>
  <si>
    <t>perception_agreement_issues_electionsystem</t>
  </si>
  <si>
    <t>perception_agreement_issues_religioncleavage</t>
  </si>
  <si>
    <t>perception_agreement_issues_ruleoflaw</t>
  </si>
  <si>
    <t>perception_agreement_issues_peaceprocess_3</t>
  </si>
  <si>
    <t>perception_agreement_issues_socioeconomic_7</t>
  </si>
  <si>
    <t>perception_agreement_issues_peaceprocess_4</t>
  </si>
  <si>
    <t>perception_agreement_issues_peaceprocess_olmert</t>
  </si>
  <si>
    <t>behavior_voting_primaries</t>
  </si>
  <si>
    <t>perception_issues_elections</t>
  </si>
  <si>
    <t>perception_saliency_peaceprocess_result</t>
  </si>
  <si>
    <t>perception_saliency_inflation_result</t>
  </si>
  <si>
    <t>perception_saliency_territories_result</t>
  </si>
  <si>
    <t>perception_saliency_economic_result</t>
  </si>
  <si>
    <t>perception_saliency_security_result</t>
  </si>
  <si>
    <t>perception_saliency_aridorplan_result</t>
  </si>
  <si>
    <t>preference_elections_securityincampaign</t>
  </si>
  <si>
    <t>perception_politician_dayan_leader</t>
  </si>
  <si>
    <t>perception_party_likud_canrule</t>
  </si>
  <si>
    <t>perception_saliency_corruption_results</t>
  </si>
  <si>
    <t>perception_saliency_mapamresignation_results</t>
  </si>
  <si>
    <t>perception_party_Hamaarakh_primaries_strengthened</t>
  </si>
  <si>
    <t>perception_party_Hamaarakh_primaries_democracy</t>
  </si>
  <si>
    <t>perception_politicians_haimbarlev_interview</t>
  </si>
  <si>
    <t>preference_elections_delay73_1</t>
  </si>
  <si>
    <t>preference_elections_delay73_2</t>
  </si>
  <si>
    <t>perception_knowledge_newlikud_1</t>
  </si>
  <si>
    <t>perception_knowledge_newlikud_2</t>
  </si>
  <si>
    <t>perception_knowledge_newlikud_3</t>
  </si>
  <si>
    <t>perception_knowledge_electionsystem</t>
  </si>
  <si>
    <t>perception_elections_reelection_reason</t>
  </si>
  <si>
    <t>perception_elections_reelection_satisfaction</t>
  </si>
  <si>
    <t>perception_satisfaction_policy_covid</t>
  </si>
  <si>
    <t>preference_government_arabparty_minister</t>
  </si>
  <si>
    <t>perception_party_raam_incoalition</t>
  </si>
  <si>
    <t>perception_expectation_intifada_elections</t>
  </si>
  <si>
    <t>preference_policy_socioeconomic_ideology_4</t>
  </si>
  <si>
    <t>perception_party_similarity_socioeconomic</t>
  </si>
  <si>
    <t>preference_party_function_socioeconomic</t>
  </si>
  <si>
    <t>preference_politicians_function_covid</t>
  </si>
  <si>
    <t>preference_party_function_socioeconomic_2</t>
  </si>
  <si>
    <t>perception_party_difference_socioeconomic</t>
  </si>
  <si>
    <t>preference_policy_socioeconomic_taxrich</t>
  </si>
  <si>
    <t>preference_policy_socioeconomic_govinvolvement</t>
  </si>
  <si>
    <t>preference_policy_socioeconomic_raiseowntax</t>
  </si>
  <si>
    <t>preference_policy_budget_education</t>
  </si>
  <si>
    <t>preference_policy_budget_religion</t>
  </si>
  <si>
    <t>preference_policy_budget_health</t>
  </si>
  <si>
    <t>preference_policy_budget_police</t>
  </si>
  <si>
    <t>preference_policy_budget_security</t>
  </si>
  <si>
    <t>preference_policy_budget_welfare</t>
  </si>
  <si>
    <t>preference_policy_budget_welfare_unemployment</t>
  </si>
  <si>
    <t>preference_policy_budget_welfare_oldage</t>
  </si>
  <si>
    <t>preference_policy_budget_welfare_children</t>
  </si>
  <si>
    <t>preference_policy_budget_settlements</t>
  </si>
  <si>
    <t>preference_policy_budget_arabsector</t>
  </si>
  <si>
    <t>preference_policy_budget_housing</t>
  </si>
  <si>
    <t>preference_policy_budget_createnewjobs</t>
  </si>
  <si>
    <t>preference_policy_budget_ecology</t>
  </si>
  <si>
    <t>preference_policy_budget_roadsafty</t>
  </si>
  <si>
    <t>preference_policy_budget_integrateimmigrants</t>
  </si>
  <si>
    <t>preference_policy_budget_securitytoservices</t>
  </si>
  <si>
    <t>preference_policy_budget_servicestosecurity</t>
  </si>
  <si>
    <t>preference_policy_socioeconomic_ideology_10</t>
  </si>
  <si>
    <t>perception_agreement_socioeconomic_inequality</t>
  </si>
  <si>
    <t>perception_socioeconomic_jewishethniccleavage</t>
  </si>
  <si>
    <t>experience_socioeconomic_jewishethniccleavage</t>
  </si>
  <si>
    <t>preference_policy_scenario_securitybudgetcutdepression</t>
  </si>
  <si>
    <t>preference_policy_radicalvsconservative</t>
  </si>
  <si>
    <t>preference_policy_arabmunicipalitystatus</t>
  </si>
  <si>
    <t>perception_public_policy_arabmunicipalitystatus</t>
  </si>
  <si>
    <t>perception_satisfaction_IDF_equalreserve</t>
  </si>
  <si>
    <t>perception_public_satisfaction_IDF_equalreserve</t>
  </si>
  <si>
    <t>attribute_knowledge_satisfaction_IDF_equalreserve</t>
  </si>
  <si>
    <t>attribute_knowledge_policy_arabmunicipalitystatus</t>
  </si>
  <si>
    <t>perception_satisfaction_government_socioeconomic</t>
  </si>
  <si>
    <t>perception_responsibility_party_violence</t>
  </si>
  <si>
    <t>perception_responsibility_party_emigration</t>
  </si>
  <si>
    <t>perception_responsibility_party_inflation</t>
  </si>
  <si>
    <t>perception_responsibility_party_corruption</t>
  </si>
  <si>
    <t>perception_responsibility_party_crime</t>
  </si>
  <si>
    <t>perception_responsibility_party_jewishethniccleavage</t>
  </si>
  <si>
    <t>perception_occupation_evaluation_1</t>
  </si>
  <si>
    <t>perception_occupation_evaluation_2</t>
  </si>
  <si>
    <t>perception_occupation_evaluation_3</t>
  </si>
  <si>
    <t>perception_occupation_evaluation_4</t>
  </si>
  <si>
    <t>attribute_knowledge_plan_aridor</t>
  </si>
  <si>
    <t>attribute_knowledge_plan_benshahar</t>
  </si>
  <si>
    <t>perception_policy_plan_aridor_helppersonally</t>
  </si>
  <si>
    <t>perception_policy_plan_benshahar_helppersonally</t>
  </si>
  <si>
    <t>perception_policy_plan_aridor_helpeconomy</t>
  </si>
  <si>
    <t>perception_policy_plan_benshahar_helpeconomy</t>
  </si>
  <si>
    <t>perception_expectation_plan_aridor_helpeconomy</t>
  </si>
  <si>
    <t>perception_scenario_plan_aridor_likudwin</t>
  </si>
  <si>
    <t>perception_policy_plan_aridor_helpclass</t>
  </si>
  <si>
    <t>behavior_economic_buy_influencedbypolicy</t>
  </si>
  <si>
    <t>perception_party_similarity_socioeconomic_haavoda</t>
  </si>
  <si>
    <t>perception_party_similarity_socioeconomic_likud</t>
  </si>
  <si>
    <t>perception_party_similarity_socioeconomic_shinui</t>
  </si>
  <si>
    <t>perception_politician_similarity_socioeconomic_netanyahu</t>
  </si>
  <si>
    <t>perception_politician_similarity_socioeconomic_barak</t>
  </si>
  <si>
    <t>perception_politician_similarity_socioeconomic_yitzhakmordechai</t>
  </si>
  <si>
    <t>perception_politician_similarity_socioeconomic_bennybegin</t>
  </si>
  <si>
    <t>perception_politician_similarity_socioeconomic_azmibishara</t>
  </si>
  <si>
    <t>perception_israel_economic_condition</t>
  </si>
  <si>
    <t>perception_israel_economic_condition_last4years</t>
  </si>
  <si>
    <t>perception_israel_economic_condition_next4years</t>
  </si>
  <si>
    <t>perception_israel_socio_condition</t>
  </si>
  <si>
    <t>perception_israel_socio_condition_last4years</t>
  </si>
  <si>
    <t>perception_israel_socio_condition_next4years</t>
  </si>
  <si>
    <t>behavior_voting_intention_histadrut</t>
  </si>
  <si>
    <t>behavior_voting_lastelections_histadrut</t>
  </si>
  <si>
    <t>behavior_voting_lastelections_histadrut_2</t>
  </si>
  <si>
    <t>perception_voting_reason_histadrut_1</t>
  </si>
  <si>
    <t>perception_voting_reason_histadrut_2</t>
  </si>
  <si>
    <t>perception_voting_notvoting_reason_histadrut</t>
  </si>
  <si>
    <t>perception_voting_decision_campaign_histadrut</t>
  </si>
  <si>
    <t>perception_expectation_histadrut_win</t>
  </si>
  <si>
    <t>preference_policy_histadrut_enterprises</t>
  </si>
  <si>
    <t>behavior_voting_today_histadrut</t>
  </si>
  <si>
    <t>perception_expectation_likud_strengtheneconomy</t>
  </si>
  <si>
    <t>perception_expectation_likud_economicinequality</t>
  </si>
  <si>
    <t>preference_policy_socioeconomic_inflationvsunemployment</t>
  </si>
  <si>
    <t>perception_government_function_socioeconomic</t>
  </si>
  <si>
    <t>perception_groups_socioeconomic_economicinequality</t>
  </si>
  <si>
    <t>preference_policy_municipality_services</t>
  </si>
  <si>
    <t>preference_policy_histadrut_restrict</t>
  </si>
  <si>
    <t>preference_policy_privatization_mail</t>
  </si>
  <si>
    <t>preference_policy_privatization_trains</t>
  </si>
  <si>
    <t>preference_policy_privatization_electricity</t>
  </si>
  <si>
    <t>preference_policy_privatization_foodproducts</t>
  </si>
  <si>
    <t>preference_policy_privatization_radiotv</t>
  </si>
  <si>
    <t>preference_policy_privatization_healthcare</t>
  </si>
  <si>
    <t>preference_policy_privatization_phone</t>
  </si>
  <si>
    <t>preference_policy_socioeconomic_histadrut_subsidy</t>
  </si>
  <si>
    <t>preference_policy_socioeconomic_USSRvsUSA</t>
  </si>
  <si>
    <t>XXX_behavior_association_histadrut</t>
  </si>
  <si>
    <t>preference_policy_socioeconomic_privatesector_subsidy</t>
  </si>
  <si>
    <t>perception_agreement_issues_nationstatebill</t>
  </si>
  <si>
    <t>preference_policy_socioeconomic_limitstrike</t>
  </si>
  <si>
    <t>preference_groups_jewishetnicity_household</t>
  </si>
  <si>
    <t>preference_groups_jewishetnicity_friends</t>
  </si>
  <si>
    <t>???_friends_jewishetnicity</t>
  </si>
  <si>
    <t>preference_groups_jewishetnicity_marriage</t>
  </si>
  <si>
    <t>perception_satisfaction_economic_condition_covid</t>
  </si>
  <si>
    <t>perception_personal_economic_condition</t>
  </si>
  <si>
    <t>perception_israel_condition_kippurwar</t>
  </si>
  <si>
    <t>perception_personal_condition</t>
  </si>
  <si>
    <t>perception_expectation_personal_condition_rulingparty</t>
  </si>
  <si>
    <t>perception_israel_condition</t>
  </si>
  <si>
    <t>perception_personal_condition_last5years</t>
  </si>
  <si>
    <t>perception_personal_condition_next5years</t>
  </si>
  <si>
    <t>perception_personal_socioeconomic_relativeposition</t>
  </si>
  <si>
    <t>affect_importance_polidentity_national</t>
  </si>
  <si>
    <t>attribute_knowledge_policy_religion_footballshabbat</t>
  </si>
  <si>
    <t>preference_policy_religion_statusquo</t>
  </si>
  <si>
    <t>preference_policy_religion_koshermeat</t>
  </si>
  <si>
    <t>perception_groups_jews_diaspora mustimmigrate</t>
  </si>
  <si>
    <t>perception_groups_jews_unity</t>
  </si>
  <si>
    <t>preference_party_function_security_1</t>
  </si>
  <si>
    <t>preference_party_function_security_2</t>
  </si>
  <si>
    <t>perception_party_similarity_security</t>
  </si>
  <si>
    <t>perception_israel_security_change_last4years</t>
  </si>
  <si>
    <t>perception_israel_economic_change_last4years</t>
  </si>
  <si>
    <t>affect_emotion_fear_terrorism</t>
  </si>
  <si>
    <t>affect_emotion_fear_crime</t>
  </si>
  <si>
    <t>preference_policy_security_lawvssecurity</t>
  </si>
  <si>
    <t>perception_government_security_lawvssecurity</t>
  </si>
  <si>
    <t>perception_government_security_lawvssecurity_founders</t>
  </si>
  <si>
    <t>perception_satisfaction_security_protectiveedge</t>
  </si>
  <si>
    <t>perception_satisfaction_security_castlead</t>
  </si>
  <si>
    <t>preference_policy_security_confrontationwithUSA</t>
  </si>
  <si>
    <t>preference_policy_security_attackingciviliens</t>
  </si>
  <si>
    <t>preference_policy_security_attacknuclearfacility</t>
  </si>
  <si>
    <t>preference_policy_security_expandpolicepowers</t>
  </si>
  <si>
    <t>perception_israel_security_condition</t>
  </si>
  <si>
    <t>perception_israel_security_condition_last5years</t>
  </si>
  <si>
    <t>perception_israel_security_condition_next5years</t>
  </si>
  <si>
    <t>perception_israel_foreignaffairs_condition</t>
  </si>
  <si>
    <t>perception_israel_foreignaffairs_condition_last4years</t>
  </si>
  <si>
    <t>perception_israel_foreignaffairs_condition_next4years</t>
  </si>
  <si>
    <t>affect_threat_security_biochemicalenemy</t>
  </si>
  <si>
    <t>affect_threat_security_nuclearenemy</t>
  </si>
  <si>
    <t>affect_threat_security_warinnorth</t>
  </si>
  <si>
    <t>perception_security_personal_change_peaceprocess</t>
  </si>
  <si>
    <t>perception_security_personal_change_netanyahu</t>
  </si>
  <si>
    <t>perception_security_peaceprocess_osloII</t>
  </si>
  <si>
    <t>perception_policy_security_territories</t>
  </si>
  <si>
    <t>perception_security_arabstats_change_netanyahu</t>
  </si>
  <si>
    <t>perception_security_arabstats_change_peaceprocess</t>
  </si>
  <si>
    <t>perception_policy_security_arabstats</t>
  </si>
  <si>
    <t>perception_expectation_security_startwar_returnterritoriestojordan</t>
  </si>
  <si>
    <t>perception_expectation_security_startwar_palestinianstate</t>
  </si>
  <si>
    <t>perception_expectation_security_startwar_palestinianautonomy</t>
  </si>
  <si>
    <t>perception_expectation_security_startwar_annexation</t>
  </si>
  <si>
    <t>perception_expectation_security_startwar_nochange</t>
  </si>
  <si>
    <t>perception_expectation_security_getby_pcirebellion</t>
  </si>
  <si>
    <t>perception_expectation_security_getby_territoriesrebellion</t>
  </si>
  <si>
    <t>perception_expectation_security_getby_increaseterrorism</t>
  </si>
  <si>
    <t>perception_expectation_security_getby_warallarabstats</t>
  </si>
  <si>
    <t>perception_expectation_security_getby_wareastfront</t>
  </si>
  <si>
    <t>perception_expectation_security_getby_warsyria</t>
  </si>
  <si>
    <t>perception_expectation_security_getby_UNsanctions</t>
  </si>
  <si>
    <t>perception_expectation_security_getby_USAdecreasesupport</t>
  </si>
  <si>
    <t>perception_expectation_security_getby_USAstopsupport</t>
  </si>
  <si>
    <t>perception_expectation_security_getby_USSRsupportenemys</t>
  </si>
  <si>
    <t>perception_policy_security_territories_IDFmorality</t>
  </si>
  <si>
    <t>perception_policy_security_territories_settlementshelpsecurity</t>
  </si>
  <si>
    <t>preference_groups_opinion_territories</t>
  </si>
  <si>
    <t>perception_policy_security_terrorism_winbyforce</t>
  </si>
  <si>
    <t>preference_policy_security_terrorism_offensevsdefence</t>
  </si>
  <si>
    <t>preference_policy_security_responsetorockets_north</t>
  </si>
  <si>
    <t>preference_policy_security_responsetorockets_gaza</t>
  </si>
  <si>
    <t>perception_satisfaction_security_firstlebanonwar</t>
  </si>
  <si>
    <t>preference_policy_security_terrorism_destroyhouses</t>
  </si>
  <si>
    <t>preference_policy_security_terrorism_deportcollaborators</t>
  </si>
  <si>
    <t>preference_policy_security_terrorism_avoidciviliancasualties</t>
  </si>
  <si>
    <t>preference_policy_security_terrorism_tolerateciviliancasualties</t>
  </si>
  <si>
    <t>preference_policy_security_terrorism_assassinateleaders</t>
  </si>
  <si>
    <t>preference_policy_security_terrorism_retaliatecollaboratingstates</t>
  </si>
  <si>
    <t>preference_policy_security_terroristsforcivilhostages</t>
  </si>
  <si>
    <t>preference_policy_security_terroristsforIDFhostages</t>
  </si>
  <si>
    <t>preference_policy_security_startwar_defendagainstdestruction</t>
  </si>
  <si>
    <t>preference_policy_security_startwar_defendagainstlandloss</t>
  </si>
  <si>
    <t>preference_policy_security_startwar_stopattritionwarfare</t>
  </si>
  <si>
    <t>preference_policy_security_startwar_preventpowerfulenemy</t>
  </si>
  <si>
    <t>preference_policy_security_startwar_replaceregime</t>
  </si>
  <si>
    <t>preference_policy_security_startwar_conquerterritories</t>
  </si>
  <si>
    <t>preference_policy_security_startwar_intelligence</t>
  </si>
  <si>
    <t>preference_policy_security_startwar_helpUSA</t>
  </si>
  <si>
    <t>preference_policy_security_startwar_helplocalally</t>
  </si>
  <si>
    <t>preference_policy_security_startwar_fightterrorism</t>
  </si>
  <si>
    <t>preference_policy_security_nuclearweapon</t>
  </si>
  <si>
    <t>preference_policy_security_usenuclearweapon</t>
  </si>
  <si>
    <t>perception_public_policy_security_usenuclearweapon</t>
  </si>
  <si>
    <t>attribute_knowledge_policy_security_usenuclearweapon</t>
  </si>
  <si>
    <t>preference_policy_security_usenuclearweapon_respondnuclearattack</t>
  </si>
  <si>
    <t>preference_policy_security_usenuclearweapon_preventdefeat</t>
  </si>
  <si>
    <t>preference_policy_security_usenuclearweapon_preventalotcasualties</t>
  </si>
  <si>
    <t>preference_policy_security_usenuclearweapon_preventsomecasualties</t>
  </si>
  <si>
    <t>preference_policy_security_usenuclearweapon_replacearmy</t>
  </si>
  <si>
    <t>perception_israel_security_ownsnuclearweapon</t>
  </si>
  <si>
    <t>preference_policy_security_proclaimnuclearweapon</t>
  </si>
  <si>
    <t>preference_policy_security_sacrificeforindependence</t>
  </si>
  <si>
    <t>preference_policy_security_nucleardeterrence</t>
  </si>
  <si>
    <t>preference_policy_security_allianceUSA</t>
  </si>
  <si>
    <t>perception_security_mostdangerousenemy_1</t>
  </si>
  <si>
    <t>perception_security_mostdangerousenemy_2</t>
  </si>
  <si>
    <t>perception_expectation_security_israeldestraction</t>
  </si>
  <si>
    <t>perception_policy_security_rational</t>
  </si>
  <si>
    <t>perception_security_arabstates_rational</t>
  </si>
  <si>
    <t>perception_security_arabstates_rejectisrael_antisemitism</t>
  </si>
  <si>
    <t>perception_security_arabstates_rejectisrael_foreigntomiddleeast</t>
  </si>
  <si>
    <t>perception_security_arabstates_rejectisrael_technologicaladvantage</t>
  </si>
  <si>
    <t>perception_security_arabstates_rejectisrael_colonial</t>
  </si>
  <si>
    <t>perception_security_arabstates_rejectisrael_releaseterritories67</t>
  </si>
  <si>
    <t>perception_security_arabstates_rejectisrael_fearaggressiveness</t>
  </si>
  <si>
    <t>perception_security_arabstates_rejectisrael_1</t>
  </si>
  <si>
    <t>perception_security_arabstates_rejectisrael_2</t>
  </si>
  <si>
    <t>preference_policy_security_IDF_longerservice</t>
  </si>
  <si>
    <t>preference_policy_security_IDF_longerreserve</t>
  </si>
  <si>
    <t>perception_security_IDF_strengthen_last5years</t>
  </si>
  <si>
    <t>preference_security_decisionmaking_IDF_weaponsystems</t>
  </si>
  <si>
    <t>preference_security_IDF_lavi</t>
  </si>
  <si>
    <t>perception_politicians_security_decisionmaking</t>
  </si>
  <si>
    <t>perception_security_IDF_decisionmaking</t>
  </si>
  <si>
    <t>perception_policy_security_decisionmaking</t>
  </si>
  <si>
    <t>preference_policy_security_mostimportant</t>
  </si>
  <si>
    <t>attribute_knowledge_security</t>
  </si>
  <si>
    <t>attribute_knowledge_security_public</t>
  </si>
  <si>
    <t>preference_government_security_decisionmaking_publicopinion</t>
  </si>
  <si>
    <t>perception_behavior_security_supportgovduringwar</t>
  </si>
  <si>
    <t>perception_behavior_securitypersonnel_disagreegov_talktocommanders</t>
  </si>
  <si>
    <t>perception_behavior_securitypersonnel_disagreegov_informmedia</t>
  </si>
  <si>
    <t>perception_behavior_securitypersonnel_disagreegov_criticizeinmedia</t>
  </si>
  <si>
    <t>perception_behavior_securitypersonnel_disagreegov_resign</t>
  </si>
  <si>
    <t>perception_behavior_securitypersonnel_disagreegov_disobey</t>
  </si>
  <si>
    <t>perception_media_security_responsibly</t>
  </si>
  <si>
    <t>perception_media_security_ratio</t>
  </si>
  <si>
    <t>affect_trust_politicians_security_mediastatements</t>
  </si>
  <si>
    <t>perception_expectation_security_WWIII</t>
  </si>
  <si>
    <t>perception_israel_foreignaffairs_USA</t>
  </si>
  <si>
    <t>perception_israel_foreignaffairs_USA_trustweaponssupply</t>
  </si>
  <si>
    <t>perception_policy_security_spyUSA</t>
  </si>
  <si>
    <t>perception_policy_security_USAspyisrael</t>
  </si>
  <si>
    <t>preference_policy_foreignaffairs_severancesouthafrica</t>
  </si>
  <si>
    <t>perception_public_policy_foreignaffairs_severancesouthafrica</t>
  </si>
  <si>
    <t>attribute_knowledge_policy_foreignaffairs_severancesouthafrica</t>
  </si>
  <si>
    <t>perception_satisfaction_ministerdefence</t>
  </si>
  <si>
    <t>perception_expectation_agranatcommission_influencegov</t>
  </si>
  <si>
    <t>perception_satisfaction_policy_security_beforkippurwar</t>
  </si>
  <si>
    <t>perception_policy_security_beforkippurwar_compromise</t>
  </si>
  <si>
    <t>perception_expectation_likud_security</t>
  </si>
  <si>
    <t>perception_influence_intifada_nationalmood</t>
  </si>
  <si>
    <t>behavior_political_influence_intifada</t>
  </si>
  <si>
    <t>affect_emotion_intifada_influence_presonalmood</t>
  </si>
  <si>
    <t>affect_emotion_intifada_influence_wanttoliveinisrael</t>
  </si>
  <si>
    <t>preference_policy_foreignaffairs_protectedbysuperpower</t>
  </si>
  <si>
    <t>perception_party_similarity_jerusalem</t>
  </si>
  <si>
    <t>preference_policy_security_peacevsmilitary</t>
  </si>
  <si>
    <t>perception_groups_palestinians_goal</t>
  </si>
  <si>
    <t>perception_expectation_foreignaffairs_arabstates_peace</t>
  </si>
  <si>
    <t>perception_expectation_foreignaffairs_arabstates_war</t>
  </si>
  <si>
    <t>preference_policy_peaceprocesses_onesidedrestitution</t>
  </si>
  <si>
    <t>perception_public_policy_restitutionforpeace</t>
  </si>
  <si>
    <t>perception_public_policy_palestinianstate</t>
  </si>
  <si>
    <t>perception_expectation_public_palestinianstate</t>
  </si>
  <si>
    <t>perception_expectation_public_restitutionforpeace</t>
  </si>
  <si>
    <t>post_perception_public_policy_palestinianstate</t>
  </si>
  <si>
    <t>post_perception_expectation_public_palestinianstate</t>
  </si>
  <si>
    <t>perception_argument_clintonparameters_warunlesspeace</t>
  </si>
  <si>
    <t>perception_argument_clintonparameters_strengthensecurity</t>
  </si>
  <si>
    <t>perception_argument_clintonparameters_strengthenforeignaffairs</t>
  </si>
  <si>
    <t>perception_argument_clintonparameters_strengtheneconomy</t>
  </si>
  <si>
    <t>perception_argument_clintonparameters_stopconflict</t>
  </si>
  <si>
    <t>perception_argument_clintonparameters_importanceofterritories</t>
  </si>
  <si>
    <t>perception_argument_clintonparameters_treacherousarabs</t>
  </si>
  <si>
    <t>perception_argument_clintonparameters_displacesettlersunpair</t>
  </si>
  <si>
    <t>perception_argument_clintonparameters_waitbetterplan</t>
  </si>
  <si>
    <t>perception_argument_clintonparameters_jerusalemholiness</t>
  </si>
  <si>
    <t>preference_argument_support_clintonparameters</t>
  </si>
  <si>
    <t>preference_argument_against_clintonparameters</t>
  </si>
  <si>
    <t>preference_policy_security_segregationinwestbank</t>
  </si>
  <si>
    <t>perception_groups_PLO_abletostopterrorism</t>
  </si>
  <si>
    <t>preference_policy_peaceprocess</t>
  </si>
  <si>
    <t>perception_expectation_peaceprocess</t>
  </si>
  <si>
    <t>perception_party_similarity_peaceprocess</t>
  </si>
  <si>
    <t>perception_party_difference_peaceprocess</t>
  </si>
  <si>
    <t>preference_policy_peaceprocess_palestinianstate</t>
  </si>
  <si>
    <t>preference_policy_peaceprocess_westbank</t>
  </si>
  <si>
    <t>preference_policy_peaceprocess_eastjerusalem</t>
  </si>
  <si>
    <t>preference_policy_peaceprocess_westbank_evacuatesettlements</t>
  </si>
  <si>
    <t>affect_threat_peaceprocess_territoriesrestitution</t>
  </si>
  <si>
    <t>affect_threat_peaceprocess_palestinianstate</t>
  </si>
  <si>
    <t>affect_threat_peaceprocess_anotherintifada</t>
  </si>
  <si>
    <t>affect_threat_peaceprocess_onesidedrestitution</t>
  </si>
  <si>
    <t>perception_expectation_peaceprocess_peacewithoutrestitution</t>
  </si>
  <si>
    <t>perception_expectation_peaceprocess_endconflicts</t>
  </si>
  <si>
    <t>preference_policy_peaceprocess_stopprocessesevenifwar</t>
  </si>
  <si>
    <t>preference_policy_peaceprocess_restitutionforpeace</t>
  </si>
  <si>
    <t>preference_policy_peaceprocess_encouragearabmigration</t>
  </si>
  <si>
    <t>preference_policy_peaceprocess_wallpalestinians</t>
  </si>
  <si>
    <t>preference_policy_peaceprocess_negotiateduringterror</t>
  </si>
  <si>
    <t>preference_policy_peaceprocess_onesidedrestitution</t>
  </si>
  <si>
    <t>preference_policy_peaceprocess_evacuatesettlements</t>
  </si>
  <si>
    <t>preference_policy_peaceprocess_transferpalestinians</t>
  </si>
  <si>
    <t>preference_policy_peaceprocess_transferpci</t>
  </si>
  <si>
    <t>preference_policy_peaceprocess_startprocessesevenifrestitution</t>
  </si>
  <si>
    <t>preference_policy_peaceprocess_trumppeaceplan</t>
  </si>
  <si>
    <t>perception_scenario_peaceprocess_evacuatesettlements_olmertwin</t>
  </si>
  <si>
    <t>preference_policy_peaceprocess_eastjerusalemrestitution</t>
  </si>
  <si>
    <t>preference_policy_peaceprocess_templemountrestitution</t>
  </si>
  <si>
    <t>preference_policy_peaceprocess_returnsomerefugees</t>
  </si>
  <si>
    <t>preference_policy_peaceprocess_jordanriftrestitution</t>
  </si>
  <si>
    <t>preference_policy_peaceprocess_everything</t>
  </si>
  <si>
    <t>preference_policy_peaceprocess_oslo</t>
  </si>
  <si>
    <t>perception_expectation_peaceprocess_palestinianstate</t>
  </si>
  <si>
    <t>post_perception_expectation_peaceprocess_palestinianstate</t>
  </si>
  <si>
    <t>perception_groups_palestinians_intifada</t>
  </si>
  <si>
    <t>perception_groups_palestinians_majoritywantpeace</t>
  </si>
  <si>
    <t>preference_policy_peaceprocess_3</t>
  </si>
  <si>
    <t>preference_policy_peaceprocess_2</t>
  </si>
  <si>
    <t>behavior_voting_policy_peaceprocess_restitutegolan</t>
  </si>
  <si>
    <t>perception_public_policy_restitutegolan</t>
  </si>
  <si>
    <t>preference_policy_peaceprocess_restitutegolan</t>
  </si>
  <si>
    <t>perception_expectation_restitutegolan</t>
  </si>
  <si>
    <t>perception_expectation_public_restitutegolan</t>
  </si>
  <si>
    <t>perception_policy_peaceprocess_peacearabstatespossible</t>
  </si>
  <si>
    <t>perception_policy_peaceprocess_influencearabstateswillingness</t>
  </si>
  <si>
    <t>perception_expectation_peaceprocess_autonomyconsequences</t>
  </si>
  <si>
    <t>preference_policy_peaceprocess_participationpeaceconference</t>
  </si>
  <si>
    <t>preference_policy_security_settlingterritories</t>
  </si>
  <si>
    <t>perception_politician_similarity_peaceprocess_rabinvsshamir</t>
  </si>
  <si>
    <t>perception_expectation_peaceprocess_territoriesrestitution</t>
  </si>
  <si>
    <t>perception_argument_security_ownterritories_rightonland</t>
  </si>
  <si>
    <t>perception_argument_security_ownterritories_preventpalestinianstate</t>
  </si>
  <si>
    <t>perception_argument_security_ownterritories_eastwarstrategy</t>
  </si>
  <si>
    <t>perception_argument_security_ownterritories_negotiationleveragejordan</t>
  </si>
  <si>
    <t>perception_expectation_peaceprocess_palestinianautonomy</t>
  </si>
  <si>
    <t>preference_policy_peaceprocess_palestinianautonomy</t>
  </si>
  <si>
    <t>preference_policy_security_keepegyptpeace</t>
  </si>
  <si>
    <t>preference_policy_security_egyptpeaceretro</t>
  </si>
  <si>
    <t>behavior_IDF_foughtawar</t>
  </si>
  <si>
    <t>behavior_IDF_territories</t>
  </si>
  <si>
    <t>preference_policy_peaceprocess_westbankjordanpeace</t>
  </si>
  <si>
    <t>perception_security_influence_intifada</t>
  </si>
  <si>
    <t>behavior_IDF_intifada</t>
  </si>
  <si>
    <t>preference_importance_jewishmajority</t>
  </si>
  <si>
    <t>perception_security_jewishmajority_restitutionwestbank</t>
  </si>
  <si>
    <t>perception_security_palestinianmajority_restitutionwestbank</t>
  </si>
  <si>
    <t>perception_party_similarity_securitypeaceprocess_haavoda</t>
  </si>
  <si>
    <t>perception_party_similarity_securitypeaceprocess_likud</t>
  </si>
  <si>
    <t>perception_party_similarity_securitypeaceprocess_shinui</t>
  </si>
  <si>
    <t>perception_politician_similarity_securitypeaceprocess_netanyahu</t>
  </si>
  <si>
    <t>perception_politician_similarity_securitypeaceprocess_barak</t>
  </si>
  <si>
    <t>perception_politician_similarity_securitypeaceprocess_yitzhakmordechai</t>
  </si>
  <si>
    <t>perception_politician_similarity_securitypeaceprocess_bennybegin</t>
  </si>
  <si>
    <t>perception_politician_similarity_securitypeaceprocess_azmibishara</t>
  </si>
  <si>
    <t>perception_policy_peaceprocess</t>
  </si>
  <si>
    <t>preference_policy_scenario_peaceprocess_negotiatePLOstopterrorism</t>
  </si>
  <si>
    <t>preference_policy_peaceprocess_negotiatePLO</t>
  </si>
  <si>
    <t>perception_expectation_likud_peaceprocess</t>
  </si>
  <si>
    <t>preference_policy_peaceprocess_electionsbeforrestitution</t>
  </si>
  <si>
    <t>preference_policy_scenario_peaceprocess_oppositionagainst</t>
  </si>
  <si>
    <t>preference_policy_scenario_peaceprocess_govagainst</t>
  </si>
  <si>
    <t>preference_policy_peaceprocess_restitutionpreventpeace</t>
  </si>
  <si>
    <t>perception_policy_security_leadtosurender</t>
  </si>
  <si>
    <t>perception_saliency_policy_peaceprocess</t>
  </si>
  <si>
    <t>perception_policy_peaceprocess_restitutioforpeace</t>
  </si>
  <si>
    <t>preference_groups_palestinians_household</t>
  </si>
  <si>
    <t>preference_groups_palestinians_friend</t>
  </si>
  <si>
    <t>perception_groups_palestinians_hostiletojews</t>
  </si>
  <si>
    <t>perception_groups_palestinians_hostiletoisrael</t>
  </si>
  <si>
    <t>perception_groups_palestinians_orientalism</t>
  </si>
  <si>
    <t>perception_israel_democratic_7</t>
  </si>
  <si>
    <t>perception_israel_democratic_10</t>
  </si>
  <si>
    <t>affect_importance_democracy_obligationtoregime</t>
  </si>
  <si>
    <t>preference_policy_democracy_authoritarianleader</t>
  </si>
  <si>
    <t>preference_policy_democracy_bendrulesforrightend</t>
  </si>
  <si>
    <t>preference_policy_democracy_equalrightscitizens</t>
  </si>
  <si>
    <t>preference_policy_democracy_freespeech</t>
  </si>
  <si>
    <t>preference_policy_democracy_againstcompromise</t>
  </si>
  <si>
    <t>affect_trust_government</t>
  </si>
  <si>
    <t>affect_trust_parliament</t>
  </si>
  <si>
    <t>affect_trust_supremecourt</t>
  </si>
  <si>
    <t>affect_trust_politicians</t>
  </si>
  <si>
    <t>affect_trust_party</t>
  </si>
  <si>
    <t>affect_trust_primeminister</t>
  </si>
  <si>
    <t>affect_trust_media</t>
  </si>
  <si>
    <t>affect_trust_stateattorney</t>
  </si>
  <si>
    <t>affect_trust_police</t>
  </si>
  <si>
    <t>post_affect_trust_stateattorney</t>
  </si>
  <si>
    <t>post_affect_trust_party</t>
  </si>
  <si>
    <t>post_affect_trust_media</t>
  </si>
  <si>
    <t>post_affect_trust_supremecourt</t>
  </si>
  <si>
    <t>post_affect_trust_police</t>
  </si>
  <si>
    <t>preference_importance_democracy_trait</t>
  </si>
  <si>
    <t>perception_satisfaction_israel_democracy</t>
  </si>
  <si>
    <t>post_perception_satisfaction_israel_democracy</t>
  </si>
  <si>
    <t>affect_importance_democracy_livedemostate</t>
  </si>
  <si>
    <t>affect_threat_democracy_undemocraticisrael</t>
  </si>
  <si>
    <t>perception_expectation_democracy_undemocraticisrael</t>
  </si>
  <si>
    <t>perception_policy_democracy_bestregime</t>
  </si>
  <si>
    <t>preference_policy_democracy_judicalreview</t>
  </si>
  <si>
    <t>preference_policy_democracy_importantedecisiononlyjews</t>
  </si>
  <si>
    <t>perception_satisfaction_democracy_publicdiscourse</t>
  </si>
  <si>
    <t>preference_policy_democracy_limitcivilrightsforsecurity</t>
  </si>
  <si>
    <t>preference_policy_democracy_limitcivilrightsforsecurity_territories</t>
  </si>
  <si>
    <t>preference_policy_scenario_democracy_civilrightsifannexation</t>
  </si>
  <si>
    <t>preference_elections_democracy_disqualifybaladraamtaal2009</t>
  </si>
  <si>
    <t>preference_policy_security_deathsentenceterrorism</t>
  </si>
  <si>
    <t>perception_satisfaction_democracy_supervisiononsecurityservices</t>
  </si>
  <si>
    <t>preference_policy_democracy_groups_cantbeprimeminister</t>
  </si>
  <si>
    <t>preference_policy_democracy_groups_outlawgroup</t>
  </si>
  <si>
    <t>preference_policy_democracy_groups_eavesdropphone</t>
  </si>
  <si>
    <t>preference_policy_democracy_groups_canbeontv</t>
  </si>
  <si>
    <t>preference_policy_democracy_groups_canparty</t>
  </si>
  <si>
    <t>perception_groups_progressivelistforpeace_outlaw</t>
  </si>
  <si>
    <t>perception_groups_kach_outlaw</t>
  </si>
  <si>
    <t>perception_groups_rakah_outlaw</t>
  </si>
  <si>
    <t>perception_groups_gushemunim_outlaw</t>
  </si>
  <si>
    <t>perception_groups_shalomachshav_outlaw</t>
  </si>
  <si>
    <t>preference_policy_groups_palestinians_cantbeprimeminister</t>
  </si>
  <si>
    <t>preference_policy_groups_palestinians_canbeontv</t>
  </si>
  <si>
    <t>preference_policy_groups_palestinians_eavesdropphone</t>
  </si>
  <si>
    <t>preference_policy_groups_palestinians_canparty</t>
  </si>
  <si>
    <t>preference_policy_groups_palestinians_encourageemigration</t>
  </si>
  <si>
    <t>preference_policy_groups_jews_lesspanishmentoffensepalestinians</t>
  </si>
  <si>
    <t>preference_policy_foreign_nonjewishopinion</t>
  </si>
  <si>
    <t>preference_policy_democracy_strongleader</t>
  </si>
  <si>
    <t>preference_policy_democracy_minorityinterest</t>
  </si>
  <si>
    <t>preference_policy_democracy_lawintohands_neg</t>
  </si>
  <si>
    <t>preference_policy_democracy_lawintohands_pos</t>
  </si>
  <si>
    <t>preference_policy_democracy_replaceallinstitutes</t>
  </si>
  <si>
    <t>perception_israel_forcefulnessonlyway</t>
  </si>
  <si>
    <t>preference_coalition_democracy_oneparty</t>
  </si>
  <si>
    <t>perception_elections_knowledge_democracy</t>
  </si>
  <si>
    <t>affect_importance_knowledge_democracy</t>
  </si>
  <si>
    <t>perception_elections_knowledge_politicaleducation</t>
  </si>
  <si>
    <t>affect_importance_knowledge_politicaleducation</t>
  </si>
  <si>
    <t>perception_policy_democracy_IDFpoliticization</t>
  </si>
  <si>
    <t>perception_importance_democracy_strongopposition</t>
  </si>
  <si>
    <t>perception_importance_democracy_replacerulingparty</t>
  </si>
  <si>
    <t>perception_politicians_exploitingcitizens</t>
  </si>
  <si>
    <t>perception_party_opposition_servingstatelikecoalition</t>
  </si>
  <si>
    <t>perception_public_voting_importance</t>
  </si>
  <si>
    <t>preference_policy_democtacy_onepartyparliament</t>
  </si>
  <si>
    <t>perception_elections_damegeunity</t>
  </si>
  <si>
    <t>מדרגה 5</t>
  </si>
  <si>
    <t>affect_voting_emotion_happiness_celebration</t>
  </si>
  <si>
    <t>perception_elections_celebration</t>
  </si>
  <si>
    <t>perception_behavior_voting_fulfilcivilduty</t>
  </si>
  <si>
    <t>perception_behavior_voting_protestgovernment</t>
  </si>
  <si>
    <t>perception_difference_party_problem_clarity</t>
  </si>
  <si>
    <t>perception_difference_party_clarity_territories</t>
  </si>
  <si>
    <t>perception_difference_party_clarity_economic</t>
  </si>
  <si>
    <t>perception_difference_party_clarity_socio</t>
  </si>
  <si>
    <t>perception_groups_palestinian_clarity</t>
  </si>
  <si>
    <t>affect_threat_politicalsystem</t>
  </si>
  <si>
    <t>perception_satisfaction_politicalsystem</t>
  </si>
  <si>
    <t>perception_politicalsystem_stable</t>
  </si>
  <si>
    <t>preference_influence_policy</t>
  </si>
  <si>
    <t>perception_elections_influence_policy</t>
  </si>
  <si>
    <t>preference_politicalsystem_replace_1</t>
  </si>
  <si>
    <t>preference_politicalsystem_replace_2</t>
  </si>
  <si>
    <t>preference_electionsystem_directparliamentelections</t>
  </si>
  <si>
    <t>perception_electionsystem_regional_efficacy</t>
  </si>
  <si>
    <t>perception_government_duration</t>
  </si>
  <si>
    <t>perception_government_governance</t>
  </si>
  <si>
    <t>preference_policy_specialistsdecision</t>
  </si>
  <si>
    <t>perception_democracy_narrowvswide</t>
  </si>
  <si>
    <t>behavior_political_media_traditionalmedium</t>
  </si>
  <si>
    <t>behavior_political_media_socialmedia</t>
  </si>
  <si>
    <t>behavior_media_socialmedia</t>
  </si>
  <si>
    <t>behavior_media_newspaper</t>
  </si>
  <si>
    <t>preference_media_newspaper</t>
  </si>
  <si>
    <t>behavior_political_media_newspaperandwebsite</t>
  </si>
  <si>
    <t>behavior_media_newswebsite</t>
  </si>
  <si>
    <t>behavior_media_tv</t>
  </si>
  <si>
    <t>preference_media_tv_channel</t>
  </si>
  <si>
    <t>behavior_political_media_radio</t>
  </si>
  <si>
    <t>experience_media_socialmedia_politicianpartycontent</t>
  </si>
  <si>
    <t>behavior_political_media_socialmedia_postonpoliticianpartypage</t>
  </si>
  <si>
    <t>behavior_political_media_socialmedia_followpoliticianparty</t>
  </si>
  <si>
    <t>behavior_political_media_socialmedia_postpoliticalcontent</t>
  </si>
  <si>
    <t>behavior_political_media_socialmedia_readpoliticianpartycontent</t>
  </si>
  <si>
    <t>behavior_political_media_socialmedia_sharepoliticianpartycontent</t>
  </si>
  <si>
    <t>behavior_political_media_socialmedia_respondpoliticianpartycontent</t>
  </si>
  <si>
    <t>behavior_political_media_socialmedia_politicalactivity</t>
  </si>
  <si>
    <t>behavior_political_media_tv_campaignadvertising</t>
  </si>
  <si>
    <t>behavior_political_media_internetelections</t>
  </si>
  <si>
    <t>behavior_political_media_internetelections_email</t>
  </si>
  <si>
    <t>behavior_political_media_internetelections_blogs</t>
  </si>
  <si>
    <t>behavior_political_media_internetelections_talkbacks</t>
  </si>
  <si>
    <t>behavior_political_media_internetelections_chats</t>
  </si>
  <si>
    <t>behavior_political_media_internetelections_politicianpartysite</t>
  </si>
  <si>
    <t>behavior_political_media_internetelections_favoritepoliticianpartysite</t>
  </si>
  <si>
    <t>behavior_political_media_internetelections_videosites</t>
  </si>
  <si>
    <t>behavior_political_media_internetelections_newssites</t>
  </si>
  <si>
    <t>behavior_political_media_internetelections_socialmedia</t>
  </si>
  <si>
    <t>behavior_political_media_internetelections_YNET</t>
  </si>
  <si>
    <t>behavior_political_media_internetelections_otherpoliticianpartysite</t>
  </si>
  <si>
    <t>behavior_political_media_internetelections_politicianpartysite_party</t>
  </si>
  <si>
    <t>behavior_political_media_tv_interview</t>
  </si>
  <si>
    <t>behavior_political_media_polls</t>
  </si>
  <si>
    <t>affect_trust_media_polls</t>
  </si>
  <si>
    <t>perception_elections_polls_politician</t>
  </si>
  <si>
    <t>perception_elections_polls_public</t>
  </si>
  <si>
    <t>preference_policy_media_banpollsbeforelections</t>
  </si>
  <si>
    <t>demography_household_tv</t>
  </si>
  <si>
    <t>demography_household_cables</t>
  </si>
  <si>
    <t>demography_household_channel2</t>
  </si>
  <si>
    <t>demography_household_video</t>
  </si>
  <si>
    <t>preference_elections_tv_campaignadvertising</t>
  </si>
  <si>
    <t>behavior_political_media_tv_campaignadvertising_party</t>
  </si>
  <si>
    <t>perception_voting_decision_tv_campaignadvertising</t>
  </si>
  <si>
    <t>behavior_political_media_newspaper_campaignadvertising</t>
  </si>
  <si>
    <t>behavior_media_radio</t>
  </si>
  <si>
    <t>preference_media_radio_subject</t>
  </si>
  <si>
    <t>preference_media_radio_channel</t>
  </si>
  <si>
    <t>perception_elections_campaignadvertising_likud</t>
  </si>
  <si>
    <t>perception_elections_campaignadvertising_Hamaarakh</t>
  </si>
  <si>
    <t>perception_media_campaignadvertising_problem</t>
  </si>
  <si>
    <t>perception_importance_elections_campaignadvertising</t>
  </si>
  <si>
    <t>behavior_political_elections_read</t>
  </si>
  <si>
    <t>behavior_political_media_campaignadvertising_similaropinions</t>
  </si>
  <si>
    <t>behavior_political_media_campaignadvertising_differentopinions</t>
  </si>
  <si>
    <t>behavior_political_media_radio_campaignadvertising</t>
  </si>
  <si>
    <t>behavior_political_media_radio_campaignadvertising_party</t>
  </si>
  <si>
    <t>preference_media_tv_campaignadvertising_politician1</t>
  </si>
  <si>
    <t>preference_media_tv_campaignadvertising_politician2</t>
  </si>
  <si>
    <t>preference_media_tv_campaignadvertising_debatvsseparate</t>
  </si>
  <si>
    <t>behavior_political_media_newspaper_electionssection</t>
  </si>
  <si>
    <t>preference_media_medium</t>
  </si>
  <si>
    <t>demography_household_phone</t>
  </si>
  <si>
    <t>behavior_media_tv_frequency</t>
  </si>
  <si>
    <t>behavior_media_tv_subject</t>
  </si>
  <si>
    <t>perception_argument_expirenced_Hamaarakh</t>
  </si>
  <si>
    <t>preference_argument_tv_campaignadvertising_reasonyes</t>
  </si>
  <si>
    <t>preference_argument_tv_campaignadvertising_reasonno</t>
  </si>
  <si>
    <t>perception_argument_campaignadvertising_reasonyes_knowledgefordebates</t>
  </si>
  <si>
    <t>perception_argument_campaignadvertising_reasonyes_knowledgepoliticians</t>
  </si>
  <si>
    <t>perception_argument_campaignadvertising_reasonyes_knowledgeparty</t>
  </si>
  <si>
    <t>perception_argument_campaignadvertising_reasonyes_helpdecisionvote</t>
  </si>
  <si>
    <t>perception_argument_campaignadvertising_reasonyes_reevaluatfavoritparty</t>
  </si>
  <si>
    <t>perception_argument_campaignadvertising_reasonyes_evaluatwinchance</t>
  </si>
  <si>
    <t>perception_argument_campaignadvertising_reasonyes_knowledgepoliticalcondition</t>
  </si>
  <si>
    <t>affect_emotion_pride_israeli</t>
  </si>
  <si>
    <t>perception_argument_campaignadvertising_reasonyes_affecthappinessstruggle</t>
  </si>
  <si>
    <t>perception_argument_campaignadvertising_reasonyes_olnyoption</t>
  </si>
  <si>
    <t>perception_argument_campaignadvertising_reasonno_nointerestpolitics</t>
  </si>
  <si>
    <t>perception_argument_campaignadvertising_reasonno_preferenceentertainment</t>
  </si>
  <si>
    <t>perception_argument_campaignadvertising_reasonno_unseriouspoliticians</t>
  </si>
  <si>
    <t>perception_argument_campaignadvertising_reasonno_decisionmade</t>
  </si>
  <si>
    <t>perception_argument_campaignadvertising_reasonno_hardtounderstand</t>
  </si>
  <si>
    <t>perception_argument_campaignadvertising_reasonno_nopropagandahousehold</t>
  </si>
  <si>
    <t>perception_argument_campaignadvertising_reasonno_nonewknowledge</t>
  </si>
  <si>
    <t>perception_argument_campaignadvertising_reasonno_affectnotrustparty</t>
  </si>
  <si>
    <t>perception_argument_campaignadvertising_reasonno_affectnotrustpoliticians</t>
  </si>
  <si>
    <t>preference_media_tv_campaignadvertising_publicvspersonal1</t>
  </si>
  <si>
    <t>preference_media_tv_campaignadvertising_publicvspersonal2</t>
  </si>
  <si>
    <t>preference_media_campaignadvertising_interesting_leadervsmovie</t>
  </si>
  <si>
    <t>preference_media_campaignadvertising_convincing_leadervsmovie</t>
  </si>
  <si>
    <t>perception_media_campaignadvertising_influence</t>
  </si>
  <si>
    <t>behavior_media_newspaper_haaretz</t>
  </si>
  <si>
    <t>behavior_media_newspaper_davar</t>
  </si>
  <si>
    <t>behavior_media_newspaper_omer</t>
  </si>
  <si>
    <t>behavior_media_newspaper_lamerhav</t>
  </si>
  <si>
    <t>behavior_media_newspaper_alhamishmar</t>
  </si>
  <si>
    <t>behavior_media_newspaper_hayom</t>
  </si>
  <si>
    <t>behavior_media_newspaper_kolhaam</t>
  </si>
  <si>
    <t>behavior_media_newspaper_hatzofe</t>
  </si>
  <si>
    <t>behavior_media_newspaper_maariv</t>
  </si>
  <si>
    <t>behavior_media_newspaper_yediothahronoth</t>
  </si>
  <si>
    <t>behavior_media_newspaper_jerusalempost</t>
  </si>
  <si>
    <t>behavior_media_newspaper_foreign</t>
  </si>
  <si>
    <t>behavior_media_newspaper_other</t>
  </si>
  <si>
    <t>affect_trust_newspaper_politicalknowledge</t>
  </si>
  <si>
    <t>affect_trust_radiotv_politicalknowledge</t>
  </si>
  <si>
    <t>attribute_knowledge_threshold</t>
  </si>
  <si>
    <t>attribute_knowledge_supremecourtpresident</t>
  </si>
  <si>
    <t>attribute_knowledge_secoundhighestbudget</t>
  </si>
  <si>
    <t>attribute_knowledge_Speakerofparliament</t>
  </si>
  <si>
    <t>attribute_knowledge_renewdiplomaticrelations</t>
  </si>
  <si>
    <t>attribute_knowledge_securitybudget</t>
  </si>
  <si>
    <t>attribute_knowledge_manufacturF16</t>
  </si>
  <si>
    <t>attribute_knowledge_USAmilitaryaid</t>
  </si>
  <si>
    <t>attribute_knowledge_IDFsubmarine</t>
  </si>
  <si>
    <t>attribute_knowledge_jibrilagreement</t>
  </si>
  <si>
    <t>attribute_knowledge_territoriespalestinianssupremecourt</t>
  </si>
  <si>
    <t>attribute_knowledge_territoriespalestiniansvotingright</t>
  </si>
  <si>
    <t>attribute_polidentity_feminist</t>
  </si>
  <si>
    <t>affect_importance_polidentity_gender</t>
  </si>
  <si>
    <t>perception_groups_women_economicinequality</t>
  </si>
  <si>
    <t>preference_policy_groups_women_IDFservice</t>
  </si>
  <si>
    <t>perception_groups_women_harassmentresponsibility</t>
  </si>
  <si>
    <t>preference_policy_groups_women_abortionright</t>
  </si>
  <si>
    <t>preference_policy_groups_women_affirmativeaction</t>
  </si>
  <si>
    <t>perception_groups_women_politicsforman</t>
  </si>
  <si>
    <t>perception_behavior_household_gendereddivisionoflabor</t>
  </si>
  <si>
    <t>perception_expectation_personal_durablerelationship</t>
  </si>
  <si>
    <t>perception_representativeness_partypolitician</t>
  </si>
  <si>
    <t>perception_representativeness_passinglaws</t>
  </si>
  <si>
    <t>perception_representativeness_politicians_similarity</t>
  </si>
  <si>
    <t>perception_representativeness_parliament</t>
  </si>
  <si>
    <t>perception_representativeness_responsibility_chosenpartypolitician</t>
  </si>
  <si>
    <t>perception_representativeness_responsibility_parliament</t>
  </si>
  <si>
    <t>preference_importance_representativeness_party</t>
  </si>
  <si>
    <t>preference_importance_representativeness_parliament</t>
  </si>
  <si>
    <t>affect_representativeness_partypolitician</t>
  </si>
  <si>
    <t>affect_representativeness_politicalsystem</t>
  </si>
  <si>
    <t>affect_representativeness_belonging_pride_partypolitician</t>
  </si>
  <si>
    <t>affect_representativeness_belonging_pride_parliament</t>
  </si>
  <si>
    <t>perception_politician_representativeness_considerpublicopinion</t>
  </si>
  <si>
    <t>affect_emotion_closeness_party</t>
  </si>
  <si>
    <t>perception_government_representativeness_considerpublicopinion</t>
  </si>
  <si>
    <t>perception_government_representativeness_pridebelongingpublic</t>
  </si>
  <si>
    <t>perception_parliament_representativeness_diversegroups</t>
  </si>
  <si>
    <t>perception_government_representativeness_diversegroups</t>
  </si>
  <si>
    <t>perception_parliament_representativeness_diverseopinions</t>
  </si>
  <si>
    <t>perception_parliament_representativeness_pridebelongingpublic</t>
  </si>
  <si>
    <t>preference_politician_similarity_identitiy</t>
  </si>
  <si>
    <t>perception_elections_representativeness_votingdoesntmatter</t>
  </si>
  <si>
    <t>perception_politician_representativeness_falsepromises</t>
  </si>
  <si>
    <t>perception_politician_representativeness_corruptionuncommon</t>
  </si>
  <si>
    <t>perception_elections_representativeness_unrepresentative</t>
  </si>
  <si>
    <t>perception_electionsysetem_representativeness_twistvoterswill</t>
  </si>
  <si>
    <t>perception_party_yisraelbeiteinu_representativeness_imm</t>
  </si>
  <si>
    <t>preference_party_imm_USSR</t>
  </si>
  <si>
    <t>preference_party_representativeness_groups_1</t>
  </si>
  <si>
    <t>preference_party_representativeness_groups_2</t>
  </si>
  <si>
    <t>perception_representativeness_partypolitician_lastvoted</t>
  </si>
  <si>
    <t>perception_representativeness_outsidepoliticalsystem</t>
  </si>
  <si>
    <t>perception_representativeness_partypolitician_vs_outsidepoliticalsystem</t>
  </si>
  <si>
    <t>perception_corruption_netanyahu_persecutionvsjust</t>
  </si>
  <si>
    <t>perception_corruption_natural</t>
  </si>
  <si>
    <t>preference_policy_corruption_netanyahu_primeministerontrial</t>
  </si>
  <si>
    <t>preference_policy_corruption_convictedpoliticianholdoffice</t>
  </si>
  <si>
    <t>preference_policy_corruption_turnblindeye</t>
  </si>
  <si>
    <t>perception_party_similarity_corruption</t>
  </si>
  <si>
    <t>perception_expectation_likud_corruption</t>
  </si>
  <si>
    <t>arabonly_preference_policy_peaceprocess_twovsone</t>
  </si>
  <si>
    <t>arabonly_preference_policy_peaceprocess_palastinianstate</t>
  </si>
  <si>
    <t>arabonly_perception_groups_PCI_civilequalitymaingoal</t>
  </si>
  <si>
    <t>arabonly_preference_policy_equalitythroughparliament</t>
  </si>
  <si>
    <t>arabonly_perception_arabparty_fightingforPCIinterest</t>
  </si>
  <si>
    <t>arabonly_perception_behavior_voting_harmpalastinianstruggle</t>
  </si>
  <si>
    <t>arabonly_preference_policy_arabparty_joincoalition</t>
  </si>
  <si>
    <t>arabonly_preference_importance_historical_event</t>
  </si>
  <si>
    <t>arabonly_preference_importance_event_future</t>
  </si>
  <si>
    <t>arabonly_preference_importance_historical_persona</t>
  </si>
  <si>
    <t>arabonly_demography_identity_hierarchy_1</t>
  </si>
  <si>
    <t>arabonly_demography_identity_hierarchy_2</t>
  </si>
  <si>
    <t>arabonly_demography_identity_hierarchy_3</t>
  </si>
  <si>
    <t>arabonly_demography_identity_hierarchy_4</t>
  </si>
  <si>
    <t>arabonly_perception_arabparty_splitharmPCIinterest</t>
  </si>
  <si>
    <t>questionnaire</t>
  </si>
  <si>
    <t>post</t>
  </si>
  <si>
    <t>location</t>
  </si>
  <si>
    <t>demography</t>
  </si>
  <si>
    <t>identity</t>
  </si>
  <si>
    <t>language</t>
  </si>
  <si>
    <t>jewishetnicity</t>
  </si>
  <si>
    <t>group</t>
  </si>
  <si>
    <t>years</t>
  </si>
  <si>
    <t>religious</t>
  </si>
  <si>
    <t>partner</t>
  </si>
  <si>
    <t>academy</t>
  </si>
  <si>
    <t>last</t>
  </si>
  <si>
    <t>attribute</t>
  </si>
  <si>
    <t>citizen</t>
  </si>
  <si>
    <t>birthcountry</t>
  </si>
  <si>
    <t>self</t>
  </si>
  <si>
    <t>father</t>
  </si>
  <si>
    <t>mother</t>
  </si>
  <si>
    <t>imm</t>
  </si>
  <si>
    <t>year</t>
  </si>
  <si>
    <t>USSR</t>
  </si>
  <si>
    <t>residence</t>
  </si>
  <si>
    <t>nationality</t>
  </si>
  <si>
    <t>???</t>
  </si>
  <si>
    <t>friends</t>
  </si>
  <si>
    <t>hierarchy</t>
  </si>
  <si>
    <t>1</t>
  </si>
  <si>
    <t>2</t>
  </si>
  <si>
    <t>3</t>
  </si>
  <si>
    <t>4</t>
  </si>
  <si>
    <t>class</t>
  </si>
  <si>
    <t>wealth</t>
  </si>
  <si>
    <t>household</t>
  </si>
  <si>
    <t>expense</t>
  </si>
  <si>
    <t>incomeprimery</t>
  </si>
  <si>
    <t>incomehousehold</t>
  </si>
  <si>
    <t>incomeproportion</t>
  </si>
  <si>
    <t>incomepersonal</t>
  </si>
  <si>
    <t>rooms</t>
  </si>
  <si>
    <t>residents</t>
  </si>
  <si>
    <t>consistency</t>
  </si>
  <si>
    <t>religion</t>
  </si>
  <si>
    <t>religiousety</t>
  </si>
  <si>
    <t>behavior</t>
  </si>
  <si>
    <t>shabat</t>
  </si>
  <si>
    <t>kosher</t>
  </si>
  <si>
    <t>synagoge</t>
  </si>
  <si>
    <t>occupation</t>
  </si>
  <si>
    <t>domestic</t>
  </si>
  <si>
    <t>status</t>
  </si>
  <si>
    <t>extent</t>
  </si>
  <si>
    <t>description</t>
  </si>
  <si>
    <t>affect</t>
  </si>
  <si>
    <t>threat</t>
  </si>
  <si>
    <t>fired</t>
  </si>
  <si>
    <t>children</t>
  </si>
  <si>
    <t>num</t>
  </si>
  <si>
    <t>childern</t>
  </si>
  <si>
    <t>16</t>
  </si>
  <si>
    <t>18</t>
  </si>
  <si>
    <t>23</t>
  </si>
  <si>
    <t>inhousehold</t>
  </si>
  <si>
    <t>IDF</t>
  </si>
  <si>
    <t>service</t>
  </si>
  <si>
    <t>reserve</t>
  </si>
  <si>
    <t>dayslastyear</t>
  </si>
  <si>
    <t>combatant</t>
  </si>
  <si>
    <t>rank</t>
  </si>
  <si>
    <t>head</t>
  </si>
  <si>
    <t>ownership</t>
  </si>
  <si>
    <t>industrial</t>
  </si>
  <si>
    <t>association</t>
  </si>
  <si>
    <t>histadrut</t>
  </si>
  <si>
    <t>welfare</t>
  </si>
  <si>
    <t>healthcare</t>
  </si>
  <si>
    <t>washingmachine</t>
  </si>
  <si>
    <t>car</t>
  </si>
  <si>
    <t>lastelections</t>
  </si>
  <si>
    <t>youth</t>
  </si>
  <si>
    <t>organization</t>
  </si>
  <si>
    <t>kibbutz</t>
  </si>
  <si>
    <t>perception</t>
  </si>
  <si>
    <t>israel</t>
  </si>
  <si>
    <t>condition</t>
  </si>
  <si>
    <t>satisfaction</t>
  </si>
  <si>
    <t>government</t>
  </si>
  <si>
    <t>problem</t>
  </si>
  <si>
    <t>expectation</t>
  </si>
  <si>
    <t>solution</t>
  </si>
  <si>
    <t>candidates</t>
  </si>
  <si>
    <t>party</t>
  </si>
  <si>
    <t>team84</t>
  </si>
  <si>
    <t>politicalsystem</t>
  </si>
  <si>
    <t>preference</t>
  </si>
  <si>
    <t>importance</t>
  </si>
  <si>
    <t>historical</t>
  </si>
  <si>
    <t>event</t>
  </si>
  <si>
    <t>future</t>
  </si>
  <si>
    <t>persona</t>
  </si>
  <si>
    <t>agreement</t>
  </si>
  <si>
    <t>politicalcomplexity</t>
  </si>
  <si>
    <t xml:space="preserve">deportforeignworkers </t>
  </si>
  <si>
    <t>goal</t>
  </si>
  <si>
    <t>personal</t>
  </si>
  <si>
    <t>last5years</t>
  </si>
  <si>
    <t>next5years</t>
  </si>
  <si>
    <t>rulingparty</t>
  </si>
  <si>
    <t>support</t>
  </si>
  <si>
    <t>arabparty</t>
  </si>
  <si>
    <t>minister</t>
  </si>
  <si>
    <t>citizencommongood</t>
  </si>
  <si>
    <t>peaceprocess</t>
  </si>
  <si>
    <t>civilwar</t>
  </si>
  <si>
    <t>achieve</t>
  </si>
  <si>
    <t>all</t>
  </si>
  <si>
    <t>arabs</t>
  </si>
  <si>
    <t>jewisharabratio</t>
  </si>
  <si>
    <t>USAendaid</t>
  </si>
  <si>
    <t>moralabsolutism</t>
  </si>
  <si>
    <t>policy</t>
  </si>
  <si>
    <t>democracy</t>
  </si>
  <si>
    <t>lawintohands</t>
  </si>
  <si>
    <t>neg</t>
  </si>
  <si>
    <t>commongood</t>
  </si>
  <si>
    <t>territoriesrestitution</t>
  </si>
  <si>
    <t>providence</t>
  </si>
  <si>
    <t>war</t>
  </si>
  <si>
    <t>long</t>
  </si>
  <si>
    <t>existence</t>
  </si>
  <si>
    <t>burdendivision</t>
  </si>
  <si>
    <t>efficiency</t>
  </si>
  <si>
    <t>duration</t>
  </si>
  <si>
    <t>phrase</t>
  </si>
  <si>
    <t>5</t>
  </si>
  <si>
    <t>6</t>
  </si>
  <si>
    <t>7</t>
  </si>
  <si>
    <t>8</t>
  </si>
  <si>
    <t>9</t>
  </si>
  <si>
    <t>trust</t>
  </si>
  <si>
    <t>protector</t>
  </si>
  <si>
    <t>arms</t>
  </si>
  <si>
    <t>export</t>
  </si>
  <si>
    <t>endsjustifymeans</t>
  </si>
  <si>
    <t>antisemitic</t>
  </si>
  <si>
    <t>criticism</t>
  </si>
  <si>
    <t>foreign</t>
  </si>
  <si>
    <t>nonjewishopinion</t>
  </si>
  <si>
    <t>strongleader</t>
  </si>
  <si>
    <t>people</t>
  </si>
  <si>
    <t>public</t>
  </si>
  <si>
    <t>selfishness</t>
  </si>
  <si>
    <t>value</t>
  </si>
  <si>
    <t>list</t>
  </si>
  <si>
    <t>reliance</t>
  </si>
  <si>
    <t>lifeisstruggle</t>
  </si>
  <si>
    <t>political</t>
  </si>
  <si>
    <t>compromise</t>
  </si>
  <si>
    <t>opinion</t>
  </si>
  <si>
    <t>diversity</t>
  </si>
  <si>
    <t>polarizing</t>
  </si>
  <si>
    <t>objectivism</t>
  </si>
  <si>
    <t>new</t>
  </si>
  <si>
    <t>ideas</t>
  </si>
  <si>
    <t>worth</t>
  </si>
  <si>
    <t>similarity</t>
  </si>
  <si>
    <t>decision</t>
  </si>
  <si>
    <t>capability</t>
  </si>
  <si>
    <t>termo</t>
  </si>
  <si>
    <t>USA</t>
  </si>
  <si>
    <t>neutral</t>
  </si>
  <si>
    <t>persuasion</t>
  </si>
  <si>
    <t>leaveisrael</t>
  </si>
  <si>
    <t>reason</t>
  </si>
  <si>
    <t>emotion</t>
  </si>
  <si>
    <t>happiness</t>
  </si>
  <si>
    <t>noservice</t>
  </si>
  <si>
    <t>family</t>
  </si>
  <si>
    <t>injured</t>
  </si>
  <si>
    <t>killed</t>
  </si>
  <si>
    <t>knowledge</t>
  </si>
  <si>
    <t>read</t>
  </si>
  <si>
    <t xml:space="preserve">security </t>
  </si>
  <si>
    <t>holocaust</t>
  </si>
  <si>
    <t>survivor</t>
  </si>
  <si>
    <t>injuredkilled</t>
  </si>
  <si>
    <t>good</t>
  </si>
  <si>
    <t>tax</t>
  </si>
  <si>
    <t>vote</t>
  </si>
  <si>
    <t>educabroad</t>
  </si>
  <si>
    <t>obedience</t>
  </si>
  <si>
    <t>emigrate</t>
  </si>
  <si>
    <t>elections</t>
  </si>
  <si>
    <t>73</t>
  </si>
  <si>
    <t>election</t>
  </si>
  <si>
    <t>prestige</t>
  </si>
  <si>
    <t>connections</t>
  </si>
  <si>
    <t>husband</t>
  </si>
  <si>
    <t>kippurwar</t>
  </si>
  <si>
    <t>responsibility</t>
  </si>
  <si>
    <t>arabcountries</t>
  </si>
  <si>
    <t>Superpowers</t>
  </si>
  <si>
    <t>golda</t>
  </si>
  <si>
    <t>belonging</t>
  </si>
  <si>
    <t>nation</t>
  </si>
  <si>
    <t>voting</t>
  </si>
  <si>
    <t>influence</t>
  </si>
  <si>
    <t>celebration</t>
  </si>
  <si>
    <t>municipality</t>
  </si>
  <si>
    <t>clarity</t>
  </si>
  <si>
    <t>services</t>
  </si>
  <si>
    <t>mayor</t>
  </si>
  <si>
    <t>replace</t>
  </si>
  <si>
    <t>electionsystem</t>
  </si>
  <si>
    <t>issues</t>
  </si>
  <si>
    <t>supporters</t>
  </si>
  <si>
    <t>Hamaarakh</t>
  </si>
  <si>
    <t>Herut</t>
  </si>
  <si>
    <t>Haolamhazeh</t>
  </si>
  <si>
    <t>appreciation</t>
  </si>
  <si>
    <t>birthcountry1</t>
  </si>
  <si>
    <t>occupation1</t>
  </si>
  <si>
    <t>age1</t>
  </si>
  <si>
    <t>birthcountry2</t>
  </si>
  <si>
    <t>occupation2</t>
  </si>
  <si>
    <t>age2</t>
  </si>
  <si>
    <t>asked</t>
  </si>
  <si>
    <t>asking</t>
  </si>
  <si>
    <t>younge</t>
  </si>
  <si>
    <t>covid</t>
  </si>
  <si>
    <t>discuss</t>
  </si>
  <si>
    <t>express</t>
  </si>
  <si>
    <t>security</t>
  </si>
  <si>
    <t>rally</t>
  </si>
  <si>
    <t>houseclasses</t>
  </si>
  <si>
    <t>hostinghouseclasses</t>
  </si>
  <si>
    <t>interest</t>
  </si>
  <si>
    <t>sportingevent</t>
  </si>
  <si>
    <t>work</t>
  </si>
  <si>
    <t>politics</t>
  </si>
  <si>
    <t>lectures</t>
  </si>
  <si>
    <t>civilsociety</t>
  </si>
  <si>
    <t>politicians</t>
  </si>
  <si>
    <t>inequality</t>
  </si>
  <si>
    <t>socioeconomic</t>
  </si>
  <si>
    <t>results</t>
  </si>
  <si>
    <t>economic</t>
  </si>
  <si>
    <t>socio</t>
  </si>
  <si>
    <t>information</t>
  </si>
  <si>
    <t>protest</t>
  </si>
  <si>
    <t>rabinassassination</t>
  </si>
  <si>
    <t>leftright</t>
  </si>
  <si>
    <t>explain</t>
  </si>
  <si>
    <t>right</t>
  </si>
  <si>
    <t>left</t>
  </si>
  <si>
    <t>polidentity</t>
  </si>
  <si>
    <t>affiliation</t>
  </si>
  <si>
    <t>conversion</t>
  </si>
  <si>
    <t>10</t>
  </si>
  <si>
    <t>foreignaffairs</t>
  </si>
  <si>
    <t>connection</t>
  </si>
  <si>
    <t>appraisal</t>
  </si>
  <si>
    <t>difference</t>
  </si>
  <si>
    <t>statereligion</t>
  </si>
  <si>
    <t>iran</t>
  </si>
  <si>
    <t>jerusalem</t>
  </si>
  <si>
    <t>lebanon</t>
  </si>
  <si>
    <t>corruption</t>
  </si>
  <si>
    <t>likud</t>
  </si>
  <si>
    <t>haavoda</t>
  </si>
  <si>
    <t>kadima</t>
  </si>
  <si>
    <t>shas</t>
  </si>
  <si>
    <t>habayithayehudi</t>
  </si>
  <si>
    <t>yisraelbeiteinu</t>
  </si>
  <si>
    <t>meretz</t>
  </si>
  <si>
    <t>kahollavan</t>
  </si>
  <si>
    <t>yeshatid</t>
  </si>
  <si>
    <t>tikvahadasha</t>
  </si>
  <si>
    <t>yamina</t>
  </si>
  <si>
    <t>yahaduthatora</t>
  </si>
  <si>
    <t>hareshimahameshutefet</t>
  </si>
  <si>
    <t>raam</t>
  </si>
  <si>
    <t>convertion</t>
  </si>
  <si>
    <t>talkvsact</t>
  </si>
  <si>
    <t>hawkvsdove</t>
  </si>
  <si>
    <t>hamaarakh</t>
  </si>
  <si>
    <t>territories</t>
  </si>
  <si>
    <t>shinui</t>
  </si>
  <si>
    <t>miflegethamerkaz</t>
  </si>
  <si>
    <t>yisraelahat</t>
  </si>
  <si>
    <t>hatnua</t>
  </si>
  <si>
    <t>yisraelbaaliyah</t>
  </si>
  <si>
    <t>otzmayehudit</t>
  </si>
  <si>
    <t>kulanu</t>
  </si>
  <si>
    <t>raambalad</t>
  </si>
  <si>
    <t>raamtaal</t>
  </si>
  <si>
    <t>hadash</t>
  </si>
  <si>
    <t>taal</t>
  </si>
  <si>
    <t>balad</t>
  </si>
  <si>
    <t>rightist</t>
  </si>
  <si>
    <t>leftist</t>
  </si>
  <si>
    <t>arab</t>
  </si>
  <si>
    <t>ultraorthodox</t>
  </si>
  <si>
    <t>secular</t>
  </si>
  <si>
    <t>ashkenazi</t>
  </si>
  <si>
    <t>sephardic</t>
  </si>
  <si>
    <t>moetzetyesha</t>
  </si>
  <si>
    <t>hatnuahaislamit</t>
  </si>
  <si>
    <t>gushemunim</t>
  </si>
  <si>
    <t>shalomachshav</t>
  </si>
  <si>
    <t>netanyahu</t>
  </si>
  <si>
    <t>sharon</t>
  </si>
  <si>
    <t>shamir</t>
  </si>
  <si>
    <t>menachembegin</t>
  </si>
  <si>
    <t>olmert</t>
  </si>
  <si>
    <t>bennybegin</t>
  </si>
  <si>
    <t>yitzhakmordechai</t>
  </si>
  <si>
    <t>davidlevy</t>
  </si>
  <si>
    <t>yitzhaknavon</t>
  </si>
  <si>
    <t>gantz</t>
  </si>
  <si>
    <t>liberman</t>
  </si>
  <si>
    <t>lapid</t>
  </si>
  <si>
    <t>amrammitzna</t>
  </si>
  <si>
    <t>rabin</t>
  </si>
  <si>
    <t>peres</t>
  </si>
  <si>
    <t>barak</t>
  </si>
  <si>
    <t>yachimovich</t>
  </si>
  <si>
    <t>herzog</t>
  </si>
  <si>
    <t>livni</t>
  </si>
  <si>
    <t>gabay</t>
  </si>
  <si>
    <t>peretz</t>
  </si>
  <si>
    <t>michaeli</t>
  </si>
  <si>
    <t>saar</t>
  </si>
  <si>
    <t>bennett</t>
  </si>
  <si>
    <t>shaked</t>
  </si>
  <si>
    <t>binyaminelon</t>
  </si>
  <si>
    <t>smotrich</t>
  </si>
  <si>
    <t>kahane</t>
  </si>
  <si>
    <t>yossibeilin</t>
  </si>
  <si>
    <t>galon</t>
  </si>
  <si>
    <t>zandberg</t>
  </si>
  <si>
    <t>horowitz</t>
  </si>
  <si>
    <t>kahlon</t>
  </si>
  <si>
    <t>deri</t>
  </si>
  <si>
    <t>eliyishai</t>
  </si>
  <si>
    <t>natansharansky</t>
  </si>
  <si>
    <t>odeh</t>
  </si>
  <si>
    <t>tibi</t>
  </si>
  <si>
    <t>mansourabbas</t>
  </si>
  <si>
    <t>mtanesshehadeh</t>
  </si>
  <si>
    <t>toumasuleiman</t>
  </si>
  <si>
    <t>masudghnaim</t>
  </si>
  <si>
    <t>jamalzahalka</t>
  </si>
  <si>
    <t>haneenzoabi</t>
  </si>
  <si>
    <t>mohammadbarakeh</t>
  </si>
  <si>
    <t>ibrahimsarsur</t>
  </si>
  <si>
    <t>azmibishara</t>
  </si>
  <si>
    <t>arafat</t>
  </si>
  <si>
    <t>pride</t>
  </si>
  <si>
    <t>israeli</t>
  </si>
  <si>
    <t>personality</t>
  </si>
  <si>
    <t>risktolerance</t>
  </si>
  <si>
    <t>apathy</t>
  </si>
  <si>
    <t>riskaverse</t>
  </si>
  <si>
    <t>empathy</t>
  </si>
  <si>
    <t>anxiety</t>
  </si>
  <si>
    <t>sirens</t>
  </si>
  <si>
    <t>intifada</t>
  </si>
  <si>
    <t>appropriate</t>
  </si>
  <si>
    <t>politicalcrisis</t>
  </si>
  <si>
    <t>anger</t>
  </si>
  <si>
    <t>disgust</t>
  </si>
  <si>
    <t>hope</t>
  </si>
  <si>
    <t>despair</t>
  </si>
  <si>
    <t>fear</t>
  </si>
  <si>
    <t>least</t>
  </si>
  <si>
    <t>strongvscareful</t>
  </si>
  <si>
    <t>saliency</t>
  </si>
  <si>
    <t>dayan</t>
  </si>
  <si>
    <t>pinchassapir</t>
  </si>
  <si>
    <t>yigalallon</t>
  </si>
  <si>
    <t>haimbarlev</t>
  </si>
  <si>
    <t>aryeheliav</t>
  </si>
  <si>
    <t>meirpail</t>
  </si>
  <si>
    <t>similar</t>
  </si>
  <si>
    <t>affinity</t>
  </si>
  <si>
    <t>yesno</t>
  </si>
  <si>
    <t>mostsalient</t>
  </si>
  <si>
    <t>mafdal</t>
  </si>
  <si>
    <t>politician</t>
  </si>
  <si>
    <t>strongnegotiator</t>
  </si>
  <si>
    <t>protectdemocracy</t>
  </si>
  <si>
    <t>dealwithterrorism</t>
  </si>
  <si>
    <t>jewishmajority</t>
  </si>
  <si>
    <t>corrupted</t>
  </si>
  <si>
    <t>reducesocioinequality</t>
  </si>
  <si>
    <t>separateisraelpalestinians</t>
  </si>
  <si>
    <t>reducedividednation</t>
  </si>
  <si>
    <t>reducejewishethniccleavage</t>
  </si>
  <si>
    <t>fostermizrahidignity</t>
  </si>
  <si>
    <t>goodrelationsusa</t>
  </si>
  <si>
    <t>experiencedleaders</t>
  </si>
  <si>
    <t>careforweak</t>
  </si>
  <si>
    <t>developedthestate</t>
  </si>
  <si>
    <t>integrateimmigrants</t>
  </si>
  <si>
    <t>decreaseunemployment</t>
  </si>
  <si>
    <t>representsmizrahi</t>
  </si>
  <si>
    <t>securefuture</t>
  </si>
  <si>
    <t>sectorial</t>
  </si>
  <si>
    <t>winwars</t>
  </si>
  <si>
    <t>national</t>
  </si>
  <si>
    <t>professionalassigning</t>
  </si>
  <si>
    <t>withdrawallebanon</t>
  </si>
  <si>
    <t>exploitingmizrahivoters</t>
  </si>
  <si>
    <t>strong</t>
  </si>
  <si>
    <t>experienced</t>
  </si>
  <si>
    <t>innovative</t>
  </si>
  <si>
    <t>young</t>
  </si>
  <si>
    <t>representsjewishetnicity</t>
  </si>
  <si>
    <t>careforcitizens</t>
  </si>
  <si>
    <t>honest</t>
  </si>
  <si>
    <t>reliable</t>
  </si>
  <si>
    <t>leadership</t>
  </si>
  <si>
    <t>careforrespondentsimillars</t>
  </si>
  <si>
    <t>trustworthy</t>
  </si>
  <si>
    <t>stateinterest</t>
  </si>
  <si>
    <t>negotiator</t>
  </si>
  <si>
    <t>ruleoflaw</t>
  </si>
  <si>
    <t>pressure</t>
  </si>
  <si>
    <t>religioncleavage</t>
  </si>
  <si>
    <t>decisionmaking</t>
  </si>
  <si>
    <t>initiative</t>
  </si>
  <si>
    <t>ideal</t>
  </si>
  <si>
    <t>youngold</t>
  </si>
  <si>
    <t>strongweak</t>
  </si>
  <si>
    <t>rightleft</t>
  </si>
  <si>
    <t>conservativeinnovative</t>
  </si>
  <si>
    <t>middleclassworkingclass</t>
  </si>
  <si>
    <t>sephardicashkenazi</t>
  </si>
  <si>
    <t>selfinterestcitizeninterest</t>
  </si>
  <si>
    <t>experience</t>
  </si>
  <si>
    <t>dovishhawkish</t>
  </si>
  <si>
    <t>honestcorrupted</t>
  </si>
  <si>
    <t>reliability</t>
  </si>
  <si>
    <t>positivenegative</t>
  </si>
  <si>
    <t>shortlong</t>
  </si>
  <si>
    <t>educational</t>
  </si>
  <si>
    <t>helpvoting</t>
  </si>
  <si>
    <t>knowproblem</t>
  </si>
  <si>
    <t>knowdifference</t>
  </si>
  <si>
    <t>unitingdividing</t>
  </si>
  <si>
    <t>knowpolitician</t>
  </si>
  <si>
    <t>wasteful</t>
  </si>
  <si>
    <t>crucial</t>
  </si>
  <si>
    <t>hopefuldespair</t>
  </si>
  <si>
    <t>just</t>
  </si>
  <si>
    <t>wanttolive</t>
  </si>
  <si>
    <t>livablejews</t>
  </si>
  <si>
    <t>democratic</t>
  </si>
  <si>
    <t>socialjustice</t>
  </si>
  <si>
    <t>goodnighbour</t>
  </si>
  <si>
    <t>zionistdream</t>
  </si>
  <si>
    <t>argument</t>
  </si>
  <si>
    <t>strongleaders</t>
  </si>
  <si>
    <t>economiccare</t>
  </si>
  <si>
    <t>jewishstate</t>
  </si>
  <si>
    <t>Hamaarakhrebuild</t>
  </si>
  <si>
    <t>Hamaarakhcanttrust</t>
  </si>
  <si>
    <t>lesserevil</t>
  </si>
  <si>
    <t>Hamaarakhbadleaders</t>
  </si>
  <si>
    <t>Hamaarakhsecuritypolicy</t>
  </si>
  <si>
    <t>Hamaarakhpalestinianstate</t>
  </si>
  <si>
    <t>newleadership</t>
  </si>
  <si>
    <t>freshleadership</t>
  </si>
  <si>
    <t>stopcorruption</t>
  </si>
  <si>
    <t>democraticparty</t>
  </si>
  <si>
    <t>Hamaarakhcorruption</t>
  </si>
  <si>
    <t>helpcareer</t>
  </si>
  <si>
    <t>helppersonally</t>
  </si>
  <si>
    <t>Hamaarakhsocioeconomic</t>
  </si>
  <si>
    <t>noterritoriesrestitution</t>
  </si>
  <si>
    <t>Hamaarakhresponsible73</t>
  </si>
  <si>
    <t>betterleaders</t>
  </si>
  <si>
    <t>offeredbigcoalition</t>
  </si>
  <si>
    <t>expirenced</t>
  </si>
  <si>
    <t>problemsolving</t>
  </si>
  <si>
    <t>bloccohesion</t>
  </si>
  <si>
    <t>likudbadleaders</t>
  </si>
  <si>
    <t>palestinianstate</t>
  </si>
  <si>
    <t>restitutionforpeace</t>
  </si>
  <si>
    <t>changeelectionsystem</t>
  </si>
  <si>
    <t>likudextremist</t>
  </si>
  <si>
    <t>dashsimilar</t>
  </si>
  <si>
    <t>likuddashinexperiencedleaders</t>
  </si>
  <si>
    <t>fearofinstability</t>
  </si>
  <si>
    <t>telem</t>
  </si>
  <si>
    <t>Hamaarakhlikudworst</t>
  </si>
  <si>
    <t>truechange</t>
  </si>
  <si>
    <t>Hamaarakhlikudcantmanage</t>
  </si>
  <si>
    <t>Hamaarakhlikudpalestinianstate</t>
  </si>
  <si>
    <t>dash</t>
  </si>
  <si>
    <t>goodleadership</t>
  </si>
  <si>
    <t>territoriespeace</t>
  </si>
  <si>
    <t>Hamaarakhlikudsimilar</t>
  </si>
  <si>
    <t>hamaarakhlikudcorruption</t>
  </si>
  <si>
    <t>hamaarakhlikudcantimprove</t>
  </si>
  <si>
    <t>goodforstate</t>
  </si>
  <si>
    <t>considerstatements</t>
  </si>
  <si>
    <t>stable</t>
  </si>
  <si>
    <t>obsolete</t>
  </si>
  <si>
    <t>badprimeminister</t>
  </si>
  <si>
    <t>badministerdefence</t>
  </si>
  <si>
    <t>temperamental</t>
  </si>
  <si>
    <t>medicallyunfit</t>
  </si>
  <si>
    <t>adventurous</t>
  </si>
  <si>
    <t>belongtoopposition</t>
  </si>
  <si>
    <t>teamwork</t>
  </si>
  <si>
    <t>decisive</t>
  </si>
  <si>
    <t>television</t>
  </si>
  <si>
    <t>slippery</t>
  </si>
  <si>
    <t>tired</t>
  </si>
  <si>
    <t>primeminister</t>
  </si>
  <si>
    <t>ministerdefence</t>
  </si>
  <si>
    <t>ministerforeignaffairs</t>
  </si>
  <si>
    <t>reelection</t>
  </si>
  <si>
    <t>deritrial</t>
  </si>
  <si>
    <t>today</t>
  </si>
  <si>
    <t>direct</t>
  </si>
  <si>
    <t>scenario</t>
  </si>
  <si>
    <t>99</t>
  </si>
  <si>
    <t>voted</t>
  </si>
  <si>
    <t>deliberating</t>
  </si>
  <si>
    <t>rabinresignation</t>
  </si>
  <si>
    <t>deliberating2</t>
  </si>
  <si>
    <t>threshold</t>
  </si>
  <si>
    <t>white</t>
  </si>
  <si>
    <t>polls</t>
  </si>
  <si>
    <t>tv</t>
  </si>
  <si>
    <t>campaignadvertising</t>
  </si>
  <si>
    <t>newspapers</t>
  </si>
  <si>
    <t>radio</t>
  </si>
  <si>
    <t>conversations</t>
  </si>
  <si>
    <t>intention</t>
  </si>
  <si>
    <t>bigpartytie</t>
  </si>
  <si>
    <t>media</t>
  </si>
  <si>
    <t>separatedlikud</t>
  </si>
  <si>
    <t>96</t>
  </si>
  <si>
    <t>13</t>
  </si>
  <si>
    <t>femalecandidate</t>
  </si>
  <si>
    <t>mizrahicandidate</t>
  </si>
  <si>
    <t>womeninparty</t>
  </si>
  <si>
    <t>mizrahiinparty</t>
  </si>
  <si>
    <t>notvoting</t>
  </si>
  <si>
    <t>indirect</t>
  </si>
  <si>
    <t>calls</t>
  </si>
  <si>
    <t>barakresignation</t>
  </si>
  <si>
    <t>01</t>
  </si>
  <si>
    <t>multipalevotes</t>
  </si>
  <si>
    <t>shamirlikudleader</t>
  </si>
  <si>
    <t>haavodaprimaries</t>
  </si>
  <si>
    <t>haavodalist</t>
  </si>
  <si>
    <t>likudlist</t>
  </si>
  <si>
    <t>likudprimaries</t>
  </si>
  <si>
    <t>rabinhaavodaleader</t>
  </si>
  <si>
    <t>nationalunitygovernment</t>
  </si>
  <si>
    <t>immintegration</t>
  </si>
  <si>
    <t>unemployment</t>
  </si>
  <si>
    <t>peaceprocessgovpolicy</t>
  </si>
  <si>
    <t>likudsettlementpolicy</t>
  </si>
  <si>
    <t>personalcondition</t>
  </si>
  <si>
    <t>firstelection</t>
  </si>
  <si>
    <t>coworkers</t>
  </si>
  <si>
    <t>boss</t>
  </si>
  <si>
    <t>familymember</t>
  </si>
  <si>
    <t>inflation</t>
  </si>
  <si>
    <t>certainty</t>
  </si>
  <si>
    <t>aridorplan</t>
  </si>
  <si>
    <t>vacation</t>
  </si>
  <si>
    <t>help</t>
  </si>
  <si>
    <t>befor2months</t>
  </si>
  <si>
    <t>lebanon81</t>
  </si>
  <si>
    <t>peresrabin81</t>
  </si>
  <si>
    <t>beformonth</t>
  </si>
  <si>
    <t>never</t>
  </si>
  <si>
    <t>delay</t>
  </si>
  <si>
    <t>help1</t>
  </si>
  <si>
    <t>help2</t>
  </si>
  <si>
    <t>media1</t>
  </si>
  <si>
    <t>media2</t>
  </si>
  <si>
    <t>forvsagainst</t>
  </si>
  <si>
    <t>likeusual</t>
  </si>
  <si>
    <t>dayanparty</t>
  </si>
  <si>
    <t>81</t>
  </si>
  <si>
    <t>hamaarakhwinhistadrut</t>
  </si>
  <si>
    <t>histadrutelections</t>
  </si>
  <si>
    <t>sameasparliament</t>
  </si>
  <si>
    <t>importantsubject</t>
  </si>
  <si>
    <t>favoritepolitician</t>
  </si>
  <si>
    <t>separatedhamaarakh</t>
  </si>
  <si>
    <t>77</t>
  </si>
  <si>
    <t>69</t>
  </si>
  <si>
    <t>hard</t>
  </si>
  <si>
    <t>duty</t>
  </si>
  <si>
    <t>consult</t>
  </si>
  <si>
    <t>efficacy</t>
  </si>
  <si>
    <t>loyalty</t>
  </si>
  <si>
    <t>othercountry</t>
  </si>
  <si>
    <t>campaign</t>
  </si>
  <si>
    <t>sitwithnetanyahu</t>
  </si>
  <si>
    <t>win</t>
  </si>
  <si>
    <t>secondround</t>
  </si>
  <si>
    <t>biggest</t>
  </si>
  <si>
    <t>coalition</t>
  </si>
  <si>
    <t>haihudhaleumi</t>
  </si>
  <si>
    <t>votingparty</t>
  </si>
  <si>
    <t>sits</t>
  </si>
  <si>
    <t>likudultraorthodox</t>
  </si>
  <si>
    <t>haavodaultraorthodox</t>
  </si>
  <si>
    <t>likudright</t>
  </si>
  <si>
    <t>haavodameretz</t>
  </si>
  <si>
    <t>nationalunity</t>
  </si>
  <si>
    <t>rightultraorthodox</t>
  </si>
  <si>
    <t>haavodashinui</t>
  </si>
  <si>
    <t>meretzarab</t>
  </si>
  <si>
    <t>electionday</t>
  </si>
  <si>
    <t>breakpromise</t>
  </si>
  <si>
    <t>ministerfinance</t>
  </si>
  <si>
    <t>hamaarakhrival</t>
  </si>
  <si>
    <t>hamaarakhgovernmentstructure</t>
  </si>
  <si>
    <t>smallparties</t>
  </si>
  <si>
    <t>influential</t>
  </si>
  <si>
    <t>nationstatebill</t>
  </si>
  <si>
    <t>bigparties</t>
  </si>
  <si>
    <t>center</t>
  </si>
  <si>
    <t>foreigninterest</t>
  </si>
  <si>
    <t>arabjewish</t>
  </si>
  <si>
    <t>leaders</t>
  </si>
  <si>
    <t>extremists</t>
  </si>
  <si>
    <t>femaleprimeminister</t>
  </si>
  <si>
    <t>directelections</t>
  </si>
  <si>
    <t>primaries</t>
  </si>
  <si>
    <t>regional</t>
  </si>
  <si>
    <t>result</t>
  </si>
  <si>
    <t>securityincampaign</t>
  </si>
  <si>
    <t>leader</t>
  </si>
  <si>
    <t>canrule</t>
  </si>
  <si>
    <t>mapamresignation</t>
  </si>
  <si>
    <t>strengthened</t>
  </si>
  <si>
    <t>interview</t>
  </si>
  <si>
    <t>delay73</t>
  </si>
  <si>
    <t>newlikud</t>
  </si>
  <si>
    <t>function</t>
  </si>
  <si>
    <t>incoalition</t>
  </si>
  <si>
    <t>ideology</t>
  </si>
  <si>
    <t>change</t>
  </si>
  <si>
    <t>last4years</t>
  </si>
  <si>
    <t>taxrich</t>
  </si>
  <si>
    <t>govinvolvement</t>
  </si>
  <si>
    <t>raiseowntax</t>
  </si>
  <si>
    <t>budget</t>
  </si>
  <si>
    <t>education</t>
  </si>
  <si>
    <t>health</t>
  </si>
  <si>
    <t>police</t>
  </si>
  <si>
    <t>oldage</t>
  </si>
  <si>
    <t>settlements</t>
  </si>
  <si>
    <t>arabsector</t>
  </si>
  <si>
    <t>createnewjobs</t>
  </si>
  <si>
    <t>housing</t>
  </si>
  <si>
    <t>ecology</t>
  </si>
  <si>
    <t>roadsafty</t>
  </si>
  <si>
    <t>securitytoservices</t>
  </si>
  <si>
    <t>servicestosecurity</t>
  </si>
  <si>
    <t>2011</t>
  </si>
  <si>
    <t>jewishethniccleavage</t>
  </si>
  <si>
    <t>securitybudgetcutdepression</t>
  </si>
  <si>
    <t>radicalvsconservative</t>
  </si>
  <si>
    <t>arabmunicipalitystatus</t>
  </si>
  <si>
    <t>equalreserve</t>
  </si>
  <si>
    <t>violence</t>
  </si>
  <si>
    <t>emigration</t>
  </si>
  <si>
    <t>crime</t>
  </si>
  <si>
    <t>evaluation</t>
  </si>
  <si>
    <t>plan</t>
  </si>
  <si>
    <t>aridor</t>
  </si>
  <si>
    <t>benshahar</t>
  </si>
  <si>
    <t>helpeconomy</t>
  </si>
  <si>
    <t>likudwin</t>
  </si>
  <si>
    <t>helpclass</t>
  </si>
  <si>
    <t>buy</t>
  </si>
  <si>
    <t>influencedbypolicy</t>
  </si>
  <si>
    <t>next4years</t>
  </si>
  <si>
    <t>enterprises</t>
  </si>
  <si>
    <t>strengtheneconomy</t>
  </si>
  <si>
    <t>economicinequality</t>
  </si>
  <si>
    <t>inflationvsunemployment</t>
  </si>
  <si>
    <t>groups</t>
  </si>
  <si>
    <t>restrict</t>
  </si>
  <si>
    <t>privatization</t>
  </si>
  <si>
    <t>mail</t>
  </si>
  <si>
    <t>trains</t>
  </si>
  <si>
    <t>electricity</t>
  </si>
  <si>
    <t>foodproducts</t>
  </si>
  <si>
    <t>radiotv</t>
  </si>
  <si>
    <t>phone</t>
  </si>
  <si>
    <t>subsidy</t>
  </si>
  <si>
    <t>USSRvsUSA</t>
  </si>
  <si>
    <t>privatesector</t>
  </si>
  <si>
    <t>limitstrike</t>
  </si>
  <si>
    <t>marriage</t>
  </si>
  <si>
    <t>relativeposition</t>
  </si>
  <si>
    <t>jewishpubliclife</t>
  </si>
  <si>
    <t>jewishvsdemocratic</t>
  </si>
  <si>
    <t>civilmarrige</t>
  </si>
  <si>
    <t>uoserve</t>
  </si>
  <si>
    <t>separatereligionstate</t>
  </si>
  <si>
    <t>jewishvscivic</t>
  </si>
  <si>
    <t>aavoda</t>
  </si>
  <si>
    <t>publicpool</t>
  </si>
  <si>
    <t>yeshivaexemption</t>
  </si>
  <si>
    <t>transportationshabbat</t>
  </si>
  <si>
    <t>religiousstate</t>
  </si>
  <si>
    <t>footballshabbat</t>
  </si>
  <si>
    <t>jews</t>
  </si>
  <si>
    <t>diaspora mustimmigrate</t>
  </si>
  <si>
    <t>statusquo</t>
  </si>
  <si>
    <t>koshermeat</t>
  </si>
  <si>
    <t>unity</t>
  </si>
  <si>
    <t>terrorism</t>
  </si>
  <si>
    <t>lawvssecurity</t>
  </si>
  <si>
    <t>founders</t>
  </si>
  <si>
    <t>protectiveedge</t>
  </si>
  <si>
    <t>castlead</t>
  </si>
  <si>
    <t>responsetorockets</t>
  </si>
  <si>
    <t>gaza</t>
  </si>
  <si>
    <t>confrontationwithUSA</t>
  </si>
  <si>
    <t>attackingciviliens</t>
  </si>
  <si>
    <t>attacknuclearfacility</t>
  </si>
  <si>
    <t>expandpolicepowers</t>
  </si>
  <si>
    <t>biochemicalenemy</t>
  </si>
  <si>
    <t>nuclearenemy</t>
  </si>
  <si>
    <t>warinnorth</t>
  </si>
  <si>
    <t>arabstats</t>
  </si>
  <si>
    <t>osloII</t>
  </si>
  <si>
    <t>startwar</t>
  </si>
  <si>
    <t>returnterritoriestojordan</t>
  </si>
  <si>
    <t>palestinianautonomy</t>
  </si>
  <si>
    <t>annexation</t>
  </si>
  <si>
    <t>nochange</t>
  </si>
  <si>
    <t>getby</t>
  </si>
  <si>
    <t>warallarabstats</t>
  </si>
  <si>
    <t>wareastfront</t>
  </si>
  <si>
    <t>warsyria</t>
  </si>
  <si>
    <t>increaseterrorism</t>
  </si>
  <si>
    <t>pcirebellion</t>
  </si>
  <si>
    <t>territoriesrebellion</t>
  </si>
  <si>
    <t>UNsanctions</t>
  </si>
  <si>
    <t>USAdecreasesupport</t>
  </si>
  <si>
    <t>USAstopsupport</t>
  </si>
  <si>
    <t>USSRsupportenemys</t>
  </si>
  <si>
    <t>IDFmorality</t>
  </si>
  <si>
    <t>settlementshelpsecurity</t>
  </si>
  <si>
    <t>winbyforce</t>
  </si>
  <si>
    <t>offensevsdefence</t>
  </si>
  <si>
    <t>north</t>
  </si>
  <si>
    <t>firstlebanonwar</t>
  </si>
  <si>
    <t>destroyhouses</t>
  </si>
  <si>
    <t>deportcollaborators</t>
  </si>
  <si>
    <t>avoidciviliancasualties</t>
  </si>
  <si>
    <t>tolerateciviliancasualties</t>
  </si>
  <si>
    <t>assassinateleaders</t>
  </si>
  <si>
    <t>retaliatecollaboratingstates</t>
  </si>
  <si>
    <t>terroristsforcivilhostages</t>
  </si>
  <si>
    <t>terroristsforIDFhostages</t>
  </si>
  <si>
    <t>defendagainstdestruction</t>
  </si>
  <si>
    <t>defendagainstlandloss</t>
  </si>
  <si>
    <t>stopattritionwarfare</t>
  </si>
  <si>
    <t>preventpowerfulenemy</t>
  </si>
  <si>
    <t>replaceregime</t>
  </si>
  <si>
    <t>conquerterritories</t>
  </si>
  <si>
    <t>intelligence</t>
  </si>
  <si>
    <t>helpUSA</t>
  </si>
  <si>
    <t>helplocalally</t>
  </si>
  <si>
    <t>fightterrorism</t>
  </si>
  <si>
    <t>nuclearweapon</t>
  </si>
  <si>
    <t>usenuclearweapon</t>
  </si>
  <si>
    <t>respondnuclearattack</t>
  </si>
  <si>
    <t>preventdefeat</t>
  </si>
  <si>
    <t>preventalotcasualties</t>
  </si>
  <si>
    <t>preventsomecasualties</t>
  </si>
  <si>
    <t>replacearmy</t>
  </si>
  <si>
    <t>ownsnuclearweapon</t>
  </si>
  <si>
    <t>proclaimnuclearweapon</t>
  </si>
  <si>
    <t>sacrificeforindependence</t>
  </si>
  <si>
    <t>nucleardeterrence</t>
  </si>
  <si>
    <t>allianceUSA</t>
  </si>
  <si>
    <t>mostdangerousenemy</t>
  </si>
  <si>
    <t>israeldestraction</t>
  </si>
  <si>
    <t>rational</t>
  </si>
  <si>
    <t>arabstates</t>
  </si>
  <si>
    <t>rejectisrael</t>
  </si>
  <si>
    <t>antisemitism</t>
  </si>
  <si>
    <t>foreigntomiddleeast</t>
  </si>
  <si>
    <t>technologicaladvantage</t>
  </si>
  <si>
    <t>colonial</t>
  </si>
  <si>
    <t>releaseterritories67</t>
  </si>
  <si>
    <t>fearaggressiveness</t>
  </si>
  <si>
    <t>longerservice</t>
  </si>
  <si>
    <t>longerreserve</t>
  </si>
  <si>
    <t>strengthen</t>
  </si>
  <si>
    <t>weaponsystems</t>
  </si>
  <si>
    <t>lavi</t>
  </si>
  <si>
    <t>mostimportant</t>
  </si>
  <si>
    <t>publicopinion</t>
  </si>
  <si>
    <t>supportgovduringwar</t>
  </si>
  <si>
    <t>securitypersonnel</t>
  </si>
  <si>
    <t>disagreegov</t>
  </si>
  <si>
    <t>talktocommanders</t>
  </si>
  <si>
    <t>informmedia</t>
  </si>
  <si>
    <t>criticizeinmedia</t>
  </si>
  <si>
    <t>resign</t>
  </si>
  <si>
    <t>disobey</t>
  </si>
  <si>
    <t>responsibly</t>
  </si>
  <si>
    <t>ratio</t>
  </si>
  <si>
    <t>mediastatements</t>
  </si>
  <si>
    <t>trustweaponssupply</t>
  </si>
  <si>
    <t>spyUSA</t>
  </si>
  <si>
    <t>USAspyisrael</t>
  </si>
  <si>
    <t>WWIII</t>
  </si>
  <si>
    <t>severancesouthafrica</t>
  </si>
  <si>
    <t>agranatcommission</t>
  </si>
  <si>
    <t>influencegov</t>
  </si>
  <si>
    <t>beforkippurwar</t>
  </si>
  <si>
    <t>presonalmood</t>
  </si>
  <si>
    <t>nationalmood</t>
  </si>
  <si>
    <t>wanttoliveinisrael</t>
  </si>
  <si>
    <t>palestinians</t>
  </si>
  <si>
    <t>protectedbysuperpower</t>
  </si>
  <si>
    <t>peacevsmilitary</t>
  </si>
  <si>
    <t>westbank</t>
  </si>
  <si>
    <t>eastjerusalem</t>
  </si>
  <si>
    <t>evacuatesettlements</t>
  </si>
  <si>
    <t>anotherintifada</t>
  </si>
  <si>
    <t>onesidedrestitution</t>
  </si>
  <si>
    <t>peacewithoutrestitution</t>
  </si>
  <si>
    <t>peace</t>
  </si>
  <si>
    <t>endconflicts</t>
  </si>
  <si>
    <t>restitutegolan</t>
  </si>
  <si>
    <t>stopprocessesevenifwar</t>
  </si>
  <si>
    <t>encouragearabmigration</t>
  </si>
  <si>
    <t>wallpalestinians</t>
  </si>
  <si>
    <t>negotiateduringterror</t>
  </si>
  <si>
    <t>transferpalestinians</t>
  </si>
  <si>
    <t>transferpci</t>
  </si>
  <si>
    <t>startprocessesevenifrestitution</t>
  </si>
  <si>
    <t>trumppeaceplan</t>
  </si>
  <si>
    <t>peaceprocesses</t>
  </si>
  <si>
    <t>olmertwin</t>
  </si>
  <si>
    <t>eastjerusalemrestitution</t>
  </si>
  <si>
    <t>templemountrestitution</t>
  </si>
  <si>
    <t>returnsomerefugees</t>
  </si>
  <si>
    <t>jordanriftrestitution</t>
  </si>
  <si>
    <t>everything</t>
  </si>
  <si>
    <t>clintonparameters</t>
  </si>
  <si>
    <t>warunlesspeace</t>
  </si>
  <si>
    <t>strengthensecurity</t>
  </si>
  <si>
    <t>strengthenforeignaffairs</t>
  </si>
  <si>
    <t>stopconflict</t>
  </si>
  <si>
    <t>importanceofterritories</t>
  </si>
  <si>
    <t>treacherousarabs</t>
  </si>
  <si>
    <t>displacesettlersunpair</t>
  </si>
  <si>
    <t>waitbetterplan</t>
  </si>
  <si>
    <t>jerusalemholiness</t>
  </si>
  <si>
    <t>against</t>
  </si>
  <si>
    <t>oslo</t>
  </si>
  <si>
    <t>segregationinwestbank</t>
  </si>
  <si>
    <t>PLO</t>
  </si>
  <si>
    <t>abletostopterrorism</t>
  </si>
  <si>
    <t>negotiatePLOstopterrorism</t>
  </si>
  <si>
    <t>majoritywantpeace</t>
  </si>
  <si>
    <t>peacearabstatespossible</t>
  </si>
  <si>
    <t>influencearabstateswillingness</t>
  </si>
  <si>
    <t>autonomyconsequences</t>
  </si>
  <si>
    <t>participationpeaceconference</t>
  </si>
  <si>
    <t>settlingterritories</t>
  </si>
  <si>
    <t>rabinvsshamir</t>
  </si>
  <si>
    <t>ownterritories</t>
  </si>
  <si>
    <t>rightonland</t>
  </si>
  <si>
    <t>preventpalestinianstate</t>
  </si>
  <si>
    <t>eastwarstrategy</t>
  </si>
  <si>
    <t>negotiationleveragejordan</t>
  </si>
  <si>
    <t>keepegyptpeace</t>
  </si>
  <si>
    <t>egyptpeaceretro</t>
  </si>
  <si>
    <t>foughtawar</t>
  </si>
  <si>
    <t>westbankjordanpeace</t>
  </si>
  <si>
    <t>restitutionwestbank</t>
  </si>
  <si>
    <t>palestinianmajority</t>
  </si>
  <si>
    <t>securitypeaceprocess</t>
  </si>
  <si>
    <t>negotiatePLO</t>
  </si>
  <si>
    <t>electionsbeforrestitution</t>
  </si>
  <si>
    <t>oppositionagainst</t>
  </si>
  <si>
    <t>govagainst</t>
  </si>
  <si>
    <t>restitutionpreventpeace</t>
  </si>
  <si>
    <t>leadtosurender</t>
  </si>
  <si>
    <t>restitutioforpeace</t>
  </si>
  <si>
    <t>friend</t>
  </si>
  <si>
    <t>orientalism</t>
  </si>
  <si>
    <t>hostiletojews</t>
  </si>
  <si>
    <t>hostiletoisrael</t>
  </si>
  <si>
    <t>obligationtoregime</t>
  </si>
  <si>
    <t>authoritarianleader</t>
  </si>
  <si>
    <t>bendrulesforrightend</t>
  </si>
  <si>
    <t>equalrightscitizens</t>
  </si>
  <si>
    <t>freespeech</t>
  </si>
  <si>
    <t>againstcompromise</t>
  </si>
  <si>
    <t>parliament</t>
  </si>
  <si>
    <t>supremecourt</t>
  </si>
  <si>
    <t>stateattorney</t>
  </si>
  <si>
    <t>trait</t>
  </si>
  <si>
    <t>livedemostate</t>
  </si>
  <si>
    <t>undemocraticisrael</t>
  </si>
  <si>
    <t>bestregime</t>
  </si>
  <si>
    <t>judicalreview</t>
  </si>
  <si>
    <t>importantedecisiononlyjews</t>
  </si>
  <si>
    <t>publicdiscourse</t>
  </si>
  <si>
    <t>limitcivilrightsforsecurity</t>
  </si>
  <si>
    <t>civilrightsifannexation</t>
  </si>
  <si>
    <t>disqualifybaladraamtaal2009</t>
  </si>
  <si>
    <t>deathsentenceterrorism</t>
  </si>
  <si>
    <t>supervisiononsecurityservices</t>
  </si>
  <si>
    <t>cantbeprimeminister</t>
  </si>
  <si>
    <t>outlawgroup</t>
  </si>
  <si>
    <t>canbeontv</t>
  </si>
  <si>
    <t>eavesdropphone</t>
  </si>
  <si>
    <t>canparty</t>
  </si>
  <si>
    <t>progressivelistforpeace</t>
  </si>
  <si>
    <t>outlaw</t>
  </si>
  <si>
    <t>kach</t>
  </si>
  <si>
    <t>rakah</t>
  </si>
  <si>
    <t>encourageemigration</t>
  </si>
  <si>
    <t>lesspanishmentoffensepalestinians</t>
  </si>
  <si>
    <t>minorityinterest</t>
  </si>
  <si>
    <t>pos</t>
  </si>
  <si>
    <t>replaceallinstitutes</t>
  </si>
  <si>
    <t>forcefulnessonlyway</t>
  </si>
  <si>
    <t>oneparty</t>
  </si>
  <si>
    <t>politicaleducation</t>
  </si>
  <si>
    <t>IDFpoliticization</t>
  </si>
  <si>
    <t>strongopposition</t>
  </si>
  <si>
    <t>replacerulingparty</t>
  </si>
  <si>
    <t>exploitingcitizens</t>
  </si>
  <si>
    <t>opposition</t>
  </si>
  <si>
    <t>servingstatelikecoalition</t>
  </si>
  <si>
    <t>democtacy</t>
  </si>
  <si>
    <t>onepartyparliament</t>
  </si>
  <si>
    <t>damegeunity</t>
  </si>
  <si>
    <t>fulfilcivilduty</t>
  </si>
  <si>
    <t>protestgovernment</t>
  </si>
  <si>
    <t>palestinian</t>
  </si>
  <si>
    <t>directparliamentelections</t>
  </si>
  <si>
    <t>governance</t>
  </si>
  <si>
    <t>specialistsdecision</t>
  </si>
  <si>
    <t>narrowvswide</t>
  </si>
  <si>
    <t>traditionalmedium</t>
  </si>
  <si>
    <t>socialmedia</t>
  </si>
  <si>
    <t>newspaperandwebsite</t>
  </si>
  <si>
    <t>newspaper</t>
  </si>
  <si>
    <t>newswebsite</t>
  </si>
  <si>
    <t>channel</t>
  </si>
  <si>
    <t>politicianpartycontent</t>
  </si>
  <si>
    <t>postonpoliticianpartypage</t>
  </si>
  <si>
    <t>respondpoliticianpartycontent</t>
  </si>
  <si>
    <t>sharepoliticianpartycontent</t>
  </si>
  <si>
    <t>readpoliticianpartycontent</t>
  </si>
  <si>
    <t>followpoliticianparty</t>
  </si>
  <si>
    <t>postpoliticalcontent</t>
  </si>
  <si>
    <t>politicalactivity</t>
  </si>
  <si>
    <t>internetelections</t>
  </si>
  <si>
    <t>email</t>
  </si>
  <si>
    <t>blogs</t>
  </si>
  <si>
    <t>talkbacks</t>
  </si>
  <si>
    <t>chats</t>
  </si>
  <si>
    <t>favoritepoliticianpartysite</t>
  </si>
  <si>
    <t>otherpoliticianpartysite</t>
  </si>
  <si>
    <t>videosites</t>
  </si>
  <si>
    <t>newssites</t>
  </si>
  <si>
    <t>YNET</t>
  </si>
  <si>
    <t>politicianpartysite</t>
  </si>
  <si>
    <t>banpollsbeforelections</t>
  </si>
  <si>
    <t>cables</t>
  </si>
  <si>
    <t>channel2</t>
  </si>
  <si>
    <t>video</t>
  </si>
  <si>
    <t>subject</t>
  </si>
  <si>
    <t>reasonyes</t>
  </si>
  <si>
    <t>reasonno</t>
  </si>
  <si>
    <t>similaropinions</t>
  </si>
  <si>
    <t>differentopinions</t>
  </si>
  <si>
    <t>politician1</t>
  </si>
  <si>
    <t>politician2</t>
  </si>
  <si>
    <t>publicvspersonal1</t>
  </si>
  <si>
    <t>publicvspersonal2</t>
  </si>
  <si>
    <t>debatvsseparate</t>
  </si>
  <si>
    <t>electionssection</t>
  </si>
  <si>
    <t>medium</t>
  </si>
  <si>
    <t>frequency</t>
  </si>
  <si>
    <t>knowledgefordebates</t>
  </si>
  <si>
    <t>knowledgepoliticians</t>
  </si>
  <si>
    <t>knowledgeparty</t>
  </si>
  <si>
    <t>helpdecisionvote</t>
  </si>
  <si>
    <t>reevaluatfavoritparty</t>
  </si>
  <si>
    <t>evaluatwinchance</t>
  </si>
  <si>
    <t>knowledgepoliticalcondition</t>
  </si>
  <si>
    <t>affecthappinessstruggle</t>
  </si>
  <si>
    <t>olnyoption</t>
  </si>
  <si>
    <t>nointerestpolitics</t>
  </si>
  <si>
    <t>preferenceentertainment</t>
  </si>
  <si>
    <t>affectnotrustparty</t>
  </si>
  <si>
    <t>unseriouspoliticians</t>
  </si>
  <si>
    <t>decisionmade</t>
  </si>
  <si>
    <t>hardtounderstand</t>
  </si>
  <si>
    <t>nopropagandahousehold</t>
  </si>
  <si>
    <t>nonewknowledge</t>
  </si>
  <si>
    <t>affectnotrustpoliticians</t>
  </si>
  <si>
    <t>interesting</t>
  </si>
  <si>
    <t>leadervsmovie</t>
  </si>
  <si>
    <t>convincing</t>
  </si>
  <si>
    <t>haaretz</t>
  </si>
  <si>
    <t>davar</t>
  </si>
  <si>
    <t>omer</t>
  </si>
  <si>
    <t>lamerhav</t>
  </si>
  <si>
    <t>alhamishmar</t>
  </si>
  <si>
    <t>hayom</t>
  </si>
  <si>
    <t>kolhaam</t>
  </si>
  <si>
    <t>hatzofe</t>
  </si>
  <si>
    <t>maariv</t>
  </si>
  <si>
    <t>yediothahronoth</t>
  </si>
  <si>
    <t>jerusalempost</t>
  </si>
  <si>
    <t>other</t>
  </si>
  <si>
    <t>politicalknowledge</t>
  </si>
  <si>
    <t>supremecourtpresident</t>
  </si>
  <si>
    <t>secoundhighestbudget</t>
  </si>
  <si>
    <t>Speakerofparliament</t>
  </si>
  <si>
    <t>renewdiplomaticrelations</t>
  </si>
  <si>
    <t>securitybudget</t>
  </si>
  <si>
    <t>manufacturF16</t>
  </si>
  <si>
    <t>USAmilitaryaid</t>
  </si>
  <si>
    <t>IDFsubmarine</t>
  </si>
  <si>
    <t>jibrilagreement</t>
  </si>
  <si>
    <t>territoriespalestinianssupremecourt</t>
  </si>
  <si>
    <t>territoriespalestiniansvotingright</t>
  </si>
  <si>
    <t>feminist</t>
  </si>
  <si>
    <t>women</t>
  </si>
  <si>
    <t>IDFservice</t>
  </si>
  <si>
    <t>harassmentresponsibility</t>
  </si>
  <si>
    <t>abortionright</t>
  </si>
  <si>
    <t>affirmativeaction</t>
  </si>
  <si>
    <t>politicsforman</t>
  </si>
  <si>
    <t>gendereddivisionoflabor</t>
  </si>
  <si>
    <t>durablerelationship</t>
  </si>
  <si>
    <t>representativeness</t>
  </si>
  <si>
    <t>partypolitician</t>
  </si>
  <si>
    <t>passinglaws</t>
  </si>
  <si>
    <t>chosenpartypolitician</t>
  </si>
  <si>
    <t>considerpublicopinion</t>
  </si>
  <si>
    <t>closeness</t>
  </si>
  <si>
    <t>diversegroups</t>
  </si>
  <si>
    <t>pridebelongingpublic</t>
  </si>
  <si>
    <t>diverseopinions</t>
  </si>
  <si>
    <t>identitiy</t>
  </si>
  <si>
    <t>votingdoesntmatter</t>
  </si>
  <si>
    <t>falsepromises</t>
  </si>
  <si>
    <t>corruptionuncommon</t>
  </si>
  <si>
    <t>unrepresentative</t>
  </si>
  <si>
    <t>electionsysetem</t>
  </si>
  <si>
    <t>twistvoterswill</t>
  </si>
  <si>
    <t>lastvoted</t>
  </si>
  <si>
    <t>vs</t>
  </si>
  <si>
    <t>outsidepoliticalsystem</t>
  </si>
  <si>
    <t>primeministerontrial</t>
  </si>
  <si>
    <t>convictedpoliticianholdoffice</t>
  </si>
  <si>
    <t>persecutionvsjust</t>
  </si>
  <si>
    <t>natural</t>
  </si>
  <si>
    <t>turnblindeye</t>
  </si>
  <si>
    <t>arabonly</t>
  </si>
  <si>
    <t>twovsone</t>
  </si>
  <si>
    <t>palastinianstate</t>
  </si>
  <si>
    <t>PCI</t>
  </si>
  <si>
    <t>civilequalitymaingoal</t>
  </si>
  <si>
    <t>equalitythroughparliament</t>
  </si>
  <si>
    <t>fightingforPCIinterest</t>
  </si>
  <si>
    <t>harmpalastinianstruggle</t>
  </si>
  <si>
    <t>joincoalition</t>
  </si>
  <si>
    <t>splitharmPCIinterest</t>
  </si>
  <si>
    <t>georigin</t>
  </si>
  <si>
    <t>האם יש לך ילדים בקבוצת הגיל הבאה: עד גיל 16</t>
  </si>
  <si>
    <t>האם יש לך ילדים בקבוצת הגיל הבאה: 16-18</t>
  </si>
  <si>
    <t>האם יש לך ילדים בקבוצת הגיל הבאה: 19-23</t>
  </si>
  <si>
    <t>מהי לדעתך הבעיה החשובה ביותר שעל הממשלה לטפל בה? (אחרי הבחירות)</t>
  </si>
  <si>
    <t>באיזו מידה אתה מסכים או לא מסכים עם המשפטים הבאים: לפעמים הפוליטיקה נראית כ"כ מסובכת שאדם כמוני לא יכול להבין באמת מה קורה</t>
  </si>
  <si>
    <t>באיזו מידה אתה מסכים או לא מסכים עם המשפטים הבאים: יש לגרש מהארץ את העובדים הזרים שאין להם רשיון עבודה וגם את ילדיהם</t>
  </si>
  <si>
    <t>באיזו מידה כל אחד מהמצבים הבאים מהווה איום בעיניך: מספר שווה של יהודים וערבים במדינה</t>
  </si>
  <si>
    <t>באיזו מידה כל אחד מהמצבים הבאים מהווה איום בעיניך: הפסקת הסיוע מארה"ב</t>
  </si>
  <si>
    <t>מהם הסיכויים שיתקיים כל אחד מהמצבים הבאים בעתיד הנראה לעין: מספר שווה של יהודים וערבים במדינה</t>
  </si>
  <si>
    <t>מהם הסיכויים שיתקיים כל אחד מהמצבים הבאים בעתיד הנראה לעין: הפסקת הסיוע של ארה"ב</t>
  </si>
  <si>
    <t>לפניך רשימת דעות בנושאים שונים. ציין באיזו מידה אתה מסכים או מתנגד לכל אחת מהן: מבין כל ההשקפות הקיימות בעולם כנראה שיש רק אחת בלבד שהיא נכונה</t>
  </si>
  <si>
    <t>לפניך רשימה של אמרות וביטויים שגורים המתייחסים למצב העם והמדינה. ציין לגבי כל אחד מהם באיזו מידה אתה מסכים או מתנגד לו: לא ינום ולא יישן שומר ישראל</t>
  </si>
  <si>
    <t>באיזו מידה אתה מסכים או מתנגד לכל אחד מהמשפטים הבאים: אם אדם לא דואג לעצמו, אף אחד לא ידאג לו</t>
  </si>
  <si>
    <t>לפניך שורה של מעשים. לגבי כל אחד מהם קבע באיזו מידה הוא מתאים או לא מתאים לאזרחות טובה: משלם מס אמת</t>
  </si>
  <si>
    <t>לפניך שורה של מעשים. לגבי כל אחד מהם קבע באיזו מידה הוא מתאים או לא מתאים לאזרחות טובה: לא מצביע ביום הבחירות</t>
  </si>
  <si>
    <t>לפניך שורה של מעשים. לגבי כל אחד מהם קבע באיזו מידה הוא מתאים או לא מתאים לאזרחות טובה: מתכנן ללמוד בחו"ל</t>
  </si>
  <si>
    <t>לפניך שורה של מעשים. לגבי כל אחד מהם קבע באיזו מידה הוא מתאים או לא מתאים לאזרחות טובה: מרשה לעצמו לעבור על החוק אם אין שוטר במקום</t>
  </si>
  <si>
    <t>לפניך שורה של מעשים. לגבי כל אחד מהם קבע באיזו מידה הוא מתאים או לא מתאים לאזרחות טובה: לא מתכנן עתידו בהתאם לצרכי הכלל</t>
  </si>
  <si>
    <t>לפניך שורה של מעשים. לגבי כל אחד מהם קבע באיזו מידה הוא מתאים או לא מתאים לאזרחות טובה: יורד מן הארץ כדי לשפר את מצבו</t>
  </si>
  <si>
    <t>לפניך שורה של מעשים. לגבי כל אחד מהם קבע באיזו מידה הוא מתאים או לא מתאים לאזרחות טובה: דואג לעצמו לפני דאגה לכלל</t>
  </si>
  <si>
    <t>באיזו מידה אחראי כל אחד מן הגורמים הבאים לשינוי שחל במצבנו: הממשלה</t>
  </si>
  <si>
    <t>באיזו מידה אחראי כל אחד מן הגורמים הבאים לשינוי שחל במצבנו: הפיקוד הבכיר של צה"ל</t>
  </si>
  <si>
    <t>באיזו מידה אחראי כל אחד מן הגורמים הבאים לשינוי שחל במצבנו: ארצות ערב</t>
  </si>
  <si>
    <t>באיזו מידה אחראי כל אחד מן הגורמים הבאים לשינוי שחל במצבנו: המעצמות הגדולות</t>
  </si>
  <si>
    <t>לכל מפלגה יש חוגי תומכים משלה. מבין הקבוצות הבאות, מיהו לדעתך חוג התומכים העיקרי של המפלגות הבאות: המערך (גיל)</t>
  </si>
  <si>
    <t>לכל מפלגה יש חוגי תומכים משלה. מבין הקבוצות הבאות, מיהו לדעתך חוג התומכים העיקרי של המפלגות הבאות: המערך (עדה)</t>
  </si>
  <si>
    <t>לכל מפלגה יש חוגי תומכים משלה. מבין הקבוצות הבאות, מיהו לדעתך חוג התומכים העיקרי של המפלגות הבאות: המערך (מקצוע)</t>
  </si>
  <si>
    <t>לכל מפלגה יש חוגי תומכים משלה. מבין הקבוצות הבאות, מיהו לדעתך חוג התומכים העיקרי של המפלגות הבאות: חירות (גיל)</t>
  </si>
  <si>
    <t>לכל מפלגה יש חוגי תומכים משלה. מבין הקבוצות הבאות, מיהו לדעתך חוג התומכים העיקרי של המפלגות הבאות: חירות (עדה)</t>
  </si>
  <si>
    <t>לכל מפלגה יש חוגי תומכים משלה. מבין הקבוצות הבאות, מיהו לדעתך חוג התומכים העיקרי של המפלגות הבאות: חירות (מקצוע)</t>
  </si>
  <si>
    <t>לכל מפלגה יש חוגי תומכים משלה. מבין הקבוצות הבאות, מיהו לדעתך חוג התומכים העיקרי של המפלגות הבאות: העולם הזה (גיל)</t>
  </si>
  <si>
    <t>לכל מפלגה יש חוגי תומכים משלה. מבין הקבוצות הבאות, מיהו לדעתך חוג התומכים העיקרי של המפלגות הבאות: העולם הזה (עדה)</t>
  </si>
  <si>
    <t>לכל מפלגה יש חוגי תומכים משלה. מבין הקבוצות הבאות, מיהו לדעתך חוג התומכים העיקרי של המפלגות הבאות: העולם הזה (מקצוע)</t>
  </si>
  <si>
    <t>להלן רשימה של קבוצות של מקצועות חשובים בישראל. איזה שתי קבוצות הינך מעריך ביותר: הראשונה</t>
  </si>
  <si>
    <t>להלן רשימה של קבוצות של מקצועות חשובים בישראל. איזה שתי קבוצות הינך מעריך ביותר: השנייה</t>
  </si>
  <si>
    <t>להלן רשימה של קבוצות של מקצועות חשובים בישראל. איזה שתי קבוצות המשפיעות ביותר על דעת הקהל: הראשונה</t>
  </si>
  <si>
    <t>להלן רשימה של קבוצות של מקצועות חשובים בישראל. איזה שתי קבוצות המשפיעות ביותר על דעת הקהל: השנייה</t>
  </si>
  <si>
    <t>להלן רשימה של קבוצות של מקצועות חשובים בישראל. איזה שתי קבוצות המשפיעות ביותר על מדיניות הממשלה: הראשונה</t>
  </si>
  <si>
    <t>להלן רשימה של קבוצות של מקצועות חשובים בישראל. איזה שתי קבוצות המשפיעות ביותר על מדיניות הממשלה: השנייה</t>
  </si>
  <si>
    <t>להלן רשימה של קבוצות של מקצועות חשובים בישראל. איזה שתי קבוצות המשפיעות ביותר על הלך רוחך לגבי הבעיות החברתיות והמדינתיות: הראשונה</t>
  </si>
  <si>
    <t>להלן רשימה של קבוצות של מקצועות חשובים בישראל. איזה שתי קבוצות המשפיעות ביותר על הלך רוחך לגבי הבעיות החברתיות והמדינתיות: השנייה</t>
  </si>
  <si>
    <t>אבקשך לחשוב על שני אנשים שאתה מכיר, מחוץ לבני ביתך, אשר משפיעים ביותר על הלך רוחך לגבי בעיות חברתיות ומדינתיות חשובות. לגבי הראשון: באיזה ארץ נולד אדם זה?</t>
  </si>
  <si>
    <t>אבקשך לחשוב על שני אנשים שאתה מכיר, מחוץ לבני ביתך, אשר משפיעים ביותר על הלך רוחך לגבי בעיות חברתיות ומדינתיות חשובות. לגבי הראשון: מה מקצועו?</t>
  </si>
  <si>
    <t>אבקשך לחשוב על שני אנשים שאתה מכיר, מחוץ לבני ביתך, אשר משפיעים ביותר על הלך רוחך לגבי בעיות חברתיות ומדינתיות חשובות. לגבי הראשון: בן כמה הוא?</t>
  </si>
  <si>
    <t>אבקשך לחשוב על שני אנשים שאתה מכיר, מחוץ לבני ביתך, אשר משפיעים ביותר על הלך רוחך לגבי בעיות חברתיות ומדינתיות חשובות. לגבי השני: באיזה ארץ נולד אדם זה?</t>
  </si>
  <si>
    <t>אבקשך לחשוב על שני אנשים שאתה מכיר, מחוץ לבני ביתך, אשר משפיעים ביותר על הלך רוחך לגבי בעיות חברתיות ומדינתיות חשובות. לגבי השני: מה מקצועו?</t>
  </si>
  <si>
    <t>אבקשך לחשוב על שני אנשים שאתה מכיר, מחוץ לבני ביתך, אשר משפיעים ביותר על הלך רוחך לגבי בעיות חברתיות ומדינתיות חשובות. לגבי השני: בן כמה הוא?</t>
  </si>
  <si>
    <t>באיזו מידה אתה מתעניין במערכת הבחירות: להסתדרות</t>
  </si>
  <si>
    <t>באיזו מידה אתה מתעניין במערכת הבחירות: לעירייה</t>
  </si>
  <si>
    <t>באיזו מידה אתה מתעניין במערכת הבחירות: לכנסת</t>
  </si>
  <si>
    <t>באיזו מידה אתה מתעניין בבעיות הכלכליות של מדינת ישראל?</t>
  </si>
  <si>
    <t>האם בדר"כ אתה מתעניין בבעיות חוץ וביטחון?</t>
  </si>
  <si>
    <t>באיזו מידה לדעתך צריך האזרח הרגיל במדינת ישראל להתעניין בבעיות הכלכליות של המדינה?</t>
  </si>
  <si>
    <t>באיזו מידה לדעתך צריך האזרח הרגיל במדינת ישראל להתעניין בבעיות החוץ והביטחון של המדינה?</t>
  </si>
  <si>
    <t>באיזו מידה אתה מתעניין בבעיות החברתיות של מדינת ישראל?</t>
  </si>
  <si>
    <t>באיזו מידה לדעתך צריך האזרח הרגיל במדינת ישראל להתעניין בבעיות החברתיות של המדינה?</t>
  </si>
  <si>
    <t>באיזו מידה אתה מתעניין בפוליטיקה מקומית של מדינת ישראל?</t>
  </si>
  <si>
    <t>באיזו מידה לדעתך צריך האזרח הרגיל במדינת ישראל להתעניין בפוליטיקה מקומית של המדינה?</t>
  </si>
  <si>
    <t>האם אתה משוחח עם מכרים, ידידים, חברים לעבודה או בני משפחה על נושאים אקטואליים הקשורים למדינת ישראל? אם כן - באיזו תכיפות אתה מנהל שיחות כאלה בנושא: מדיניות חוץ וביטחון</t>
  </si>
  <si>
    <t>האם אתה משוחח עם מכרים, ידידים, חברים לעבודה או בני משפחה על נושאים אקטואליים הקשורים למדינת ישראל? אם כן - באיזו תכיפות אתה מנהל שיחות כאלה בנושא: כלכלה</t>
  </si>
  <si>
    <t>האם אתה משוחח עם מכרים, ידידים, חברים לעבודה או בני משפחה על נושאים אקטואליים הקשורים למדינת ישראל? אם כן - באיזו תכיפות אתה מנהל שיחות כאלה בנושא: בעיות חברתיות</t>
  </si>
  <si>
    <t>האם השתתפת בשנה שנתיים האחרונות בהפגנה? בנושא תהליך השלום</t>
  </si>
  <si>
    <t>האם השתתפת בשנה שנתיים האחרונות בהפגנה? בעקבות רצח רבין</t>
  </si>
  <si>
    <t>בבחירות האלה דיברו הרבה על ימין ועל שמאל בפוליטיקה, מה זה להבנתך ימין?</t>
  </si>
  <si>
    <t>בבחירות האלה דיברו הרבה על ימין ועל שמאל בפוליטיקה, מה זה להבנתך שמאל?</t>
  </si>
  <si>
    <t>הרבה מדברים על שמאל וימין בתחום המדיני-ביטחוני. כיצד היית מדרג את עצמך על רצף זה?</t>
  </si>
  <si>
    <t>הרבה מדברים על שמאל וימין בתחום הכלכלי. כיצד היית מדרג את עצמך על רצף זה?</t>
  </si>
  <si>
    <t>הרבה מדברים על שמאל וימין בתחום מדיניות החוץ. כיצד היית מדרג את עצמך על רצף זה?</t>
  </si>
  <si>
    <t>האם לדעתך קיימים או לא קיימים הבדלים בעמדותיהן של המפלגות העיקריות בארץ בנושאים הבאים: מדיניות כלכלית-חברתית</t>
  </si>
  <si>
    <t>האם לדעתך קיימים או לא קיימים הבדלים בעמדותיהן של המפלגות העיקריות בארץ בנושאים הבאים: כלכלה</t>
  </si>
  <si>
    <t>האם לדעתך קיימים או לא קיימים הבדלים בעמדותיהן של המפלגות העיקריות בארץ בנושאים הבאים: מדיניות חברתית</t>
  </si>
  <si>
    <t>האם לדעתך קיימים או לא קיימים הבדלים בעמדותיהן של המפלגות העיקריות בארץ בנושאים הבאים: דת ומדינה</t>
  </si>
  <si>
    <t>האם לדעתך קיימים או לא קיימים הבדלים בעמדותיהן של המפלגות העיקריות בארץ בנושאים הבאים: שלום ושטחים</t>
  </si>
  <si>
    <t>האם לדעתך קיימים או לא קיימים הבדלים בעמדותיהן של המפלגות העיקריות בארץ בנושאים הבאים: בטחון וטרור</t>
  </si>
  <si>
    <t>האם לדעתך קיימים או לא קיימים הבדלים בעמדותיהן של המפלגות העיקריות בארץ בנושאים הבאים: ביחס שלהן לדמוקרטיה</t>
  </si>
  <si>
    <t>האם לדעתך קיימים או לא קיימים הבדלים בעמדותיהן של המפלגות העיקריות בארץ בנושאים הבאים: האיום האיראני</t>
  </si>
  <si>
    <t>האם לדעתך קיימים או לא קיימים הבדלים בעמדותיהן של המפלגות העיקריות בארץ בנושאים הבאים: ירושלים</t>
  </si>
  <si>
    <t>האם לדעתך קיימים או לא קיימים הבדלים בעמדותיהן של המפלגות העיקריות בארץ בנושאים הבאים: לבנון</t>
  </si>
  <si>
    <t>האם לדעתך קיימים או לא קיימים הבדלים בעמדותיהן של המפלגות העיקריות בארץ בנושאים הבאים: שחיתות</t>
  </si>
  <si>
    <t>היכן היית מדרג את המפלגות הבאות על פני רצף "שמאל-ימין" כאשר 0 משמעו שמאל, 10 משמעו ימין ו-5 משמעו אמצע: ליכוד</t>
  </si>
  <si>
    <t>היכן היית מדרג את המפלגות הבאות על פני רצף "שמאל-ימין" כאשר 0 משמעו שמאל, 10 משמעו ימין ו-5 משמעו אמצע: עבודה</t>
  </si>
  <si>
    <t>היכן היית מדרג את המפלגות הבאות על פני רצף "שמאל-ימין" כאשר 0 משמעו שמאל, 10 משמעו ימין ו-5 משמעו אמצע: קדימה</t>
  </si>
  <si>
    <t>היכן היית מדרג את המפלגות הבאות על פני רצף "שמאל-ימין" כאשר 0 משמעו שמאל, 10 משמעו ימין ו-5 משמעו אמצע: ש"ס</t>
  </si>
  <si>
    <t>היכן היית מדרג את המפלגות הבאות על פני רצף "שמאל-ימין" כאשר 0 משמעו שמאל, 10 משמעו ימין ו-5 משמעו אמצע: הבית היהודי</t>
  </si>
  <si>
    <t>היכן היית מדרג את המפלגות הבאות על פני רצף "שמאל-ימין" כאשר 0 משמעו שמאל, 10 משמעו ימין ו-5 משמעו אמצע: ישראל ביתנו</t>
  </si>
  <si>
    <t>היכן היית מדרג את המפלגות הבאות על פני רצף "שמאל-ימין" כאשר 0 משמעו שמאל, 10 משמעו ימין ו-5 משמעו אמצע: מרצ</t>
  </si>
  <si>
    <t>היכן היית מדרג את המפלגות הבאות על פני רצף "שמאל-ימין" כאשר 0 משמעו שמאל, 10 משמעו ימין ו-5 משמעו אמצע: כחול-לבן</t>
  </si>
  <si>
    <t>היכן היית מדרג את המפלגות הבאות על פני רצף "שמאל-ימין" כאשר 0 משמעו שמאל, 10 משמעו ימין ו-5 משמעו אמצע: יש עתיד</t>
  </si>
  <si>
    <t>היכן היית מדרג את המפלגות הבאות על פני רצף "שמאל-ימין" כאשר 0 משמעו שמאל, 10 משמעו ימין ו-5 משמעו אמצע: תקווה חדשה</t>
  </si>
  <si>
    <t>היכן היית מדרג את המפלגות הבאות על פני רצף "שמאל-ימין" כאשר 0 משמעו שמאל, 10 משמעו ימין ו-5 משמעו אמצע: ימינה</t>
  </si>
  <si>
    <t>היכן היית מדרג את המפלגות הבאות על פני רצף "שמאל-ימין" כאשר 0 משמעו שמאל, 10 משמעו ימין ו-5 משמעו אמצע: יהדות התורה</t>
  </si>
  <si>
    <t>היכן היית מדרג את המפלגות הבאות על פני רצף "שמאל-ימין" כאשר 0 משמעו שמאל, 10 משמעו ימין ו-5 משמעו אמצע: הרשימה המשותפת</t>
  </si>
  <si>
    <t>היכן היית מדרג את המפלגות הבאות על פני רצף "שמאל-ימין" כאשר 0 משמעו שמאל, 10 משמעו ימין ו-5 משמעו אמצע: רע"מ</t>
  </si>
  <si>
    <t>האם ברור לך מה ההבדלים בעמדותיהן של המפלגות השונות בנושא הוויתורים הטריטוריאליים (ויתור על שטחים)?</t>
  </si>
  <si>
    <t>האם ברור לך מה ההבדלים בעמדותיהן של המפלגות השונות בנושא הכלכלה?</t>
  </si>
  <si>
    <t>האם ברור לך מה ההבדלים בעמדותיהן של המפלגות השונות בנושא החברתי?</t>
  </si>
  <si>
    <t>מה יחסך לכל אחת מן המפלגות הבאות? הליכוד</t>
  </si>
  <si>
    <t>מה יחסך לכל אחת מן המפלגות הבאות? כחול-לבן</t>
  </si>
  <si>
    <t>מה יחסך לכל אחת מן המפלגות הבאות? יש עתיד</t>
  </si>
  <si>
    <t>מה יחסך לכל אחת מן המפלגות הבאות? שינוי</t>
  </si>
  <si>
    <t>מה יחסך לכל אחת מן המפלגות הבאות? מפלגת המרכז</t>
  </si>
  <si>
    <t>מה יחסך לכל אחת מן המפלגות הבאות? העבודה/המערך</t>
  </si>
  <si>
    <t>מה יחסך לכל אחת מן המפלגות הבאות? ישראל אחת</t>
  </si>
  <si>
    <t>מה יחסך לכל אחת מן המפלגות הבאות? קדימה</t>
  </si>
  <si>
    <t>מה יחסך לכל אחת מן המפלגות הבאות? התנועה</t>
  </si>
  <si>
    <t>מה יחסך לכל אחת מן המפלגות הבאות? מרצ</t>
  </si>
  <si>
    <t>מה יחסך לכל אחת מן המפלגות הבאות? ימינה</t>
  </si>
  <si>
    <t>מה יחסך לכל אחת מן המפלגות הבאות? תקווה חדשה</t>
  </si>
  <si>
    <t>מה יחסך לכל אחת מהמפלגות הבאות? הבית היהודי/מפד"ל</t>
  </si>
  <si>
    <t>מה יחסך לכל אחת מן המפלגות הבאות? ישראל ביתנו</t>
  </si>
  <si>
    <t>מה יחסך לכל אחת מן המפלגות הבאות? ש"ס</t>
  </si>
  <si>
    <t>מה יחסך לכל אחת מן המפלגות הבאות? ישראל בעליה</t>
  </si>
  <si>
    <t>מה יחסך לכל אחת מן המפלגות הבאות? עוצמה יהודית</t>
  </si>
  <si>
    <t>מה יחסך לכל אחת מן המפלגות הבאות? יהדות התורה</t>
  </si>
  <si>
    <t>מה יחסך לכל אחת מן המפלגות הבאות? כולנו</t>
  </si>
  <si>
    <t>מה יחסך לכל אחת מן המפלגות הבאות? הרשימה המשותפת</t>
  </si>
  <si>
    <t>מה יחסך לכל אחת מן המפלגות הבאות? רע"מ-בל"ד</t>
  </si>
  <si>
    <t>מה יחסך לכל אחת מן המפלגות הבאות? רע"מ-תע"ל</t>
  </si>
  <si>
    <t>מה יחסך לכל אחת מן המפלגות הבאות? חד"ש</t>
  </si>
  <si>
    <t>מה יחסך לכל אחת מן המפלגות הבאות? תע"ל</t>
  </si>
  <si>
    <t>מה יחסך לכל אחת מן המפלגות הבאות? רע"מ</t>
  </si>
  <si>
    <t>מה יחסך לכל אחת מן המפלגות הבאות? בל"ד</t>
  </si>
  <si>
    <t>לאחר הבחירות, מה יחסך לכל אחת מן מפלגות הבאות: הציונות הדתית</t>
  </si>
  <si>
    <t>לאחר הבחירות, מה יחסך לכל אחת מן מפלגות הבאות: ימינה</t>
  </si>
  <si>
    <t>לאחר הבחירות, מה יחסך לכל אחת מן מפלגות הבאות: הרשימה המשותפת</t>
  </si>
  <si>
    <t>לאחר הבחירות, מה יחסך לכל אחת מן מפלגות הבאות: רע"מ</t>
  </si>
  <si>
    <t>לאחר הבחירות, מה יחסך לכל אחת מן מפלגות הבאות: יהדות התורה</t>
  </si>
  <si>
    <t>על סולם שבו 0 משמעו דחייה ושנאה, 10 משמעו תמיכה ואהדה ו-5 משמעו אמצע, מה יחסך לימנים?</t>
  </si>
  <si>
    <t>על סולם שבו 0 משמעו דחייה ושנאה, 10 משמעו תמיכה ואהדה ו-5 משמעו אמצע, מה יחסך לשמאלנים?</t>
  </si>
  <si>
    <t>מה יחסך לערבים?</t>
  </si>
  <si>
    <t>מה יחסך לדתיים?</t>
  </si>
  <si>
    <t>מה יחסך לחרדים?</t>
  </si>
  <si>
    <t>מה יחסך לחילונים?</t>
  </si>
  <si>
    <t>מה יחסך לאשכנזים?</t>
  </si>
  <si>
    <t>מה יחסך לספרדים?</t>
  </si>
  <si>
    <t>מה יחסך למועצת יש"ע?</t>
  </si>
  <si>
    <t>מה יחסך לתנועה האסלאמית?</t>
  </si>
  <si>
    <t>מה יחסך לתנועת גוש אמונים?</t>
  </si>
  <si>
    <t>מה יחסך לתנועת שלום עכשיו?</t>
  </si>
  <si>
    <t>ועל אותו סולם, מה יחסך לאישים הבאים? בנימין נתניהו</t>
  </si>
  <si>
    <t>ועל אותו סולם, מה יחסך לאישים הבאים? אריאל שרון</t>
  </si>
  <si>
    <t>ועל אותו סולם, מה יחסך לאישים הבאים? יצחק שמיר</t>
  </si>
  <si>
    <t>ועל אותו סולם, מה יחסך לאישים הבאים? מנחם בגין</t>
  </si>
  <si>
    <t>ועל אותו סולם, מה יחסך לאישים הבאים? אהוד אולמרט</t>
  </si>
  <si>
    <t>ועל אותו סולם, מה יחסך לאישים הבאים? בני בגין</t>
  </si>
  <si>
    <t>ועל אותו סולם, מה יחסך לאישים הבאים? איציק מרדכי</t>
  </si>
  <si>
    <t>ועל אותו סולם, מה יחסך לאישים הבאים? דוד לוי</t>
  </si>
  <si>
    <t>ועל אותו סולם, מה יחסך לאישים הבאים? יצחק נבון</t>
  </si>
  <si>
    <t>ועל אותו סולם, מה יחסך לאישים הבאים? בני גנץ</t>
  </si>
  <si>
    <t>ועל אותו סולם, מה יחסך לאישים הבאים? אביגדור ליברמן</t>
  </si>
  <si>
    <t>ועל אותו סולם, מה יחסך לאישים הבאים? יאיר לפיד</t>
  </si>
  <si>
    <t>ועל אותו סולם, מה יחסך לאישים הבאים? עמרם מצנע</t>
  </si>
  <si>
    <t>ועל אותו סולם, מה יחסך לאישים הבאים? יצחק רבין</t>
  </si>
  <si>
    <t>ועל אותו סולם, מה יחסך לאישים הבאים? שמעון פרס</t>
  </si>
  <si>
    <t>ועל אותו סולם, מה יחסך לאישים הבאים? אהוד ברק</t>
  </si>
  <si>
    <t>ועל אותו סולם, מה יחסך לאישים הבאים? שלי יחימוביץ</t>
  </si>
  <si>
    <t>ועל אותו סולם, מה יחסך לאישים הבאים? יצחק הרצוג</t>
  </si>
  <si>
    <t>ועל אותו סולם, מה יחסך לאישים הבאים? ציפי לבני</t>
  </si>
  <si>
    <t>ועל אותו סולם, מה יחסך לאישים הבאים? אבי גבאי</t>
  </si>
  <si>
    <t>ועל אותו סולם, מה יחסך לאישים הבאים? עמיר פרץ</t>
  </si>
  <si>
    <t>ועל אותו סולם, מה יחסך לאישים הבאים? מרב מיכאלי</t>
  </si>
  <si>
    <t>ועל אותו סולם, מה יחסך לאישים הבאים? גדעון סער</t>
  </si>
  <si>
    <t>ועל אותו סולם, מה יחסך לאישים הבאים? נפתלי בנט</t>
  </si>
  <si>
    <t>ועל אותו סולם, מה יחסך לאישים הבאים? איילת שקד</t>
  </si>
  <si>
    <t>ועל אותו סולם, מה יחסך לאישים הבאים? בני אלון</t>
  </si>
  <si>
    <t>ועל אותו סולם, מה יחסך לאישים הבאים? בצלאל סמוטריץ'</t>
  </si>
  <si>
    <t>ועל אותו סולם, מה יחסך לאישים הבאים? הרב כהנא</t>
  </si>
  <si>
    <t>ועל אותו סולם, מה יחסך לאישים הבאים? יוסי ביילין</t>
  </si>
  <si>
    <t>ועל אותו סולם, מה יחסך לאישים הבאים? זהבה גלאון</t>
  </si>
  <si>
    <t>ועל אותו סולם, מה יחסך לאישים הבאים? תמר זנדברג</t>
  </si>
  <si>
    <t>ועל אותו סולם, מה יחסך לאישים הבאים? ניצן הורוביץ</t>
  </si>
  <si>
    <t>ועל אותו סולם, מה יחסך לאישים הבאים? משה כחלון</t>
  </si>
  <si>
    <t>ועל אותו סולם, מה יחסך לאישים הבאים? אריה דרעי</t>
  </si>
  <si>
    <t>ועל אותו סולם, מה יחסך לאישים הבאים? אלי ישי</t>
  </si>
  <si>
    <t>ועל אותו סולם, מה יחסך לאישים הבאים? נתן שרנסקי</t>
  </si>
  <si>
    <t>ועל אותו סולם, מה יחסך לאישים הבאים? איימן עודה</t>
  </si>
  <si>
    <t>ועל אותו סולם, מה יחסך לאישים הבאים? אחמד טיבי</t>
  </si>
  <si>
    <t>ועל אותו סולם, מה יחסך לאישים הבאים? מנסור עבאס</t>
  </si>
  <si>
    <t>ועל אותו סולם, מה יחסך לאישים הבאים? מטאנס שחאדה</t>
  </si>
  <si>
    <t>ועל אותו סולם, מה יחסך לאישים הבאים? עאידה תומא-סולימן</t>
  </si>
  <si>
    <t>ועל אותו סולם, מה יחסך לאישים הבאים? מסעוד גנאים</t>
  </si>
  <si>
    <t>ועל אותו סולם, מה יחסך לאישים הבאים? ג'מאל זחאלקה</t>
  </si>
  <si>
    <t>ועל אותו סולם, מה יחסך לאישים הבאים? חנין זועבי</t>
  </si>
  <si>
    <t>ועל אותו סולם, מה יחסך לאישים הבאים? מוחמד בראכה</t>
  </si>
  <si>
    <t>ועל אותו סולם, מה יחסך לאישים הבאים? איברהים צרצור</t>
  </si>
  <si>
    <t>ועל אותו סולם, מה יחסך לאישים הבאים? עזמי בשארה</t>
  </si>
  <si>
    <t>ועל אותו סולם, מה יחסך לאישים הבאים? ערפאת</t>
  </si>
  <si>
    <t>באיזו מידה אתה מסכים או לא מסכים עם כל אחת מן הטענות הבאות: כשמישהו מעביר ביקורת על תומכים של (המפלגה שציין) זה מרגיש לך כמו עלבון אישי</t>
  </si>
  <si>
    <t>ציין באיזו מידה כל אחד מהמשפטים הבאים נכון או לא נכון לגביך: אתה אדם שמתאים לו לקחת סיכונים</t>
  </si>
  <si>
    <t>נתחיל מהאירועים שהובילו לבחירות החוזרות ב-17 בספטמבר, לאחר שנתניהו לא הצליח להרכיב ממשלה. עד כמה לדעתך, כל אחד מהדברים הבאים, היה ראוי או לא ראוי בעינייך: שהכנסת החליטה לפזר עצמה ולקיים בחירות חדשות</t>
  </si>
  <si>
    <t>לאנשים יש רגשות שונים כלפי מה שקרה אחרי הבחירות באפריל האחרון. באיזו מידה אתה מרגיש: כעס</t>
  </si>
  <si>
    <t>לאנשים יש רגשות שונים כלפי מה שקרה אחרי הבחירות באפריל האחרון. באיזו מידה אתה מרגיש: גועל</t>
  </si>
  <si>
    <t>לאנשים יש רגשות שונים כלפי מה שקרה אחרי הבחירות באפריל האחרון. באיזו מידה אתה מרגיש: תקווה</t>
  </si>
  <si>
    <t>לאנשים יש רגשות שונים כלפי מה שקרה אחרי הבחירות באפריל האחרון. באיזו מידה אתה מרגיש: ייאוש</t>
  </si>
  <si>
    <t>האם שרון - בגלל אישיותו או בגלל מעשיו - גורם לך להרגיש כעס?</t>
  </si>
  <si>
    <t>האם שרון גורם לך להרגיש פחד</t>
  </si>
  <si>
    <t>האם שרון גורם לך להרגיש גאווה</t>
  </si>
  <si>
    <t>האם שרון גורם לך להרגיש תקווה</t>
  </si>
  <si>
    <t>האם ברק - בגלל אישיותו או בגלל מעשיו - גורם לך להרגיש כעס?</t>
  </si>
  <si>
    <t>האם ברק גורם לך להרגיש פחד</t>
  </si>
  <si>
    <t>האם ברק גורם לך להרגיש גאווה</t>
  </si>
  <si>
    <t>האם ברק גורם לך להרגיש תקווה</t>
  </si>
  <si>
    <t>האם פרס - בגלל אישיותו או בגלל מעשיו - גורם לך להרגיש כעס?</t>
  </si>
  <si>
    <t>האם פרס גורם לך להרגיש פחד</t>
  </si>
  <si>
    <t>האם פרס גורם לך להרגיש גאווה</t>
  </si>
  <si>
    <t>האם פרס גורם לך להרגיש תקווה</t>
  </si>
  <si>
    <t>האם נתניהו - בגלל אישיותו או בגלל מעשיו - גורם לך להרגיש כעס?</t>
  </si>
  <si>
    <t>האם נתניהו גורם לך להרגיש פחד</t>
  </si>
  <si>
    <t>האם נתניהו גורם לך להרגיש גאווה</t>
  </si>
  <si>
    <t>האם נתניהו גורם לך להרגיש תקווה</t>
  </si>
  <si>
    <t>האם מרדכי - בגלל אישיותו או בגלל מעשיו - גורם לך להרגיש כעס?</t>
  </si>
  <si>
    <t>האם מרדכי גורם לך להרגיש פחד</t>
  </si>
  <si>
    <t>האם מרדכי גורם לך להרגיש גאווה</t>
  </si>
  <si>
    <t>האם מרדכי גורם לך להרגיש תקווה</t>
  </si>
  <si>
    <t>לפניך רשימה של מנהיגים. מה יחסך אל כל אחד מהם, והאם יחס זה היה גורם חשוב מאד בהצבעתך? גולדה מאיר</t>
  </si>
  <si>
    <t>לפניך רשימה של מנהיגים. מה יחסך אל כל אחד מהם, והאם יחס זה היה גורם חשוב מאד בהצבעתך? מנחם בגין</t>
  </si>
  <si>
    <t>לפניך רשימה של מנהיגים. מה יחסך אל כל אחד מהם, והאם יחס זה היה גורם חשוב מאד בהצבעתך? משה דיין</t>
  </si>
  <si>
    <t>לפניך רשימה של מנהיגים. מה יחסך אל כל אחד מהם, והאם יחס זה היה גורם חשוב מאד בהצבעתך? פנחס ספיר</t>
  </si>
  <si>
    <t>לפניך רשימה של מנהיגים. מה יחסך אל כל אחד מהם, והאם יחס זה היה גורם חשוב מאד בהצבעתך? אריק שרון</t>
  </si>
  <si>
    <t>לפניך רשימה של מנהיגים. מה יחסך אל כל אחד מהם, והאם יחס זה היה גורם חשוב מאד בהצבעתך? יגאל אלון</t>
  </si>
  <si>
    <t>האם מלחמת יום כיפור גרמה, באופן כללי, לשינוי דעתך על האישים הבאים: גולדה מאיר</t>
  </si>
  <si>
    <t>האם מלחמת יום כיפור גרמה, באופן כללי, לשינוי דעתך על האישים הבאים: משה דיין</t>
  </si>
  <si>
    <t>האם מלחמת יום כיפור גרמה, באופן כללי, לשינוי דעתך על האישים הבאים: מנחם בגין</t>
  </si>
  <si>
    <t>האם מלחמת יום כיפור גרמה, באופן כללי, לשינוי דעתך על האישים הבאים: פנחס ספיר</t>
  </si>
  <si>
    <t>האם מלחמת יום כיפור גרמה, באופן כללי, לשינוי דעתך על האישים הבאים: אריק שרון</t>
  </si>
  <si>
    <t>האם מלחמת יום כיפור גרמה, באופן כללי, לשינוי דעתך על האישים הבאים: חיים בר-לב</t>
  </si>
  <si>
    <t>האם מלחמת יום כיפור גרמה, באופן כללי, לשינוי דעתך על האישים הבאים: אריה אליאב</t>
  </si>
  <si>
    <t>האם מלחמת יום כיפור גרמה, באופן כללי, לשינוי דעתך על האישים הבאים: מאיר פעיל</t>
  </si>
  <si>
    <t>מהי המפלגה השנייה הכי קרובה אליך?</t>
  </si>
  <si>
    <t>מהי המפלגה השלישית הכי קרובה אליך?</t>
  </si>
  <si>
    <t>מהי המפלגה הרחוקה ממך ביותר?</t>
  </si>
  <si>
    <t>מהי המפלגה השנייה הכי רחוקה ממך?</t>
  </si>
  <si>
    <t>מהי המפלגה השלישית הכי רחוקה ממך?</t>
  </si>
  <si>
    <t>מהמפלגות הנותרות, איך היית מדרג את מידת הקרבה אלייך: מי הראשונה?</t>
  </si>
  <si>
    <t>מהמפלגות הנותרות, איך היית מדרג את מידת הקרבה אלייך: מי השנייה?</t>
  </si>
  <si>
    <t>מהמפלגות הנותרות, איך היית מדרג את מידת הקרבה אלייך: מי השלישית?</t>
  </si>
  <si>
    <t>מהמפלגות הנותרות, איך היית מדרג את מידת הקרבה אלייך: מי הרביעית?</t>
  </si>
  <si>
    <t>כשאתה חושב על מפד"ל, מה נראה לך ביותר: המועמדים שלה, העמדות שלה, הציבור שהיא מייצגת, האם אפשר לסמוך עליה?</t>
  </si>
  <si>
    <t>כשאתה חושב על הליכוד, מה נראה לך ביותר: המועמדים שלה, העמדות שלה, הציבור שהיא מייצגת, האם אפשר לסמוך עליה?</t>
  </si>
  <si>
    <t>כשאתה חושב על המערך, מה נראה לך ביותר: המועמדים שלה, העמדות שלה, הציבור שהיא מייצגת, האם אפשר לסמוך עליה?</t>
  </si>
  <si>
    <t>לאחר הבחירות: מה יחסך לימנים?</t>
  </si>
  <si>
    <t>לאחר הבחירות: מה יחסך לשמאלנים?</t>
  </si>
  <si>
    <t>לאחר הבחירות: מה יחסך לחרדים?</t>
  </si>
  <si>
    <t>לאחר הבחירות: מה יחסך לחילונים?</t>
  </si>
  <si>
    <t>לאחר הבחירות: מה יחסך לערבים (לערבים: מה יחסך ליהודים)?</t>
  </si>
  <si>
    <t xml:space="preserve">לפניך רשימה של תכונות שונות של מפלגות. לגבי כל אחת מהן, ציין לאיזו מפלגה היא מתאימה ביותר: מפלגה שתדע לעמוד בתוקף במו"מ על שטחים ושלום </t>
  </si>
  <si>
    <t>לפניך רשימה של תכונות שונות של מפלגות. לגבי כל אחת מהן, ציין לאיזו מפלגה היא מתאימה ביותר: מפלגה שתשמור על המשטר הדמוקרטי במדינה</t>
  </si>
  <si>
    <t>לפניך רשימה של תכונות שונות של מפלגות. לגבי כל אחת מהן, ציין לאיזו מפלגה היא מתאימה ביותר: מפלגה שתדע לטפל בטרור</t>
  </si>
  <si>
    <t>לפניך רשימה של תכונות שונות של מפלגות. לגבי כל אחת מהן, ציין לאיזו מפלגה היא מתאימה ביותר: מפלגה שתבטיח רוב יהודי במדינה</t>
  </si>
  <si>
    <t>לפניך רשימה של תכונות שונות של מפלגות. לגבי כל אחת מהן, ציין לאיזו מפלגה היא מתאימה ביותר: מפלגה שיש בה שחיתות</t>
  </si>
  <si>
    <t>לפניך רשימה של תכונות שונות של מפלגות. לגבי כל אחת מהן, ציין לאיזו מפלגה היא מתאימה ביותר: מפלגה שתצמצם פערים חברתיים</t>
  </si>
  <si>
    <t>לפניך רשימה של תכונות שונות של מפלגות. לגבי כל אחת מהן, ציין לאיזו מפלגה היא מתאימה ביותר: מפלגה שתוכל להביא להפרדה בין ישראל והפלסטינים</t>
  </si>
  <si>
    <t>לפניך רשימה של תכונות שונות של מפלגות. לגבי כל אחת מהן, ציין לאיזו מפלגה היא מתאימה ביותר: תקטין את הפיצול בעם</t>
  </si>
  <si>
    <t>לפניך רשימה של תכונות שונות של מפלגות. לגבי כל אחת מהן, ציין לאיזו מפלגה היא מתאימה ביותר: מפלגה שתצמצם את הפער העדתי</t>
  </si>
  <si>
    <t>לפניך רשימה של תכונות שונות של מפלגות. לגבי כל אחת מהן, ציין לאיזו מפלגה היא מתאימה ביותר: מפלגה שמטפחת את הכבוד העצמי של בני עדות המזרח</t>
  </si>
  <si>
    <t>לפניך רשימה של תכונות שונות של מפלגות. לגבי כל אחת מהן, ציין לאיזו מפלגה היא מתאימה ביותר: מפלגה שתדע לשמור על היחסים עם ארה"ב</t>
  </si>
  <si>
    <t>לפניך רשימה של תכונות שונות של מפלגות. לגבי כל אחת מהן, ציין לאיזו מפלגה היא מתאימה ביותר: מפלגה עם מנהיגים מנוסים</t>
  </si>
  <si>
    <t>לפניך רשימה של תכונות שונות של מפלגות. לגבי כל אחת מהן, ציין לאיזו מפלגה היא מתאימה ביותר: מפלגה שתדאג לשכבות החלשות</t>
  </si>
  <si>
    <t>לפניך רשימה של תכונות שונות של מפלגות. לגבי כל אחת מהן, ציין לאיזו מפלגה היא מתאימה ביותר: מפלגה שתרמה לבנין הארץ</t>
  </si>
  <si>
    <t>לפניך רשימה של תכונות שונות של מפלגות. לגבי כל אחת מהן, ציין לאיזו מפלגה היא מתאימה ביותר: מפלגה שתדע לקלוט עליה</t>
  </si>
  <si>
    <t>לפניך רשימה של תכונות שונות של מפלגות. לגבי כל אחת מהן, ציין לאיזו מפלגה היא מתאימה ביותר: מפלגה שתדע לצמצם את האבטלה</t>
  </si>
  <si>
    <t>לפניך רשימה של תכונות שונות של מפלגות. לגבי כל אחת מהן, ציין לאיזו מפלגה היא מתאימה ביותר: מפלגה שנותנת ייצוג הולם לעדות המזרח</t>
  </si>
  <si>
    <t>לפניך רשימה של תכונות שונות של מפלגות. לגבי כל אחת מהן, ציין לאיזו מפלגה היא מתאימה ביותר: מפלגה שמבטיחה את עתיד המדינה</t>
  </si>
  <si>
    <t>לפניך רשימה של תכונות שונות של מפלגות. לגבי כל אחת מהן, ציין לאיזו מפלגה היא מתאימה ביותר: מפלגה עדתית</t>
  </si>
  <si>
    <t>לפניך רשימה של תכונות שונות של מפלגות. לגבי כל אחת מהן, ציין לאיזו מפלגה היא מתאימה ביותר: מפלגה שתדע לשמור על כמות השטחים הנחוצה למדינה</t>
  </si>
  <si>
    <t>לפניך רשימה של תכונות שונות של מפלגות. לגבי כל אחת מהן, ציין לאיזו מפלגה היא מתאימה ביותר: מפלגה שתדע איך ומתי להוביל למלחמה מוצלחת</t>
  </si>
  <si>
    <t>לפניך רשימה של תכונות שונות של מפלגות. לגבי כל אחת מהן, ציין לאיזו מפלגה היא מתאימה ביותר: מפלגה לאומית</t>
  </si>
  <si>
    <t>לפניך רשימה של תכונות שונות של מפלגות. לגבי כל אחת מהן, ציין לאיזו מפלגה היא מתאימה ביותר: מפלגה שממנה אנשים מתאימים לתפקידים מרכזיים מבלי להתחשב ברקע העדתי</t>
  </si>
  <si>
    <t>לפניך רשימה של תכונות שונות של מפלגות. לגבי כל אחת מהן, ציין לאיזו מפלגה היא מתאימה ביותר: מפלגה שתדע לצאת מלבנון ולהבטיח את הגבול הצפוני</t>
  </si>
  <si>
    <t>לפניך רשימה של תכונות שונות של מפלגות. לגבי כל אחת מהן, ציין לאיזו מפלגה היא מתאימה ביותר: מפלגה שמנצלת את עדות המזרח לצרכים פוליטיים</t>
  </si>
  <si>
    <t>לפניך רשימה של תכונות שונות של מפלגות. לגבי כל אחת מהן, ציין לאיזו מפלגה היא מתאימה ביותר: מפלגה חזקה</t>
  </si>
  <si>
    <t>לפניך רשימה של תכונות שונות של מפלגות. לגבי כל אחת מהן, ציין לאיזו מפלגה היא מתאימה ביותר: מפלגה בעלת ניסיון</t>
  </si>
  <si>
    <t>לפניך רשימה של תכונות שונות של מפלגות. לגבי כל אחת מהן, ציין לאיזו מפלגה היא מתאימה ביותר: מפלגה חדשנית</t>
  </si>
  <si>
    <t>לפניך רשימה של תכונות שונות של מפלגות. לגבי כל אחת מהן, ציין לאיזו מפלגה היא מתאימה ביותר: מפלגה צעירה</t>
  </si>
  <si>
    <t>לפניך רשימה של תכונות שונות של מפלגות. לגבי כל אחת מהן, ציין לאיזו מפלגה היא מתאימה ביותר: מפלגה מייצגת אשכזים ומזרחים</t>
  </si>
  <si>
    <t>לפניך רשימה של תכונות שונות של מפלגות. לגבי כל אחת מהן, ציין לאיזו מפלגה היא מתאימה ביותר: מפלגה דואגת בעיקר לאינטרסים של האזרח</t>
  </si>
  <si>
    <t>לפניך רשימה של תכונות שונות של מפלגות. לגבי כל אחת מהן, ציין לאיזו מפלגה היא מתאימה ביותר: מפלגה ישרה</t>
  </si>
  <si>
    <t>לפניך רשימה של תכונות שונות של מפלגות. לגבי כל אחת מהן, ציין לאיזו מפלגה היא מתאימה ביותר: מפלגה אמינה</t>
  </si>
  <si>
    <t>לפניך רשימה של תכונות של מנהיגים. לגבי כל אחת מהתכונות ציין למי היא מתאימה יותר? האם "כושר מנהיגות" מתאים יותר ל:</t>
  </si>
  <si>
    <t>האם "אכפתיות מאנשים כמוך" מתאימה יותר ל:</t>
  </si>
  <si>
    <t>האם "יושר והגינות" מתאים יותר ל:</t>
  </si>
  <si>
    <t>האם "אמין" מתאים יותר ל:</t>
  </si>
  <si>
    <t>האם "יעדיף את טובת המדינה על פני שיקולים אחרים" מתאים יותר ל:</t>
  </si>
  <si>
    <t>האם "יכולת טובה לניהול משא ומתן" מתאים יותר ל:</t>
  </si>
  <si>
    <t>האם "ישמור על שלטון החוק" מתאים יותר ל:</t>
  </si>
  <si>
    <t>האם "יעמוד במצבי לחץ" מתאים יותר ל:</t>
  </si>
  <si>
    <t>האם "בעל ניסיון" מתאים יותר ל:</t>
  </si>
  <si>
    <t>האם "יוריד את המתח בין דתיים לחילונים" מתאים יותר ל:</t>
  </si>
  <si>
    <t>האם "בעל כושר החלטה" מתאים יותר ל:</t>
  </si>
  <si>
    <t>האם "יוזמה ומעוף" מתאים יותר ל:</t>
  </si>
  <si>
    <t>האם "יצמצם פערים חברתיים" מתאים יותר ל:</t>
  </si>
  <si>
    <t>האם "חזק" מתאים יותר ל:</t>
  </si>
  <si>
    <t>לפניך סולמות בני 7 דרגות המתארים תכונות שונות של מפלגות. חשוב בבקשה על המפלגה האידיאלית אותה היית רוצה לראות בשלטון ודרג אותה על סולמות אלו: צעירה-זקנה</t>
  </si>
  <si>
    <t>לפניך סולמות בני 7 דרגות המתארים תכונות שונות של מפלגות. חשוב בבקשה על המפלגה האידיאלית אותה היית רוצה לראות בשלטון ודרג אותה על סולמות אלו: חזקה-חלשה</t>
  </si>
  <si>
    <t>לפניך סולמות בני 7 דרגות המתארים תכונות שונות של מפלגות. חשוב בבקשה על המפלגה האידיאלית אותה היית רוצה לראות בשלטון ודרג אותה על סולמות אלו: ימנית-שמאלית</t>
  </si>
  <si>
    <t>לפניך סולמות בני 7 דרגות המתארים תכונות שונות של מפלגות. חשוב בבקשה על המפלגה האידיאלית אותה היית רוצה לראות בשלטון ודרג אותה על סולמות אלו: מיושנת-חדשנית</t>
  </si>
  <si>
    <t>לפניך סולמות בני 7 דרגות המתארים תכונות שונות של מפלגות. חשוב בבקשה על המפלגה האידיאלית אותה היית רוצה לראות בשלטון ודרג אותה על סולמות אלו: מעמד בינוני-מעמד פועלים</t>
  </si>
  <si>
    <t>לפניך סולמות בני 7 דרגות המתארים תכונות שונות של מפלגות. חשוב בבקשה על המפלגה האידיאלית אותה היית רוצה לראות בשלטון ודרג אותה על סולמות אלו: ספרדית-אשכנזית</t>
  </si>
  <si>
    <t>לפניך סולמות בני 7 דרגות המתארים תכונות שונות של מפלגות. חשוב בבקשה על המפלגה האידיאלית אותה היית רוצה לראות בשלטון ודרג אותה על סולמות אלו: דואגת בעיקר לעצמה-דואגת בעיקר לאזרחים</t>
  </si>
  <si>
    <t>לפניך סולמות בני 7 דרגות המתארים תכונות שונות של מפלגות. חשוב בבקשה על המפלגה האידיאלית אותה היית רוצה לראות בשלטון ודרג אותה על סולמות אלו: חסרת ניסיון-בעלת ניסיון</t>
  </si>
  <si>
    <t>לפניך סולמות בני 7 דרגות המתארים תכונות שונות של מפלגות. חשוב בבקשה על המפלגה האידיאלית אותה היית רוצה לראות בשלטון ודרג אותה על סולמות אלו: יונית-ניצית</t>
  </si>
  <si>
    <t>עכשיו אתה מתבקש לדרג את המערך על סולמות אלה: צעירה-זקנה</t>
  </si>
  <si>
    <t>עכשיו אתה מתבקש לדרג את המערך על סולמות אלה: חזקה-חלשה</t>
  </si>
  <si>
    <t>עכשיו אתה מתבקש לדרג את המערך על סולמות אלה: ימנית-שמאלית</t>
  </si>
  <si>
    <t>עכשיו אתה מתבקש לדרג את המערך על סולמות אלה: מיושנת-חדשנית</t>
  </si>
  <si>
    <t>עכשיו אתה מתבקש לדרג את המערך על סולמות אלה: מעמד ביניים-מעמד פועלים</t>
  </si>
  <si>
    <t>עכשיו אתה מתבקש לדרג את המערך על סולמות אלה: ספרדית-אשכנזית</t>
  </si>
  <si>
    <t>עכשיו אתה מתבקש לדרג את המערך על סולמות אלה: דואגת בעיקר לעצמה-דואגת בעיקר לאזרח</t>
  </si>
  <si>
    <t>עכשיו אתה מתבקש לדרג את המערך על סולמות אלה: ישרה-מושחתת</t>
  </si>
  <si>
    <t>עכשיו אתה מתבקש לדרג את המערך על סולמות אלה: חסרת ניסיון-בעלת ניסיון</t>
  </si>
  <si>
    <t>עכשיו אתה מתבקש לדרג את המערך על סולמות אלה: בלתי אמינה-אמינה</t>
  </si>
  <si>
    <t>עכשיו אתה מתבקש לדרג את המערך על סולמות אלה: יונית-ניצית</t>
  </si>
  <si>
    <t>עכשיו אתה מתבקש לדרג את הליכוד על סולמות אלה: צעירה-זקנה</t>
  </si>
  <si>
    <t>עכשיו אתה מתבקש לדרג את הליכוד על סולמות אלה: חזקה-חלשה</t>
  </si>
  <si>
    <t>עכשיו אתה מתבקש לדרג את הליכוד על סולמות אלה: ימנית-שמאלית</t>
  </si>
  <si>
    <t>עכשיו אתה מתבקש לדרג את הליכוד על סולמות אלה: מיושנת-חדשנית</t>
  </si>
  <si>
    <t>עכשיו אתה מתבקש לדרג את הליכוד על סולמות אלה: מעמד ביניים-מעמד פועלים</t>
  </si>
  <si>
    <t>עכשיו אתה מתבקש לדרג את הליכוד על סולמות אלה: ספרדית-אשכנזית</t>
  </si>
  <si>
    <t>עכשיו אתה מתבקש לדרג את הליכוד על סולמות אלה: דואגת בעיקר לעצמה-דואגת בעיקר לאזרח</t>
  </si>
  <si>
    <t>עכשיו אתה מתבקש לדרג את הליכוד על סולמות אלה: ישרה-מושחתת</t>
  </si>
  <si>
    <t>עכשיו אתה מתבקש לדרג את הליכוד על סולמות אלה: חסרת ניסיון-בעלת ניסיון</t>
  </si>
  <si>
    <t>עכשיו אתה מתבקש לדרג את הליכוד על סולמות אלה: בלתי אמינה-אמינה</t>
  </si>
  <si>
    <t>עכשיו אתה מתבקש לדרג את הליכוד על סולמות אלה: יונית-ניצית</t>
  </si>
  <si>
    <t>לפניך רשימת של תכונות והיפוכן. לגבי כל אחת מהן ציין מה מתאים למערכת הבחירות המתנהלת: חיובית-שלילית</t>
  </si>
  <si>
    <t>לפניך רשימת של תכונות והיפוכן. לגבי כל אחת מהן ציין מה מתאים למערכת הבחירות המתנהלת: קצרה-ארוכה</t>
  </si>
  <si>
    <t>לפניך רשימת של תכונות והיפוכן. לגבי כל אחת מהן ציין מה מתאים למערכת הבחירות המתנהלת: חינוכית-בלתי חינוכית</t>
  </si>
  <si>
    <t>לפניך רשימת של תכונות והיפוכן. לגבי כל אחת מהן ציין מה מתאים למערכת הבחירות המתנהלת: עוזרת להחליט בעד מי להצביע-לא עוזרת להחליט</t>
  </si>
  <si>
    <t>לפניך רשימת של תכונות והיפוכן. לגבי כל אחת מהן ציין מה מתאים למערכת הבחירות המתנהלת: עוזרת להבין את בעיות המדינה-לא עוזרת להבין</t>
  </si>
  <si>
    <t>לפניך רשימת של תכונות והיפוכן. לגבי כל אחת מהן ציין מה מתאים למערכת הבחירות המתנהלת: עוזרת להכיר את ההבדלים בין המפלגות-לא עוזרת להכיר</t>
  </si>
  <si>
    <t>לפניך רשימת של תכונות והיפוכן. לגבי כל אחת מהן ציין מה מתאים למערכת הבחירות המתנהלת: מאחדת את העם-מפוררת את העם</t>
  </si>
  <si>
    <t>לפניך רשימת של תכונות והיפוכן. לגבי כל אחת מהן ציין מה מתאים למערכת הבחירות המתנהלת: עוזרת להכיר את המנהיגים-לא עוזרת להכיר</t>
  </si>
  <si>
    <t>לפניך רשימת של תכונות והיפוכן. לגבי כל אחת מהן ציין מה מתאים למערכת הבחירות המתנהלת: נותנת תחושה של שייכות למדינה-לא נותנת תחושה של שייכות למדינה</t>
  </si>
  <si>
    <t>לפניך רשימת של תכונות והיפוכן. לגבי כל אחת מהן ציין מה מתאים למערכת הבחירות המתנהלת: בזבזנית-שווה את ההשקעה</t>
  </si>
  <si>
    <t>לפניך רשימת של תכונות והיפוכן. לגבי כל אחת מהן ציין מה מתאים למערכת הבחירות המתנהלת: גורלית-לא משנה הרבה</t>
  </si>
  <si>
    <t>לפניך רשימת של תכונות והיפוכן. לגבי כל אחת מהן ציין מה מתאים למערכת הבחירות המתנהלת: חשובה-לא חשובה</t>
  </si>
  <si>
    <t>לפניך רשימת של תכונות והיפוכן. לגבי כל אחת מהן ציין מה מתאים למדינת ישראל: חזקה-חלשה</t>
  </si>
  <si>
    <t>לפניך רשימת של תכונות והיפוכן. לגבי כל אחת מהן ציין מה מתאים למדינת ישראל: נותנת תקווה-נותנת ייאוש</t>
  </si>
  <si>
    <t>לפניך רשימת של תכונות והיפוכן. לגבי כל אחת מהן ציין מה מתאים למדינת ישראל: צודקת-לא צודקת</t>
  </si>
  <si>
    <t>לפניך רשימת של תכונות והיפוכן. לגבי כל אחת מהן ציין מה מתאים למדינת ישראל: המקום שאני רוצה לחיות בו-המקום שאין אני רוצה לחיות בו</t>
  </si>
  <si>
    <t>לפניך רשימת של תכונות והיפוכן. לגבי כל אחת מהן ציין מה מתאים למדינת ישראל: מקום שכל היהודים חייבים לעלות אליו-לא מקום שכל היהודים חייבים לעלות אליו</t>
  </si>
  <si>
    <t>לפניך רשימת של תכונות והיפוכן. לגבי כל אחת מהן ציין מה מתאים למדינת ישראל: דמוקרטית-לא דמוקרטית</t>
  </si>
  <si>
    <t>לפניך רשימת של תכונות והיפוכן. לגבי כל אחת מהן ציין מה מתאים למדינת ישראל: יש בה צדק חברתי-אין בה צדק חברתי</t>
  </si>
  <si>
    <t>לפניך רשימת של תכונות והיפוכן. לגבי כל אחת מהן ציין מה מתאים למדינת ישראל: מוכנה לחיות בשכנות טובה עם ארצות ערב-לא מוכנה לחיות בשכנות טובה עם ארצות ערב</t>
  </si>
  <si>
    <t>לפניך רשימת של תכונות והיפוכן. לגבי כל אחת מהן ציין מה מתאים למדינת ישראל: שוחרת שלום-מחרחרת מלחמה</t>
  </si>
  <si>
    <t>לפניך רשימת של תכונות והיפוכן. לגבי כל אחת מהן ציין מה מתאים למדינת ישראל: התגשמות החלום הציוני-לא התגשמות החלום הציוני</t>
  </si>
  <si>
    <t>לפניך רשימה של נימוקים. באיזו מידה משכנע כל אחד מהנימוקים אלה כדי לתמוך הצבעה בליכוד: מציע מנהיגים חזקים</t>
  </si>
  <si>
    <t>לפניך רשימה של נימוקים. באיזו מידה משכנע כל אחד מהנימוקים אלה כדי לתמוך הצבעה בליכוד: מבטיח שלפרט יהיה טוב מבחינה כלכלית</t>
  </si>
  <si>
    <t>לפניך רשימה של נימוקים. באיזו מידה משכנע כל אחד מהנימוקים אלה כדי לתמוך הצבעה בליכוד: מבטיח את עתיד הילדים</t>
  </si>
  <si>
    <t>לפניך רשימה של נימוקים. באיזו מידה משכנע כל אחד מהנימוקים אלה כדי לתמוך הצבעה בליכוד: ישמור על האופי היהודי של המדינה</t>
  </si>
  <si>
    <t>לפניך רשימה של נימוקים. באיזו מידה משכנע כל אחד מהנימוקים אלה כדי לתמוך הצבעה בליכוד: יבטיח את בטחון המדינה</t>
  </si>
  <si>
    <t>לפניך רשימה של נימוקים. באיזו מידה משכנע כל אחד מהנימוקים אלה כדי לתמוך הצבעה בליכוד: יעשה את המדינה למקום שהיהודים ירצו לחיות בו</t>
  </si>
  <si>
    <t>לפניך רשימה של נימוקים. באיזו מידה משכנע כל אחד מהנימוקים אלה כדי לתמוך הצבעה בליכוד: ידע לעמוד בתוקף במו"מ על שטחים ושלום</t>
  </si>
  <si>
    <t>לפניך רשימה של נימוקים. באיזו מידה משכנע כל אחד מהנימוקים אלה כדי לתמוך הצבעה בליכוד: ארבע שנים אינן מספיקות כדי לבנות מה שהמערך הרס ב-30 שנה</t>
  </si>
  <si>
    <t>לפניך רשימה של נימוקים. באיזו מידה משכנע כל אחד מהנימוקים אלה כדי לתמוך הצבעה בליכוד: מדיניות הליכוד תגביר את סיכויי השלום</t>
  </si>
  <si>
    <t>לפניך רשימה של נימוקים. באיזו מידה משכנע כל אחד מהנימוקים אלה כדי לתמוך הצבעה בליכוד: הליכוד יוכל לטפל טוב יותר בבעיות המשק והחברה</t>
  </si>
  <si>
    <t>לפניך רשימה של נימוקים. באיזו מידה משכנע כל אחד מהנימוקים אלה כדי לתמוך הצבעה בליכוד: אי אפשר להאמין למנהיגי המערך ולכן יש לתמוך בליכוד</t>
  </si>
  <si>
    <t>לפניך רשימה של נימוקים. באיזו מידה משכנע כל אחד מהנימוקים אלה כדי לתמוך הצבעה בליכוד: הליכוד הוא הרע במיעוטו</t>
  </si>
  <si>
    <t>לפניך רשימה של נימוקים. באיזו מידה משכנע כל אחד מהנימוקים אלה כדי לתמוך הצבעה בליכוד: המנהיגים של המערך הביאו את המדינה למצבה הקשה ביותר וכן אין לתת להם לחזור לשלטון</t>
  </si>
  <si>
    <t>לפניך רשימה של נימוקים. באיזו מידה משכנע כל אחד מהנימוקים אלה כדי לתמוך הצבעה בליכוד: למערך ולדיין אין מדיניות ברורה בענייני חוץ ובטחון ולכן יש לתמוך בליכוד</t>
  </si>
  <si>
    <t>לפניך רשימה של נימוקים. באיזו מידה משכנע כל אחד מהנימוקים אלה כדי לתמוך הצבעה בליכוד: האופציה הירדנית של של המערך והרעיונות של דיין יביאו למדינה פלשתינאית ולכן יש לתמוך בליכוד</t>
  </si>
  <si>
    <t>לפניך רשימה של נימוקים. באיזו מידה משכנע כל אחד מהנימוקים אלה כדי לתמוך הצבעה בליכוד: חשוב לתת לגורם חדש לנסות את כוחו בשלטון</t>
  </si>
  <si>
    <t>לפניך רשימה של נימוקים. באיזו מידה משכנע כל אחד מהנימוקים אלה כדי לתמוך הצבעה בליכוד: הליכוד מציע הנהגה רעננה</t>
  </si>
  <si>
    <t>לפניך רשימה של נימוקים. באיזו מידה משכנע כל אחד מהנימוקים אלה כדי לתמוך הצבעה בליכוד: הליכוד יפעל ביד תקיפה להפסיק את השחיתות</t>
  </si>
  <si>
    <t>לפניך רשימה של נימוקים. באיזו מידה משכנע כל אחד מהנימוקים אלה כדי לתמוך הצבעה בליכוד: מוסדות הליכוד דמוקרטיים</t>
  </si>
  <si>
    <t>לפניך רשימה של נימוקים. באיזו מידה משכנע כל אחד מהנימוקים אלה כדי לתמוך הצבעה בליכוד: המנהיגים של המערך נתנו יד לשחיתות במדינה</t>
  </si>
  <si>
    <t>לפניך רשימה של נימוקים. באיזו מידה משכנע כל אחד מהנימוקים אלה כדי לתמוך הצבעה בליכוד: הליכוד יעזור לי לקבל עבודה טובה יותר או קידום בעבודה</t>
  </si>
  <si>
    <t>לפניך רשימה של נימוקים. באיזו מידה משכנע כל אחד מהנימוקים אלה כדי לתמוך הצבעה בליכוד: הליכוד יעזור לי בבעיות אישיות שלי, כגון: דיור, עזרה ממשלתית ועוד</t>
  </si>
  <si>
    <t>לפניך רשימה של נימוקים. באיזו מידה משכנע כל אחד מהנימוקים אלה כדי לתמוך הצבעה בליכוד: המערך נכשל בתחום החברה והכלכלה</t>
  </si>
  <si>
    <t>לפניך רשימה של נימוקים. באיזו מידה משכנע כל אחד מהנימוקים אלה כדי לתמוך הצבעה בליכוד: הליכוד לא יוותר על שטחים</t>
  </si>
  <si>
    <t>לפניך רשימה של נימוקים. באיזו מידה משכנע כל אחד מהנימוקים אלה כדי לתמוך הצבעה בליכוד: המערך אחראי למחדלי המלחמה</t>
  </si>
  <si>
    <t>לפניך רשימה של נימוקים. באיזו מידה משכנע כל אחד מהנימוקים אלה כדי לתמוך הצבעה בליכוד: הליכוד מציע מנהיגים טובים</t>
  </si>
  <si>
    <t>לפניך רשימה של נימוקים. באיזו מידה משכנע כל אחד מהנימוקים אלה כדי לתמוך הצבעה בליכוד: הליכוד הציע הקמת ממשלת ליכוד לאומית</t>
  </si>
  <si>
    <t>לפניך רשימה של נימוקים. באיזו מידה משכנע כל אחד מהנימוקים אלה כדי לתמוך הצבעה במערך: מציע מנהיגים חזקים</t>
  </si>
  <si>
    <t>לפניך רשימה של נימוקים. באיזו מידה משכנע כל אחד מהנימוקים אלה כדי לתמוך הצבעה במערך: מבטיח שלפרט יהיה טוב מבחינה כלכלית</t>
  </si>
  <si>
    <t>לפניך רשימה של נימוקים. באיזו מידה משכנע כל אחד מהנימוקים אלה כדי לתמוך הצבעה במערך: מבטיח את עתיד הילדים</t>
  </si>
  <si>
    <t>לפניך רשימה של נימוקים. באיזו מידה משכנע כל אחד מהנימוקים אלה כדי לתמוך הצבעה במערך: ישמור על האופי היהודי של המדינה</t>
  </si>
  <si>
    <t>לפניך רשימה של נימוקים. באיזו מידה משכנע כל אחד מהנימוקים אלה כדי לתמוך הצבעה במערך: יבטיח את בטחון המדינה</t>
  </si>
  <si>
    <t>לפניך רשימה של נימוקים. באיזו מידה משכנע כל אחד מהנימוקים אלה כדי לתמוך הצבעה במערך: יעשה את המדינה למקום שהיהודים ירצו לחיות בו</t>
  </si>
  <si>
    <t>לפניך רשימה של נימוקים. באיזו מידה משכנע כל אחד מהנימוקים אלה כדי לתמוך הצבעה במערך: ידע לעמוד בתוקף במו"מ על שטחים ושלום</t>
  </si>
  <si>
    <t>לפניך רשימה של נימוקים. באיזו מידה משכנע כל אחד מהנימוקים אלה כדי לתמוך הצבעה במערך: המערך בעל נסיון בשלטון</t>
  </si>
  <si>
    <t>לפניך רשימה של נימוקים. באיזו מידה משכנע כל אחד מהנימוקים אלה כדי לתמוך הצבעה במערך: המערך מציע אנשים חדשים ורעיונות טובים לפתור את הבעיות במדינה</t>
  </si>
  <si>
    <t>לפניך רשימה של נימוקים. באיזו מידה משכנע כל אחד מהנימוקים אלה כדי לתמוך הצבעה במערך: מדיניות המערך תגביר את סיכויי השלום</t>
  </si>
  <si>
    <t>לפניך רשימה של נימוקים. באיזו מידה משכנע כל אחד מהנימוקים אלה כדי לתמוך הצבעה במערך: המערך יוכל לטפל טוב יותר בבעיות משק וחברה</t>
  </si>
  <si>
    <t>לפניך רשימה של נימוקים. באיזו מידה משכנע כל אחד מהנימוקים אלה כדי לתמוך הצבעה במערך: המערך מתחדש ושוב ניתן להאמין בו</t>
  </si>
  <si>
    <t>לפניך רשימה של נימוקים. באיזו מידה משכנע כל אחד מהנימוקים אלה כדי לתמוך הצבעה במערך: המערך הוא הרע במיעוטו</t>
  </si>
  <si>
    <t>לפניך רשימה של נימוקים. באיזו מידה משכנע כל אחד מהנימוקים אלה כדי לתמוך הצבעה במערך: אחרי ד"ש אין להצביע בשביל מפלגות חדשות ויש לתמוך במערך</t>
  </si>
  <si>
    <t>לפניך רשימה של נימוקים. באיזו מידה משכנע כל אחד מהנימוקים אלה כדי לתמוך הצבעה במערך: לליכוד אין מנהיגים טובים ולכן יש לתמוך במערך</t>
  </si>
  <si>
    <t>לפניך רשימה של נימוקים. באיזו מידה משכנע כל אחד מהנימוקים אלה כדי לתמוך הצבעה במערך: האוטונומיה של בגין והרעיונות של דיין יביאו למדינה פלשתינאית ולכן יש לתמוך במערך</t>
  </si>
  <si>
    <t>לפניך רשימה של נימוקים. באיזו מידה משכנע כל אחד מהנימוקים אלה כדי לתמוך הצבעה במערך: המערך מציע הנהגה רעננה</t>
  </si>
  <si>
    <t>לפניך רשימה של נימוקים. באיזו מידה משכנע כל אחד מהנימוקים אלה כדי לתמוך הצבעה במערך: גמישות המערך בענייני שטחים עשוייה להביא לשלום</t>
  </si>
  <si>
    <t>לפניך רשימה של נימוקים. באיזו מידה משכנע כל אחד מהנימוקים אלה כדי לתמוך הצבעה במערך: המערך יפעל ביד תקיפה להפסיק את השחיתות במדינה</t>
  </si>
  <si>
    <t>לפניך רשימה של נימוקים. באיזו מידה משכנע כל אחד מהנימוקים אלה כדי לתמוך הצבעה במערך: המערך בעד שינוי שיטת הבחירות</t>
  </si>
  <si>
    <t>לפניך רשימה של נימוקים. באיזו מידה משכנע כל אחד מהנימוקים אלה כדי לתמוך הצבעה במערך: פחד מפני קיצוניות הליכוד</t>
  </si>
  <si>
    <t>לפניך רשימה של נימוקים. באיזו מידה משכנע כל אחד מהנימוקים אלה כדי לתמוך הצבעה במערך: ד"ש היא כמו המערך, אז למה לנסות משהו שהוא חדש</t>
  </si>
  <si>
    <t>לפניך רשימה של נימוקים. באיזו מידה משכנע כל אחד מהנימוקים אלה כדי לתמוך הצבעה במערך: לליכוד ולד"ש אין מנהיגים מנוסים</t>
  </si>
  <si>
    <t>לפניך רשימה של נימוקים. באיזו מידה משכנע כל אחד מהנימוקים אלה כדי לתמוך הצבעה במערך: המערך יעזור לי לקבל עבודה טובה יותר או קידום בעבודה</t>
  </si>
  <si>
    <t>לפניך רשימה של נימוקים. באיזו מידה משכנע כל אחד מהנימוקים אלה כדי לתמוך הצבעה במערך: המערך יעזור לי בבעיות אישיות שלי, כגון: דיור, עזרה ממשלתית ועוד</t>
  </si>
  <si>
    <t>לפניך רשימה של נימוקים. באיזו מידה משכנע כל אחד מהנימוקים אלה כדי לתמוך הצבעה במערך: המערך מציע מנהיגים טובים</t>
  </si>
  <si>
    <t>לפניך רשימה של נימוקים. באיזו מידה משכנע כל אחד מהנימוקים אלה כדי לתמוך הצבעה במערך: חשש מפני זעזועים במדינה</t>
  </si>
  <si>
    <t>לפניך רשימה של נימוקים. באיזו מידה משכנע כל אחד מהנימוקים אלה כדי לתמוך הצבעה בתל"ם (משה דיין): מציע מנהיגים חזקים</t>
  </si>
  <si>
    <t>לפניך רשימה של נימוקים. באיזו מידה משכנע כל אחד מהנימוקים אלה כדי לתמוך הצבעה  בתל"ם (משה דיין): מבטיח שלפרט יהיה טוב מבחינה כלכלית</t>
  </si>
  <si>
    <t>לפניך רשימה של נימוקים. באיזו מידה משכנע כל אחד מהנימוקים אלה כדי לתמוך הצבעה  בתל"ם (משה דיין): מבטיח את עתיד הילדים</t>
  </si>
  <si>
    <t>לפניך רשימה של נימוקים. באיזו מידה משכנע כל אחד מהנימוקים אלה כדי לתמוך הצבעה  בתל"ם (משה דיין): ישמור על האופי היהודי של המדינה</t>
  </si>
  <si>
    <t>לפניך רשימה של נימוקים. באיזו מידה משכנע כל אחד מהנימוקים אלה כדי לתמוך הצבעה  בתל"ם (משה דיין): יבטיח את בטחון המדינה</t>
  </si>
  <si>
    <t>לפניך רשימה של נימוקים. באיזו מידה משכנע כל אחד מהנימוקים אלה כדי לתמוך הצבעה  בתל"ם (משה דיין): יעשה את המדינה למקום שהיהודים ירצו לחיות בו</t>
  </si>
  <si>
    <t>לפניך רשימה של נימוקים. באיזו מידה משכנע כל אחד מהנימוקים אלה כדי לתמוך הצבעה  בתל"ם (משה דיין): ידע לעמוד בתוקף במו"מ על שטחים ושלום</t>
  </si>
  <si>
    <t>לפניך רשימה של נימוקים. באיזו מידה משכנע כל אחד מהנימוקים אלה כדי לתמוך הצבעה  בתל"ם (משה דיין): המדיניות של דיין תגביר את סיכויי השלום</t>
  </si>
  <si>
    <t>לפניך רשימה של נימוקים. באיזו מידה משכנע כל אחד מהנימוקים אלה כדי לתמוך הצבעה  בתל"ם (משה דיין): רשימת דיין תוכל לטפל טוב יותר בבעיות המשק והחברה</t>
  </si>
  <si>
    <t>לפניך רשימה של נימוקים. באיזו מידה משכנע כל אחד מהנימוקים אלה כדי לתמוך הצבעה  בתל"ם (משה דיין): רשימת דיין היא הרע במיעוטו</t>
  </si>
  <si>
    <t>לפניך רשימה של נימוקים. באיזו מידה משכנע כל אחד מהנימוקים אלה כדי לתמוך הצבעה  בתל"ם (משה דיין): המערך והליכוד שניהם גרועים באותה מידה ולכן יש לתמוך בדיין</t>
  </si>
  <si>
    <t>לפניך רשימה של נימוקים. באיזו מידה משכנע כל אחד מהנימוקים אלה כדי לתמוך הצבעה  בתל"ם (משה דיין): לדיין היכולת להביא לשינוי אמיתי במדינה</t>
  </si>
  <si>
    <t>לפניך רשימה של נימוקים. באיזו מידה משכנע כל אחד מהנימוקים אלה כדי לתמוך הצבעה  בתל"ם (משה דיין): המנהיגים של המערך והליכוד הוכיחו שהם לא יכולים לנהל את העניינים ולכן יש לתמוך בדיין</t>
  </si>
  <si>
    <t>לפניך רשימה של נימוקים. באיזו מידה משכנע כל אחד מהנימוקים אלה כדי לתמוך הצבעה  בתל"ם (משה דיין): האוטונומיה של בגין והאופוציה הירדנית של המערך יובילו למדינה פלשתינאית ולכן יש לתמוך בדיין</t>
  </si>
  <si>
    <t>לפניך רשימה של נימוקים. באיזו מידה משכנע כל אחד מהנימוקים אלה כדי לתמוך הצבעה בד"ש: חשוב לתת לגורם חדש לנסות את כוחו בשלטון</t>
  </si>
  <si>
    <t>לפניך רשימה של נימוקים. באיזו מידה משכנע כל אחד מהנימוקים אלה כדי לתמוך הצבעה בד"ש: ד"ש מציעה מנהיגים טובים</t>
  </si>
  <si>
    <t>לפניך רשימה של נימוקים. באיזו מידה משכנע כל אחד מהנימוקים אלה כדי לתמוך הצבעה בד"ש: ד"ש מציעה הנהגה רעננה</t>
  </si>
  <si>
    <t>לפניך רשימה של נימוקים. באיזו מידה משכנע כל אחד מהנימוקים אלה כדי לתמוך הצבעה בד"ש: המדיניות של ד"ש תגביר את הסיכויים לשלום</t>
  </si>
  <si>
    <t>לפניך רשימה של נימוקים. באיזו מידה משכנע כל אחד מהנימוקים אלה כדי לתמוך הצבעה בד"ש: המדיניות של ד"ש בענייני שטחים עשוייה להביא את השלום</t>
  </si>
  <si>
    <t>לפניך רשימה של נימוקים. באיזו מידה משכנע כל אחד מהנימוקים אלה כדי לתמוך הצבעה בד"ש: ד"ש תוכל לטפל טוב יותר בבעיות המשק והחברה</t>
  </si>
  <si>
    <t>לפניך רשימה של נימוקים. באיזו מידה משכנע כל אחד מהנימוקים אלה כדי לתמוך הצבעה בד"ש: ד"ש תפעל ביד תקיפה להפסיק את השחיתות במדינה</t>
  </si>
  <si>
    <t>לפניך רשימה של נימוקים. באיזו מידה משכנע כל אחד מהנימוקים אלה כדי לתמוך הצבעה בד"ש: ד"ש בעד שינוי שיטת הבחירות</t>
  </si>
  <si>
    <t>לפניך רשימה של נימוקים. באיזו מידה משכנע כל אחד מהנימוקים אלה כדי לתמוך הצבעה בד"ש: ד"ש תנועה דמוקרטית</t>
  </si>
  <si>
    <t>לפניך רשימה של נימוקים. באיזו מידה משכנע כל אחד מהנימוקים אלה כדי לתמוך הצבעה בד"ש: ד"ש היא הרע במיעוטו</t>
  </si>
  <si>
    <t>לפניך רשימה של נימוקים. באיזו מידה משכנע כל אחד מהנימוקים אלה כדי לתמוך הצבעה בד"ש: המערך והליכוד אותו הדבר</t>
  </si>
  <si>
    <t>לפניך רשימה של נימוקים. באיזו מידה משכנע כל אחד מהנימוקים אלה כדי לתמוך הצבעה בד"ש: לד"ש היכולת להביא שינוי אמיתי במדינה</t>
  </si>
  <si>
    <t>לפניך רשימה של נימוקים. באיזו מידה משכנע כל אחד מהנימוקים אלה כדי לתמוך הצבעה בד"ש: המנהיגים של המערך והליכוד נתנו יד לשחיתות</t>
  </si>
  <si>
    <t>לפניך רשימה של נימוקים. באיזו מידה משכנע כל אחד מהנימוקים אלה כדי לתמוך הצבעה בד"ש: הליכוד והמערך לא יכולים לשפר את החיים במדינה</t>
  </si>
  <si>
    <t>לפניך רשימה של נימוקים. באיזו מידה משכנע כל אחד מהנימוקים אלה כדי לתמוך הצבעה בד"ש: ד"ש תעזור לי לקבל עבודה טובה יותר או קידום בעבודה</t>
  </si>
  <si>
    <t>לפניך רשימה של נימוקים. באיזו מידה משכנע כל אחד מהנימוקים אלה כדי לתמוך הצבעה בד"ש: ד"ש תעזור לי בבעיות אישיות כגון: דיור, עזרה ממשלתית ועוד</t>
  </si>
  <si>
    <t>לפניך רשימה של תכונות והיפוכן. לגבי כל אחת ציין מה מתאים למנחם בגין: מביא תועלת למדינה-מביא נזק למדינה</t>
  </si>
  <si>
    <t>לפניך רשימה של תכונות והיפוכן. לגבי כל אחת ציין מה מתאים למנחם בגין: שקול בהתבטאויותיו-לא שקול בהיתבטאויותיו</t>
  </si>
  <si>
    <t>לפניך רשימה של תכונות והיפוכן. לגבי כל אחת ציין מה מתאים למנחם בגין: יציב-לא יציב</t>
  </si>
  <si>
    <t>לפניך רשימה של תכונות והיפוכן. לגבי כל אחת ציין מה מתאים למנחם בגין: מנהיג שעבר זמנו-מנהיג שלא עבר זמנו</t>
  </si>
  <si>
    <t>לפניך רשימה של תכונות והיפוכן. לגבי כל אחת ציין מה מתאים למנחם בגין: רה"מ גרוע-רה"מ מצוין</t>
  </si>
  <si>
    <t>לפניך רשימה של תכונות והיפוכן. לגבי כל אחת ציין מה מתאים למנחם בגין: שר בטחון גרוע-שר בטחון מצוין</t>
  </si>
  <si>
    <t>לפניך רשימה של תכונות והיפוכן. לגבי כל אחת ציין מה מתאים למנחם בגין: נתון למצבי רוח-לא נתון למצבי רוח</t>
  </si>
  <si>
    <t>לפניך רשימה של תכונות והיפוכן. לגבי כל אחת ציין מה מתאים למנחם בגין: בריאותו אינו מאפשרת לו להמשיך בתפקיד-בריאותו מאפשרת לו להמשיך בתפקיד</t>
  </si>
  <si>
    <t>לפניך רשימה של תכונות והיפוכן. לגבי כל אחת ציין מה מתאים למנחם בגין: הרפתקן-שקול ונבון</t>
  </si>
  <si>
    <t>לפניך רשימה של תכונות והיפוכן. לגבי כל אחת ציין מה מתאים למנחם בגין: מקומו באופוזיציה-מקומו בשלטון</t>
  </si>
  <si>
    <t>לפניך רשימה של תכונות והיפוכן. לגבי כל אחת ציין מה מתאים למנחם בגין: חזק-חלש</t>
  </si>
  <si>
    <t>לפניך רשימה של תכונות והיפוכן. לגבי כל אחת ציין מה מתאים למנחם בגין: יכול לעבוד בצוות-לא יכול לעבוד בצוות</t>
  </si>
  <si>
    <t>לפניך רשימה של תכונות והיפוכן. לגבי כל אחת ציין מה מתאים למנחם בגין: ישר-לא ישר</t>
  </si>
  <si>
    <t>לפניך רשימה של תכונות והיפוכן. לגבי כל אחת ציין מה מתאים למנחם בגין: בעל כושר החלטה-חסר כושר החלטה</t>
  </si>
  <si>
    <t>לפניך רשימה של תכונות והיפוכן. לגבי כל אחת ציין מה מתאים למנחם בגין: יכול לעמוד בלחצים-לא יכול לעמוד בלחצים</t>
  </si>
  <si>
    <t>לפניך רשימה של תכונות והיפוכן. לגבי כל אחת ציין מה מתאים לשמעון פרס: חזק-חלש</t>
  </si>
  <si>
    <t>לפניך רשימה של תכונות והיפוכן. לגבי כל אחת ציין מה מתאים לשמעון פרס: יכול לעבוד בצוות-לא יכול לעבוד בצוות</t>
  </si>
  <si>
    <t>לפניך רשימה של תכונות והיפוכן. לגבי כל אחת ציין מה מתאים לשמעון פרס: ישר-לא ישר</t>
  </si>
  <si>
    <t>לפניך רשימה של תכונות והיפוכן. לגבי כל אחת ציין מה מתאים לשמעון פרס: בעל כושר החלטה-חסר כושר החלטה</t>
  </si>
  <si>
    <t>לפניך רשימה של תכונות והיפוכן. לגבי כל אחת ציין מה מתאים לשמעון פרס: יכול לעמוד בלחצים-לא יכול לעמוד בלחצים</t>
  </si>
  <si>
    <t>לפניך רשימה של תכונות והיפוכן. לגבי כל אחת ציין מה מתאים לשמעון פרס: אמין בהופעתו בטלוויזיה-בלתי אמין בהופעתו בטלוויזיה</t>
  </si>
  <si>
    <t>לפניך רשימה של תכונות והיפוכן. לגבי כל אחת ציין מה מתאים לשמעון פרס: חלקלק-דוגרי</t>
  </si>
  <si>
    <t>לפניך רשימה של תכונות והיפוכן. לגבי כל אחת ציין מה מתאים לשמעון פרס: עייף-רענן</t>
  </si>
  <si>
    <t>לפניך רשימה של תכונות והיפוכן. לגבי כל אחת ציין מה מתאים למשה דיין: חזק-חלש</t>
  </si>
  <si>
    <t>לפניך רשימה של תכונות והיפוכן. לגבי כל אחת ציין מה מתאים למשה דיין: יכול לעבוד בצוות-לא יכול לעבוד בצוות</t>
  </si>
  <si>
    <t>לפניך רשימה של תכונות והיפוכן. לגבי כל אחת ציין מה מתאים למשה דיין: ישר-לא ישר</t>
  </si>
  <si>
    <t>לפניך רשימה של תכונות והיפוכן. לגבי כל אחת ציין מה מתאים למשה דיין: בעל כושר החלטה-חסר כושר החלטה</t>
  </si>
  <si>
    <t>לפניך רשימה של תכונות והיפוכן. לגבי כל אחת ציין מה מתאים למשה דיין: יכול לעמוד בלחצים-לא יכול לעמוד בלחצים</t>
  </si>
  <si>
    <t>באיזו מידה ישפיע או לא ישפיע כל אחד מהנושאים הבאים על ההצבעה שלך לכנסת? מדיניות כלכלית-חברתית</t>
  </si>
  <si>
    <t>באיזו מידה ישפיע או לא ישפיע כל אחד מהנושאים הבאים על ההצבעה שלך לכנסת? כלכלה</t>
  </si>
  <si>
    <t>באיזו מידה ישפיע או לא ישפיע כל אחד מהנושאים הבאים על ההצבעה שלך לכנסת? מדיניות חברתית</t>
  </si>
  <si>
    <t>באיזו מידה ישפיע או לא ישפיע כל אחד מהנושאים הבאים על ההצבעה שלך לכנסת? דת ומדינה</t>
  </si>
  <si>
    <t>באיזו מידה ישפיע או לא ישפיע כל אחד מהנושאים הבאים על ההצבעה שלך לכנסת? שלום ושטחים</t>
  </si>
  <si>
    <t>באיזו מידה ישפיע או לא ישפיע כל אחד מהנושאים הבאים על ההצבעה שלך לכנסת? בטחון וטרור</t>
  </si>
  <si>
    <t>באיזו מידה ישפיע או לא ישפיע כל אחד מהנושאים הבאים על ההצבעה שלך לכנסת? שחיתות</t>
  </si>
  <si>
    <t>באיזו מידה ישפיע או לא ישפיע כל אחד מהנושאים הבאים על ההצבעה שלך לכנסת? היחס לדמוקרטיה</t>
  </si>
  <si>
    <t>באיזו מידה ישפיע או לא ישפיע כל אחד מהנושאים הבאים על ההצבעה שלך לכנסת? השיקול למנוע בחירות נוספות</t>
  </si>
  <si>
    <t>באיזו מידה ישפיע או לא ישפיע כל אחד מהנושאים הבאים על ההצבעה שלך לכנסת? האיום האיראני</t>
  </si>
  <si>
    <t>באיזו מידה ישפיע או לא ישפיע כל אחד מהנושאים הבאים על ההצבעה שלך לכנסת? ירושלים</t>
  </si>
  <si>
    <t>באיזו מידה ישפיע או לא ישפיע כל אחד מהנושאים הבאים על ההצבעה שלך לכנסת? לבנון</t>
  </si>
  <si>
    <t>באיזו מידה ישפיע או לא ישפיע כל אחד מהנושאים הבאים על ההצבעה שלך לכנסת? משפט דרעי</t>
  </si>
  <si>
    <t>באיזו מידה ישפיע או לא ישפיע כל אחד מהנושאים הבאים על ההצבעה שלך לכנסת? רצח רבין</t>
  </si>
  <si>
    <t>באיזו מידה ישפיע או לא ישפיע כל אחד מהנושאים הבאים על ההצבעה שלך לכנסת? משבר הקורונה</t>
  </si>
  <si>
    <t>באיזו מידה משפיע או לא משפיע כל אחד מהנושאים הבאים על ההצבעה שלך: אם אישה עומדת בראש הרשימה</t>
  </si>
  <si>
    <t>באיזו מידה משפיע או לא משפיע כל אחד מהנושאים הבאים על ההצבעה שלך: אם מזרחי עומד בראש הרשימה</t>
  </si>
  <si>
    <t>באיזו מידה משפיע או לא משפיע כל אחד מהנושאים הבאים על ההצבעה שלך: מספר הנשים ברשימה לכנסת</t>
  </si>
  <si>
    <t>באיזו מידה משפיע או לא משפיע כל אחד מהנושאים הבאים על ההצבעה שלך: מספר המזרחים ברשימה לכנסת</t>
  </si>
  <si>
    <t>בבחירות האחרונות השתתפו הרבה פחות בוחרים מבעבר. עד כמה לדעתך כל סיבה כזאת חשובה או לא חשובה לאלה שלא הלכו להצביע: אין הבדל בין המפלגות</t>
  </si>
  <si>
    <t>אילו היו שני פתקים בבחירות האלה, אחד לראש הממשלה ואחד לכנסת, עבור מי היית מצביע לראשות הממשלה?</t>
  </si>
  <si>
    <t>אילו היו שני פתקים בבחירות האלה, אחד לראש הממשלה ואחד לכנסת, עבור מי היית מצביע לכנסת?</t>
  </si>
  <si>
    <t>באיזו מידה ישפיע או לא ישפיע כל אחד מהנושאים הבאים על ההצבעה שלך לראש הממשלה? כלכלה</t>
  </si>
  <si>
    <t>באיזו מידה ישפיע או לא ישפיע כל אחד מהנושאים הבאים על ההצבעה שלך לראש הממשלה? מדיניות חברתית</t>
  </si>
  <si>
    <t>באיזו מידה ישפיע או לא ישפיע כל אחד מהנושאים הבאים על ההצבעה שלך לראש הממשלה? דת ומדינה</t>
  </si>
  <si>
    <t>באיזו מידה ישפיע או לא ישפיע כל אחד מהנושאים הבאים על ההצבעה שלך לראש הממשלה? שלום ושטחים</t>
  </si>
  <si>
    <t>באיזו מידה ישפיע או לא ישפיע כל אחד מהנושאים הבאים על ההצבעה שלך לראש הממשלה? בטחון וטרור</t>
  </si>
  <si>
    <t>באיזו מידה ישפיע או לא ישפיע כל אחד מהנושאים הבאים על ההצבעה שלך לראש הממשלה? ירושלים</t>
  </si>
  <si>
    <t>באיזו מידה ישפיע או לא ישפיע כל אחד מהנושאים הבאים על ההצבעה שלך לראש הממשלה? לבנון</t>
  </si>
  <si>
    <t>באיזו מידה ישפיע או לא ישפיע כל אחד מהנושאים הבאים על ההצבעה שלך לראש הממשלה? רצח רבין</t>
  </si>
  <si>
    <t>לו יכלת להצביע עבור עוד שתי רשימות, מלבד לזו שאמרת, לאילו שתי רשימות היית מצביע: הראשונה</t>
  </si>
  <si>
    <t>לו יכלת להצביע עבור עוד שתי רשימות, מלבד לזו שאמרת, לאילו שתי רשימות היית מצביע: השנייה</t>
  </si>
  <si>
    <t>הגורמים הבאים משפיע או לא משפיע על החלטתך עבור מי להצביע? העמדת יצחק שמיר בראש הליכוד</t>
  </si>
  <si>
    <t>הגורמים הבאים משפיע או לא משפיע על החלטתך עבור מי להצביע? הפריימריז בעבודה</t>
  </si>
  <si>
    <t>הגורמים הבאים משפיע או לא משפיע על החלטתך עבור מי להצביע? הרכב רשימת העבודה</t>
  </si>
  <si>
    <t>הגורמים הבאים משפיע או לא משפיע על החלטתך עבור מי להצביע? הרכב רשימת הליכוד</t>
  </si>
  <si>
    <t>הגורמים הבאים משפיע או לא משפיע על החלטתך עבור מי להצביע? הליך בחירת השביעיות בליכוד</t>
  </si>
  <si>
    <t>הגורמים הבאים משפיע או לא משפיע על החלטתך עבור מי להצביע? העמדת יצחק רבין בראש העבודה</t>
  </si>
  <si>
    <t>הגורמים הבאים משפיע או לא משפיע על החלטתך עבור מי להצביע? הסיכוי שתהיה ממשלת אחדות לאומית</t>
  </si>
  <si>
    <t>הגורמים הבאים משפיע או לא משפיע על החלטתך עבור מי להצביע? מצב היחסים עם ארה"ב</t>
  </si>
  <si>
    <t>הגורמים הבאים משפיע או לא משפיע על החלטתך עבור מי להצביע? מצב קליטת העליה</t>
  </si>
  <si>
    <t>הגורמים הבאים משפיע או לא משפיע על החלטתך עבור מי להצביע? האבטלה</t>
  </si>
  <si>
    <t>הגורמים הבאים משפיע או לא משפיע על החלטתך עבור מי להצביע? השחיתויות בשלטון ודוח מבקר המדינה</t>
  </si>
  <si>
    <t>הגורמים הבאים משפיע או לא משפיע על החלטתך עבור מי להצביע? האינתיפאדה</t>
  </si>
  <si>
    <t>הגורמים הבאים משפיע או לא משפיע על החלטתך עבור מי להצביע? התחלת שיחות השלום</t>
  </si>
  <si>
    <t>הגורמים הבאים משפיע או לא משפיע על החלטתך עבור מי להצביע? טיפול הממשלה בשיחות השלום</t>
  </si>
  <si>
    <t>הגורמים הבאים משפיע או לא משפיע על החלטתך עבור מי להצביע? המצב בתחום דתיים-חילונים</t>
  </si>
  <si>
    <t>הגורמים הבאים משפיע או לא משפיע על החלטתך עבור מי להצביע? מדינות ההתנחלויות של הליכוד</t>
  </si>
  <si>
    <t>הגורמים הבאים משפיע או לא משפיע על החלטתך עבור מי להצביע? מצבך האישי כיום</t>
  </si>
  <si>
    <t>האם בגלל ההתקוממות בשטחים (האינתיפאדה) השתנו או לא השתנו לגביך כל אחד מן הדברים הבאים: ההצבעה שלך?</t>
  </si>
  <si>
    <t>אם המפלגה שאתה תומך בה תשנה את עמדתה בנושא השטחים, האם תשנה את הצבעתך?</t>
  </si>
  <si>
    <t>אם המפלגה שאתה תומך בה תשנה את עמדתה בנושא הכלכלי-חברתי, האם תשנה את הצבעתך?</t>
  </si>
  <si>
    <t>ישנם מספר גורמים עיקריים המביאים אדם להצביע למפלגה מסויימת. האם בין הגורמים האלה יש אחד בולט, הנראה לך כחשוב מכולם בהצבעתך לעירייה?</t>
  </si>
  <si>
    <t>איזה הוא הגורם שלדעתך חשיבותו הרבה ביותר משל האחרים בהצבעתך לעירייה?</t>
  </si>
  <si>
    <t>האם אתה מזדהה עם עמדה של מפלגה מסויימת לגבי הבעיה הראשונה שציינת? האם הזדהות זו משפיעה על הצבעתך?</t>
  </si>
  <si>
    <t>האם אתה מזדהה עם עמדה של מפלגה מסויימת לגבי הבעיה השנייה שציינת? האם הזדהות זו משפיעה על הצבעתך?</t>
  </si>
  <si>
    <t>באיזה אופן מסע הבחירות השפיע על החלטתך איך להצביע בבחירות לכנסת?</t>
  </si>
  <si>
    <t>לדעתך, מה הסיכוי שהמפלגה הבאה תהיה בקואליציה: קדימה</t>
  </si>
  <si>
    <t>לדעתך, מה הסיכוי שהמפלגה הבאה תהיה בקואליציה: העובדה</t>
  </si>
  <si>
    <t>לדעתך, מה הסיכוי שהמפלגה הבאה תהיה בקואליציה: הליכוד</t>
  </si>
  <si>
    <t>לדעתך, מה הסיכוי שהמפלגה הבאה תהיה בקואליציה: מרצ</t>
  </si>
  <si>
    <t>לדעתך, מה הסיכוי שהמפלגה הבאה תהיה בקואליציה: מפד"ל</t>
  </si>
  <si>
    <t>לדעתך, מה הסיכוי שהמפלגה הבאה תהיה בקואליציה: שינוי</t>
  </si>
  <si>
    <t>לדעתך, מה הסיכוי שהמפלגה הבאה תהיה בקואליציה: איחוד לאומי</t>
  </si>
  <si>
    <t>לדעתך, מה הסיכוי שהמפלגה הבאה תהיה בקואליציה: ש"ס</t>
  </si>
  <si>
    <t>לדעתך, מה הסיכוי שהמפלגה הבאה תהיה בקואליציה: ישראל בעליה</t>
  </si>
  <si>
    <t>לדעתך, מה הסיכוי שהמפלגה הבאה תהיה בקואליציה: המפלגה שאתה מצביע</t>
  </si>
  <si>
    <t>לדעתך, כמה חברי כנסת יהיו למפלגה הבאה: קדימה</t>
  </si>
  <si>
    <t>לדעתך, כמה חברי כנסת יהיו למפלגה הבאה: העבודה</t>
  </si>
  <si>
    <t>לדעתך, כמה חברי כנסת יהיו למפלגה הבאה: הליכוד</t>
  </si>
  <si>
    <t>לדעתך, כמה חברי כנסת יהיו למפלגה הבאה: מרצ</t>
  </si>
  <si>
    <t>לדעתך, כמה חברי כנסת יהיו למפלגה הבאה: מפד"ל</t>
  </si>
  <si>
    <t>לדעתך, כמה חברי כנסת יהיו למפלגה הבאה: שינוי</t>
  </si>
  <si>
    <t>לדעתך, כמה חברי כנסת יהיו למפלגה הבאה: איחוד לאומי</t>
  </si>
  <si>
    <t>לדעתך, כמה חברי כנסת יהיו למפלגה הבאה: ש"ס</t>
  </si>
  <si>
    <t>לדעתך, כמה חברי כנסת יהיו למפלגה הבאה: ישראל בעליה</t>
  </si>
  <si>
    <t>לדעתך, כמה חברי כנסת יהיו למפלגה הבאה: המפלגה שאתה מתכוון להצביע לה</t>
  </si>
  <si>
    <t>הסיכויים לקואליציות שונות לאחר הבחירות: קדימה-עבודה</t>
  </si>
  <si>
    <t>הסיכויים לקואליציות שונות לאחר הבחירות: קדימה-ליכוד</t>
  </si>
  <si>
    <t>הסיכויים לקואליציות שונות לאחר הבחירות: קדימה-ליכוד-מפלגות חרדיות</t>
  </si>
  <si>
    <t>הסיכויים לקואליציות שונות לאחר הבחירות: קדימה-עבודה-מפלגות חרדיות</t>
  </si>
  <si>
    <t>הסיכויים לקואליציות שונות לאחר הבחירות: קדימה-ליכוד-מפלגות ימין</t>
  </si>
  <si>
    <t>הסיכויים לקואליציות שונות לאחר הבחירות: קדימה-עבודה-מרצ</t>
  </si>
  <si>
    <t>הסיכויים לקואליציות שונות לאחר הבחירות: קדימה-עבודה-ליכוד-מפלגות ימין-מפלגות חרדיות (אחדות לאומית)</t>
  </si>
  <si>
    <t>הסיכויים לקואליציות שונות לאחר הבחירות: ליכוד-ימין-דתיים</t>
  </si>
  <si>
    <t>הסיכויים לקואליציות שונות לאחר הבחירות: ליכוד-עבודה-שינוי (בלי חרדים)</t>
  </si>
  <si>
    <t>הסיכויים לקואליציות שונות לאחר הבחירות: עבודה-מרצ-ערבים</t>
  </si>
  <si>
    <t>מה מידת התמיכה שלך בכל אחת מן הקואליציות הבאות: קדימה-עבודה</t>
  </si>
  <si>
    <t>מה מידת התמיכה שלך בכל אחת מן הקואליציות הבאות: קדימה-ליכוד</t>
  </si>
  <si>
    <t>מה מידת התמיכה שלך בכל אחת מן הקואליציות הבאות: קדימה-ליכוד-מפלגות חרדיות</t>
  </si>
  <si>
    <t>מה מידת התמיכה שלך בכל אחת מן הקואליציות הבאות: קדימה-עבודה-מפלגות חרדיות</t>
  </si>
  <si>
    <t>מה מידת התמיכה שלך בכל אחת מן הקואליציות הבאות: קדימה-ליכוד-מפלגות ימין</t>
  </si>
  <si>
    <t>מה מידת התמיכה שלך בכל אחת מן הקואליציות הבאות: קדימה-עבודה-מרצ</t>
  </si>
  <si>
    <t>מה מידת התמיכה שלך בכל אחת מן הקואליציות הבאות: קדימה-עבודה-ליכוד-מפלגות ימין-מפלגות חרדיות (אחדות לאומית)</t>
  </si>
  <si>
    <t>מה מידת התמיכה שלך בכל אחת מן הקואליציות הבאות: ליכוד-ימין-דתיים</t>
  </si>
  <si>
    <t>מה מידת התמיכה שלך בכל אחת מן הקואליציות הבאות: ליכוד-עבודה-שינוי</t>
  </si>
  <si>
    <t>מה מידת התמיכה שלך בכל אחת מן הקואליציות הבאות: עבודה-מרצ-ערבים</t>
  </si>
  <si>
    <t>האם בגלל ההתקוממות בשטחים (האינתיפאדה) השתנו או לא השתנו לגביך כל אחד מן הדברים הבאים: הערכתך לגבי תוצאות הבחירות?</t>
  </si>
  <si>
    <t>האם לדעתך מלחמת יום כיפור שינתה את סיכויי המערך בבחירות לכנסת לעומת אלו שהיו לפני המלחמה?</t>
  </si>
  <si>
    <t>האם לדעתך מלחמת יום כיפור שינתה את סיכויי הליכוד בבחירות לכנסת לעומת אלו שהיו לפני המלחמה?</t>
  </si>
  <si>
    <t>יש כל מיני דעות "על מה" היו הבחירות האחרונות. באיזו מידה אתה מסכים או לא מסכים עם כל אחד מהמשפטים הבאים: הבחירות האלה היו משאל עם על נתניהו</t>
  </si>
  <si>
    <t>באיזו מידה ישפיע או לא ישפיע לדעתך נושא השטחים על תוצאות הבחירות הקרובות לכנסת?</t>
  </si>
  <si>
    <t>באיזו מידה ישפיע או לא ישפיע לדעתך הנושא הכלכלי על תוצאות הבחירות הקרובות לכנסת?</t>
  </si>
  <si>
    <t>באיזו מידה ישפיע או לא ישפיע לדעתך הנושא הבטחוני על תוצאות הבחירות הקרובות לכנסת?</t>
  </si>
  <si>
    <t>לעמדה של מי אתה קרוב יותר בכל אחד מהנושאים הבאים: כלכלה</t>
  </si>
  <si>
    <t>מי לדעתך יטפל טוב יותר בבעיית הכלכלה והחברה של המדינה?</t>
  </si>
  <si>
    <t>מי לדעתך יטפל יותר טוב בבעיות הכלכליות של המדינה?</t>
  </si>
  <si>
    <t>מי לדעתך יטפל יותר טוב בבעיות החברתיות של המדינה?</t>
  </si>
  <si>
    <t>באיזו מידה אה מסכים או לא מסכים למשפטים הבאים? אנשים עם הכנסה גבוהה צריכים לשלם יותר מיסים ממה שהם משלמים היום</t>
  </si>
  <si>
    <t>לגבי כל אחד מהסעיפים הבאים, ציין האם לדעתך על המדינה להוציא יותר כספים, פחות כספים או כמו עכשיו: חינוך</t>
  </si>
  <si>
    <t>איזו משתי המפלגות הגדולות אחראית יותר לדעתך לכל אחת מהתופעות הבאות בארץ: אלימות</t>
  </si>
  <si>
    <t>איזו משתי המפלגות הגדולות אחראית יותר לדעתך לכל אחת מהתופעות הבאות בארץ: ירידה מהארץ</t>
  </si>
  <si>
    <t>איזו משתי המפלגות הגדולות אחראית יותר לדעתך לכל אחת מהתופעות הבאות בארץ: אינפלציה גבוהה</t>
  </si>
  <si>
    <t>איזו משתי המפלגות הגדולות אחראית יותר לדעתך לכל אחת מהתופעות הבאות בארץ: מוסר ירוד (שחיתות)</t>
  </si>
  <si>
    <t>איזו משתי המפלגות הגדולות אחראית יותר לדעתך לכל אחת מהתופעות הבאות בארץ: פשע במדינה</t>
  </si>
  <si>
    <t>איזו משתי המפלגות הגדולות אחראית יותר לדעתך לכל אחת מהתופעות הבאות בארץ: פער עדתי</t>
  </si>
  <si>
    <t>על סולם 1-10, עד כמה את קרוב או רחוק בנושאי כלכלה-חברה מהמפלגות הבאות: העבודה</t>
  </si>
  <si>
    <t>על סולם 1-10, עד כמה את קרוב או רחוק בנושאי כלכלה-חברה מהמפלגות הבאות: הליכוד</t>
  </si>
  <si>
    <t>על סולם 1-10, עד כמה את קרוב או רחוק בנושאי כלכלה-חברה מהמפלגות הבאות: שינוי</t>
  </si>
  <si>
    <t>על סולם 1-10, עד כמה אתה קרוב או רחוק בנושאי כלכלה-חברה מ: בנימין נתניהו</t>
  </si>
  <si>
    <t>על סולם 1-10, עד כמה אתה קרוב או רחוק בנושאי כלכלה-חברה מ: אהוד ברק</t>
  </si>
  <si>
    <t>על סולם 1-10, עד כמה אתה קרוב או רחוק בנושאי כלכלה-חברה מ: איציק מרדכי</t>
  </si>
  <si>
    <t>על סולם 1-10, עד כמה אתה קרוב או רחוק בנושאי כלכלה-חברה מ: בני בגין</t>
  </si>
  <si>
    <t>על סולם 1-10, עד כמה אתה קרוב או רחוק בנושאי כלכלה-חברה מ: עזמי בשארה</t>
  </si>
  <si>
    <t>באיזה אופן מסע הבחירות השפיע על החלטתך איך להצביע בבחירות להסתדרות?</t>
  </si>
  <si>
    <t>לפניך רשימה של ענפים. ציין בבקשה לגבי כל אחד מהם אם היית תומך בכך שיהיו בבעלות ממשלתית או מתנגד לכך: הדואר</t>
  </si>
  <si>
    <t>לפניך רשימה של ענפים. ציין בבקשה לגבי כל אחד מהם אם היית תומך בכך שיהיו בבעלות ממשלתית או מתנגד לכך: הרכבת</t>
  </si>
  <si>
    <t>לפניך רשימה של ענפים. ציין בבקשה לגבי כל אחד מהם אם היית תומך בכך שיהיו בבעלות ממשלתית או מתנגד לכך: חברת החשמל</t>
  </si>
  <si>
    <t>לפניך רשימה של ענפים. ציין בבקשה לגבי כל אחד מהם אם היית תומך בכך שיהיו בבעלות ממשלתית או מתנגד לכך: שיווק של מזון</t>
  </si>
  <si>
    <t>לפניך רשימה של ענפים. ציין בבקשה לגבי כל אחד מהם אם היית תומך בכך שיהיו בבעלות ממשלתית או מתנגד לכך: רדיו וטלוויזיה</t>
  </si>
  <si>
    <t>לפניך רשימה של ענפים. ציין בבקשה לגבי כל אחד מהם אם היית תומך בכך שיהיו בבעלות ממשלתית או מתנגד לכך: קופות החולים</t>
  </si>
  <si>
    <t>לפניך רשימה של ענפים. ציין בבקשה לגבי כל אחד מהם אם היית תומך בכך שיהיו בבעלות ממשלתית או מתנגד לכך: שירותי הטלפון</t>
  </si>
  <si>
    <t>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איזה החשוב לך ביותר?</t>
  </si>
  <si>
    <t>באיזו מידה אתה מסכים או לא מסכים עם המשפטים הבאים: יש להנהיג נישואים אזרחיים בנוסף לנישואים דתיים בישראל</t>
  </si>
  <si>
    <t>באיזו מידה אתה מסכים או לא מסכים עם המשפטים הבאים: יש לחייב את החרדים לשרת בצה"ל או בשירות הלאומי</t>
  </si>
  <si>
    <t>באיזו מידה אתה מסכים או לא מסכים עם המשפטים הבאים: יש להפריד את הדת מהמדינה</t>
  </si>
  <si>
    <t>על סולם 1-10, כד כמה אתה קרוב או רחוק בנושאי דת ומדינה מהמפלגות הבאות: העבודה</t>
  </si>
  <si>
    <t>על סולם 1-10, כד כמה אתה קרוב או רחוק בנושאי דת ומדינה מהמפלגות הבאות: הליכוד</t>
  </si>
  <si>
    <t>על סולם 1-10, כד כמה אתה קרוב או רחוק בנושאי דת ומדינה מהמפלגות הבאות: שינוי</t>
  </si>
  <si>
    <t>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איזה החשוב לך ביותר? (אחרי הבחירות)</t>
  </si>
  <si>
    <t>ואיזה שני בחשיבותו? (אחרי הבחירות)</t>
  </si>
  <si>
    <t>ומה השלישי בחשיבותו? (אחרי הבחירות)</t>
  </si>
  <si>
    <t>ומה הרביעי בחשיבותו? (אחרי הבחירות)</t>
  </si>
  <si>
    <t>באיזו מידה כל אחד מהמצבים הבאים מהווה איום בעיניך: מדינת הלכה</t>
  </si>
  <si>
    <t>באיזו מידה כל אחד מהמצבים הבאים מהווה איום בעיניך: הפרדת דת ומדינה</t>
  </si>
  <si>
    <t>מהם הסיכויים שיתקיים כל אחד מהמצבים הבאים בעתיד הנראה לעין: מדינת הלכה</t>
  </si>
  <si>
    <t>מהם הסיכויים שיתקיים כל אחד מהמצבים הבאים בעתיד הנראה לעין: הפרדת דת ומדינה</t>
  </si>
  <si>
    <t>לעמדה של מי אתה קרוב יותר בכל אחד מהנושאים הבאים: בטחון וטרור</t>
  </si>
  <si>
    <t>באיזו מידה אתה מסכים או לא מסכים עם המשפטים הבאים: על ישראל לעשות את מה שטוב בשביל ביטחונה גם במחיר של עימות עם הממשל האמריקאי</t>
  </si>
  <si>
    <t>באיזו מידה אתה מסכים או לא מסכים עם המשפטים הבאים: במהלך מלחמה צה"ל צריך להמנע מפגיעה באוכלוסיה אזרחית</t>
  </si>
  <si>
    <t>באיזו מידה אתה מסכים או לא מסכים עם המשפטים הבאים: אם יכשלו המאמצעים הדיפלומטים, על ישראל לתקוף צבאית את מתקני הגרעין האיראניים</t>
  </si>
  <si>
    <t>באיזו מידה אתה מסכים או לא מסכים עם המשפטים הבאים: יש להרחיב את סמכויות המשטרה לשם הגנה על הסדר הציבורי</t>
  </si>
  <si>
    <t>באיזו מידה כל אחד מהמצבים הבאים מהווה סכנה בעיניך? דרך את תשובתך על סולם בין 1-7 כאשר 1 משמעו 'בכלל לא מסוכן ו-7 'מאוד מסוכן': נשק כימי וביולוגי בידי מדינת אויב</t>
  </si>
  <si>
    <t>לגבי כל אחת מהאופשרויות הבאות, מהו לדעתך הסיכוי שהיא תביא למלחמה ישראלית-ערבית נוספת? החזרת שטחים לירדן</t>
  </si>
  <si>
    <t>האם תוכל או לא תוכל מדינת ישראל להתמודד עם כל אחד מהדברים הבאים: מלחמה כוללת של כל מדינות ערב נגדנו</t>
  </si>
  <si>
    <t>במלחמה נגד הטרור אפשר לנקוט במספר פעולות, באיזו מידה אתה תומך בכל אחת מהפעולות הבאות או מתנגד להן: הריסת בתים שבעליהם איכסנו מחבלים וידעו שהם מחבלים</t>
  </si>
  <si>
    <t>האם מוצדק או לא מוצדק לצאת למלחמה יזומה בכל אחד מהמצבים/תנאים הבאים: כפועל התגוננות כדי למנוע נסיון להשמיד את המדינה</t>
  </si>
  <si>
    <t>האם מוצדק או לא מוצדק שישראל תשתמש בנשק גרעיני בכל אחד מהתנאים הבאים: כתגובה על התקפה גרעינית מצד מדינה אחרת</t>
  </si>
  <si>
    <t>באיזה מידה אתה מסכים או לא מסכים עם כל אחת מהדעות הבאות: צריך להקריב קורבנות בתחום האישי, הכלכלי והחברתי כדי לשמור על עצמתנו, במידה שתספיק לקיום ביטחוננו</t>
  </si>
  <si>
    <t>באיזה מידה אתה מסכים או לא מסכים עם כל אחת מהדעות הבאות: צריך לעבור לפיתוח נשק גרעיני כדי להרתיע את הערבים</t>
  </si>
  <si>
    <t>באיזה מידה אתה מסכים או לא מסכים עם כל אחת מהדעות הבאות: צריך לכרות ברית הגנה עם ארה"ב כדי שהערבים לא יתקיפו אותנו</t>
  </si>
  <si>
    <t>מבין המדינות והקבוצות הבאות, ציין את השתיים שהן האויב המסוכן ביותר לישראל ודרג אותן לפי סדר חשיבותן: האויב המסוכן ביותר</t>
  </si>
  <si>
    <t>באיזו מידה מהווים כל אחד מהגורמים הבאים סיבה להתנגדות הערבים למדינת ישראל: קיימת בקרבם שנאת יהודים</t>
  </si>
  <si>
    <t>מבין כל הגורמים הנ"ל, ציין את שני הגורמים העיקריים להתנגדות הערבים למדינת ישראל ודרג אותם לפי סדר חשיבותם: הגורם העיקרי</t>
  </si>
  <si>
    <t>מבין כל הגורמים הנ"ל, ציין את שני הגורמים העיקריים להתנגדות הערבים למדינת ישראל ודרג אותם לפי סדר חשיבותם: גורם משני</t>
  </si>
  <si>
    <t>נתייחס עתה לאיש צבא בכיר שלא מסכים עם המדיניות הננקטת ע"י הממשלה - מה מבין הדברים הבאים מותר לו לעשות ומה אסור לו לעשות לדעתך: האם מותר או אסור לו לדבר עם הממונים עליו בצבא על כך שאינו מסכים עם מדיניות הממשלה?</t>
  </si>
  <si>
    <t>האם בגלל ההתקוממות בשטחים (האינתיפאדה) השתנו או לא השתנו לגביך כל אחד מן הדברים הבאים: מצב הרוח שלך?</t>
  </si>
  <si>
    <t>האם בגלל ההתקוממות בשטחים (האינתיפאדה) השתנו או לא השתנו לגביך כל אחד מן הדברים הבאים: מצב הרוח הלאומי?</t>
  </si>
  <si>
    <t>האם בגלל ההתקוממות בשטחים (האינתיפאדה) השתנו או לא השתנו לגביך כל אחד מן הדברים הבאים: הפעילות הפוליטית שלך?</t>
  </si>
  <si>
    <t>האם בגלל ההתקוממות בשטחים (האינתיפאדה) השתנו או לא השתנו לגביך כל אחד מן הדברים הבאים: רצונך לחיות בארץ?</t>
  </si>
  <si>
    <t>האם בגלל ההתקוממות בשטחים (האינתיפאדה) השתנו או לא השתנו לגביך כל אחד מן הדברים הבאים: היחס שלך לערבים?</t>
  </si>
  <si>
    <t>לעמדה של מי אתה קרוב יותר בכל אחד מהנושאים הבאים: ירושלים</t>
  </si>
  <si>
    <t>לעמדה של מי אתה קרוב יותר בכל אחד מהנושאים הבאים: שלום ושטחים</t>
  </si>
  <si>
    <t>באיזו מידה כל אחד מהמצבים הבאים מהווה סכנה בעיניך? דרך את תשובתך על סולם בין 1-7 כאשר 1 משמעו 'בכלל לא מסוכן ו-7 'מאוד מסוכן': החזרת שטחים במסגרת הסכם שלום</t>
  </si>
  <si>
    <t>באיזו מידה אתה מסכים או לא מסכים עם המשפטים הבאים: אפשר להגיע להסדר שלום עם הפלסטינים בלי להחזיר שטחים</t>
  </si>
  <si>
    <t>באיזו מידה אתה מסכים או לא מסכים עם המשפטים הבאים: יש להפסיק את תהליך השלום אפילו אם נסתכן במלחמה נוספת</t>
  </si>
  <si>
    <t>באיזו מידה אתה מסכים או לא מסכים עם המשפטים הבאים: יש להחזיר שטחים תמורת שלום</t>
  </si>
  <si>
    <t>באיזו מידה אתה מסכים או לא מסכים עם המשפטים הבאים: על הממשלה לעודד הגירת ערבים מהארץ</t>
  </si>
  <si>
    <t>באיזו מידה אתה מסכים או לא מסכים: לבנות גדר הפרדה ביננו לבין הפלסטינים</t>
  </si>
  <si>
    <t>באיזו מידה אתה מסכים או לא מסכים: לנהל מו"מ עם הפלסטינים גם אם הטרור ממשיך</t>
  </si>
  <si>
    <t>באיזו מידה אתה מסכים או לא מסכים: שישראל תחליט על הגבולות רצויים לה ביו"ש ועזה, ושצה"ל יסוג באופן חד צדדי מגבולות אלו</t>
  </si>
  <si>
    <t>באיזו מידה אתה מסכים או לא מסכים: לפנות התנחלויות במסגרת הסדר קבע, פרט לגושי ההתיישבות הגדולים</t>
  </si>
  <si>
    <t>באיזו מידה אתה מסכים או לא מסכים: לטרנספר של ערביי השטחים</t>
  </si>
  <si>
    <t>באיזו מידה אתה מסכים או לא מסכים: לטרנספר של ערבים אזרחי ישראל</t>
  </si>
  <si>
    <t>באיזו מידה אתה מסכים או לא מסכים: צריך להיכנס לתהליך מדיני של הסכמי שלום מיד, אפילו במחיר של ויתורים טריטוריאליים</t>
  </si>
  <si>
    <t>באיזוד מידה אתה תומך או מתנגד לוויתורים הישראלים הבאים, במסגרת הסכם השלום עם הפלסטינים שהציע הנשיא קלינטון: תקום מדינה פלסטינית על 95% מהגדה והרצועה, וישראל תשמור על גושי ההתנחלויות</t>
  </si>
  <si>
    <t>כמה אחוזים לפי דעתך מהציבור מסכימים להקמת מדינה פלסטינית (אחרי בחירות)</t>
  </si>
  <si>
    <t>איזו דעה תתחזק בקרב הציבור לדעתך? האם בשבועות הקרובים יגדל מספר האנשים המוכנים לתמוך בהקמת מדינה פלסטינית או יגדל מס' האנשים המתנגדים לכך? (אחרי הבחירות)</t>
  </si>
  <si>
    <t>בתקופה האחרונה נשמעות בתקשרות סיבות שונות מדוע צריך לתמוך או לא לתמוך בהסדר שהציע קלינטון. אשאל קודם על הסיבות לתמוך בהסדר, עד כמה כל אחת מהסיבות הבאות מדוע יש לתמוך בהסדר נשמעת לך משכנעת: אם לא נגיע כעת להסכם שלום עם הפלסטינים תפרוץ מלחמה</t>
  </si>
  <si>
    <t>ועד כמה כל אחת מהסיבות הבאות מדוע אסור לתמוך בהסדר נשמעת לך משכנעת: השטחים הם נכס בטחוני שאסור לוותר עליו בשום מצב</t>
  </si>
  <si>
    <t>מבלי להתחשב בדעתך האישית, האם להערכתך במשך 10 השנים הבאות תקום או לא תקום מדינה פלסטינית ביו"ש? (אחרי הבחירות)</t>
  </si>
  <si>
    <t>מהם הסיכויים שיתקיים כל אחד מהמצבים הבאים בעתיד הנראה לעין: החזרת שטחים</t>
  </si>
  <si>
    <t>להלן מספר סיבות בגללן אנשים חושבים שישראל צריכה להמשיך ולהחזיק ביו"ש ועזה. דרג אותן לפי סדר חשיבותן: זוכי זכותנו על הארץ</t>
  </si>
  <si>
    <t>להלן מספר סיבות בגללן אנשים חושבים שישראל צריכה להמשיך ולהחזיק ביו"ש ועזה. דרג אותן לפי סדר חשיבותן: מונעת הקמת מדינה פלסטינית שתסכן את ביטחוננו</t>
  </si>
  <si>
    <t>להלן מספר סיבות בגללן אנשים חושבים שישראל צריכה להמשיך ולהחזיק ביו"ש ועזה. דרג אותן לפי סדר חשיבותן: מעניקה עומק אסטרטגי במקרה של מלחמה בחזית המזרחית</t>
  </si>
  <si>
    <t>להלן מספר סיבות בגללן אנשים חושבים שישראל צריכה להמשיך ולהחזיק ביו"ש ועזה. דרג אותן לפי סדר חשיבותן: מאפשרת מטבע למיקוח במו"מ לשלום עם ירדן</t>
  </si>
  <si>
    <t>על סולם 1-10, עד כמה אתה קרוב או רחוק בנושאי שלום ובטחון מהמפלגה הבאה: העבודה</t>
  </si>
  <si>
    <t>על סולם 1-10, עד כמה אתה קרוב או רחוק בנושאי שלום ובטחון מהמפלגה הבאה: הליכוד</t>
  </si>
  <si>
    <t>על סולם 1-10, עד כמה אתה קרוב או רחוק בנושאי שלום ובטחון מהמפלגה הבאה: שינוי</t>
  </si>
  <si>
    <t>על סולם 1-10, עד כמה אתה קרוב או רחוק בנושאי שלום ובטחון מ: בנימין נתניהו</t>
  </si>
  <si>
    <t>על סולם 1-10, עד כמה אתה קרוב או רחוק בנושאי שלום ובטחון מ: אהוד ברק</t>
  </si>
  <si>
    <t>על סולם 1-10, עד כמה אתה קרוב או רחוק בנושאי שלום ובטחון מ: איציק מרדכי</t>
  </si>
  <si>
    <t>על סולם 1-10, עד כמה אתה קרוב או רחוק בנושאי שלום ובטחון מ: בני בגין</t>
  </si>
  <si>
    <t>על סולם 1-10, עד כמה אתה קרוב או רחוק בנושאי שלום ובטחון מ: עזמי בשארה</t>
  </si>
  <si>
    <t>באיזו מידה אתה מסכים או לא מסכים, עם המשפטים הבאים: אתה מרגיש מחויב למשטר הדמוקרטי בישראל, גם אם יש תקופות שבהן ההחלטות לא מוצאות חן בעיניך?</t>
  </si>
  <si>
    <t>באיזו מידה אתה מסכים או לא מסכים, עם המשפטים הבאים: כדי לטפל בבעיות המיוחדות של ישראל יש צורך במנהיג חזק שלא יתחשב בכנסת ובבחירות</t>
  </si>
  <si>
    <t>באיזו מידה אתה מסכים או לא מסכים, עם המשפטים הבאים: יש פעמים שנדמה שעדיף לחרוג מכללי המשחק הדמוקרטיים כדי להשיג שינוי משמעותי</t>
  </si>
  <si>
    <t>באיזו מידה אתה מסכים או לא מסכים, עם המשפטים הבאים: המדינה צריכה להבטיח שוויון זכויות חברתי ופוליטי מלא לכל האזרחים ללא הבדל זת גזע ומין</t>
  </si>
  <si>
    <t>באיזו מידה אתה מסכים או לא מסכים, עם המשפטים הבאים: יש להבטיח חופש ביטוי גם לאנשים המתבטאים נגד המדינה</t>
  </si>
  <si>
    <t>באיזו מידה אתה מסכים או לא מסכים, עם המשפטים הבאים: מי שמתפשר בפוליטיקה בעצם מוכר את העקרונות שלו</t>
  </si>
  <si>
    <t>מה מידת האמון שיש לך ב: ממשלה</t>
  </si>
  <si>
    <t>מה מידת האמון שיש לך ב: כנסת</t>
  </si>
  <si>
    <t>מה מידת האמון שיש לך ב: בית המשפט העליון</t>
  </si>
  <si>
    <t>מה מידת האמון שיש לך ב: פוליטיקאים</t>
  </si>
  <si>
    <t>מה מידת האמון שיש לך ב: המפלגות</t>
  </si>
  <si>
    <t>מה מידת האמון שיש לך ב: ראש הממשלה</t>
  </si>
  <si>
    <t>מה מידת האמון שיש לך ב: התקשורת</t>
  </si>
  <si>
    <t>מה מידת האמון שיש לך ב: פרקליטות המדינה</t>
  </si>
  <si>
    <t>מה מידת האמון שיש לך ב: המשטרה</t>
  </si>
  <si>
    <t>מה מידת האמון שיש לך ב: המפלגות (אחרי בחירות)</t>
  </si>
  <si>
    <t>מה מידת האמון שיש לך ב: התקשורת (אחרי בחירות)</t>
  </si>
  <si>
    <t>מה מידת האמון שיש לך ב: פרקליטות המדינה (אחרי בחירות)</t>
  </si>
  <si>
    <t>מה מידת האמון שיש לך ב: בית המשפט העליון (אחרי בחירות)</t>
  </si>
  <si>
    <t>מה מידת האמון שיש לך ב: המשטרה (אחרי בחירות)</t>
  </si>
  <si>
    <t>באיזו מידה אתה מרוצה או לא מרוצה מהדמוקרטיה בישראל? (אחרי בחירות)</t>
  </si>
  <si>
    <t>באיזו מידה כל אחד מהמצבים הבאים מהווה סכנה בעיניך? דרך את תשובתך על סולם בין 1-7 כאשר 1 משמעו 'בכלל לא מסוכן ו-7 'מאוד מסוכן': משטר לא דמוקרטי בישראל</t>
  </si>
  <si>
    <t>מהם הסיכויים שיתקיים כל אחד מהמצבים הבאים בעתיד הנראה לעין: משטר לא דמוקרטי בישראל</t>
  </si>
  <si>
    <t>באיזו מידה אתה מסכים או לא מסכים עם המשפטים הבאים: דמוקרטיה היא צורת השלטון הטובה ביותר</t>
  </si>
  <si>
    <t>באיזו מידה אתה מסכים או לא מסכים עם המשפטים הבאים: לבית המשפט העליון צריכה להיות הסמכות לבטל חוק שחוקקה הכנסת</t>
  </si>
  <si>
    <t>באיזו מידה אתה מסכים או לא מסכים לכל אחד מהדברים הבאים בהקשר לקבוצה שאתה מתנגד לה ביותר: יש לאסור על חבר הקבוצה להיות ראש ממשלה</t>
  </si>
  <si>
    <t>לגבי כל אחת מהקבוצות הבאות אתה מתבקש לציין באיזו מידה אתה בעד או נגד הוצאתה מחוץ לחוק: הרשימה המתקדמת לשלום</t>
  </si>
  <si>
    <t>לגבי כל אחת מהקבוצות הבאות אתה מתבקש לציין באיזו מידה אתה בעד או נגד הוצאתה מחוץ לחוק: כ"ך (כהנא)</t>
  </si>
  <si>
    <t>לגבי כל אחת מהקבוצות הבאות אתה מתבקש לציין באיזו מידה אתה בעד או נגד הוצאתה מחוץ לחוק: רק"ח</t>
  </si>
  <si>
    <t>לגבי כל אחת מהקבוצות הבאות אתה מתבקש לציין באיזו מידה אתה בעד או נגד הוצאתה מחוץ לחוק: גוש אמונים</t>
  </si>
  <si>
    <t>לגבי כל אחת מהקבוצות הבאות אתה מתבקש לציין באיזו מידה אתה בעד או נגד הוצאתה מחוץ לחוק: שלום עכשיו</t>
  </si>
  <si>
    <t>להלן מספר משפטים שנאמרו ע"י אנשים ביחס לערבים אזרחי ישראל. לגבי כל אחד מהם אתה מתבקש לציין באיזו מידה אתה מסכים או לא מסכים עימו: יש לאסור על ערבי להיות ראש ממשלה</t>
  </si>
  <si>
    <t>באיזו מידה אתה מסכים או לא מסכים עם המשפטים הבאים: ליהודים שמבצעים פעולות לא חוקיות נגד ערבים יש לתת עונשים קלים יותר מאשר לערבים שמבצעים פעולות דומות נגד יהודים</t>
  </si>
  <si>
    <t>באיזו מידה אתה מסכים או לא מסכים עם המשפטים הבאים: מספר מנהיגים חזקים יכולים להועיל למדינה יותר מכל הדיונים והחוקים</t>
  </si>
  <si>
    <t xml:space="preserve">באיזו מידה אתה מסכים או לא מסכים עם המשפטים הבאים: לכל אדם צריכות להיות אותן זכויות בפני החוק ללא קשר עם עמדותיו הפוליטיות </t>
  </si>
  <si>
    <t xml:space="preserve">באיזו מידה אתה מסכים או לא מסכים עם המשפטים הבאים: יש לאפשר לקבוצות או אנשים שבמיעוט לפעול כדי להשיג את תמיכת הרוב לעמדותיהם </t>
  </si>
  <si>
    <t>באיזו מידה אתה מסכים או לא מסכים עם המשפטים הבאים: אני מאמין בחופש ביטוי לכל האנשים ללא קשר לעמדותיהם</t>
  </si>
  <si>
    <t>באיזו מידה אתה מסכים או לא מסכים עם המשפטים הבאים: יש מצבים בהם נראה כי עדיף שאנשים יקחו בעצמם את החוק לידיהם</t>
  </si>
  <si>
    <t>באיזו מידה אתה מסכים או לא מסכים עם המשפטים הבאים: הכי טוב היה להרוס את כל המוסדות ולהתחיל מחדש</t>
  </si>
  <si>
    <t>באיזו מידה אתה מסכים או לא מסכים עם המשפטים הבאים: היום רק מי שהולך בכוח מצליח להשיג את שלו במדינה</t>
  </si>
  <si>
    <t>באיזו מידה אתה מסכים או לא מסכים, עם המשפטים הבאים: כדי לטפל בבעיות המיוחדות של ישראל עדיף שמומחים, ולא נציגים נבחרים, יקבלו החלטות על הבסיס הבנתם מה טוב למדינה</t>
  </si>
  <si>
    <t>בדרך כלל, באיזו מידה אתה משתמש בכל אחד מאמצעי התקשרות הבאים לצריכת חדשות ומידע פוליטי: אתרי חדשות או עיתונים</t>
  </si>
  <si>
    <t>בשבוע האחרון, כמה פעמים יצא לך לעשות את הפעולות הבאות ברשתות החברתיות שאתה פעיל בהן, כמו וואטספ, פייסבוק, טוויטר, אינסטגרם, טלגרם וכו': כתבת בעמוד הפייסבוק או הטוויטר של פוליטיקאי או מפלגה</t>
  </si>
  <si>
    <t>באילו מהאמצעים הבאים של האינטרנט יצא לך להשתמש בהקשר של הבחירות? אי-מייל</t>
  </si>
  <si>
    <t>יש כאלה הרוצים לראות את המנהיג בפעילותו הפוליטית וציבורית ויש כאלה המעדיפים לראותו בשידור הטלוויזיה כאדם פרטי בחייו היום-יומיים. איך היית רוצה לראות את המנהיג שציינת ראשון ?</t>
  </si>
  <si>
    <t>יש כאלה הרוצים לראות את המנהיג בפעילותו הפוליטית וציבורית ויש כאלה המעדיפים לראותו בשידור הטלוויזיה כאדם פרטי בחייו היום-יומיים. איך היית רוצה לראות את המנהיג שציינת שני ?</t>
  </si>
  <si>
    <t>נעבור עתה לחוד, סיבה אחר סיבה שבגללן מסתכלים בשידורי הבחירות ולגבי כל אחת נבקש ממך לציין עד כמה היא נראת חשובה בעיניך: לשמוע נימוקים על מנת שישמשו לי נשק בוויכוח פוליטי</t>
  </si>
  <si>
    <t>נעבור עתה לחוד, סיבה אחר סיבה שבגללן מסתכלים בשידורי הבחירות ולגבי כל אחת נבקש ממך לציין עד כמה היא נראת חשובה בעיניך: על מנת להכיר את המנהיגים הפוליטיים</t>
  </si>
  <si>
    <t>נעבור עתה לחוד, סיבה אחר סיבה שבגללן מסתכלים בשידורי הבחירות ולגבי כל אחת נבקש ממך לציין עד כמה היא נראת חשובה בעיניך: על מנת להכיר את התוכניות הפוליטיות של המפלגות</t>
  </si>
  <si>
    <t>נעבור עתה לחוד, סיבה אחר סיבה שבגללן מסתכלים בשידורי הבחירות ולגבי כל אחת נבקש ממך לציין עד כמה היא נראת חשובה בעיניך: על מנת להבהיר לעצמי במי לבחור</t>
  </si>
  <si>
    <t>נעבור עתה לחוד, סיבה אחר סיבה שבגללן מסתכלים בשידורי הבחירות ולגבי כל אחת נבקש ממך לציין עד כמה היא נראת חשובה בעיניך: על מנת לעמוד מחדש את עמדת המפלגה שאני תומך בה</t>
  </si>
  <si>
    <t>נעבור עתה לחוד, סיבה אחר סיבה שבגללן מסתכלים בשידורי הבחירות ולגבי כל אחת נבקש ממך לציין עד כמה היא נראת חשובה בעיניך: על מנת לעזור לי להעריך את סיכויי ההצלחה של המפלגות</t>
  </si>
  <si>
    <t>נעבור עתה לחוד, סיבה אחר סיבה שבגללן מסתכלים בשידורי הבחירות ולגבי כל אחת נבקש ממך לציין עד כמה היא נראת חשובה בעיניך: על מנת להיות מעודכן במצב הפוליטי הכללי</t>
  </si>
  <si>
    <t>נעבור עתה לחוד, סיבה אחר סיבה שבגללן מסתכלים בשידורי הבחירות ולגבי כל אחת נבקש ממך לציין עד כמה היא נראת חשובה בעיניך: אני נהנה מן המאבק והוויכוח הפוליטי</t>
  </si>
  <si>
    <t>נעבור עתה לחוד, סיבה אחר סיבה שבגללן מסתכלים בשידורי הבחירות ולגבי כל אחת נבקש ממך לציין עד כמה היא נראת חשובה בעיניך: כי זה השידור היחיד שאני יכול לקלוט בטלוויזיה באותו זמן</t>
  </si>
  <si>
    <t>נעבור עתה לחוד, סיבה אחר סיבה שבגללן לא מסתכלים בשידורי הבחירות ולגבי כל אחת נבקש ממך לציין עד כמה היא נראת קובעת בעיניך: אינני מתעניין בפוליטיקה</t>
  </si>
  <si>
    <t>נעבור עתה לחוד, סיבה אחר סיבה שבגללן לא מסתכלים בשידורי הבחירות ולגבי כל אחת נבקש ממך לציין עד כמה היא נראת קובעת בעיניך: מעדיף בידור בטלוויזיה</t>
  </si>
  <si>
    <t>נעבור עתה לחוד, סיבה אחר סיבה שבגללן לא מסתכלים בשידורי הבחירות ולגבי כל אחת נבקש ממך לציין עד כמה היא נראת קובעת בעיניך: אינני מאמין לטענות המפלגות</t>
  </si>
  <si>
    <t>נעבור עתה לחוד, סיבה אחר סיבה שבגללן לא מסתכלים בשידורי הבחירות ולגבי כל אחת נבקש ממך לציין עד כמה היא נראת קובעת בעיניך: משום שחלק מהמועמדים אינם מתייחסים ברצינות לקהל</t>
  </si>
  <si>
    <t>נעבור עתה לחוד, סיבה אחר סיבה שבגללן לא מסתכלים בשידורי הבחירות ולגבי כל אחת נבקש ממך לציין עד כמה היא נראת קובעת בעיניך: כבר החלטתי במי לבחור ואין לי צורך להסתכל</t>
  </si>
  <si>
    <t>נעבור עתה לחוד, סיבה אחר סיבה שבגללן לא מסתכלים בשידורי הבחירות ולגבי כל אחת נבקש ממך לציין עד כמה היא נראת קובעת בעיניך: משום שלעיתים קרובות קשה לי להבין מה שהמועמדים רוצים להגיד</t>
  </si>
  <si>
    <t>נעבור עתה לחוד, סיבה אחר סיבה שבגללן לא מסתכלים בשידורי הבחירות ולגבי כל אחת נבקש ממך לציין עד כמה היא נראת קובעת בעיניך: אינני רוצה לפתוח את ביתי לתעמולה פוליטית</t>
  </si>
  <si>
    <t>נעבור עתה לחוד, סיבה אחר סיבה שבגללן לא מסתכלים בשידורי הבחירות ולגבי כל אחת נבקש ממך לציין עד כמה היא נראת קובעת בעיניך: משום שאין להם שום דבר חדש לומר לי</t>
  </si>
  <si>
    <t>נעבור עתה לחוד, סיבה אחר סיבה שבגללן לא מסתכלים בשידורי הבחירות ולגבי כל אחת נבקש ממך לציין עד כמה היא נראת קובעת בעיניך: כי אינני אוהב שהפוליטיקאים יסדרו אותי</t>
  </si>
  <si>
    <t>כמה פעמים בשבוע אתה קורא את העיתון הבא: הארץ</t>
  </si>
  <si>
    <t>כמה פעמים בשבוע אתה קורא את העיתון הבא: דבר</t>
  </si>
  <si>
    <t>כמה פעמים בשבוע אתה קורא את העיתון הבא: אומר</t>
  </si>
  <si>
    <t>כמה פעמים בשבוע אתה קורא את העיתון הבא: למרחב</t>
  </si>
  <si>
    <t>כמה פעמים בשבוע אתה קורא את העיתון הבא: על המשמר</t>
  </si>
  <si>
    <t>כמה פעמים בשבוע אתה קורא את העיתון הבא: היום</t>
  </si>
  <si>
    <t>כמה פעמים בשבוע אתה קורא את העיתון הבא: קול העם</t>
  </si>
  <si>
    <t>כמה פעמים בשבוע אתה קורא את העיתון הבא: הצופה</t>
  </si>
  <si>
    <t>כמה פעמים בשבוע אתה קורא את העיתון הבא: מעריב</t>
  </si>
  <si>
    <t>כמה פעמים בשבוע אתה קורא את העיתון הבא: ידיעות אחרונות</t>
  </si>
  <si>
    <t>כמה פעמים בשבוע אתה קורא את העיתון הבא: ג'רוזלם פוסט</t>
  </si>
  <si>
    <t>כמה פעמים בשבוע אתה קורא את העיתון הבא: עיתון לועזי</t>
  </si>
  <si>
    <t>כמה פעמים בשבוע אתה קורא את העיתון הבא: אחר</t>
  </si>
  <si>
    <t>באיזו מידה אתה מסכים או לא מסכים עם המשפטים הבאים: נשים בישראל מופלות בשכר ובקידום במקום העבודה</t>
  </si>
  <si>
    <t>באיזו מידה אתה מסכים או לא מסכים למשפטים הבאים? פוליטיקאי אינו נוטה להתחשב בדעתו של האזרח ברחוב</t>
  </si>
  <si>
    <t>באיזו מידה אתה מסכים או לא מסכים עם המשפטים הבאים לגבי הממשלה: חברי הממשלה מגיעים מכל חלקי החברה</t>
  </si>
  <si>
    <t>באיזו מידה אתה מסכים או לא מסכים עם המשפטים הבאים: לא חשוב עבור מי מצביעים, זה לא משנה את המצב</t>
  </si>
  <si>
    <t>באיזו מידה אתה מסכים או לא מסכים עם המשפטים הבאים: פוליטיקאים מבטיחים במערכת הבחירות דברים שאין להם שום כוונה לקיים</t>
  </si>
  <si>
    <t>באיזו מידה אתה מסכים או לא מסכים עם המשפטים הבאים: רוב הפוליטיקאים נקיים משחיתות</t>
  </si>
  <si>
    <t>באיזו מידה אתה מסכים או לא מסכים עם המשפטים הבאים: יותר מדי גורמים מתערבים בבחירות כך שהתוצאה לא מייצגת את רצון הבוחר</t>
  </si>
  <si>
    <t>באיזו מידה אתה מסכים או לא מסכים עם המשפטים הבאים: שיטת הבחירות מעוותת את רצון הבוחר</t>
  </si>
  <si>
    <t>מתוך רשימה של קבוצות זו אתה מתבקש לבחור את שתי הקבוצות שהיית רוצה שתקבלנה יצוג יותר גדול במפלגה עבורה אתה מתכוון להצביע: הקבוצה הראשונה</t>
  </si>
  <si>
    <t>מתוך רשימה של קבוצות זו אתה מתבקש לבחור את שתי הקבוצות שהיית רוצה שתקבלנה יצוג יותר גדול במפלגה עבורה אתה מתכוון להצביע: הקבוצה השנייה</t>
  </si>
  <si>
    <t>באיזה מידה אתה מסכים או לא מסכים למשפטים הבאים: מדינה פלסטינית לצד מדינת ישראל היא הדרך הטובה ביותר לפתרון הסכסוך הישראלי-פלסטיני</t>
  </si>
  <si>
    <t>באיזה מידה אתה מסכים או לא מסכים למשפטים הבאים: השאיפה העיקרית של האזרחים הערבים בישראל היא שוויון אזרחי מלא</t>
  </si>
  <si>
    <t>מדרגה1</t>
  </si>
  <si>
    <t>attributes</t>
  </si>
  <si>
    <t>members</t>
  </si>
  <si>
    <t>density</t>
  </si>
  <si>
    <t>marital</t>
  </si>
  <si>
    <t>binary</t>
  </si>
  <si>
    <t>amount</t>
  </si>
  <si>
    <t>ageunder16</t>
  </si>
  <si>
    <t>age16_18</t>
  </si>
  <si>
    <t>age19_23</t>
  </si>
  <si>
    <t>inhouse</t>
  </si>
  <si>
    <t>מדרגה 6</t>
  </si>
  <si>
    <t>tech</t>
  </si>
  <si>
    <t>hurt</t>
  </si>
  <si>
    <t>nextelections</t>
  </si>
  <si>
    <t>priority</t>
  </si>
  <si>
    <t>religiousity</t>
  </si>
  <si>
    <t>employment</t>
  </si>
  <si>
    <t>scope</t>
  </si>
  <si>
    <t>primarysource</t>
  </si>
  <si>
    <t>income</t>
  </si>
  <si>
    <t>incomeshare</t>
  </si>
  <si>
    <t>jewish</t>
  </si>
  <si>
    <t>flexibillity</t>
  </si>
  <si>
    <t>closest</t>
  </si>
  <si>
    <t>fartherst</t>
  </si>
  <si>
    <t>crisis19</t>
  </si>
  <si>
    <t>selfexpress</t>
  </si>
  <si>
    <t>problems</t>
  </si>
  <si>
    <t>manifestos</t>
  </si>
  <si>
    <t>participation</t>
  </si>
  <si>
    <t>insult</t>
  </si>
  <si>
    <t>close</t>
  </si>
  <si>
    <t>appreciated</t>
  </si>
  <si>
    <t>country</t>
  </si>
  <si>
    <t>USAaid</t>
  </si>
  <si>
    <t>seperation</t>
  </si>
  <si>
    <t>noseperation</t>
  </si>
  <si>
    <t>conflict</t>
  </si>
  <si>
    <t>territorialcompromise</t>
  </si>
  <si>
    <t>unilateral</t>
  </si>
  <si>
    <t>wmd</t>
  </si>
  <si>
    <t>nuclear</t>
  </si>
  <si>
    <t>parties</t>
  </si>
  <si>
    <t>politicianid</t>
  </si>
  <si>
    <t>partyid</t>
  </si>
  <si>
    <t>natbelong</t>
  </si>
  <si>
    <t>conform</t>
  </si>
  <si>
    <t>representation</t>
  </si>
  <si>
    <t>organisations</t>
  </si>
  <si>
    <t>leaning</t>
  </si>
  <si>
    <t>ashkenazis</t>
  </si>
  <si>
    <t>leftists</t>
  </si>
  <si>
    <t>identification</t>
  </si>
  <si>
    <t>ethnicity</t>
  </si>
  <si>
    <t>jewishethnicity</t>
  </si>
  <si>
    <t>general</t>
  </si>
  <si>
    <t>mordechai</t>
  </si>
  <si>
    <t>warnorth</t>
  </si>
  <si>
    <t>meir</t>
  </si>
  <si>
    <t>membership</t>
  </si>
  <si>
    <t>campaigns</t>
  </si>
  <si>
    <t>rallies</t>
  </si>
  <si>
    <t>housemeeting</t>
  </si>
  <si>
    <t>host</t>
  </si>
  <si>
    <t>participant</t>
  </si>
  <si>
    <t>consumption</t>
  </si>
  <si>
    <t>subsidizedgoods</t>
  </si>
  <si>
    <t>canvassing</t>
  </si>
  <si>
    <t>wars</t>
  </si>
  <si>
    <t>newswebsites</t>
  </si>
  <si>
    <t>tvnews</t>
  </si>
  <si>
    <t>topics</t>
  </si>
  <si>
    <t>socialcircle</t>
  </si>
  <si>
    <t>books</t>
  </si>
  <si>
    <t>consulting</t>
  </si>
  <si>
    <t>advising</t>
  </si>
  <si>
    <t>familyfriends</t>
  </si>
  <si>
    <t>who</t>
  </si>
  <si>
    <t>livinghome</t>
  </si>
  <si>
    <t>social</t>
  </si>
  <si>
    <t>publicexpression</t>
  </si>
  <si>
    <t>news</t>
  </si>
  <si>
    <t>traditional</t>
  </si>
  <si>
    <t>usage</t>
  </si>
  <si>
    <t>journalism</t>
  </si>
  <si>
    <t>radionews</t>
  </si>
  <si>
    <t>respond</t>
  </si>
  <si>
    <t>share</t>
  </si>
  <si>
    <t>follow</t>
  </si>
  <si>
    <t>message</t>
  </si>
  <si>
    <t>internet</t>
  </si>
  <si>
    <t>activities</t>
  </si>
  <si>
    <t>campaignads</t>
  </si>
  <si>
    <t>partywebsite</t>
  </si>
  <si>
    <t>favorite</t>
  </si>
  <si>
    <t>others</t>
  </si>
  <si>
    <t>videos</t>
  </si>
  <si>
    <t>vaa</t>
  </si>
  <si>
    <t>tvinterview</t>
  </si>
  <si>
    <t>platform</t>
  </si>
  <si>
    <t>social2011</t>
  </si>
  <si>
    <t>next</t>
  </si>
  <si>
    <t>previous</t>
  </si>
  <si>
    <t>pm</t>
  </si>
  <si>
    <t>nextlean</t>
  </si>
  <si>
    <t>next2rd</t>
  </si>
  <si>
    <t>previous2l</t>
  </si>
  <si>
    <t>praties</t>
  </si>
  <si>
    <t>previous3l</t>
  </si>
  <si>
    <t>strategic</t>
  </si>
  <si>
    <t>which</t>
  </si>
  <si>
    <t>whynot</t>
  </si>
  <si>
    <t>turnout</t>
  </si>
  <si>
    <t>why</t>
  </si>
  <si>
    <t>switch</t>
  </si>
  <si>
    <t>ifdirect</t>
  </si>
  <si>
    <t>ifnotdirect</t>
  </si>
  <si>
    <t>municipal</t>
  </si>
  <si>
    <t>ifbarakresign</t>
  </si>
  <si>
    <t>ifmany</t>
  </si>
  <si>
    <t>if2more1</t>
  </si>
  <si>
    <t>if2more2</t>
  </si>
  <si>
    <t>firsttime</t>
  </si>
  <si>
    <t>choice2</t>
  </si>
  <si>
    <t>incountry</t>
  </si>
  <si>
    <t>timing</t>
  </si>
  <si>
    <t>before2m</t>
  </si>
  <si>
    <t>same</t>
  </si>
  <si>
    <t>ifdayan</t>
  </si>
  <si>
    <t>ifhistadrut</t>
  </si>
  <si>
    <t>scenarios</t>
  </si>
  <si>
    <t>ifnotfav</t>
  </si>
  <si>
    <t>post_perception_voting_decision_conversationss</t>
  </si>
  <si>
    <t>conversationss</t>
  </si>
  <si>
    <t>millitary</t>
  </si>
  <si>
    <t>prefrerences</t>
  </si>
  <si>
    <t>sort_behavior</t>
  </si>
  <si>
    <t>conscription</t>
  </si>
  <si>
    <t>shabbat</t>
  </si>
  <si>
    <t>football</t>
  </si>
  <si>
    <t>transportation</t>
  </si>
  <si>
    <t>arabcities</t>
  </si>
  <si>
    <t>twostates</t>
  </si>
  <si>
    <t>XXXX</t>
  </si>
  <si>
    <t>parliamentimpact</t>
  </si>
  <si>
    <t>armsexport</t>
  </si>
  <si>
    <t>military</t>
  </si>
  <si>
    <t>elderly</t>
  </si>
  <si>
    <t>childbenefits</t>
  </si>
  <si>
    <t>jobs</t>
  </si>
  <si>
    <t>environment</t>
  </si>
  <si>
    <t>roads</t>
  </si>
  <si>
    <t>aliya</t>
  </si>
  <si>
    <t>cuts</t>
  </si>
  <si>
    <t>tolerance</t>
  </si>
  <si>
    <t>vigilante</t>
  </si>
  <si>
    <t>bendrules</t>
  </si>
  <si>
    <t>nocompromise</t>
  </si>
  <si>
    <t>ontv</t>
  </si>
  <si>
    <t>surveillance</t>
  </si>
  <si>
    <t>multiple</t>
  </si>
  <si>
    <t>minorityactivism</t>
  </si>
  <si>
    <t>againststate</t>
  </si>
  <si>
    <t>negative</t>
  </si>
  <si>
    <t>positive</t>
  </si>
  <si>
    <t>radicalreform</t>
  </si>
  <si>
    <t>singleparty</t>
  </si>
  <si>
    <t>rights</t>
  </si>
  <si>
    <t>equal</t>
  </si>
  <si>
    <t>limitsecurity</t>
  </si>
  <si>
    <t>single</t>
  </si>
  <si>
    <t>law</t>
  </si>
  <si>
    <t>culture</t>
  </si>
  <si>
    <t>institutions</t>
  </si>
  <si>
    <t>deport</t>
  </si>
  <si>
    <t>globalopinion</t>
  </si>
  <si>
    <t>criticaldecisions</t>
  </si>
  <si>
    <t>encourageleave</t>
  </si>
  <si>
    <t>equalenforcement</t>
  </si>
  <si>
    <t>singing</t>
  </si>
  <si>
    <t>abortions</t>
  </si>
  <si>
    <t>affirmative</t>
  </si>
  <si>
    <t>outgroup</t>
  </si>
  <si>
    <t>values</t>
  </si>
  <si>
    <t>לתת שם מלא של המפלגות בלייבל אחד</t>
  </si>
  <si>
    <t>haavodameretzarab</t>
  </si>
  <si>
    <t>kadimahaavoda</t>
  </si>
  <si>
    <t>kadimalikud</t>
  </si>
  <si>
    <t>kadimalikudultraorthodox</t>
  </si>
  <si>
    <t>kadimahaavodaultraorthodox</t>
  </si>
  <si>
    <t>kadimalikudright</t>
  </si>
  <si>
    <t>kadimahaavodameretz</t>
  </si>
  <si>
    <t>kadimanationalunity</t>
  </si>
  <si>
    <t>likudrightultraorthodox</t>
  </si>
  <si>
    <t>likudhaavodashinui</t>
  </si>
  <si>
    <t>multichoice</t>
  </si>
  <si>
    <t>conviction</t>
  </si>
  <si>
    <t>indictment</t>
  </si>
  <si>
    <t>emergencydelay</t>
  </si>
  <si>
    <t>personalvote</t>
  </si>
  <si>
    <t>first</t>
  </si>
  <si>
    <t>second</t>
  </si>
  <si>
    <t>cooperation</t>
  </si>
  <si>
    <t>third</t>
  </si>
  <si>
    <t>fourth</t>
  </si>
  <si>
    <t>decade</t>
  </si>
  <si>
    <t>goals</t>
  </si>
  <si>
    <t>regime</t>
  </si>
  <si>
    <t>commitment</t>
  </si>
  <si>
    <t>essence</t>
  </si>
  <si>
    <t>חלק מבטרייה בהתנהגות</t>
  </si>
  <si>
    <t>ministers</t>
  </si>
  <si>
    <t>defence</t>
  </si>
  <si>
    <t>treasuary</t>
  </si>
  <si>
    <t>formateur</t>
  </si>
  <si>
    <t>russian</t>
  </si>
  <si>
    <t>groupsrep</t>
  </si>
  <si>
    <t>strongprudent</t>
  </si>
  <si>
    <t>youthorg</t>
  </si>
  <si>
    <t>resolution</t>
  </si>
  <si>
    <t>preventwar</t>
  </si>
  <si>
    <t>most</t>
  </si>
  <si>
    <t>supportwhy</t>
  </si>
  <si>
    <t>againstwhy</t>
  </si>
  <si>
    <t>intlstatus</t>
  </si>
  <si>
    <t>final</t>
  </si>
  <si>
    <t>distrust</t>
  </si>
  <si>
    <t>settlers</t>
  </si>
  <si>
    <t>suboptimal</t>
  </si>
  <si>
    <t>vision</t>
  </si>
  <si>
    <t>tvads</t>
  </si>
  <si>
    <t>consider</t>
  </si>
  <si>
    <t>nopolls</t>
  </si>
  <si>
    <t>evacsettlements</t>
  </si>
  <si>
    <t>golan</t>
  </si>
  <si>
    <t>negotiations</t>
  </si>
  <si>
    <t>landforpeace</t>
  </si>
  <si>
    <t>wall</t>
  </si>
  <si>
    <t>duringterror</t>
  </si>
  <si>
    <t>2opts</t>
  </si>
  <si>
    <t>3opts</t>
  </si>
  <si>
    <t>clintonplan</t>
  </si>
  <si>
    <t>palstate</t>
  </si>
  <si>
    <t>templemount</t>
  </si>
  <si>
    <t>fullplan</t>
  </si>
  <si>
    <t>refugees</t>
  </si>
  <si>
    <t>jordanvalley</t>
  </si>
  <si>
    <t>referendum</t>
  </si>
  <si>
    <t>palautonomy</t>
  </si>
  <si>
    <t>summit</t>
  </si>
  <si>
    <t>principle</t>
  </si>
  <si>
    <t>tradeoff</t>
  </si>
  <si>
    <t>expulsion</t>
  </si>
  <si>
    <t>arabcitizens</t>
  </si>
  <si>
    <t>trumpplan</t>
  </si>
  <si>
    <t>spectrum</t>
  </si>
  <si>
    <t>7opts</t>
  </si>
  <si>
    <t>4opts</t>
  </si>
  <si>
    <t>workmigrants</t>
  </si>
  <si>
    <t>economy</t>
  </si>
  <si>
    <t>protégé</t>
  </si>
  <si>
    <t>food</t>
  </si>
  <si>
    <t>haredi</t>
  </si>
  <si>
    <t>jewmales</t>
  </si>
  <si>
    <t>religvsdemocratic</t>
  </si>
  <si>
    <t>yeshiva</t>
  </si>
  <si>
    <t>separatereligstate</t>
  </si>
  <si>
    <t>publicpools</t>
  </si>
  <si>
    <t>separation</t>
  </si>
  <si>
    <t>palrights</t>
  </si>
  <si>
    <t>stopterror</t>
  </si>
  <si>
    <t>oppoagainst</t>
  </si>
  <si>
    <t>deathpenalty</t>
  </si>
  <si>
    <t>terrorists</t>
  </si>
  <si>
    <t>egypt</t>
  </si>
  <si>
    <t>settlement</t>
  </si>
  <si>
    <t>redistribution</t>
  </si>
  <si>
    <t>subsidies</t>
  </si>
  <si>
    <t>selfid</t>
  </si>
  <si>
    <t>approach</t>
  </si>
  <si>
    <t>infvsemploy</t>
  </si>
  <si>
    <t>taxes</t>
  </si>
  <si>
    <t>taxforservices</t>
  </si>
  <si>
    <t>capvssoc</t>
  </si>
  <si>
    <t>technocracy</t>
  </si>
  <si>
    <t>reform</t>
  </si>
  <si>
    <t>exp1</t>
  </si>
  <si>
    <t>exp2</t>
  </si>
  <si>
    <t>Citizenship</t>
  </si>
  <si>
    <t>religiosity</t>
  </si>
  <si>
    <t>באיזו מידה את/ה מסכים/ה שהממשלה צריכה לצמצם את הפערים הכלכליים בין עשירים ועניים על -ידי מיסוי בעלי הכנסות גבוהות ומתן סיוע לבעלי הכנסות נמוכות?</t>
  </si>
  <si>
    <t>נהוג לדבר על ישראל כמדינה יהודית ודמוקרטית . בשיח הציבורי לעתים נטען שיש מתח בין שני הערכים הללו.
כשאת/ה חושב/ת על האיזון הרצוי בעיניך בין הערכים הללו, איפה היית ממקם/ת את עצמך על הציר הבא,
שבו קצה אחד משמעו ״מדינה יהודית״ וקצה שני משמעו ״מדינה דמוקרטית״?</t>
  </si>
  <si>
    <t>באיזו מידה את/ה תומך/ ת או מתנגד/ת להשתתפות של מפלגות ערביות בקואליציה?</t>
  </si>
  <si>
    <t>אני מרגיש חלק ממדינת ישראל</t>
  </si>
  <si>
    <t>v622A</t>
  </si>
  <si>
    <t>v622B</t>
  </si>
  <si>
    <r>
      <t>מה יחסך ל</t>
    </r>
    <r>
      <rPr>
        <b/>
        <sz val="11"/>
        <color theme="1"/>
        <rFont val="Calibri"/>
        <family val="2"/>
        <scheme val="minor"/>
      </rPr>
      <t>דתיים-לאומיים</t>
    </r>
    <r>
      <rPr>
        <sz val="11"/>
        <color theme="1"/>
        <rFont val="Calibri"/>
        <family val="2"/>
        <charset val="177"/>
        <scheme val="minor"/>
      </rPr>
      <t>?</t>
    </r>
  </si>
  <si>
    <t>v622C</t>
  </si>
  <si>
    <t>כמה את/ה בטוח/ה שתלך/י להצביע בבחירות הבאות?</t>
  </si>
  <si>
    <t>לגבי ההחלטה למי להצביע בבחירות, האם את/ה מתלבט/ת בין כמה אפשרויות? במידה וכן, אנא פרט/י באופן חופשי את
כל האפשרויות שאת/ה מתלבט/ת ביניה ן. למשל, אלו יכולות לכלול מפלגות קיימות, מפלגות אפשריות שאינן חלק מההיצע הקיים
ו/או האפשרות לא להצביע כלל.</t>
  </si>
  <si>
    <t>כמה פעמים בשבוע האחרון התעדכנת במידע פוליטי ובחדשות?</t>
  </si>
  <si>
    <t>v613</t>
  </si>
  <si>
    <t>באיזה מהמקורות הבאים השתמשת בשבוע האחרון כדי להתעדכן במידע פוליטי ובחדשות? אנא סמן/י את כל המקורות
הרלוונטיים:</t>
  </si>
  <si>
    <t>באיזה מהערוצים הבאים את/ה נוהג/ת לצפות כדי להתעדכן בחדשות? אנא סמן/י את כל הערוצים הרלוונטיי ם:</t>
  </si>
  <si>
    <t>v614</t>
  </si>
  <si>
    <t>האם את/ה תומך/ת או מתנגד/ת לרפורמה המשפטית שמובילה הממשלה?</t>
  </si>
  <si>
    <t>v710</t>
  </si>
  <si>
    <r>
      <t xml:space="preserve">מה מידת האמון שיש לך ב: </t>
    </r>
    <r>
      <rPr>
        <b/>
        <sz val="11"/>
        <color theme="1"/>
        <rFont val="Calibri"/>
        <family val="2"/>
        <scheme val="minor"/>
      </rPr>
      <t>צה"ל</t>
    </r>
  </si>
  <si>
    <r>
      <t xml:space="preserve">מה מידת האמון שיש לך ב: </t>
    </r>
    <r>
      <rPr>
        <b/>
        <sz val="11"/>
        <color theme="1"/>
        <rFont val="Calibri"/>
        <family val="2"/>
        <scheme val="minor"/>
      </rPr>
      <t>נשיא המדינה</t>
    </r>
  </si>
  <si>
    <t>האם את/ה מכיר/ה אישית אנשים שנפגעו ישירות כתוצאה ממתקפת חמאס ב 7.10- או מהמלחמה?</t>
  </si>
  <si>
    <t>v400</t>
  </si>
  <si>
    <t>חשוב/חשבי על האדם הקרוב ביותר אליך מבין האנשים שאת/ה מכיר/ה שנפגעו. מה מידת הקרבה המירבית שלך אליו או
אליה?</t>
  </si>
  <si>
    <t>v401</t>
  </si>
  <si>
    <t>האם אתה נמצא/ת בימים אלו בשירות צבאי ?</t>
  </si>
  <si>
    <t>v402</t>
  </si>
  <si>
    <t>מאז תחילת הלחימה ישנם ישראלים שפונו מבתיהם בדרום הארץ ובצפונה. האם את/ה מכיר/ה אישית אנשים שפונו
מבתיהם? אנא סמן/י את מידת הקרבה המירבית שלך אליהם:</t>
  </si>
  <si>
    <t>v403</t>
  </si>
  <si>
    <t>האם את/ה תומך/ת או מתנגד/ת להקמת ועדת חקירה ממלכתית לאירועי ה - 7 באוקטובר?</t>
  </si>
  <si>
    <t>v409</t>
  </si>
  <si>
    <t>כיצד את/ה מעריך/ה את אופן ניהול המלחמה על ידי ישראל עד כה?</t>
  </si>
  <si>
    <t>v410</t>
  </si>
  <si>
    <t>איזה מבין האפשרויות הבאות מקובלו ת עלייך כפתרונות אפשריים ליום שאחרי סיום המלחמה בעזה? יש לבחור את כל
האפשרויות הרלוונטיות :</t>
  </si>
  <si>
    <t>v411</t>
  </si>
  <si>
    <t>יש הסבורים שעל ישראל להילחם אך ורק בהתאם לחוקי המלחמה הבינלאומיים המוגדרים באמנת ז'נבה בנוגע למותר
ולאסור בעת לחימה; אחרים סבורים שחוקים אלה מגבילים שלא לצורך את חופש הפעולה של צה"ל ולכן על ישראל
להילחם ללא כל התחשבות בהם. איפה היית ממקם/ת את עצמך על הציר הבא, שבו קצה אחד משמעו ״ על ישראל להילחם אך ורק בהתאם לחוקי המלחמה
הבינלאומיים ״ו קצה שני משמעו ״ על ישראל להילחם ללא כל התחשבות בחוקי המלחמה הבינלאומיים״ ?</t>
  </si>
  <si>
    <t>v412</t>
  </si>
  <si>
    <t>מאז ה - 7 באוקטובר, האם השתתפת בהפגנות, ואם כן באילו? יש לבחור את כל האפשרויות הרלוונטיות:</t>
  </si>
  <si>
    <t>v413</t>
  </si>
  <si>
    <r>
      <t xml:space="preserve">כשאת/ה חושב/ת על המשברים שישראל מתמודדת איתם כיום, עד כמה את/ ה בטוח/ה שהמדינה תוכל להשתקם מהם בכל אחד
מההיבטים הבאים: </t>
    </r>
    <r>
      <rPr>
        <b/>
        <sz val="11"/>
        <color theme="1"/>
        <rFont val="Calibri"/>
        <family val="2"/>
        <scheme val="minor"/>
      </rPr>
      <t>מבחינה בטחונית</t>
    </r>
  </si>
  <si>
    <r>
      <t xml:space="preserve">כשאת/ה חושב/ת על המשברים שישראל מתמודדת איתם כיום, עד כמה את/ ה בטוח/ה שהמדינה תוכל להשתקם מהם בכל אחד
מההיבטים הבאים: </t>
    </r>
    <r>
      <rPr>
        <b/>
        <sz val="11"/>
        <color theme="1"/>
        <rFont val="Calibri"/>
        <family val="2"/>
        <scheme val="minor"/>
      </rPr>
      <t>מבחינה כלכלית</t>
    </r>
  </si>
  <si>
    <r>
      <t xml:space="preserve">כשאת/ה חושב/ת על המשברים שישראל מתמודדת איתם כיום, עד כמה את/ ה בטוח/ה שהמדינה תוכל להשתקם מהם בכל אחד
מההיבטים הבאים: </t>
    </r>
    <r>
      <rPr>
        <b/>
        <sz val="11"/>
        <color theme="1"/>
        <rFont val="Calibri"/>
        <family val="2"/>
        <scheme val="minor"/>
      </rPr>
      <t>מבחינה חברתית</t>
    </r>
  </si>
  <si>
    <r>
      <t xml:space="preserve">כשאת/ה חושב/ת על המשברים שישראל מתמודדת איתם כיום, עד כמה את/ ה בטוח/ה שהמדינה תוכל להשתקם מהם בכל אחד
מההיבטים הבאים: </t>
    </r>
    <r>
      <rPr>
        <b/>
        <sz val="11"/>
        <color theme="1"/>
        <rFont val="Calibri"/>
        <family val="2"/>
        <scheme val="minor"/>
      </rPr>
      <t>מבחינת מעמד בינלואמי</t>
    </r>
  </si>
  <si>
    <t>v415</t>
  </si>
  <si>
    <t>v416</t>
  </si>
  <si>
    <t>v417</t>
  </si>
  <si>
    <t>v418</t>
  </si>
  <si>
    <t>באיזו תדירות את/ה נוהג/ת להגיע לבית תפילה דתי (בית כנסת, מסגד, כנסיה וכו' )?</t>
  </si>
  <si>
    <t>מה שם הישוב בו את/ה גר/ה?</t>
  </si>
  <si>
    <t>District_CBS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</si>
</sst>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charset val="177"/>
      <scheme val="minor"/>
    </font>
    <font>
      <sz val="11"/>
      <color theme="1"/>
      <name val="Calibri"/>
      <family val="2"/>
      <scheme val="minor"/>
    </font>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9"/>
      <color indexed="81"/>
      <name val="Tahoma"/>
      <charset val="177"/>
    </font>
    <font>
      <b/>
      <sz val="9"/>
      <color indexed="81"/>
      <name val="Tahoma"/>
      <charset val="177"/>
    </font>
    <font>
      <sz val="11"/>
      <color rgb="FF0070C0"/>
      <name val="Calibri"/>
      <family val="2"/>
      <charset val="177"/>
      <scheme val="minor"/>
    </font>
    <font>
      <sz val="11"/>
      <color rgb="FFFF0000"/>
      <name val="Calibri"/>
      <family val="2"/>
      <charset val="177"/>
      <scheme val="minor"/>
    </font>
    <font>
      <sz val="8"/>
      <name val="Calibri"/>
      <family val="2"/>
      <charset val="177"/>
      <scheme val="minor"/>
    </font>
    <font>
      <sz val="11"/>
      <name val="Calibri"/>
      <family val="2"/>
      <charset val="177"/>
      <scheme val="minor"/>
    </font>
    <font>
      <sz val="11"/>
      <color rgb="FFFFC000"/>
      <name val="Calibri"/>
      <family val="2"/>
      <charset val="177"/>
      <scheme val="minor"/>
    </font>
    <font>
      <sz val="11"/>
      <color theme="1"/>
      <name val="Calibri"/>
      <family val="2"/>
      <scheme val="minor"/>
    </font>
    <font>
      <sz val="11"/>
      <color rgb="FF7030A0"/>
      <name val="Calibri"/>
      <family val="2"/>
      <charset val="177"/>
      <scheme val="minor"/>
    </font>
    <font>
      <b/>
      <u/>
      <sz val="9"/>
      <color indexed="81"/>
      <name val="Tahoma"/>
      <family val="2"/>
    </font>
    <font>
      <u/>
      <sz val="11"/>
      <color theme="1"/>
      <name val="Calibri"/>
      <family val="2"/>
      <scheme val="minor"/>
    </font>
    <font>
      <sz val="11"/>
      <color theme="4"/>
      <name val="Calibri"/>
      <family val="2"/>
      <charset val="177"/>
      <scheme val="minor"/>
    </font>
    <font>
      <sz val="9"/>
      <color indexed="81"/>
      <name val="Tahoma"/>
    </font>
    <font>
      <b/>
      <sz val="9"/>
      <color indexed="81"/>
      <name val="Tahoma"/>
    </font>
    <font>
      <sz val="11"/>
      <color theme="4"/>
      <name val="Calibri"/>
      <family val="2"/>
      <scheme val="minor"/>
    </font>
    <font>
      <sz val="11"/>
      <color theme="8"/>
      <name val="Calibri"/>
      <family val="2"/>
      <charset val="177"/>
      <scheme val="minor"/>
    </font>
    <font>
      <sz val="11"/>
      <color theme="8" tint="-0.249977111117893"/>
      <name val="Calibri"/>
      <family val="2"/>
      <charset val="177"/>
      <scheme val="minor"/>
    </font>
    <font>
      <b/>
      <sz val="11"/>
      <color theme="0"/>
      <name val="Calibri"/>
      <family val="2"/>
      <scheme val="minor"/>
    </font>
    <font>
      <b/>
      <sz val="11"/>
      <color theme="1"/>
      <name val="Calibri"/>
      <family val="2"/>
      <charset val="177"/>
      <scheme val="minor"/>
    </font>
    <font>
      <u/>
      <sz val="11"/>
      <color theme="1"/>
      <name val="Calibri"/>
      <family val="2"/>
      <charset val="177"/>
      <scheme val="minor"/>
    </font>
    <font>
      <sz val="10"/>
      <color rgb="FF040C28"/>
      <name val="Arial"/>
      <family val="2"/>
    </font>
    <font>
      <u/>
      <sz val="11"/>
      <color theme="10"/>
      <name val="Calibri"/>
      <family val="2"/>
      <charset val="177"/>
      <scheme val="minor"/>
    </font>
  </fonts>
  <fills count="15">
    <fill>
      <patternFill patternType="none"/>
    </fill>
    <fill>
      <patternFill patternType="gray125"/>
    </fill>
    <fill>
      <patternFill patternType="solid">
        <fgColor theme="5" tint="0.3999755851924192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theme="5" tint="0.79998168889431442"/>
      </patternFill>
    </fill>
    <fill>
      <patternFill patternType="solid">
        <fgColor theme="5" tint="0.79998168889431442"/>
        <bgColor indexed="64"/>
      </patternFill>
    </fill>
    <fill>
      <patternFill patternType="solid">
        <fgColor rgb="FFFFFF00"/>
        <bgColor theme="5" tint="0.79998168889431442"/>
      </patternFill>
    </fill>
    <fill>
      <patternFill patternType="solid">
        <fgColor theme="0"/>
        <bgColor theme="5" tint="0.79998168889431442"/>
      </patternFill>
    </fill>
    <fill>
      <patternFill patternType="solid">
        <fgColor rgb="FFFFC000"/>
        <bgColor indexed="64"/>
      </patternFill>
    </fill>
    <fill>
      <patternFill patternType="solid">
        <fgColor rgb="FFFFC000"/>
        <bgColor theme="5" tint="0.79998168889431442"/>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right/>
      <top/>
      <bottom style="medium">
        <color indexed="64"/>
      </bottom>
      <diagonal/>
    </border>
    <border>
      <left/>
      <right style="thin">
        <color indexed="64"/>
      </right>
      <top/>
      <bottom style="thin">
        <color indexed="64"/>
      </bottom>
      <diagonal/>
    </border>
    <border>
      <left style="thin">
        <color indexed="64"/>
      </left>
      <right style="thick">
        <color indexed="64"/>
      </right>
      <top style="thin">
        <color indexed="64"/>
      </top>
      <bottom style="medium">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style="medium">
        <color indexed="64"/>
      </top>
      <bottom/>
      <diagonal/>
    </border>
    <border>
      <left/>
      <right style="thin">
        <color theme="5" tint="0.39997558519241921"/>
      </right>
      <top style="thin">
        <color indexed="64"/>
      </top>
      <bottom/>
      <diagonal/>
    </border>
    <border>
      <left style="thin">
        <color indexed="64"/>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right/>
      <top style="medium">
        <color indexed="64"/>
      </top>
      <bottom/>
      <diagonal/>
    </border>
    <border>
      <left style="thin">
        <color indexed="64"/>
      </left>
      <right/>
      <top style="thin">
        <color indexed="64"/>
      </top>
      <bottom style="thin">
        <color theme="4" tint="0.39997558519241921"/>
      </bottom>
      <diagonal/>
    </border>
    <border>
      <left style="thin">
        <color indexed="64"/>
      </left>
      <right style="thin">
        <color indexed="64"/>
      </right>
      <top style="thin">
        <color indexed="64"/>
      </top>
      <bottom style="thin">
        <color theme="4" tint="0.39997558519241921"/>
      </bottom>
      <diagonal/>
    </border>
    <border>
      <left style="thick">
        <color indexed="64"/>
      </left>
      <right style="thin">
        <color theme="5" tint="0.39997558519241921"/>
      </right>
      <top style="thin">
        <color indexed="64"/>
      </top>
      <bottom/>
      <diagonal/>
    </border>
    <border>
      <left style="thick">
        <color indexed="64"/>
      </left>
      <right style="thin">
        <color theme="5" tint="0.39997558519241921"/>
      </right>
      <top style="medium">
        <color indexed="64"/>
      </top>
      <bottom/>
      <diagonal/>
    </border>
    <border>
      <left style="thin">
        <color indexed="64"/>
      </left>
      <right style="thin">
        <color theme="5" tint="0.39997558519241921"/>
      </right>
      <top style="thin">
        <color indexed="64"/>
      </top>
      <bottom/>
      <diagonal/>
    </border>
    <border>
      <left style="thick">
        <color indexed="64"/>
      </left>
      <right style="thin">
        <color theme="5" tint="0.39997558519241921"/>
      </right>
      <top style="thin">
        <color theme="5" tint="0.39997558519241921"/>
      </top>
      <bottom/>
      <diagonal/>
    </border>
    <border>
      <left style="thick">
        <color indexed="64"/>
      </left>
      <right style="thin">
        <color theme="5" tint="0.39997558519241921"/>
      </right>
      <top style="thin">
        <color theme="5" tint="0.39997558519241921"/>
      </top>
      <bottom style="thin">
        <color theme="5" tint="0.39997558519241921"/>
      </bottom>
      <diagonal/>
    </border>
  </borders>
  <cellStyleXfs count="2">
    <xf numFmtId="0" fontId="0" fillId="0" borderId="0"/>
    <xf numFmtId="0" fontId="27" fillId="0" borderId="0" applyNumberFormat="0" applyFill="0" applyBorder="0" applyAlignment="0" applyProtection="0"/>
  </cellStyleXfs>
  <cellXfs count="189">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3" fillId="2" borderId="2" xfId="0" applyFont="1"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2" borderId="2" xfId="0" applyFont="1" applyFill="1" applyBorder="1" applyAlignment="1">
      <alignment horizontal="center" vertical="center" wrapText="1"/>
    </xf>
    <xf numFmtId="0" fontId="0" fillId="0" borderId="0" xfId="0" applyAlignment="1">
      <alignment horizontal="center" vertical="center" wrapText="1"/>
    </xf>
    <xf numFmtId="17" fontId="3" fillId="2" borderId="2" xfId="0" applyNumberFormat="1" applyFont="1" applyFill="1" applyBorder="1" applyAlignment="1">
      <alignment horizontal="center" vertical="center"/>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3" fillId="2" borderId="4"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xf numFmtId="0" fontId="12" fillId="0" borderId="1" xfId="0" applyFont="1" applyBorder="1" applyAlignment="1">
      <alignment horizontal="center" vertical="center"/>
    </xf>
    <xf numFmtId="0" fontId="14" fillId="0" borderId="1" xfId="0" applyFont="1" applyBorder="1" applyAlignment="1">
      <alignment horizontal="center" vertical="center"/>
    </xf>
    <xf numFmtId="0" fontId="3" fillId="2" borderId="8" xfId="0" applyFont="1" applyFill="1" applyBorder="1" applyAlignment="1">
      <alignment horizontal="center" vertical="center"/>
    </xf>
    <xf numFmtId="0" fontId="0" fillId="0" borderId="9" xfId="0" applyBorder="1" applyAlignment="1">
      <alignment horizontal="center" vertical="center"/>
    </xf>
    <xf numFmtId="0" fontId="3" fillId="2" borderId="7" xfId="0" applyFont="1" applyFill="1"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xf>
    <xf numFmtId="0" fontId="3" fillId="2" borderId="7" xfId="0" applyFont="1" applyFill="1" applyBorder="1" applyAlignment="1">
      <alignment horizontal="center" vertical="center" wrapText="1"/>
    </xf>
    <xf numFmtId="0" fontId="0" fillId="0" borderId="11" xfId="0" applyBorder="1" applyAlignment="1">
      <alignment horizontal="center" vertical="center" wrapText="1"/>
    </xf>
    <xf numFmtId="0" fontId="3" fillId="3" borderId="2" xfId="0" applyFont="1" applyFill="1" applyBorder="1" applyAlignment="1">
      <alignment horizontal="center" vertical="center"/>
    </xf>
    <xf numFmtId="0" fontId="0" fillId="3" borderId="3" xfId="0" applyFill="1" applyBorder="1" applyAlignment="1">
      <alignment horizontal="center" vertical="center"/>
    </xf>
    <xf numFmtId="0" fontId="0" fillId="3" borderId="1" xfId="0" applyFill="1" applyBorder="1" applyAlignment="1">
      <alignment horizontal="center" vertical="center"/>
    </xf>
    <xf numFmtId="0" fontId="0" fillId="0" borderId="12" xfId="0" applyBorder="1" applyAlignment="1">
      <alignment horizontal="center" vertical="center" wrapText="1"/>
    </xf>
    <xf numFmtId="0" fontId="3" fillId="2" borderId="13" xfId="0" applyFont="1" applyFill="1" applyBorder="1" applyAlignment="1">
      <alignment horizontal="center" vertical="center" wrapText="1"/>
    </xf>
    <xf numFmtId="0" fontId="0" fillId="0" borderId="9" xfId="0" applyBorder="1" applyAlignment="1">
      <alignment horizontal="center" vertical="center" wrapText="1"/>
    </xf>
    <xf numFmtId="0" fontId="3" fillId="2" borderId="13" xfId="0" applyFont="1" applyFill="1" applyBorder="1" applyAlignment="1">
      <alignment horizontal="center" vertical="center"/>
    </xf>
    <xf numFmtId="0" fontId="0" fillId="0" borderId="12" xfId="0" applyBorder="1" applyAlignment="1">
      <alignment horizontal="center" vertical="center"/>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12" xfId="0" applyFont="1" applyBorder="1" applyAlignment="1">
      <alignment horizontal="center" vertical="center"/>
    </xf>
    <xf numFmtId="0" fontId="13" fillId="0" borderId="1" xfId="0" applyFont="1" applyBorder="1" applyAlignment="1">
      <alignment horizontal="center" vertical="center" wrapText="1"/>
    </xf>
    <xf numFmtId="0" fontId="3" fillId="4" borderId="0" xfId="0" applyFont="1" applyFill="1" applyAlignment="1">
      <alignment horizontal="center" vertical="center"/>
    </xf>
    <xf numFmtId="0" fontId="3" fillId="0" borderId="0" xfId="0" applyFont="1" applyAlignment="1">
      <alignment horizontal="center" vertical="center"/>
    </xf>
    <xf numFmtId="0" fontId="20" fillId="0" borderId="3" xfId="0" applyFont="1" applyBorder="1" applyAlignment="1">
      <alignment horizontal="center" vertical="center" wrapText="1"/>
    </xf>
    <xf numFmtId="0" fontId="17" fillId="0" borderId="1" xfId="0" applyFont="1" applyBorder="1" applyAlignment="1">
      <alignment horizontal="center" vertical="center"/>
    </xf>
    <xf numFmtId="0" fontId="20" fillId="0" borderId="1" xfId="0" applyFont="1" applyBorder="1" applyAlignment="1">
      <alignment horizontal="center" vertical="center"/>
    </xf>
    <xf numFmtId="0" fontId="17" fillId="0" borderId="3" xfId="0" applyFont="1" applyBorder="1" applyAlignment="1">
      <alignment horizontal="center" vertical="center" wrapText="1"/>
    </xf>
    <xf numFmtId="0" fontId="9" fillId="0" borderId="3"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5" borderId="3" xfId="0" applyFill="1" applyBorder="1" applyAlignment="1">
      <alignment horizontal="center" vertical="center"/>
    </xf>
    <xf numFmtId="0" fontId="0" fillId="5" borderId="3" xfId="0" applyFill="1" applyBorder="1" applyAlignment="1">
      <alignment horizontal="center" vertical="center" wrapText="1"/>
    </xf>
    <xf numFmtId="0" fontId="0" fillId="5" borderId="5"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5" borderId="6" xfId="0" applyFill="1" applyBorder="1" applyAlignment="1">
      <alignment horizontal="center" vertical="center"/>
    </xf>
    <xf numFmtId="0" fontId="0" fillId="6" borderId="3" xfId="0" applyFill="1" applyBorder="1" applyAlignment="1">
      <alignment horizontal="center" vertical="center"/>
    </xf>
    <xf numFmtId="0" fontId="0" fillId="7" borderId="3" xfId="0" applyFill="1" applyBorder="1" applyAlignment="1">
      <alignment horizontal="center" vertical="center"/>
    </xf>
    <xf numFmtId="0" fontId="0" fillId="6" borderId="3" xfId="0" applyFill="1" applyBorder="1" applyAlignment="1">
      <alignment horizontal="center" vertical="center" wrapText="1"/>
    </xf>
    <xf numFmtId="0" fontId="0" fillId="7" borderId="1" xfId="0" applyFill="1" applyBorder="1" applyAlignment="1">
      <alignment horizontal="center" vertical="center"/>
    </xf>
    <xf numFmtId="0" fontId="0" fillId="6" borderId="6" xfId="0" applyFill="1" applyBorder="1" applyAlignment="1">
      <alignment horizontal="center" vertical="center"/>
    </xf>
    <xf numFmtId="0" fontId="8" fillId="5" borderId="1" xfId="0" applyFont="1" applyFill="1" applyBorder="1" applyAlignment="1">
      <alignment horizontal="center" vertical="center"/>
    </xf>
    <xf numFmtId="0" fontId="21" fillId="5" borderId="1" xfId="0" applyFont="1" applyFill="1" applyBorder="1" applyAlignment="1">
      <alignment horizontal="center" vertical="center"/>
    </xf>
    <xf numFmtId="0" fontId="9" fillId="6"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8" fillId="6" borderId="1" xfId="0" applyFont="1" applyFill="1" applyBorder="1" applyAlignment="1">
      <alignment horizontal="center" vertical="center"/>
    </xf>
    <xf numFmtId="0" fontId="9" fillId="5" borderId="1" xfId="0" applyFont="1" applyFill="1" applyBorder="1" applyAlignment="1">
      <alignment horizontal="center" vertical="center"/>
    </xf>
    <xf numFmtId="0" fontId="8" fillId="5" borderId="3" xfId="0" applyFont="1" applyFill="1" applyBorder="1" applyAlignment="1">
      <alignment horizontal="center" vertical="center"/>
    </xf>
    <xf numFmtId="0" fontId="17" fillId="7" borderId="3" xfId="0" applyFont="1" applyFill="1" applyBorder="1" applyAlignment="1">
      <alignment horizontal="center" vertical="center" wrapText="1"/>
    </xf>
    <xf numFmtId="0" fontId="12" fillId="6" borderId="1" xfId="0" applyFont="1" applyFill="1" applyBorder="1" applyAlignment="1">
      <alignment horizontal="center" vertical="center"/>
    </xf>
    <xf numFmtId="0" fontId="17" fillId="5" borderId="1"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3" xfId="0" applyFont="1" applyFill="1" applyBorder="1" applyAlignment="1">
      <alignment horizontal="center" vertical="center"/>
    </xf>
    <xf numFmtId="0" fontId="0" fillId="7" borderId="1" xfId="0" applyFill="1" applyBorder="1" applyAlignment="1">
      <alignment horizontal="center" vertical="center" wrapText="1"/>
    </xf>
    <xf numFmtId="0" fontId="14"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9" fillId="6" borderId="3" xfId="0" applyFont="1" applyFill="1" applyBorder="1" applyAlignment="1">
      <alignment horizontal="center" vertical="center"/>
    </xf>
    <xf numFmtId="0" fontId="14" fillId="6" borderId="1" xfId="0" applyFont="1" applyFill="1" applyBorder="1" applyAlignment="1">
      <alignment horizontal="center" vertical="center"/>
    </xf>
    <xf numFmtId="0" fontId="0" fillId="8" borderId="1" xfId="0" applyFill="1" applyBorder="1" applyAlignment="1">
      <alignment horizontal="center" vertical="center"/>
    </xf>
    <xf numFmtId="0" fontId="9" fillId="7" borderId="1" xfId="0" applyFont="1" applyFill="1" applyBorder="1" applyAlignment="1">
      <alignment horizontal="center" vertical="center" wrapText="1"/>
    </xf>
    <xf numFmtId="0" fontId="0" fillId="7" borderId="3" xfId="0" applyFill="1" applyBorder="1" applyAlignment="1">
      <alignment horizontal="center" vertical="center" wrapText="1"/>
    </xf>
    <xf numFmtId="0" fontId="11" fillId="5"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6" borderId="3" xfId="0" applyFont="1" applyFill="1" applyBorder="1" applyAlignment="1">
      <alignment horizontal="center" vertical="center"/>
    </xf>
    <xf numFmtId="0" fontId="0" fillId="7" borderId="9" xfId="0" applyFill="1" applyBorder="1" applyAlignment="1">
      <alignment horizontal="center" vertical="center"/>
    </xf>
    <xf numFmtId="0" fontId="17" fillId="5" borderId="3" xfId="0" applyFont="1" applyFill="1" applyBorder="1" applyAlignment="1">
      <alignment horizontal="center" vertical="center" wrapText="1"/>
    </xf>
    <xf numFmtId="0" fontId="0" fillId="0" borderId="14" xfId="0" applyBorder="1" applyAlignment="1">
      <alignment horizontal="center" vertical="center" wrapText="1"/>
    </xf>
    <xf numFmtId="0" fontId="3" fillId="2" borderId="15" xfId="0" applyFont="1"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wrapText="1"/>
    </xf>
    <xf numFmtId="0" fontId="0" fillId="0" borderId="16" xfId="0" applyBorder="1" applyAlignment="1">
      <alignment horizontal="center" vertical="center" wrapText="1"/>
    </xf>
    <xf numFmtId="0" fontId="0" fillId="0" borderId="5" xfId="0" applyBorder="1" applyAlignment="1">
      <alignment horizontal="center" vertical="center" wrapText="1"/>
    </xf>
    <xf numFmtId="0" fontId="23" fillId="2" borderId="20" xfId="0" applyFont="1" applyFill="1" applyBorder="1" applyAlignment="1">
      <alignment horizontal="center" vertical="center"/>
    </xf>
    <xf numFmtId="17" fontId="23" fillId="2" borderId="18" xfId="0" applyNumberFormat="1" applyFont="1" applyFill="1" applyBorder="1" applyAlignment="1">
      <alignment horizontal="center" vertical="center"/>
    </xf>
    <xf numFmtId="0" fontId="0" fillId="9" borderId="22" xfId="0" applyFill="1" applyBorder="1" applyAlignment="1">
      <alignment horizontal="center" vertical="center" wrapText="1"/>
    </xf>
    <xf numFmtId="0" fontId="0" fillId="9" borderId="22" xfId="0" applyFill="1" applyBorder="1" applyAlignment="1">
      <alignment horizontal="center" vertical="center"/>
    </xf>
    <xf numFmtId="0" fontId="0" fillId="0" borderId="20" xfId="0" applyBorder="1" applyAlignment="1">
      <alignment horizontal="center" vertical="center" wrapText="1"/>
    </xf>
    <xf numFmtId="0" fontId="0" fillId="0" borderId="20" xfId="0" applyBorder="1" applyAlignment="1">
      <alignment horizontal="center" vertical="center"/>
    </xf>
    <xf numFmtId="0" fontId="0" fillId="0" borderId="18" xfId="0" applyBorder="1" applyAlignment="1">
      <alignment horizontal="center" vertical="center"/>
    </xf>
    <xf numFmtId="0" fontId="0" fillId="9" borderId="20" xfId="0" applyFill="1" applyBorder="1" applyAlignment="1">
      <alignment horizontal="center" vertical="center" wrapText="1"/>
    </xf>
    <xf numFmtId="0" fontId="0" fillId="9" borderId="20" xfId="0" applyFill="1" applyBorder="1" applyAlignment="1">
      <alignment horizontal="center" vertical="center"/>
    </xf>
    <xf numFmtId="0" fontId="0" fillId="9" borderId="18" xfId="0" applyFill="1" applyBorder="1" applyAlignment="1">
      <alignment horizontal="center" vertical="center"/>
    </xf>
    <xf numFmtId="0" fontId="0" fillId="9" borderId="19" xfId="0" applyFill="1" applyBorder="1" applyAlignment="1">
      <alignment horizontal="center" vertical="center"/>
    </xf>
    <xf numFmtId="0" fontId="0" fillId="9" borderId="23" xfId="0" applyFill="1"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9" borderId="24" xfId="0" applyFill="1" applyBorder="1" applyAlignment="1">
      <alignment horizontal="center" vertical="center"/>
    </xf>
    <xf numFmtId="0" fontId="0" fillId="9" borderId="25" xfId="0" applyFill="1" applyBorder="1" applyAlignment="1">
      <alignment horizontal="center" vertical="center"/>
    </xf>
    <xf numFmtId="0" fontId="0" fillId="9" borderId="26" xfId="0" applyFill="1" applyBorder="1" applyAlignment="1">
      <alignment horizontal="center" vertical="center"/>
    </xf>
    <xf numFmtId="0" fontId="0" fillId="9" borderId="19" xfId="0" applyFill="1" applyBorder="1" applyAlignment="1">
      <alignment horizontal="center" vertical="center" wrapText="1"/>
    </xf>
    <xf numFmtId="0" fontId="0" fillId="0" borderId="24" xfId="0" applyBorder="1" applyAlignment="1">
      <alignment horizontal="center" vertical="center" wrapText="1"/>
    </xf>
    <xf numFmtId="0" fontId="0" fillId="8" borderId="20" xfId="0" applyFill="1" applyBorder="1" applyAlignment="1">
      <alignment horizontal="center" vertical="center" wrapText="1"/>
    </xf>
    <xf numFmtId="0" fontId="0" fillId="9" borderId="6" xfId="0" applyFill="1" applyBorder="1" applyAlignment="1">
      <alignment horizontal="center" vertical="center" wrapText="1"/>
    </xf>
    <xf numFmtId="0" fontId="0" fillId="9" borderId="6" xfId="0" applyFill="1" applyBorder="1" applyAlignment="1">
      <alignment horizontal="center" vertical="center"/>
    </xf>
    <xf numFmtId="0" fontId="0" fillId="9" borderId="1" xfId="0" applyFill="1" applyBorder="1" applyAlignment="1">
      <alignment horizontal="center" vertical="center"/>
    </xf>
    <xf numFmtId="0" fontId="23" fillId="2" borderId="19" xfId="0" applyFont="1" applyFill="1" applyBorder="1" applyAlignment="1">
      <alignment horizontal="center" vertical="center"/>
    </xf>
    <xf numFmtId="0" fontId="0" fillId="9" borderId="27" xfId="0" applyFill="1" applyBorder="1" applyAlignment="1">
      <alignment horizontal="center" vertical="center" wrapText="1"/>
    </xf>
    <xf numFmtId="0" fontId="0" fillId="0" borderId="19" xfId="0" applyBorder="1" applyAlignment="1">
      <alignment horizontal="center" vertical="center" wrapText="1"/>
    </xf>
    <xf numFmtId="0" fontId="0" fillId="0" borderId="19" xfId="0" applyBorder="1" applyAlignment="1">
      <alignment horizontal="center" vertical="center"/>
    </xf>
    <xf numFmtId="0" fontId="0" fillId="10" borderId="19" xfId="0" applyFill="1" applyBorder="1" applyAlignment="1">
      <alignment horizontal="center" vertical="center" wrapText="1"/>
    </xf>
    <xf numFmtId="0" fontId="23" fillId="2" borderId="0" xfId="0" applyFont="1" applyFill="1" applyAlignment="1">
      <alignment horizontal="center" vertical="center"/>
    </xf>
    <xf numFmtId="0" fontId="23" fillId="2" borderId="21" xfId="0" applyFont="1" applyFill="1" applyBorder="1" applyAlignment="1">
      <alignment horizontal="center" vertical="center"/>
    </xf>
    <xf numFmtId="0" fontId="23" fillId="2" borderId="30" xfId="0" applyFont="1" applyFill="1" applyBorder="1" applyAlignment="1">
      <alignment horizontal="center" vertical="center"/>
    </xf>
    <xf numFmtId="0" fontId="0" fillId="9" borderId="31" xfId="0" applyFill="1" applyBorder="1" applyAlignment="1">
      <alignment horizontal="center" vertical="center" wrapText="1"/>
    </xf>
    <xf numFmtId="0" fontId="0" fillId="0" borderId="30" xfId="0" applyBorder="1" applyAlignment="1">
      <alignment horizontal="center" vertical="center" wrapText="1"/>
    </xf>
    <xf numFmtId="0" fontId="0" fillId="9" borderId="30" xfId="0" applyFill="1" applyBorder="1" applyAlignment="1">
      <alignment horizontal="center" vertical="center" wrapText="1"/>
    </xf>
    <xf numFmtId="0" fontId="0" fillId="0" borderId="32" xfId="0" applyBorder="1" applyAlignment="1">
      <alignment horizontal="center" vertical="center" wrapText="1"/>
    </xf>
    <xf numFmtId="0" fontId="0" fillId="9" borderId="23" xfId="0" applyFill="1" applyBorder="1" applyAlignment="1">
      <alignment horizontal="center" vertical="center" wrapText="1"/>
    </xf>
    <xf numFmtId="0" fontId="0" fillId="9" borderId="30" xfId="0" applyFill="1" applyBorder="1" applyAlignment="1">
      <alignment horizontal="center" vertical="center"/>
    </xf>
    <xf numFmtId="0" fontId="0" fillId="0" borderId="30" xfId="0" applyBorder="1" applyAlignment="1">
      <alignment horizontal="center" vertical="center"/>
    </xf>
    <xf numFmtId="0" fontId="0" fillId="0" borderId="32" xfId="0" applyBorder="1" applyAlignment="1">
      <alignment horizontal="center" vertical="center"/>
    </xf>
    <xf numFmtId="0" fontId="0" fillId="9" borderId="33" xfId="0" applyFill="1" applyBorder="1" applyAlignment="1">
      <alignment horizontal="center" vertical="center"/>
    </xf>
    <xf numFmtId="0" fontId="0" fillId="0" borderId="33" xfId="0" applyBorder="1" applyAlignment="1">
      <alignment horizontal="center" vertical="center"/>
    </xf>
    <xf numFmtId="0" fontId="0" fillId="9" borderId="34" xfId="0" applyFill="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9" borderId="28" xfId="0" applyFill="1" applyBorder="1" applyAlignment="1">
      <alignment horizontal="center" vertical="center" wrapText="1"/>
    </xf>
    <xf numFmtId="0" fontId="0" fillId="9" borderId="29" xfId="0" applyFill="1" applyBorder="1" applyAlignment="1">
      <alignment horizontal="center" vertical="center" wrapText="1"/>
    </xf>
    <xf numFmtId="0" fontId="26" fillId="0" borderId="0" xfId="0" applyFont="1"/>
    <xf numFmtId="0" fontId="27" fillId="0" borderId="1" xfId="1" quotePrefix="1" applyBorder="1" applyAlignment="1">
      <alignment horizontal="center" vertical="center"/>
    </xf>
    <xf numFmtId="0" fontId="0" fillId="8" borderId="25" xfId="0" applyFill="1" applyBorder="1" applyAlignment="1">
      <alignment horizontal="center" vertical="center" wrapText="1"/>
    </xf>
    <xf numFmtId="0" fontId="0" fillId="11" borderId="19" xfId="0" applyFill="1" applyBorder="1" applyAlignment="1">
      <alignment horizontal="center" vertical="center" wrapText="1"/>
    </xf>
    <xf numFmtId="0" fontId="0" fillId="10" borderId="20" xfId="0" applyFill="1" applyBorder="1" applyAlignment="1">
      <alignment horizontal="center" vertical="center" wrapText="1"/>
    </xf>
    <xf numFmtId="0" fontId="0" fillId="10" borderId="20" xfId="0" applyFill="1" applyBorder="1" applyAlignment="1">
      <alignment horizontal="center" vertical="center"/>
    </xf>
    <xf numFmtId="0" fontId="0" fillId="10" borderId="33" xfId="0" applyFill="1" applyBorder="1" applyAlignment="1">
      <alignment horizontal="center" vertical="center"/>
    </xf>
    <xf numFmtId="0" fontId="0" fillId="12" borderId="19" xfId="0" applyFill="1" applyBorder="1" applyAlignment="1">
      <alignment horizontal="center" vertical="center" wrapText="1"/>
    </xf>
    <xf numFmtId="0" fontId="0" fillId="12" borderId="20" xfId="0" applyFill="1" applyBorder="1" applyAlignment="1">
      <alignment horizontal="center" vertical="center" wrapText="1"/>
    </xf>
    <xf numFmtId="0" fontId="0" fillId="8" borderId="19" xfId="0" applyFill="1" applyBorder="1" applyAlignment="1">
      <alignment horizontal="center" vertical="center" wrapText="1"/>
    </xf>
    <xf numFmtId="0" fontId="0" fillId="12" borderId="20" xfId="0" applyFill="1" applyBorder="1" applyAlignment="1">
      <alignment horizontal="center" vertical="center"/>
    </xf>
    <xf numFmtId="0" fontId="0" fillId="12" borderId="33" xfId="0" applyFill="1" applyBorder="1" applyAlignment="1">
      <alignment horizontal="center" vertical="center"/>
    </xf>
    <xf numFmtId="0" fontId="0" fillId="7" borderId="19" xfId="0" applyFill="1" applyBorder="1" applyAlignment="1">
      <alignment horizontal="center" vertical="center" wrapText="1"/>
    </xf>
    <xf numFmtId="0" fontId="0" fillId="10" borderId="1" xfId="0" applyFill="1" applyBorder="1" applyAlignment="1">
      <alignment horizontal="center" vertical="center" wrapText="1"/>
    </xf>
    <xf numFmtId="0" fontId="0" fillId="13" borderId="19" xfId="0" applyFill="1" applyBorder="1" applyAlignment="1">
      <alignment horizontal="center" vertical="center" wrapText="1"/>
    </xf>
    <xf numFmtId="0" fontId="0" fillId="14" borderId="19" xfId="0" applyFill="1" applyBorder="1" applyAlignment="1">
      <alignment horizontal="center" vertical="center" wrapText="1"/>
    </xf>
    <xf numFmtId="0" fontId="0" fillId="0" borderId="33" xfId="0" applyBorder="1" applyAlignment="1">
      <alignment horizontal="center" vertical="center" wrapText="1"/>
    </xf>
    <xf numFmtId="0" fontId="0" fillId="9" borderId="33" xfId="0" applyFill="1" applyBorder="1" applyAlignment="1">
      <alignment horizontal="center" vertical="center" wrapText="1"/>
    </xf>
    <xf numFmtId="0" fontId="0" fillId="0" borderId="23" xfId="0" applyBorder="1" applyAlignment="1">
      <alignment horizontal="center" vertical="center"/>
    </xf>
    <xf numFmtId="0" fontId="0" fillId="9" borderId="0" xfId="0" applyFill="1" applyAlignment="1">
      <alignment horizontal="center" vertical="center"/>
    </xf>
    <xf numFmtId="0" fontId="0" fillId="0" borderId="28" xfId="0" applyBorder="1" applyAlignment="1">
      <alignment horizontal="center" vertical="center"/>
    </xf>
    <xf numFmtId="0" fontId="26" fillId="0" borderId="0" xfId="0" applyFont="1" applyAlignment="1">
      <alignment horizontal="center" vertical="center"/>
    </xf>
    <xf numFmtId="0" fontId="0" fillId="0" borderId="0" xfId="0" applyAlignment="1">
      <alignment horizontal="right" wrapText="1"/>
    </xf>
    <xf numFmtId="0" fontId="0" fillId="0" borderId="1" xfId="0" applyBorder="1" applyAlignment="1">
      <alignment horizontal="right" vertical="center" wrapText="1"/>
    </xf>
    <xf numFmtId="0" fontId="0" fillId="12" borderId="30" xfId="0" applyFill="1" applyBorder="1" applyAlignment="1">
      <alignment horizontal="center" vertical="center"/>
    </xf>
    <xf numFmtId="0" fontId="0" fillId="10" borderId="30" xfId="0" applyFill="1" applyBorder="1" applyAlignment="1">
      <alignment horizontal="center" vertical="center"/>
    </xf>
    <xf numFmtId="0" fontId="0" fillId="7" borderId="33" xfId="0" applyFill="1" applyBorder="1" applyAlignment="1">
      <alignment horizontal="center" vertical="center"/>
    </xf>
    <xf numFmtId="0" fontId="0" fillId="7" borderId="0" xfId="0" applyFill="1" applyAlignment="1">
      <alignment horizontal="center" vertical="center"/>
    </xf>
    <xf numFmtId="0" fontId="0" fillId="12" borderId="30" xfId="0" applyFill="1" applyBorder="1" applyAlignment="1">
      <alignment horizontal="center" vertical="center" wrapText="1"/>
    </xf>
    <xf numFmtId="0" fontId="0" fillId="8" borderId="20" xfId="0" applyFill="1" applyBorder="1" applyAlignment="1">
      <alignment horizontal="center" vertical="center"/>
    </xf>
    <xf numFmtId="0" fontId="0" fillId="8" borderId="18" xfId="0" applyFill="1" applyBorder="1" applyAlignment="1">
      <alignment horizontal="center" vertical="center"/>
    </xf>
    <xf numFmtId="0" fontId="0" fillId="8" borderId="0" xfId="0" applyFill="1" applyAlignment="1">
      <alignment horizontal="center" vertical="center"/>
    </xf>
    <xf numFmtId="0" fontId="0" fillId="8" borderId="1" xfId="0" applyFill="1" applyBorder="1" applyAlignment="1">
      <alignment horizontal="right" vertical="center" wrapText="1"/>
    </xf>
    <xf numFmtId="0" fontId="0" fillId="7" borderId="20" xfId="0" applyFill="1" applyBorder="1" applyAlignment="1">
      <alignment horizontal="center" vertical="center"/>
    </xf>
    <xf numFmtId="0" fontId="0" fillId="8" borderId="30" xfId="0" applyFill="1" applyBorder="1" applyAlignment="1">
      <alignment horizontal="center" vertical="center"/>
    </xf>
    <xf numFmtId="0" fontId="0" fillId="8" borderId="1" xfId="0" applyFill="1" applyBorder="1" applyAlignment="1">
      <alignment horizontal="center" vertical="center" wrapText="1"/>
    </xf>
    <xf numFmtId="0" fontId="0" fillId="8" borderId="0" xfId="0" applyFill="1"/>
    <xf numFmtId="0" fontId="0" fillId="0" borderId="34" xfId="0" applyBorder="1" applyAlignment="1">
      <alignment horizontal="center" vertical="center"/>
    </xf>
    <xf numFmtId="0" fontId="0" fillId="9" borderId="28" xfId="0" applyFill="1" applyBorder="1" applyAlignment="1">
      <alignment horizontal="center" vertical="center"/>
    </xf>
    <xf numFmtId="0" fontId="0" fillId="11" borderId="33" xfId="0" applyFill="1" applyBorder="1" applyAlignment="1">
      <alignment horizontal="center" vertical="center"/>
    </xf>
    <xf numFmtId="0" fontId="0" fillId="8" borderId="33" xfId="0" applyFill="1" applyBorder="1" applyAlignment="1">
      <alignment horizontal="center" vertical="center"/>
    </xf>
    <xf numFmtId="0" fontId="0" fillId="12" borderId="0" xfId="0" applyFill="1" applyAlignment="1">
      <alignment horizontal="center" vertical="center"/>
    </xf>
    <xf numFmtId="0" fontId="0" fillId="11" borderId="0" xfId="0" applyFill="1" applyAlignment="1">
      <alignment horizontal="center" vertical="center"/>
    </xf>
    <xf numFmtId="0" fontId="0" fillId="9" borderId="32" xfId="0" applyFill="1" applyBorder="1" applyAlignment="1">
      <alignment horizontal="center" vertical="center"/>
    </xf>
    <xf numFmtId="0" fontId="0" fillId="9" borderId="31" xfId="0" applyFill="1" applyBorder="1" applyAlignment="1">
      <alignment horizontal="center" vertical="center"/>
    </xf>
    <xf numFmtId="0" fontId="0" fillId="12" borderId="18" xfId="0" applyFill="1" applyBorder="1" applyAlignment="1">
      <alignment horizontal="center" vertical="center"/>
    </xf>
    <xf numFmtId="0" fontId="25" fillId="0" borderId="1" xfId="0" applyFont="1" applyBorder="1" applyAlignment="1">
      <alignment horizontal="center" vertical="center"/>
    </xf>
  </cellXfs>
  <cellStyles count="2">
    <cellStyle name="Hyperlink" xfId="1" builtinId="8"/>
    <cellStyle name="Normal" xfId="0" builtinId="0"/>
  </cellStyles>
  <dxfs count="13">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theme="5" tint="0.79998168889431442"/>
          <bgColor theme="5" tint="0.79998168889431442"/>
        </patternFill>
      </fill>
      <alignment horizontal="center" vertical="center" textRotation="0" wrapText="0" indent="0" justifyLastLine="0" shrinkToFit="0" readingOrder="0"/>
      <border diagonalUp="0" diagonalDown="0">
        <left style="thick">
          <color indexed="64"/>
        </left>
        <right style="thin">
          <color theme="5" tint="0.39997558519241921"/>
        </right>
        <top style="thin">
          <color theme="5" tint="0.39997558519241921"/>
        </top>
        <bottom style="thin">
          <color theme="5" tint="0.39997558519241921"/>
        </bottom>
        <vertical/>
        <horizontal/>
      </border>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177"/>
        <scheme val="minor"/>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charset val="177"/>
        <scheme val="minor"/>
      </font>
      <fill>
        <patternFill patternType="solid">
          <fgColor theme="5" tint="0.79998168889431442"/>
          <bgColor theme="5" tint="0.79998168889431442"/>
        </patternFill>
      </fill>
      <alignment horizontal="center" vertical="center" textRotation="0" wrapText="1"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5" tint="0.39997558519241921"/>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person displayName="Adi Zaba" id="{514C87BD-6D07-4302-884B-C63ABCDD12CB}" userId="4189392c4551be19"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5</v>
    <v>8</v>
    <v>0</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B3D1E9-7181-472E-86F5-459CCF008372}" name="Table3" displayName="Table3" ref="A1:B1789" totalsRowShown="0" headerRowDxfId="12" tableBorderDxfId="11">
  <autoFilter ref="A1:B1789" xr:uid="{F8B3D1E9-7181-472E-86F5-459CCF008372}"/>
  <tableColumns count="2">
    <tableColumn id="1" xr3:uid="{548DFED7-C79C-41D4-A6CF-2CE2EF5CE3AC}" name="שם" dataDxfId="10"/>
    <tableColumn id="2" xr3:uid="{34618F6C-7983-4283-92A4-C95104F43C58}" name="שם חדש"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7A1847-EFB5-4FC4-81E0-BDFCB4F550F3}" name="Table1" displayName="Table1" ref="A1:H1788" totalsRowShown="0" dataDxfId="8">
  <autoFilter ref="A1:H1788" xr:uid="{E87A1847-EFB5-4FC4-81E0-BDFCB4F550F3}">
    <filterColumn colId="1">
      <filters>
        <filter val="prefrerences"/>
      </filters>
    </filterColumn>
  </autoFilter>
  <sortState xmlns:xlrd2="http://schemas.microsoft.com/office/spreadsheetml/2017/richdata2" ref="A2:H1788">
    <sortCondition ref="B2:B1788"/>
    <sortCondition ref="C2:C1788"/>
    <sortCondition ref="D2:D1788"/>
    <sortCondition ref="E2:E1788"/>
    <sortCondition ref="F2:F1788"/>
  </sortState>
  <tableColumns count="8">
    <tableColumn id="1" xr3:uid="{C171A031-D446-4F0B-95FA-676CFD560B4A}" name="לשונית" dataDxfId="7"/>
    <tableColumn id="2" xr3:uid="{E6086352-AC8F-45F4-B6E1-B8072CC21198}" name="מדרגה1" dataDxfId="6"/>
    <tableColumn id="3" xr3:uid="{CD1B20F9-35C8-443C-BB67-42F7E3A9438D}" name="מדרגה 2" dataDxfId="5"/>
    <tableColumn id="4" xr3:uid="{1AE559C7-4F0B-4B00-9EC3-EF3AD436449A}" name="מדרגה 3" dataDxfId="4"/>
    <tableColumn id="5" xr3:uid="{25FC7C1F-D7AA-4320-A298-56DBE4FE17A7}" name="מדרגה 4" dataDxfId="3"/>
    <tableColumn id="6" xr3:uid="{52DFE384-B662-4E46-87FB-0B7F355D3ACF}" name="מדרגה 5" dataDxfId="2"/>
    <tableColumn id="8" xr3:uid="{E992D1D4-42E9-4E2B-BD33-46900820F5B6}" name="מדרגה 6" dataDxfId="1"/>
    <tableColumn id="7" xr3:uid="{BC31499A-5CBF-4A64-99C3-D81F294DB1C7}" name="שאלה"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4-10-29T10:59:07.40" personId="{514C87BD-6D07-4302-884B-C63ABCDD12CB}" id="{0C0288FC-C99C-4D18-A857-EB59872556ED}">
    <text>איך נכון להבין חברים? זה התנהגות? דמוגרפיה? אפקט? העדפות?</text>
  </threadedComment>
  <threadedComment ref="A66" dT="2024-09-04T08:19:28.40" personId="{514C87BD-6D07-4302-884B-C63ABCDD12CB}" id="{BE3EDCC4-AF0E-4E90-8A67-7E7703A6E18C}">
    <text>שאלה אם זה התנהגות או דמוגרפיה</text>
  </threadedComment>
  <threadedComment ref="A80" dT="2024-09-04T09:56:53.23" personId="{514C87BD-6D07-4302-884B-C63ABCDD12CB}" id="{F698DAF3-4007-42BD-A475-047DDA17C1D9}">
    <text>איך להתייחס לחברות בהסתדרות? זהות? התנהגות? תחת תעסוקה?</text>
  </threadedComment>
  <threadedComment ref="A87" dT="2024-10-29T12:18:58.75" personId="{514C87BD-6D07-4302-884B-C63ABCDD12CB}" id="{17611148-FFB1-4C19-A0E1-57C153A998AF}">
    <text>אולי דמוגרפי</text>
  </threadedComment>
  <threadedComment ref="A97" dT="2024-09-04T12:44:11.67" personId="{514C87BD-6D07-4302-884B-C63ABCDD12CB}" id="{3160E230-1A62-48DC-BEFB-F2672C88C1EB}">
    <text>מופיע רק בשנה אחת שבה לא נשאל "מי מהמועמדים לראשות הממשלה יוכל לטפל טוב יותר בבעיה" (1984), אולי שווה לחבר את השאלות?</text>
  </threadedComment>
  <threadedComment ref="B100" dT="2024-10-30T12:16:15.92" personId="{514C87BD-6D07-4302-884B-C63ABCDD12CB}" id="{CB84E261-879C-4119-A90E-80447C071EB5}">
    <text>אפקט רגשי או העדפה?</text>
  </threadedComment>
  <threadedComment ref="B115" dT="2024-10-30T13:25:08.17" personId="{514C87BD-6D07-4302-884B-C63ABCDD12CB}" id="{166AB126-554F-4870-8E88-5EDDCD50D68D}">
    <text>איך נכון להבין חברים? זה התנהגות? דמוגרפיה? אפקט? העדפות?</text>
  </threadedComment>
  <threadedComment ref="A140" dT="2024-09-17T09:58:24.62" personId="{514C87BD-6D07-4302-884B-C63ABCDD12CB}" id="{83185ACA-DF85-4069-BC85-DE07588B4660}">
    <text>אולי צריך להיות attribute_personality</text>
  </threadedComment>
  <threadedComment ref="A144" dT="2024-09-17T09:59:31.53" personId="{514C87BD-6D07-4302-884B-C63ABCDD12CB}" id="{69072366-B9BE-4133-BB21-8E966F969C0E}">
    <text>אולי צריך להיות אמון ב-strangers</text>
  </threadedComment>
  <threadedComment ref="A147" dT="2024-09-17T10:17:27.63" personId="{514C87BD-6D07-4302-884B-C63ABCDD12CB}" id="{45AC07B3-35BF-4276-9915-7BA8DC7747F5}">
    <text>אולי אמונה או אישיות עד 154</text>
  </threadedComment>
  <threadedComment ref="A152" dT="2024-11-02T15:00:52.65" personId="{514C87BD-6D07-4302-884B-C63ABCDD12CB}" id="{B026CFE5-95D9-4C81-AC54-88C3BB4F2B87}">
    <text>אולי שמרנות? מה רצו בעצם לבדוק פה?</text>
  </threadedComment>
  <threadedComment ref="A155" dT="2024-11-02T15:03:20.91" personId="{514C87BD-6D07-4302-884B-C63ABCDD12CB}" id="{0FEFC2FC-2ADD-4276-A387-721FFA145950}">
    <text>בחרתי לקרוא לזה טרמו ככותרת כללית לאהדה אבל אולי צריך לשנות</text>
  </threadedComment>
  <threadedComment ref="A157" dT="2024-09-09T15:09:40.56" personId="{514C87BD-6D07-4302-884B-C63ABCDD12CB}" id="{AE300436-4423-44FE-9BF1-448324F88662}">
    <text>אולי לחבר עם attitude_personal_condition</text>
  </threadedComment>
  <threadedComment ref="A158" dT="2024-11-02T15:04:54.82" personId="{514C87BD-6D07-4302-884B-C63ABCDD12CB}" id="{6B1E3CB3-9DF9-4F76-8ADC-203DC5D2F34B}">
    <text>אולי כדאי להוסיף להתנהגות מדרגה 2 = פוליטי</text>
  </threadedComment>
  <threadedComment ref="A159" dT="2024-11-02T15:09:54.70" personId="{514C87BD-6D07-4302-884B-C63ABCDD12CB}" id="{3C98A977-8CE5-4AC6-8D5D-ABE9685B5E37}">
    <text>לנסות למצוא מדרגה 2 רחבה יותר</text>
  </threadedComment>
  <threadedComment ref="A161" dT="2024-09-09T15:57:44.92" personId="{514C87BD-6D07-4302-884B-C63ABCDD12CB}" id="{AC9C7250-DE2E-4E6C-982B-D8CD48EFB98E}">
    <text>גם נכנס לקבוצה של מי שדומים ל-attitude_personal_condition</text>
  </threadedComment>
  <threadedComment ref="A165" dT="2024-11-02T15:16:10.48" personId="{514C87BD-6D07-4302-884B-C63ABCDD12CB}" id="{8264D2E8-5D2F-472F-8081-4049DEFCB430}">
    <text>יכול להיות שאפשר למצוא דרך להדגיש את הפציעה האישית</text>
  </threadedComment>
  <threadedComment ref="A168" dT="2024-09-10T09:20:37.50" personId="{514C87BD-6D07-4302-884B-C63ABCDD12CB}" id="{334A09F6-CCBA-4756-860D-72B826192EB2}">
    <text>איך נכון לקרוא לזה?</text>
  </threadedComment>
  <threadedComment ref="A186" dT="2024-09-11T12:00:32.12" personId="{514C87BD-6D07-4302-884B-C63ABCDD12CB}" id="{C49E697D-6EE6-458F-8921-4039E8CEEFCF}">
    <text>לא בטוח שזה attitude</text>
  </threadedComment>
  <threadedComment ref="A190" dT="2024-09-11T12:00:51.65" personId="{514C87BD-6D07-4302-884B-C63ABCDD12CB}" id="{2DB1A7B5-71E7-4327-81DF-47BDD3542D93}">
    <text xml:space="preserve">אפשר לחבר עם attitude_satisfaction_government </text>
  </threadedComment>
  <threadedComment ref="A191" dT="2024-09-11T12:03:11.50" personId="{514C87BD-6D07-4302-884B-C63ABCDD12CB}" id="{5DFDA766-61FF-4FB1-A413-19281907D5FE}">
    <text>לאחד עם attitude_satisfaction_political_system</text>
  </threadedComment>
  <threadedComment ref="A197" dT="2024-11-02T15:51:54.57" personId="{514C87BD-6D07-4302-884B-C63ABCDD12CB}" id="{F71344D1-72F5-4505-AFFC-5CF1189514F2}">
    <text>כל השאלות האלה אולי לא ממש מתאימות לAFFECT</text>
  </threadedComment>
  <threadedComment ref="A233" dT="2024-11-02T16:28:18.40" personId="{514C87BD-6D07-4302-884B-C63ABCDD12CB}" id="{E04FAB27-EF47-4E29-BCF6-1D877E5A566E}">
    <text>לא בטוח איך לקרוא לזה</text>
  </threadedComment>
  <threadedComment ref="A300" dT="2024-10-14T08:34:47.49" personId="{514C87BD-6D07-4302-884B-C63ABCDD12CB}" id="{71084E98-EA52-4841-8C4E-DF85211671B9}">
    <text>ב2015 השאלות כלכלה ומדיניות חברתית אוחדו לשאלה הזו, אפשר אולי לאחד פה לפאנל ארוך אבל זאת שאלה איך ואת מי.</text>
  </threadedComment>
  <threadedComment ref="A428" dT="2024-11-03T09:39:00.67" personId="{514C87BD-6D07-4302-884B-C63ABCDD12CB}" id="{9834B2DB-18A2-4ED1-A3E4-EFE66F6C000F}">
    <text>Affect?</text>
  </threadedComment>
  <threadedComment ref="A514" dT="2024-10-08T08:14:46.32" personId="{514C87BD-6D07-4302-884B-C63ABCDD12CB}" id="{BF90CE27-EE04-4255-981E-E1A8CAAEC878}">
    <text xml:space="preserve">איחוד עם השאלה </text>
  </threadedComment>
  <threadedComment ref="A640" dT="2024-10-13T11:57:57.41" personId="{514C87BD-6D07-4302-884B-C63ABCDD12CB}" id="{172765D8-78E3-4586-8B33-1B3732F215FD}">
    <text>אולי נכון לכתוב רווחה אבל אני חושב שלא</text>
  </threadedComment>
  <threadedComment ref="A654" dT="2024-10-13T12:18:25.46" personId="{514C87BD-6D07-4302-884B-C63ABCDD12CB}" id="{C153B06A-E793-4F64-B5EA-0DF9014D78CE}">
    <text>אולי termlimit</text>
  </threadedComment>
  <threadedComment ref="A731" dT="2024-10-14T07:46:12.91" personId="{514C87BD-6D07-4302-884B-C63ABCDD12CB}" id="{34EE59FC-E095-4F97-9AFB-71F870B97EC8}">
    <text>אולי מתאים יותר daring</text>
  </threadedComment>
  <threadedComment ref="A757" dT="2024-10-14T08:32:22.93" personId="{514C87BD-6D07-4302-884B-C63ABCDD12CB}" id="{0D3E5276-5355-4CF6-B814-9F7C14CB3F0B}">
    <text>ב2015 השאלות כלכלה ומדיניות חברתית אוחדו לשאלה הזו, אפשר אולי לאחד פה לפאנל ארוך אבל זאת שאלה איך ואת מי.</text>
  </threadedComment>
  <threadedComment ref="A781" dT="2024-10-14T11:10:54.08" personId="{514C87BD-6D07-4302-884B-C63ABCDD12CB}" id="{B31E98B5-3D34-4F79-940A-5634BFAB96F2}">
    <text>ב2003 שאלו על 1999 וב2006 שאלו על 2001 אז צריך לפצל את השאלות</text>
  </threadedComment>
  <threadedComment ref="A803" dT="2024-10-20T11:35:24.59" personId="{514C87BD-6D07-4302-884B-C63ABCDD12CB}" id="{8FC01AF1-AABE-4E64-A0BC-D34D57FC0D25}">
    <text>אפשר לאחד עם "באיזו מידה המודעות בעיתונים משפיעות על החלטתך עבור מי להצביע" לדעתי</text>
  </threadedComment>
  <threadedComment ref="A838" dT="2024-10-21T07:33:00.19" personId="{514C87BD-6D07-4302-884B-C63ABCDD12CB}" id="{F52918DE-BE5C-4C0A-B75B-2AB7989F98E5}">
    <text>אותו איחוד מוכר</text>
  </threadedComment>
  <threadedComment ref="A846" dT="2024-11-09T11:49:43.46" personId="{514C87BD-6D07-4302-884B-C63ABCDD12CB}" id="{E42F34A0-6A57-4BBA-8DC1-FC4BF325D14A}">
    <text>למעשה זה 4 שאלות ל4 מפלגות לפי סדר</text>
  </threadedComment>
  <threadedComment ref="A880" dT="2024-10-21T08:39:36.14" personId="{514C87BD-6D07-4302-884B-C63ABCDD12CB}" id="{984EF24E-083A-4FD5-906F-0FDF337D3840}">
    <text>לחזור לזה כשאני עושה ביטחון</text>
  </threadedComment>
  <threadedComment ref="A889" dT="2024-10-21T10:42:03.40" personId="{514C87BD-6D07-4302-884B-C63ABCDD12CB}" id="{16669D4F-5581-4F51-8674-5DECA35F3A4C}">
    <text>איחוד עם "עד כמה אתה בטוח שתצביע כך"</text>
  </threadedComment>
  <threadedComment ref="A911" dT="2024-10-21T12:08:12.12" personId="{514C87BD-6D07-4302-884B-C63ABCDD12CB}" id="{4AB42C55-84BC-4CC7-BE2A-5ADDB60B4609}">
    <text>שאלה מ77, אותו שם כמו שאלה מ81, אין להן את אותן התשובות אבל שווה לחשוב על לחבר</text>
  </threadedComment>
  <threadedComment ref="A929" dT="2024-10-21T13:31:41.76" personId="{514C87BD-6D07-4302-884B-C63ABCDD12CB}" id="{D2023427-0EF0-40AC-812B-D315A4FC9F0E}">
    <text>נדמה שבשנה אחת השאלה היא פוסט בחירות ובאחרת לפני בחירות</text>
  </threadedComment>
  <threadedComment ref="A956" dT="2024-10-23T09:09:39.91" personId="{514C87BD-6D07-4302-884B-C63ABCDD12CB}" id="{CEAFD052-DA3F-4D17-9B7F-55EAC254C25E}">
    <text>חיבור עם "איזו מפלגה היית רוצה שתקים את הממשלה הבאה?"</text>
  </threadedComment>
  <threadedComment ref="A962" dT="2024-10-23T12:52:23.97" personId="{514C87BD-6D07-4302-884B-C63ABCDD12CB}" id="{562B1360-074E-41E9-B96E-81223E00A91D}">
    <text>יש הרבה מפלגות ששינו שם או הרכב עם השנים, איך נכון לקרוא להן? לדוגמא - הבית היהודי ומפד"ל</text>
  </threadedComment>
  <threadedComment ref="A1000" dT="2024-10-23T10:03:43.05" personId="{514C87BD-6D07-4302-884B-C63ABCDD12CB}" id="{1591C6E4-ECC2-438C-B8AD-20687E43F257}">
    <text>נשאל פעם אחת ב1973-3.
חיבור עם "האם היית רוצה שאחרי הבחירות תקום ממשלת אחדות לאומית?"</text>
  </threadedComment>
  <threadedComment ref="A1001" dT="2024-10-23T10:09:07.81" personId="{514C87BD-6D07-4302-884B-C63ABCDD12CB}" id="{83CB1825-2CF0-485C-81B5-A314CB83DB0F}">
    <text>אולי יש איך לחבר לפאנל עם השאלות "הסיכויים לקואליציות שונות לאחר הבחירות"</text>
  </threadedComment>
  <threadedComment ref="A1002" dT="2024-10-23T10:06:41.46" personId="{514C87BD-6D07-4302-884B-C63ABCDD12CB}" id="{66721245-740A-42F1-8376-22BA65B81B18}">
    <text>חיבור עם "בסיכומו של דבר, מבין הקואליציות האלה, איזו קואליציה אתה מעדיף?”</text>
  </threadedComment>
  <threadedComment ref="A1003" dT="2024-10-23T12:10:04.65" personId="{514C87BD-6D07-4302-884B-C63ABCDD12CB}" id="{B3C5AF49-6C9B-441F-AA04-AAEBE287E853}">
    <text>לאיפה שייך? לבחירות? ימיןשמאל? ציפיות?</text>
  </threadedComment>
  <threadedComment ref="A1058" dT="2024-11-10T18:22:54.79" personId="{514C87BD-6D07-4302-884B-C63ABCDD12CB}" id="{FE7D99CA-D961-4A48-BEC0-90A2C4013773}">
    <text>למרות שזה שיפוט אני חושב שנכון לשים את זה תחת העדפות</text>
  </threadedComment>
  <threadedComment ref="A1088" dT="2024-10-25T08:18:50.44" personId="{514C87BD-6D07-4302-884B-C63ABCDD12CB}" id="{E2B09CFA-FB94-4332-B8F5-6AD942BA8374}">
    <text>לא בטוח שאפשר לאחד את זה עם "שרים מטעם מפלגות ערביות לממשלה?", שאלה לגבי איך מבינים את התשובות האפשריות</text>
  </threadedComment>
  <threadedComment ref="A1092" dT="2024-10-25T09:14:19.76" personId="{514C87BD-6D07-4302-884B-C63ABCDD12CB}" id="{DB0CEEDE-CDE9-4DD4-899D-28035D424FD6}">
    <text>אפשר לחבר לדעתי, יש כמה שנים של חפיפה ובהן שאלה אחת מתייחסת לאל המפלגות ואחרת רק למערך וליכוד</text>
  </threadedComment>
  <threadedComment ref="A1093" dT="2024-10-25T09:29:14.72" personId="{514C87BD-6D07-4302-884B-C63ABCDD12CB}" id="{E26E7E49-5AA1-4AFF-B030-062611EE4F11}">
    <text>אותו עניין של כלכלית חברתית, לחבר או לא. בנוסף, בחלק מהשנים התשובות הן מפלגות ובאחרות הן מנהיגים.</text>
  </threadedComment>
  <threadedComment ref="A1121" dT="2024-10-25T13:18:41.05" personId="{514C87BD-6D07-4302-884B-C63ABCDD12CB}" id="{FD71CE5E-816D-4379-B63B-453EEBF173CE}">
    <text>אולי אפשר לחבר עם השאלה הופכית מסכים לא מסכים "להעביר כספים מתקציב הבטחון לנושאים חברתיים"</text>
  </threadedComment>
  <threadedComment ref="A1157" dT="2024-10-26T12:29:23.23" personId="{514C87BD-6D07-4302-884B-C63ABCDD12CB}" id="{39796953-560C-41E9-8314-FC118523F583}">
    <text>יש גם socioeconomic_party_similarity</text>
  </threadedComment>
  <threadedComment ref="A1165" dT="2024-11-21T14:10:01.65" personId="{514C87BD-6D07-4302-884B-C63ABCDD12CB}" id="{944CAE45-80F1-4A54-9689-47905B84EEBB}">
    <text>אולי נכון לחבר עם
perception_satisfaction_economic_condition</text>
  </threadedComment>
  <threadedComment ref="A1179" dT="2024-11-21T14:33:56.56" personId="{514C87BD-6D07-4302-884B-C63ABCDD12CB}" id="{F609C672-A647-4ECE-96E2-66EBEA099072}">
    <text>אולי התנהגות ההסתדרות לא נחשבת מדיניות?</text>
  </threadedComment>
  <threadedComment ref="A1181" dT="2024-10-26T19:39:59.39" personId="{514C87BD-6D07-4302-884B-C63ABCDD12CB}" id="{DD0AD433-6A0D-496E-B7A5-67B5026678D5}">
    <text>איחוד עם שני הקודמים</text>
  </threadedComment>
  <threadedComment ref="A1190" dT="2024-11-21T14:46:25.87" personId="{514C87BD-6D07-4302-884B-C63ABCDD12CB}" id="{A0280845-057B-4B2B-A588-65D4371ED020}">
    <text>מייל ולא פוסט כדי לא להתבלבל עם "פוסט-בחירות"</text>
  </threadedComment>
  <threadedComment ref="A1199" dT="2024-11-23T11:42:24.00" personId="{514C87BD-6D07-4302-884B-C63ABCDD12CB}" id="{36CBA67A-941F-4EDB-BAD7-8E71ED44058A}">
    <text>Perception or preference?</text>
  </threadedComment>
  <threadedComment ref="A1201" dT="2024-11-23T12:12:33.03" personId="{514C87BD-6D07-4302-884B-C63ABCDD12CB}" id="{3D02CAC9-3074-4B0D-90A5-ACDCB35F92A2}">
    <text>על אף שמדובר בחוק ולא במדיניות בחרתי לכלול תחת פוליסי מכיוון שאין הרבה שאלות על חקיקה (חוק הלאום וזה פחות או יותר)</text>
  </threadedComment>
  <threadedComment ref="A1202" dT="2024-11-23T13:59:42.14" personId="{514C87BD-6D07-4302-884B-C63ABCDD12CB}" id="{E87D1587-7DC9-4F06-BD2C-E109A6AE4717}">
    <text>אולי כדי להכניס את המילה intention איפשהו כאן</text>
  </threadedComment>
  <threadedComment ref="A1214" dT="2024-11-23T14:20:03.26" personId="{514C87BD-6D07-4302-884B-C63ABCDD12CB}" id="{80EEB494-ED82-48FF-932A-7BDFCFE08073}">
    <text>בחרתי national כי יש גם משיבים ערבים</text>
  </threadedComment>
  <threadedComment ref="A1236" dT="2024-11-23T14:26:24.75" personId="{514C87BD-6D07-4302-884B-C63ABCDD12CB}" id="{40A32E51-3836-4DEE-9C52-9AC30FD85893}">
    <text>אולי עדיף attribute_knowledge</text>
  </threadedComment>
  <threadedComment ref="A1240" dT="2024-11-23T14:46:00.29" personId="{514C87BD-6D07-4302-884B-C63ABCDD12CB}" id="{908BE24F-7C4D-478D-A5C8-9813898F71D7}">
    <text>אולי אנחנו רוצים לאחד את זה עם השאלות האחרות על יהודית ודמוקרטית?</text>
  </threadedComment>
  <threadedComment ref="A1245" dT="2024-11-24T09:46:39.20" personId="{514C87BD-6D07-4302-884B-C63ABCDD12CB}" id="{74B2D708-F198-4B60-B824-E6C4162C6F54}">
    <text xml:space="preserve">בחלק מהשנים התשובות הן מפלגות ובאחרות הן מנהיגים.
</text>
  </threadedComment>
  <threadedComment ref="A1268" dT="2024-11-24T10:44:58.99" personId="{514C87BD-6D07-4302-884B-C63ABCDD12CB}" id="{0D1BC34D-E3EB-4128-A2F6-999CB689C0DD}">
    <text>לא בטוח אם זה אפקט או פרספשן</text>
  </threadedComment>
  <threadedComment ref="A1293" dT="2024-11-24T11:43:24.63" personId="{514C87BD-6D07-4302-884B-C63ABCDD12CB}" id="{46DEC515-DE5A-42A6-ADB6-114B4EECAD5A}">
    <text>אולי זאת העדפה אבל אני חושב שפרספשן</text>
  </threadedComment>
  <threadedComment ref="A1294" dT="2024-11-24T11:51:00.87" personId="{514C87BD-6D07-4302-884B-C63ABCDD12CB}" id="{9751F5A4-4729-4A80-B364-83D21D886BFD}">
    <text>אולי זאת העדפה אבל אני חושב שפרספשן</text>
  </threadedComment>
  <threadedComment ref="A1302" dT="2024-11-24T12:21:01.10" personId="{514C87BD-6D07-4302-884B-C63ABCDD12CB}" id="{610EEB94-4262-4B17-9E67-D7481205627B}">
    <text>אפשר למצוא ניסוח טוב יותר</text>
  </threadedComment>
  <threadedComment ref="A1357" dT="2024-11-24T20:39:53.72" personId="{514C87BD-6D07-4302-884B-C63ABCDD12CB}" id="{EE870537-B43F-4F10-8FC4-EA94FF84A896}">
    <text>לדעתי זה העדפה</text>
  </threadedComment>
  <threadedComment ref="A1384" dT="2024-11-27T13:57:37.50" personId="{514C87BD-6D07-4302-884B-C63ABCDD12CB}" id="{C8175B47-F6C7-4CBB-8F26-51C02F86ED8B}">
    <text>אנחנו רוצים לקרוא להם ערבים או פלסטינים?</text>
  </threadedComment>
  <threadedComment ref="B1386" dT="2024-11-24T22:29:44.30" personId="{514C87BD-6D07-4302-884B-C63ABCDD12CB}" id="{36FF387F-614B-48ED-8E1A-C022C67D3AEB}">
    <text>אולי צריכים תת-קטגוריה לפרספשן אמונה</text>
  </threadedComment>
  <threadedComment ref="A1387" dT="2024-11-24T22:34:01.98" personId="{514C87BD-6D07-4302-884B-C63ABCDD12CB}" id="{35D3B2C4-C03F-401C-9122-68A559C1E186}">
    <text>לחבר עם שאלה בהמשך</text>
  </threadedComment>
  <threadedComment ref="A1418" dT="2024-11-25T08:34:04.73" personId="{514C87BD-6D07-4302-884B-C63ABCDD12CB}" id="{85678B1E-6F6B-44D7-A6A4-B8C2C1FED631}">
    <text>איחוד, זה די דומה, בכלל יש פה בשלום דומים</text>
  </threadedComment>
  <threadedComment ref="A1449" dT="2024-11-27T13:26:55.72" personId="{514C87BD-6D07-4302-884B-C63ABCDD12CB}" id="{54B27088-F44A-4810-BD3B-97906BCB9459}">
    <text>זה מתייחס לגדר ההפרדה? אם כן אולי נכון לאחד עם "באיזו מידה אתה מסכים או לא מסכים: לבנות גדר הפרדה ביננו לבין הפלסטינים"</text>
  </threadedComment>
  <threadedComment ref="A1450" dT="2024-11-27T13:35:44.57" personId="{514C87BD-6D07-4302-884B-C63ABCDD12CB}" id="{82515416-DFD8-4A7D-89F0-20B31851101E}">
    <text>אולי אנחנו מדברים על ציפיות? או שאולי אשף היא לא קבוצה אלא מפלגה/פוליטיקאי?</text>
  </threadedComment>
  <threadedComment ref="A1451" dT="2024-11-27T13:42:43.17" personId="{514C87BD-6D07-4302-884B-C63ABCDD12CB}" id="{A6E19DBB-5BB9-4631-8E4A-985D2E2CF00C}">
    <text>איחוד עם שאלה מ2003 על מומ תוך כדי טרור</text>
  </threadedComment>
  <threadedComment ref="A1458" dT="2024-11-27T14:11:42.65" personId="{514C87BD-6D07-4302-884B-C63ABCDD12CB}" id="{183F4EF0-A0F4-4B71-AC47-DC930C5C8FA6}">
    <text>אולי איחוד עם "האם ישראל צריכה להחזיר לסוריה שטחים ברמת הגולן תמורת חוזה שלום וסידורי בטחון המקובלים על צה"ל?”</text>
  </threadedComment>
  <threadedComment ref="A1465" dT="2024-11-27T15:04:51.02" personId="{514C87BD-6D07-4302-884B-C63ABCDD12CB}" id="{9A875F9A-65FA-4030-8E69-E305594B1AE8}">
    <text>לא ממש מצאתי באיזו ועידה מדובר, השאלה נשאלה בין 87-92 ככה שזאת לא יכולה להיות ועידת מדריד או לפחות לא רק היא</text>
  </threadedComment>
  <threadedComment ref="A1475" dT="2024-11-27T15:37:51.57" personId="{514C87BD-6D07-4302-884B-C63ABCDD12CB}" id="{94687852-29FF-43DA-BC38-C102F9B36D3B}">
    <text>נשאל שמונה שנים אחרי, איך נכון להתייחס לזה?</text>
  </threadedComment>
  <threadedComment ref="A1501" dT="2024-11-27T18:17:21.67" personId="{514C87BD-6D07-4302-884B-C63ABCDD12CB}" id="{00B7F9A1-15BE-4954-A15E-4BEDB80E9AC5}">
    <text>נדמה לי שהם בדקו כאן אותו דבר כמו בשאלה "האם לדעתך ישראל יכולה או לא יכולה להשפיע בהתנהגותה ובמדיניותה על נכונות הערבים לשלום אמת איתה?”</text>
  </threadedComment>
  <threadedComment ref="A1507" dT="2024-11-27T18:39:49.51" personId="{514C87BD-6D07-4302-884B-C63ABCDD12CB}" id="{FD5F374A-CF45-4528-98AE-80ADE760447B}">
    <text>אולי זה שם טעון מדי</text>
  </threadedComment>
  <threadedComment ref="B1513" dT="2024-11-28T10:39:28.95" personId="{514C87BD-6D07-4302-884B-C63ABCDD12CB}" id="{CF6241E2-45E0-400A-AC84-A9840EC6B1F0}">
    <text>לא בטוח אם אפקט</text>
  </threadedComment>
  <threadedComment ref="A1539" dT="2024-11-28T12:12:17.42" personId="{514C87BD-6D07-4302-884B-C63ABCDD12CB}" id="{807BB094-203E-4801-B18B-9C4F87EDA004}">
    <text>אולי העדפה</text>
  </threadedComment>
  <threadedComment ref="A1566" dT="2024-11-30T11:59:05.98" personId="{514C87BD-6D07-4302-884B-C63ABCDD12CB}" id="{C97AE472-067A-4CA4-8029-CB89E54FB37C}">
    <text>חיברתי עם "המדינה צריכה להבטיח שוויון זכויות חברתי ופוליטי מלא לכל האזרחים ללא הבדל זת גזע ומין" אבל זאת שאלה אם זה אותו דבר</text>
  </threadedComment>
  <threadedComment ref="A1569" dT="2024-11-30T12:10:57.29" personId="{514C87BD-6D07-4302-884B-C63ABCDD12CB}" id="{F0220CB2-2A70-4A99-83C0-6AFD08726FBA}">
    <text>שאלו בין 81-88, ב87 שאלו על דרך השלילה, אולי כדאי לחבר</text>
  </threadedComment>
  <threadedComment ref="A1571" dT="2024-11-30T12:19:59.11" personId="{514C87BD-6D07-4302-884B-C63ABCDD12CB}" id="{CBCEE698-8218-4E61-AB70-D71B44899683}">
    <text>אפשר לחשוב על יותר טוב</text>
  </threadedComment>
  <threadedComment ref="A1572" dT="2024-11-30T12:23:00.05" personId="{514C87BD-6D07-4302-884B-C63ABCDD12CB}" id="{C7E39A1B-B080-49B0-BC2F-F385FC21AC29}">
    <text>נשאל ב73 פעמיים בנוסח "האם אתה חושב שהצבעתך לכנסת משפיעה על תוצאות הבחירות?”</text>
  </threadedComment>
  <threadedComment ref="A1592" dT="2024-11-30T14:28:31.27" personId="{514C87BD-6D07-4302-884B-C63ABCDD12CB}" id="{B557FC8D-9871-483A-8C83-F5E62C50DD84}">
    <text>מתלבט אם לחבר עם "perception_voting_efficacy”</text>
  </threadedComment>
  <threadedComment ref="A1595" dT="2024-11-30T14:43:47.77" personId="{514C87BD-6D07-4302-884B-C63ABCDD12CB}" id="{8F1A5E34-9111-4B7B-9C52-6DCFAB0DEE4A}">
    <text>איחוד עם שאלה כמעט זהה תחת "סוגיות"</text>
  </threadedComment>
  <threadedComment ref="A1601" dT="2024-11-30T14:54:40.83" personId="{514C87BD-6D07-4302-884B-C63ABCDD12CB}" id="{1239800C-9572-4B5B-BF3D-D87324F97E1C}">
    <text>אולי זאת העדפה</text>
  </threadedComment>
  <threadedComment ref="B1612" dT="2024-11-30T15:09:46.80" personId="{514C87BD-6D07-4302-884B-C63ABCDD12CB}" id="{A08E788B-A468-481B-88D6-9F109AB8225E}">
    <text>יהיה אפשר לחבר אחרי בדיקה של התשובות</text>
  </threadedComment>
  <threadedComment ref="A1635" dT="2024-11-30T18:25:15.57" personId="{514C87BD-6D07-4302-884B-C63ABCDD12CB}" id="{C12D7FD7-48AC-4AED-AFA6-8C101798BDA5}">
    <text>יש כאן חזרה על השאלה בצורות שונות וצריך להבין איך מחברים</text>
  </threadedComment>
  <threadedComment ref="A1661" dT="2024-11-30T19:14:18.53" personId="{514C87BD-6D07-4302-884B-C63ABCDD12CB}" id="{7BE75116-4A21-4B80-BD40-B7161A877FC6}">
    <text>איחדתי עם "האם אתה קורא בדר"כ מודעות בחירות של המפלגות השונות?”
למרות שלא בטוח שנכון לעשות את זה</text>
  </threadedComment>
</ThreadedComment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BD54E-7C19-4302-9B04-DC4239E274D7}">
  <sheetPr codeName="Sheet1"/>
  <dimension ref="A1:AH243"/>
  <sheetViews>
    <sheetView rightToLeft="1" topLeftCell="A2" workbookViewId="0">
      <selection activeCell="S2" sqref="S2"/>
    </sheetView>
  </sheetViews>
  <sheetFormatPr defaultColWidth="8.81640625" defaultRowHeight="14.5" x14ac:dyDescent="0.35"/>
  <cols>
    <col min="1" max="1" width="52.81640625" style="91" customWidth="1"/>
    <col min="2" max="2" width="26.54296875" style="2" customWidth="1"/>
    <col min="3" max="3" width="38.81640625" style="2" customWidth="1"/>
    <col min="4" max="4" width="11.81640625" style="2" customWidth="1"/>
    <col min="5" max="5" width="12.453125" style="2" bestFit="1" customWidth="1"/>
    <col min="6" max="6" width="10.1796875" style="2" customWidth="1"/>
    <col min="7" max="7" width="8.81640625" style="2" bestFit="1"/>
    <col min="8" max="8" width="10.1796875" style="1" customWidth="1"/>
    <col min="9" max="9" width="11.81640625" style="1" customWidth="1"/>
    <col min="10" max="15" width="8.81640625" style="1"/>
    <col min="16" max="17" width="8.81640625" style="30"/>
    <col min="18" max="34" width="8.81640625" style="1"/>
    <col min="35" max="35" width="8.81640625" style="2"/>
    <col min="36" max="36" width="11" style="2" customWidth="1"/>
    <col min="37" max="37" width="8.81640625" style="2"/>
    <col min="38" max="38" width="10.54296875" style="2" bestFit="1" customWidth="1"/>
    <col min="39" max="39" width="8.81640625" style="2"/>
    <col min="40" max="40" width="16.08984375" style="2" bestFit="1" customWidth="1"/>
    <col min="41" max="16384" width="8.81640625" style="2"/>
  </cols>
  <sheetData>
    <row r="1" spans="1:34" ht="15" thickBot="1" x14ac:dyDescent="0.4">
      <c r="A1" s="90" t="s">
        <v>3321</v>
      </c>
      <c r="B1" s="20" t="s">
        <v>4058</v>
      </c>
      <c r="C1" s="4" t="s">
        <v>3311</v>
      </c>
      <c r="D1" s="4" t="s">
        <v>3322</v>
      </c>
      <c r="E1" s="9"/>
      <c r="F1" s="9"/>
      <c r="G1" s="14"/>
      <c r="H1" s="4"/>
      <c r="I1" s="4"/>
      <c r="J1" s="4"/>
      <c r="K1" s="4"/>
      <c r="L1" s="4"/>
      <c r="M1" s="4"/>
      <c r="N1" s="4"/>
      <c r="O1" s="4"/>
      <c r="P1" s="28"/>
      <c r="Q1" s="28"/>
      <c r="R1" s="4"/>
      <c r="S1" s="4"/>
      <c r="T1" s="4"/>
      <c r="U1" s="4"/>
      <c r="V1" s="4"/>
      <c r="W1" s="4"/>
      <c r="X1" s="4"/>
      <c r="Y1" s="4"/>
      <c r="Z1" s="4"/>
      <c r="AA1" s="4"/>
      <c r="AB1" s="4"/>
      <c r="AC1" s="4"/>
      <c r="AD1" s="4"/>
      <c r="AE1" s="4"/>
      <c r="AF1" s="4"/>
      <c r="AG1" s="4"/>
      <c r="AH1" s="4"/>
    </row>
    <row r="2" spans="1:34" ht="29" x14ac:dyDescent="0.35">
      <c r="A2" s="92" t="s">
        <v>3314</v>
      </c>
      <c r="B2" s="89" t="s">
        <v>4059</v>
      </c>
      <c r="C2" s="143"/>
      <c r="D2" s="1"/>
      <c r="E2" s="1"/>
      <c r="F2" s="1"/>
      <c r="G2" s="1"/>
      <c r="P2" s="1"/>
      <c r="Q2" s="1"/>
    </row>
    <row r="3" spans="1:34" x14ac:dyDescent="0.35">
      <c r="A3" s="92" t="s">
        <v>3312</v>
      </c>
      <c r="B3" s="89" t="s">
        <v>3306</v>
      </c>
      <c r="C3" s="1"/>
      <c r="D3" s="1"/>
      <c r="E3" s="1"/>
      <c r="F3" s="1"/>
      <c r="G3" s="1"/>
      <c r="P3" s="1"/>
      <c r="Q3" s="1"/>
    </row>
    <row r="4" spans="1:34" x14ac:dyDescent="0.35">
      <c r="A4" s="92" t="s">
        <v>3313</v>
      </c>
      <c r="B4" s="89" t="s">
        <v>3307</v>
      </c>
      <c r="C4" s="1"/>
      <c r="D4" s="1"/>
      <c r="E4" s="1"/>
      <c r="F4" s="1"/>
      <c r="G4" s="1"/>
      <c r="P4" s="1"/>
      <c r="Q4" s="1"/>
    </row>
    <row r="5" spans="1:34" ht="29" x14ac:dyDescent="0.35">
      <c r="A5" s="93" t="s">
        <v>3315</v>
      </c>
      <c r="B5" s="33" t="s">
        <v>3308</v>
      </c>
      <c r="C5" s="1"/>
      <c r="D5" s="1"/>
      <c r="E5" s="1"/>
      <c r="F5" s="1"/>
      <c r="G5" s="1"/>
      <c r="P5" s="1"/>
      <c r="Q5" s="1"/>
    </row>
    <row r="6" spans="1:34" ht="43.5" x14ac:dyDescent="0.35">
      <c r="A6" s="92" t="s">
        <v>3316</v>
      </c>
      <c r="B6" s="89" t="s">
        <v>3317</v>
      </c>
      <c r="C6" s="1"/>
      <c r="D6" s="1"/>
      <c r="E6" s="1"/>
      <c r="F6" s="1"/>
      <c r="G6" s="1"/>
      <c r="P6" s="1"/>
      <c r="Q6" s="1"/>
    </row>
    <row r="7" spans="1:34" x14ac:dyDescent="0.35">
      <c r="A7" s="92" t="s">
        <v>3318</v>
      </c>
      <c r="B7" s="89" t="s">
        <v>3309</v>
      </c>
      <c r="C7" s="1"/>
      <c r="D7" s="1"/>
      <c r="E7" s="1"/>
      <c r="F7" s="1"/>
      <c r="G7" s="1"/>
      <c r="P7" s="1"/>
      <c r="Q7" s="1"/>
    </row>
    <row r="8" spans="1:34" x14ac:dyDescent="0.35">
      <c r="B8" s="21"/>
      <c r="C8" s="1"/>
      <c r="D8" s="1"/>
      <c r="E8" s="1"/>
      <c r="F8" s="1"/>
      <c r="G8" s="1"/>
      <c r="P8" s="1"/>
      <c r="Q8" s="1"/>
    </row>
    <row r="9" spans="1:34" x14ac:dyDescent="0.35">
      <c r="B9" s="21"/>
      <c r="C9" s="1"/>
      <c r="D9" s="1"/>
      <c r="E9" s="1"/>
      <c r="F9" s="1"/>
      <c r="G9" s="1"/>
      <c r="P9" s="1"/>
      <c r="Q9" s="1"/>
    </row>
    <row r="10" spans="1:34" x14ac:dyDescent="0.35">
      <c r="B10" s="21"/>
      <c r="C10" s="1"/>
      <c r="D10" s="1"/>
      <c r="E10" s="1"/>
      <c r="F10" s="1"/>
      <c r="G10" s="1"/>
      <c r="P10" s="1"/>
      <c r="Q10" s="1"/>
    </row>
    <row r="11" spans="1:34" x14ac:dyDescent="0.35">
      <c r="B11" s="21"/>
      <c r="C11" s="1"/>
      <c r="D11" s="1"/>
      <c r="E11" s="1"/>
      <c r="F11" s="1"/>
      <c r="G11" s="1"/>
      <c r="P11" s="1"/>
      <c r="Q11" s="1"/>
    </row>
    <row r="12" spans="1:34" x14ac:dyDescent="0.35">
      <c r="B12" s="21"/>
      <c r="C12" s="1"/>
      <c r="D12" s="1"/>
      <c r="E12" s="1"/>
      <c r="F12" s="1"/>
      <c r="G12" s="1"/>
      <c r="P12" s="1"/>
      <c r="Q12" s="1"/>
    </row>
    <row r="13" spans="1:34" x14ac:dyDescent="0.35">
      <c r="B13" s="21"/>
      <c r="C13" s="1"/>
      <c r="D13" s="1"/>
      <c r="E13" s="1"/>
      <c r="F13" s="1"/>
      <c r="G13" s="1"/>
      <c r="P13" s="1"/>
      <c r="Q13" s="1"/>
    </row>
    <row r="14" spans="1:34" x14ac:dyDescent="0.35">
      <c r="B14" s="21"/>
      <c r="C14" s="1"/>
      <c r="D14" s="1"/>
      <c r="E14" s="1"/>
      <c r="F14" s="1"/>
      <c r="G14" s="1"/>
      <c r="P14" s="1"/>
      <c r="Q14" s="1"/>
    </row>
    <row r="15" spans="1:34" x14ac:dyDescent="0.35">
      <c r="B15" s="21"/>
      <c r="C15" s="1"/>
      <c r="D15" s="1"/>
      <c r="E15" s="1"/>
      <c r="F15" s="1"/>
      <c r="G15" s="1"/>
      <c r="P15" s="1"/>
      <c r="Q15" s="1"/>
    </row>
    <row r="16" spans="1:34" x14ac:dyDescent="0.35">
      <c r="B16" s="21"/>
      <c r="C16" s="1"/>
      <c r="D16" s="1"/>
      <c r="E16" s="1"/>
      <c r="F16" s="1"/>
      <c r="G16" s="1"/>
      <c r="P16" s="1"/>
      <c r="Q16" s="1"/>
    </row>
    <row r="17" spans="2:17" x14ac:dyDescent="0.35">
      <c r="B17" s="21"/>
      <c r="C17" s="1"/>
      <c r="D17" s="1"/>
      <c r="E17" s="1"/>
      <c r="F17" s="1"/>
      <c r="G17" s="1"/>
      <c r="P17" s="1"/>
      <c r="Q17" s="1"/>
    </row>
    <row r="18" spans="2:17" x14ac:dyDescent="0.35">
      <c r="B18" s="21"/>
      <c r="C18" s="1"/>
      <c r="D18" s="1"/>
      <c r="E18" s="1"/>
      <c r="F18" s="1"/>
      <c r="G18" s="1"/>
      <c r="P18" s="1"/>
      <c r="Q18" s="1"/>
    </row>
    <row r="19" spans="2:17" x14ac:dyDescent="0.35">
      <c r="B19" s="21"/>
      <c r="C19" s="1"/>
      <c r="D19" s="1"/>
      <c r="E19" s="1"/>
      <c r="F19" s="1"/>
      <c r="G19" s="1"/>
      <c r="P19" s="1"/>
      <c r="Q19" s="1"/>
    </row>
    <row r="20" spans="2:17" x14ac:dyDescent="0.35">
      <c r="B20" s="21"/>
      <c r="C20" s="1"/>
      <c r="D20" s="1"/>
      <c r="E20" s="1"/>
      <c r="F20" s="1"/>
      <c r="G20" s="1"/>
      <c r="P20" s="1"/>
      <c r="Q20" s="1"/>
    </row>
    <row r="21" spans="2:17" x14ac:dyDescent="0.35">
      <c r="B21" s="21"/>
      <c r="C21" s="1"/>
      <c r="D21" s="1"/>
      <c r="E21" s="1"/>
      <c r="F21" s="1"/>
      <c r="G21" s="1"/>
      <c r="P21" s="1"/>
      <c r="Q21" s="1"/>
    </row>
    <row r="22" spans="2:17" x14ac:dyDescent="0.35">
      <c r="B22" s="21"/>
      <c r="C22" s="1"/>
      <c r="D22" s="1"/>
      <c r="E22" s="1"/>
      <c r="F22" s="1"/>
      <c r="G22" s="1"/>
      <c r="P22" s="1"/>
      <c r="Q22" s="1"/>
    </row>
    <row r="23" spans="2:17" x14ac:dyDescent="0.35">
      <c r="B23" s="21"/>
      <c r="C23" s="1"/>
      <c r="D23" s="1"/>
      <c r="E23" s="1"/>
      <c r="F23" s="1"/>
      <c r="G23" s="1"/>
      <c r="P23" s="1"/>
      <c r="Q23" s="1"/>
    </row>
    <row r="24" spans="2:17" x14ac:dyDescent="0.35">
      <c r="B24" s="21"/>
      <c r="C24" s="1"/>
      <c r="D24" s="1"/>
      <c r="E24" s="1"/>
      <c r="F24" s="1"/>
      <c r="G24" s="1"/>
      <c r="P24" s="1"/>
      <c r="Q24" s="1"/>
    </row>
    <row r="25" spans="2:17" x14ac:dyDescent="0.35">
      <c r="B25" s="21"/>
      <c r="C25" s="1"/>
      <c r="D25" s="1"/>
      <c r="E25" s="1"/>
      <c r="F25" s="1"/>
      <c r="G25" s="1"/>
      <c r="P25" s="1"/>
      <c r="Q25" s="1"/>
    </row>
    <row r="26" spans="2:17" x14ac:dyDescent="0.35">
      <c r="B26" s="21"/>
      <c r="C26" s="1"/>
      <c r="D26" s="1"/>
      <c r="E26" s="1"/>
      <c r="F26" s="1"/>
      <c r="G26" s="1"/>
      <c r="P26" s="1"/>
      <c r="Q26" s="1"/>
    </row>
    <row r="27" spans="2:17" x14ac:dyDescent="0.35">
      <c r="B27" s="21"/>
      <c r="C27" s="1"/>
      <c r="D27" s="1"/>
      <c r="E27" s="1"/>
      <c r="F27" s="1"/>
      <c r="G27" s="1"/>
      <c r="P27" s="1"/>
      <c r="Q27" s="1"/>
    </row>
    <row r="28" spans="2:17" x14ac:dyDescent="0.35">
      <c r="B28" s="21"/>
      <c r="C28" s="1"/>
      <c r="D28" s="1"/>
      <c r="E28" s="1"/>
      <c r="F28" s="1"/>
      <c r="G28" s="1"/>
      <c r="P28" s="1"/>
      <c r="Q28" s="1"/>
    </row>
    <row r="29" spans="2:17" x14ac:dyDescent="0.35">
      <c r="B29" s="21"/>
      <c r="C29" s="1"/>
      <c r="D29" s="1"/>
      <c r="E29" s="1"/>
      <c r="F29" s="1"/>
      <c r="G29" s="1"/>
      <c r="P29" s="1"/>
      <c r="Q29" s="1"/>
    </row>
    <row r="30" spans="2:17" x14ac:dyDescent="0.35">
      <c r="B30" s="21"/>
      <c r="C30" s="1"/>
      <c r="D30" s="1"/>
      <c r="E30" s="1"/>
      <c r="F30" s="1"/>
      <c r="G30" s="1"/>
      <c r="P30" s="1"/>
      <c r="Q30" s="1"/>
    </row>
    <row r="31" spans="2:17" x14ac:dyDescent="0.35">
      <c r="B31" s="21"/>
      <c r="C31" s="1"/>
      <c r="D31" s="1"/>
      <c r="E31" s="1"/>
      <c r="F31" s="1"/>
      <c r="G31" s="1"/>
      <c r="P31" s="1"/>
      <c r="Q31" s="1"/>
    </row>
    <row r="32" spans="2:17" x14ac:dyDescent="0.35">
      <c r="B32" s="21"/>
      <c r="C32" s="1"/>
      <c r="D32" s="1"/>
      <c r="E32" s="1"/>
      <c r="F32" s="1"/>
      <c r="G32" s="1"/>
      <c r="P32" s="1"/>
      <c r="Q32" s="1"/>
    </row>
    <row r="33" spans="2:17" x14ac:dyDescent="0.35">
      <c r="B33" s="21"/>
      <c r="C33" s="1"/>
      <c r="D33" s="1"/>
      <c r="E33" s="1"/>
      <c r="F33" s="1"/>
      <c r="G33" s="1"/>
      <c r="P33" s="1"/>
      <c r="Q33" s="1"/>
    </row>
    <row r="34" spans="2:17" x14ac:dyDescent="0.35">
      <c r="B34" s="21"/>
      <c r="C34" s="1"/>
      <c r="D34" s="1"/>
      <c r="E34" s="1"/>
      <c r="F34" s="1"/>
      <c r="G34" s="1"/>
      <c r="P34" s="1"/>
      <c r="Q34" s="1"/>
    </row>
    <row r="35" spans="2:17" x14ac:dyDescent="0.35">
      <c r="B35" s="21"/>
      <c r="C35" s="1"/>
      <c r="D35" s="1"/>
      <c r="E35" s="1"/>
      <c r="F35" s="1"/>
      <c r="G35" s="1"/>
      <c r="P35" s="1"/>
      <c r="Q35" s="1"/>
    </row>
    <row r="36" spans="2:17" x14ac:dyDescent="0.35">
      <c r="B36" s="21"/>
      <c r="C36" s="1"/>
      <c r="D36" s="1"/>
      <c r="E36" s="1"/>
      <c r="F36" s="1"/>
      <c r="G36" s="1"/>
      <c r="P36" s="1"/>
      <c r="Q36" s="1"/>
    </row>
    <row r="37" spans="2:17" x14ac:dyDescent="0.35">
      <c r="B37" s="21"/>
      <c r="C37" s="1"/>
      <c r="D37" s="1"/>
      <c r="E37" s="1"/>
      <c r="F37" s="1"/>
      <c r="G37" s="1"/>
      <c r="P37" s="1"/>
      <c r="Q37" s="1"/>
    </row>
    <row r="38" spans="2:17" x14ac:dyDescent="0.35">
      <c r="B38" s="21"/>
      <c r="C38" s="1"/>
      <c r="D38" s="1"/>
      <c r="E38" s="1"/>
      <c r="F38" s="1"/>
      <c r="G38" s="1"/>
      <c r="P38" s="1"/>
      <c r="Q38" s="1"/>
    </row>
    <row r="39" spans="2:17" x14ac:dyDescent="0.35">
      <c r="B39" s="21"/>
      <c r="C39" s="1"/>
      <c r="D39" s="1"/>
      <c r="E39" s="1"/>
      <c r="F39" s="1"/>
      <c r="G39" s="1"/>
      <c r="P39" s="1"/>
      <c r="Q39" s="1"/>
    </row>
    <row r="40" spans="2:17" x14ac:dyDescent="0.35">
      <c r="B40" s="21"/>
      <c r="C40" s="1"/>
      <c r="D40" s="1"/>
      <c r="E40" s="1"/>
      <c r="F40" s="1"/>
      <c r="G40" s="1"/>
      <c r="P40" s="1"/>
      <c r="Q40" s="1"/>
    </row>
    <row r="41" spans="2:17" x14ac:dyDescent="0.35">
      <c r="B41" s="21"/>
      <c r="C41" s="1"/>
      <c r="D41" s="1"/>
      <c r="E41" s="1"/>
      <c r="F41" s="1"/>
      <c r="G41" s="1"/>
      <c r="P41" s="1"/>
      <c r="Q41" s="1"/>
    </row>
    <row r="42" spans="2:17" x14ac:dyDescent="0.35">
      <c r="B42" s="21"/>
      <c r="C42" s="1"/>
      <c r="D42" s="1"/>
      <c r="E42" s="1"/>
      <c r="F42" s="1"/>
      <c r="G42" s="1"/>
      <c r="P42" s="1"/>
      <c r="Q42" s="1"/>
    </row>
    <row r="43" spans="2:17" x14ac:dyDescent="0.35">
      <c r="B43" s="21"/>
      <c r="C43" s="1"/>
      <c r="D43" s="1"/>
      <c r="E43" s="1"/>
      <c r="F43" s="1"/>
      <c r="G43" s="1"/>
      <c r="P43" s="1"/>
      <c r="Q43" s="1"/>
    </row>
    <row r="44" spans="2:17" x14ac:dyDescent="0.35">
      <c r="B44" s="21"/>
      <c r="C44" s="1"/>
      <c r="D44" s="1"/>
      <c r="E44" s="1"/>
      <c r="F44" s="1"/>
      <c r="G44" s="1"/>
      <c r="P44" s="1"/>
      <c r="Q44" s="1"/>
    </row>
    <row r="45" spans="2:17" x14ac:dyDescent="0.35">
      <c r="B45" s="21"/>
      <c r="C45" s="1"/>
      <c r="D45" s="1"/>
      <c r="E45" s="1"/>
      <c r="F45" s="1"/>
      <c r="G45" s="1"/>
      <c r="P45" s="1"/>
      <c r="Q45" s="1"/>
    </row>
    <row r="46" spans="2:17" x14ac:dyDescent="0.35">
      <c r="B46" s="21"/>
      <c r="C46" s="1"/>
      <c r="D46" s="1"/>
      <c r="E46" s="1"/>
      <c r="F46" s="1"/>
      <c r="G46" s="1"/>
      <c r="P46" s="1"/>
      <c r="Q46" s="1"/>
    </row>
    <row r="47" spans="2:17" x14ac:dyDescent="0.35">
      <c r="B47" s="21"/>
      <c r="C47" s="1"/>
      <c r="D47" s="1"/>
      <c r="E47" s="1"/>
      <c r="F47" s="1"/>
      <c r="G47" s="1"/>
      <c r="P47" s="1"/>
      <c r="Q47" s="1"/>
    </row>
    <row r="48" spans="2:17" x14ac:dyDescent="0.35">
      <c r="B48" s="21"/>
      <c r="C48" s="1"/>
      <c r="D48" s="1"/>
      <c r="E48" s="1"/>
      <c r="F48" s="1"/>
      <c r="G48" s="1"/>
      <c r="P48" s="1"/>
      <c r="Q48" s="1"/>
    </row>
    <row r="49" spans="2:17" x14ac:dyDescent="0.35">
      <c r="B49" s="21"/>
      <c r="C49" s="1"/>
      <c r="D49" s="1"/>
      <c r="E49" s="1"/>
      <c r="F49" s="1"/>
      <c r="G49" s="1"/>
      <c r="P49" s="1"/>
      <c r="Q49" s="1"/>
    </row>
    <row r="50" spans="2:17" x14ac:dyDescent="0.35">
      <c r="B50" s="21"/>
      <c r="C50" s="1"/>
      <c r="D50" s="1"/>
      <c r="E50" s="1"/>
      <c r="F50" s="1"/>
      <c r="G50" s="1"/>
      <c r="P50" s="1"/>
      <c r="Q50" s="1"/>
    </row>
    <row r="51" spans="2:17" x14ac:dyDescent="0.35">
      <c r="B51" s="21"/>
      <c r="C51" s="1"/>
      <c r="D51" s="1"/>
      <c r="E51" s="1"/>
      <c r="F51" s="1"/>
      <c r="G51" s="1"/>
      <c r="P51" s="1"/>
      <c r="Q51" s="1"/>
    </row>
    <row r="52" spans="2:17" x14ac:dyDescent="0.35">
      <c r="B52" s="21"/>
      <c r="C52" s="1"/>
      <c r="D52" s="1"/>
      <c r="E52" s="1"/>
      <c r="F52" s="1"/>
      <c r="G52" s="1"/>
      <c r="P52" s="1"/>
      <c r="Q52" s="1"/>
    </row>
    <row r="53" spans="2:17" x14ac:dyDescent="0.35">
      <c r="B53" s="21"/>
      <c r="C53" s="1"/>
      <c r="D53" s="1"/>
      <c r="E53" s="1"/>
      <c r="F53" s="1"/>
      <c r="G53" s="1"/>
      <c r="P53" s="1"/>
      <c r="Q53" s="1"/>
    </row>
    <row r="54" spans="2:17" x14ac:dyDescent="0.35">
      <c r="B54" s="21"/>
      <c r="C54" s="1"/>
      <c r="D54" s="1"/>
      <c r="E54" s="1"/>
      <c r="F54" s="1"/>
      <c r="G54" s="1"/>
      <c r="P54" s="1"/>
      <c r="Q54" s="1"/>
    </row>
    <row r="55" spans="2:17" x14ac:dyDescent="0.35">
      <c r="B55" s="21"/>
      <c r="C55" s="1"/>
      <c r="D55" s="1"/>
      <c r="E55" s="1"/>
      <c r="F55" s="1"/>
      <c r="G55" s="1"/>
      <c r="P55" s="1"/>
      <c r="Q55" s="1"/>
    </row>
    <row r="56" spans="2:17" x14ac:dyDescent="0.35">
      <c r="B56" s="21"/>
      <c r="C56" s="1"/>
      <c r="D56" s="1"/>
      <c r="E56" s="1"/>
      <c r="F56" s="1"/>
      <c r="G56" s="1"/>
      <c r="P56" s="1"/>
      <c r="Q56" s="1"/>
    </row>
    <row r="57" spans="2:17" x14ac:dyDescent="0.35">
      <c r="B57" s="21"/>
      <c r="C57" s="1"/>
      <c r="D57" s="1"/>
      <c r="E57" s="1"/>
      <c r="F57" s="1"/>
      <c r="G57" s="1"/>
      <c r="P57" s="1"/>
      <c r="Q57" s="1"/>
    </row>
    <row r="58" spans="2:17" x14ac:dyDescent="0.35">
      <c r="B58" s="21"/>
      <c r="C58" s="1"/>
      <c r="D58" s="1"/>
      <c r="E58" s="1"/>
      <c r="F58" s="1"/>
      <c r="G58" s="1"/>
      <c r="P58" s="1"/>
      <c r="Q58" s="1"/>
    </row>
    <row r="59" spans="2:17" x14ac:dyDescent="0.35">
      <c r="B59" s="21"/>
      <c r="C59" s="1"/>
      <c r="D59" s="1"/>
      <c r="E59" s="1"/>
      <c r="F59" s="1"/>
      <c r="G59" s="1"/>
      <c r="P59" s="1"/>
      <c r="Q59" s="1"/>
    </row>
    <row r="60" spans="2:17" x14ac:dyDescent="0.35">
      <c r="B60" s="21"/>
      <c r="C60" s="1"/>
      <c r="D60" s="1"/>
      <c r="E60" s="1"/>
      <c r="F60" s="1"/>
      <c r="G60" s="1"/>
      <c r="P60" s="1"/>
      <c r="Q60" s="1"/>
    </row>
    <row r="61" spans="2:17" x14ac:dyDescent="0.35">
      <c r="B61" s="21"/>
      <c r="C61" s="1"/>
      <c r="D61" s="1"/>
      <c r="E61" s="1"/>
      <c r="F61" s="1"/>
      <c r="G61" s="1"/>
      <c r="P61" s="1"/>
      <c r="Q61" s="1"/>
    </row>
    <row r="62" spans="2:17" x14ac:dyDescent="0.35">
      <c r="B62" s="21"/>
      <c r="C62" s="1"/>
      <c r="D62" s="1"/>
      <c r="E62" s="1"/>
      <c r="F62" s="1"/>
      <c r="G62" s="1"/>
      <c r="P62" s="1"/>
      <c r="Q62" s="1"/>
    </row>
    <row r="63" spans="2:17" x14ac:dyDescent="0.35">
      <c r="B63" s="21"/>
      <c r="C63" s="1"/>
      <c r="D63" s="1"/>
      <c r="E63" s="1"/>
      <c r="F63" s="1"/>
      <c r="G63" s="1"/>
      <c r="P63" s="1"/>
      <c r="Q63" s="1"/>
    </row>
    <row r="64" spans="2:17" x14ac:dyDescent="0.35">
      <c r="B64" s="21"/>
      <c r="C64" s="1"/>
      <c r="D64" s="1"/>
      <c r="E64" s="1"/>
      <c r="F64" s="1"/>
      <c r="G64" s="1"/>
      <c r="P64" s="1"/>
      <c r="Q64" s="1"/>
    </row>
    <row r="65" spans="2:17" x14ac:dyDescent="0.35">
      <c r="B65" s="21"/>
      <c r="C65" s="1"/>
      <c r="D65" s="1"/>
      <c r="E65" s="1"/>
      <c r="F65" s="1"/>
      <c r="G65" s="1"/>
      <c r="P65" s="1"/>
      <c r="Q65" s="1"/>
    </row>
    <row r="66" spans="2:17" x14ac:dyDescent="0.35">
      <c r="B66" s="21"/>
      <c r="C66" s="1"/>
      <c r="D66" s="1"/>
      <c r="E66" s="1"/>
      <c r="F66" s="1"/>
      <c r="G66" s="1"/>
      <c r="P66" s="1"/>
      <c r="Q66" s="1"/>
    </row>
    <row r="67" spans="2:17" x14ac:dyDescent="0.35">
      <c r="B67" s="21"/>
      <c r="C67" s="1"/>
      <c r="D67" s="1"/>
      <c r="E67" s="1"/>
      <c r="F67" s="1"/>
      <c r="G67" s="1"/>
      <c r="P67" s="1"/>
      <c r="Q67" s="1"/>
    </row>
    <row r="68" spans="2:17" x14ac:dyDescent="0.35">
      <c r="B68" s="21"/>
      <c r="C68" s="1"/>
      <c r="D68" s="1"/>
      <c r="E68" s="1"/>
      <c r="F68" s="1"/>
      <c r="G68" s="1"/>
      <c r="P68" s="1"/>
      <c r="Q68" s="1"/>
    </row>
    <row r="69" spans="2:17" x14ac:dyDescent="0.35">
      <c r="B69" s="21"/>
      <c r="C69" s="1"/>
      <c r="D69" s="1"/>
      <c r="E69" s="1"/>
      <c r="F69" s="1"/>
      <c r="G69" s="1"/>
      <c r="P69" s="1"/>
      <c r="Q69" s="1"/>
    </row>
    <row r="70" spans="2:17" x14ac:dyDescent="0.35">
      <c r="B70" s="21"/>
      <c r="C70" s="1"/>
      <c r="D70" s="1"/>
      <c r="E70" s="1"/>
      <c r="F70" s="1"/>
      <c r="G70" s="1"/>
      <c r="P70" s="1"/>
      <c r="Q70" s="1"/>
    </row>
    <row r="71" spans="2:17" x14ac:dyDescent="0.35">
      <c r="B71" s="21"/>
      <c r="C71" s="1"/>
      <c r="D71" s="1"/>
      <c r="E71" s="1"/>
      <c r="F71" s="1"/>
      <c r="G71" s="1"/>
      <c r="P71" s="1"/>
      <c r="Q71" s="1"/>
    </row>
    <row r="72" spans="2:17" x14ac:dyDescent="0.35">
      <c r="B72" s="21"/>
      <c r="C72" s="1"/>
      <c r="D72" s="1"/>
      <c r="E72" s="1"/>
      <c r="F72" s="1"/>
      <c r="G72" s="1"/>
      <c r="P72" s="1"/>
      <c r="Q72" s="1"/>
    </row>
    <row r="73" spans="2:17" x14ac:dyDescent="0.35">
      <c r="B73" s="21"/>
      <c r="C73" s="1"/>
      <c r="D73" s="1"/>
      <c r="E73" s="1"/>
      <c r="F73" s="1"/>
      <c r="G73" s="1"/>
      <c r="P73" s="1"/>
      <c r="Q73" s="1"/>
    </row>
    <row r="74" spans="2:17" x14ac:dyDescent="0.35">
      <c r="B74" s="21"/>
      <c r="C74" s="1"/>
      <c r="D74" s="1"/>
      <c r="E74" s="1"/>
      <c r="F74" s="1"/>
      <c r="G74" s="1"/>
      <c r="P74" s="1"/>
      <c r="Q74" s="1"/>
    </row>
    <row r="75" spans="2:17" x14ac:dyDescent="0.35">
      <c r="B75" s="21"/>
      <c r="C75" s="1"/>
      <c r="D75" s="1"/>
      <c r="E75" s="1"/>
      <c r="F75" s="1"/>
      <c r="G75" s="1"/>
      <c r="P75" s="1"/>
      <c r="Q75" s="1"/>
    </row>
    <row r="76" spans="2:17" x14ac:dyDescent="0.35">
      <c r="B76" s="21"/>
      <c r="C76" s="1"/>
      <c r="D76" s="1"/>
      <c r="E76" s="1"/>
      <c r="F76" s="1"/>
      <c r="G76" s="1"/>
      <c r="P76" s="1"/>
      <c r="Q76" s="1"/>
    </row>
    <row r="77" spans="2:17" x14ac:dyDescent="0.35">
      <c r="B77" s="21"/>
      <c r="C77" s="1"/>
      <c r="D77" s="1"/>
      <c r="E77" s="1"/>
      <c r="F77" s="1"/>
      <c r="G77" s="1"/>
      <c r="P77" s="1"/>
      <c r="Q77" s="1"/>
    </row>
    <row r="78" spans="2:17" x14ac:dyDescent="0.35">
      <c r="B78" s="21"/>
      <c r="C78" s="1"/>
      <c r="D78" s="1"/>
      <c r="E78" s="1"/>
      <c r="F78" s="1"/>
      <c r="G78" s="1"/>
      <c r="P78" s="1"/>
      <c r="Q78" s="1"/>
    </row>
    <row r="79" spans="2:17" x14ac:dyDescent="0.35">
      <c r="B79" s="21"/>
      <c r="C79" s="1"/>
      <c r="D79" s="1"/>
      <c r="E79" s="1"/>
      <c r="F79" s="1"/>
      <c r="G79" s="1"/>
      <c r="P79" s="1"/>
      <c r="Q79" s="1"/>
    </row>
    <row r="80" spans="2:17" x14ac:dyDescent="0.35">
      <c r="B80" s="21"/>
      <c r="C80" s="1"/>
      <c r="D80" s="1"/>
      <c r="E80" s="1"/>
      <c r="F80" s="1"/>
      <c r="G80" s="1"/>
      <c r="P80" s="1"/>
      <c r="Q80" s="1"/>
    </row>
    <row r="81" spans="2:17" x14ac:dyDescent="0.35">
      <c r="B81" s="21"/>
      <c r="C81" s="1"/>
      <c r="D81" s="1"/>
      <c r="E81" s="1"/>
      <c r="F81" s="1"/>
      <c r="G81" s="1"/>
      <c r="P81" s="1"/>
      <c r="Q81" s="1"/>
    </row>
    <row r="82" spans="2:17" x14ac:dyDescent="0.35">
      <c r="B82" s="21"/>
      <c r="C82" s="1"/>
      <c r="D82" s="1"/>
      <c r="E82" s="1"/>
      <c r="F82" s="1"/>
      <c r="G82" s="1"/>
      <c r="P82" s="1"/>
      <c r="Q82" s="1"/>
    </row>
    <row r="83" spans="2:17" x14ac:dyDescent="0.35">
      <c r="B83" s="21"/>
      <c r="C83" s="1"/>
      <c r="D83" s="1"/>
      <c r="E83" s="1"/>
      <c r="F83" s="1"/>
      <c r="G83" s="1"/>
      <c r="P83" s="1"/>
      <c r="Q83" s="1"/>
    </row>
    <row r="84" spans="2:17" x14ac:dyDescent="0.35">
      <c r="B84" s="21"/>
      <c r="C84" s="1"/>
      <c r="D84" s="1"/>
      <c r="E84" s="1"/>
      <c r="F84" s="1"/>
      <c r="G84" s="1"/>
      <c r="P84" s="1"/>
      <c r="Q84" s="1"/>
    </row>
    <row r="85" spans="2:17" x14ac:dyDescent="0.35">
      <c r="B85" s="21"/>
      <c r="C85" s="1"/>
      <c r="D85" s="1"/>
      <c r="E85" s="1"/>
      <c r="F85" s="1"/>
      <c r="G85" s="1"/>
      <c r="P85" s="1"/>
      <c r="Q85" s="1"/>
    </row>
    <row r="86" spans="2:17" x14ac:dyDescent="0.35">
      <c r="B86" s="21"/>
      <c r="C86" s="1"/>
      <c r="D86" s="1"/>
      <c r="E86" s="1"/>
      <c r="F86" s="1"/>
      <c r="G86" s="1"/>
      <c r="P86" s="1"/>
      <c r="Q86" s="1"/>
    </row>
    <row r="87" spans="2:17" x14ac:dyDescent="0.35">
      <c r="B87" s="21"/>
      <c r="C87" s="1"/>
      <c r="D87" s="1"/>
      <c r="E87" s="1"/>
      <c r="F87" s="1"/>
      <c r="G87" s="1"/>
      <c r="P87" s="1"/>
      <c r="Q87" s="1"/>
    </row>
    <row r="88" spans="2:17" x14ac:dyDescent="0.35">
      <c r="B88" s="21"/>
      <c r="C88" s="1"/>
      <c r="D88" s="1"/>
      <c r="E88" s="1"/>
      <c r="F88" s="1"/>
      <c r="G88" s="1"/>
      <c r="P88" s="1"/>
      <c r="Q88" s="1"/>
    </row>
    <row r="89" spans="2:17" x14ac:dyDescent="0.35">
      <c r="B89" s="21"/>
      <c r="C89" s="1"/>
      <c r="D89" s="1"/>
      <c r="E89" s="1"/>
      <c r="F89" s="1"/>
      <c r="G89" s="1"/>
      <c r="P89" s="1"/>
      <c r="Q89" s="1"/>
    </row>
    <row r="90" spans="2:17" x14ac:dyDescent="0.35">
      <c r="B90" s="21"/>
      <c r="C90" s="1"/>
      <c r="D90" s="1"/>
      <c r="E90" s="1"/>
      <c r="F90" s="1"/>
      <c r="G90" s="1"/>
      <c r="P90" s="1"/>
      <c r="Q90" s="1"/>
    </row>
    <row r="91" spans="2:17" x14ac:dyDescent="0.35">
      <c r="B91" s="21"/>
      <c r="C91" s="1"/>
      <c r="D91" s="1"/>
      <c r="E91" s="1"/>
      <c r="F91" s="1"/>
      <c r="G91" s="1"/>
      <c r="P91" s="1"/>
      <c r="Q91" s="1"/>
    </row>
    <row r="92" spans="2:17" x14ac:dyDescent="0.35">
      <c r="B92" s="21"/>
      <c r="C92" s="1"/>
      <c r="D92" s="1"/>
      <c r="E92" s="1"/>
      <c r="F92" s="1"/>
      <c r="G92" s="1"/>
      <c r="P92" s="1"/>
      <c r="Q92" s="1"/>
    </row>
    <row r="93" spans="2:17" x14ac:dyDescent="0.35">
      <c r="B93" s="21"/>
      <c r="C93" s="1"/>
      <c r="D93" s="1"/>
      <c r="E93" s="1"/>
      <c r="F93" s="1"/>
      <c r="G93" s="1"/>
      <c r="P93" s="1"/>
      <c r="Q93" s="1"/>
    </row>
    <row r="94" spans="2:17" x14ac:dyDescent="0.35">
      <c r="B94" s="21"/>
      <c r="C94" s="1"/>
      <c r="D94" s="1"/>
      <c r="E94" s="1"/>
      <c r="F94" s="1"/>
      <c r="G94" s="1"/>
      <c r="P94" s="1"/>
      <c r="Q94" s="1"/>
    </row>
    <row r="95" spans="2:17" x14ac:dyDescent="0.35">
      <c r="B95" s="21"/>
      <c r="C95" s="1"/>
      <c r="D95" s="1"/>
      <c r="E95" s="1"/>
      <c r="F95" s="1"/>
      <c r="G95" s="1"/>
      <c r="P95" s="1"/>
      <c r="Q95" s="1"/>
    </row>
    <row r="96" spans="2:17" x14ac:dyDescent="0.35">
      <c r="B96" s="21"/>
      <c r="C96" s="1"/>
      <c r="D96" s="1"/>
      <c r="E96" s="1"/>
      <c r="F96" s="1"/>
      <c r="G96" s="1"/>
      <c r="P96" s="1"/>
      <c r="Q96" s="1"/>
    </row>
    <row r="97" spans="2:17" x14ac:dyDescent="0.35">
      <c r="B97" s="21"/>
      <c r="C97" s="1"/>
      <c r="D97" s="1"/>
      <c r="E97" s="1"/>
      <c r="F97" s="1"/>
      <c r="G97" s="1"/>
      <c r="P97" s="1"/>
      <c r="Q97" s="1"/>
    </row>
    <row r="98" spans="2:17" x14ac:dyDescent="0.35">
      <c r="B98" s="21"/>
      <c r="C98" s="1"/>
      <c r="D98" s="1"/>
      <c r="E98" s="1"/>
      <c r="F98" s="1"/>
      <c r="G98" s="1"/>
      <c r="P98" s="1"/>
      <c r="Q98" s="1"/>
    </row>
    <row r="99" spans="2:17" x14ac:dyDescent="0.35">
      <c r="B99" s="21"/>
      <c r="C99" s="1"/>
      <c r="D99" s="1"/>
      <c r="E99" s="1"/>
      <c r="F99" s="1"/>
      <c r="G99" s="1"/>
      <c r="P99" s="1"/>
      <c r="Q99" s="1"/>
    </row>
    <row r="100" spans="2:17" x14ac:dyDescent="0.35">
      <c r="B100" s="21"/>
      <c r="C100" s="1"/>
      <c r="D100" s="1"/>
      <c r="E100" s="1"/>
      <c r="F100" s="1"/>
      <c r="G100" s="1"/>
      <c r="P100" s="1"/>
      <c r="Q100" s="1"/>
    </row>
    <row r="101" spans="2:17" x14ac:dyDescent="0.35">
      <c r="B101" s="21"/>
      <c r="C101" s="1"/>
      <c r="D101" s="1"/>
      <c r="E101" s="1"/>
      <c r="F101" s="1"/>
      <c r="G101" s="1"/>
      <c r="P101" s="1"/>
      <c r="Q101" s="1"/>
    </row>
    <row r="102" spans="2:17" x14ac:dyDescent="0.35">
      <c r="B102" s="21"/>
      <c r="C102" s="1"/>
      <c r="D102" s="1"/>
      <c r="E102" s="1"/>
      <c r="F102" s="1"/>
      <c r="G102" s="1"/>
      <c r="P102" s="1"/>
      <c r="Q102" s="1"/>
    </row>
    <row r="103" spans="2:17" x14ac:dyDescent="0.35">
      <c r="B103" s="21"/>
      <c r="C103" s="1"/>
      <c r="D103" s="1"/>
      <c r="E103" s="1"/>
      <c r="F103" s="1"/>
      <c r="G103" s="1"/>
      <c r="P103" s="1"/>
      <c r="Q103" s="1"/>
    </row>
    <row r="104" spans="2:17" x14ac:dyDescent="0.35">
      <c r="B104" s="21"/>
      <c r="C104" s="1"/>
      <c r="D104" s="1"/>
      <c r="E104" s="1"/>
      <c r="F104" s="1"/>
      <c r="G104" s="1"/>
      <c r="P104" s="1"/>
      <c r="Q104" s="1"/>
    </row>
    <row r="105" spans="2:17" x14ac:dyDescent="0.35">
      <c r="B105" s="21"/>
      <c r="C105" s="1"/>
      <c r="D105" s="1"/>
      <c r="E105" s="1"/>
      <c r="F105" s="1"/>
      <c r="G105" s="1"/>
      <c r="P105" s="1"/>
      <c r="Q105" s="1"/>
    </row>
    <row r="106" spans="2:17" x14ac:dyDescent="0.35">
      <c r="B106" s="21"/>
      <c r="C106" s="1"/>
      <c r="D106" s="1"/>
      <c r="E106" s="1"/>
      <c r="F106" s="1"/>
      <c r="G106" s="1"/>
      <c r="P106" s="1"/>
      <c r="Q106" s="1"/>
    </row>
    <row r="107" spans="2:17" x14ac:dyDescent="0.35">
      <c r="B107" s="21"/>
      <c r="C107" s="1"/>
      <c r="D107" s="1"/>
      <c r="E107" s="1"/>
      <c r="F107" s="1"/>
      <c r="G107" s="1"/>
      <c r="P107" s="1"/>
      <c r="Q107" s="1"/>
    </row>
    <row r="108" spans="2:17" x14ac:dyDescent="0.35">
      <c r="B108" s="21"/>
      <c r="C108" s="1"/>
      <c r="D108" s="1"/>
      <c r="E108" s="1"/>
      <c r="F108" s="1"/>
      <c r="G108" s="1"/>
      <c r="P108" s="1"/>
      <c r="Q108" s="1"/>
    </row>
    <row r="109" spans="2:17" x14ac:dyDescent="0.35">
      <c r="B109" s="21"/>
      <c r="C109" s="1"/>
      <c r="D109" s="1"/>
      <c r="E109" s="1"/>
      <c r="F109" s="1"/>
      <c r="G109" s="1"/>
      <c r="P109" s="1"/>
      <c r="Q109" s="1"/>
    </row>
    <row r="110" spans="2:17" x14ac:dyDescent="0.35">
      <c r="B110" s="21"/>
      <c r="C110" s="1"/>
      <c r="D110" s="1"/>
      <c r="E110" s="1"/>
      <c r="F110" s="1"/>
      <c r="G110" s="1"/>
      <c r="P110" s="1"/>
      <c r="Q110" s="1"/>
    </row>
    <row r="111" spans="2:17" x14ac:dyDescent="0.35">
      <c r="B111" s="21"/>
      <c r="C111" s="1"/>
      <c r="D111" s="1"/>
      <c r="E111" s="1"/>
      <c r="F111" s="1"/>
      <c r="G111" s="1"/>
      <c r="P111" s="1"/>
      <c r="Q111" s="1"/>
    </row>
    <row r="112" spans="2:17" x14ac:dyDescent="0.35">
      <c r="B112" s="21"/>
      <c r="C112" s="1"/>
      <c r="D112" s="1"/>
      <c r="E112" s="1"/>
      <c r="F112" s="1"/>
      <c r="G112" s="1"/>
      <c r="P112" s="1"/>
      <c r="Q112" s="1"/>
    </row>
    <row r="113" spans="2:17" x14ac:dyDescent="0.35">
      <c r="B113" s="21"/>
      <c r="C113" s="1"/>
      <c r="D113" s="1"/>
      <c r="E113" s="1"/>
      <c r="F113" s="1"/>
      <c r="G113" s="1"/>
      <c r="P113" s="1"/>
      <c r="Q113" s="1"/>
    </row>
    <row r="114" spans="2:17" x14ac:dyDescent="0.35">
      <c r="B114" s="21"/>
      <c r="C114" s="1"/>
      <c r="D114" s="1"/>
      <c r="E114" s="1"/>
      <c r="F114" s="1"/>
      <c r="G114" s="1"/>
      <c r="P114" s="1"/>
      <c r="Q114" s="1"/>
    </row>
    <row r="115" spans="2:17" x14ac:dyDescent="0.35">
      <c r="B115" s="21"/>
      <c r="C115" s="1"/>
      <c r="D115" s="1"/>
      <c r="E115" s="1"/>
      <c r="F115" s="1"/>
      <c r="G115" s="1"/>
      <c r="P115" s="1"/>
      <c r="Q115" s="1"/>
    </row>
    <row r="116" spans="2:17" x14ac:dyDescent="0.35">
      <c r="B116" s="21"/>
      <c r="C116" s="1"/>
      <c r="D116" s="1"/>
      <c r="E116" s="1"/>
      <c r="F116" s="1"/>
      <c r="G116" s="1"/>
      <c r="P116" s="1"/>
      <c r="Q116" s="1"/>
    </row>
    <row r="117" spans="2:17" x14ac:dyDescent="0.35">
      <c r="B117" s="21"/>
      <c r="C117" s="1"/>
      <c r="D117" s="1"/>
      <c r="E117" s="1"/>
      <c r="F117" s="1"/>
      <c r="G117" s="1"/>
      <c r="P117" s="1"/>
      <c r="Q117" s="1"/>
    </row>
    <row r="118" spans="2:17" x14ac:dyDescent="0.35">
      <c r="B118" s="21"/>
      <c r="C118" s="1"/>
      <c r="D118" s="1"/>
      <c r="E118" s="1"/>
      <c r="F118" s="1"/>
      <c r="G118" s="1"/>
      <c r="P118" s="1"/>
      <c r="Q118" s="1"/>
    </row>
    <row r="119" spans="2:17" x14ac:dyDescent="0.35">
      <c r="B119" s="21"/>
      <c r="C119" s="1"/>
      <c r="D119" s="1"/>
      <c r="E119" s="1"/>
      <c r="F119" s="1"/>
      <c r="G119" s="1"/>
      <c r="P119" s="1"/>
      <c r="Q119" s="1"/>
    </row>
    <row r="120" spans="2:17" x14ac:dyDescent="0.35">
      <c r="B120" s="21"/>
      <c r="C120" s="1"/>
      <c r="D120" s="1"/>
      <c r="E120" s="1"/>
      <c r="F120" s="1"/>
      <c r="G120" s="1"/>
      <c r="P120" s="1"/>
      <c r="Q120" s="1"/>
    </row>
    <row r="121" spans="2:17" x14ac:dyDescent="0.35">
      <c r="B121" s="21"/>
      <c r="C121" s="1"/>
      <c r="D121" s="1"/>
      <c r="E121" s="1"/>
      <c r="F121" s="1"/>
      <c r="G121" s="1"/>
      <c r="P121" s="1"/>
      <c r="Q121" s="1"/>
    </row>
    <row r="122" spans="2:17" x14ac:dyDescent="0.35">
      <c r="B122" s="21"/>
      <c r="C122" s="1"/>
      <c r="D122" s="1"/>
      <c r="E122" s="1"/>
      <c r="F122" s="1"/>
      <c r="G122" s="1"/>
      <c r="P122" s="1"/>
      <c r="Q122" s="1"/>
    </row>
    <row r="123" spans="2:17" x14ac:dyDescent="0.35">
      <c r="B123" s="21"/>
      <c r="C123" s="1"/>
      <c r="D123" s="1"/>
      <c r="E123" s="1"/>
      <c r="F123" s="1"/>
      <c r="G123" s="1"/>
      <c r="P123" s="1"/>
      <c r="Q123" s="1"/>
    </row>
    <row r="124" spans="2:17" x14ac:dyDescent="0.35">
      <c r="B124" s="21"/>
      <c r="C124" s="1"/>
      <c r="D124" s="1"/>
      <c r="E124" s="1"/>
      <c r="F124" s="1"/>
      <c r="G124" s="1"/>
      <c r="P124" s="1"/>
      <c r="Q124" s="1"/>
    </row>
    <row r="125" spans="2:17" x14ac:dyDescent="0.35">
      <c r="B125" s="21"/>
      <c r="C125" s="1"/>
      <c r="D125" s="1"/>
      <c r="E125" s="1"/>
      <c r="F125" s="1"/>
      <c r="G125" s="1"/>
      <c r="P125" s="1"/>
      <c r="Q125" s="1"/>
    </row>
    <row r="126" spans="2:17" x14ac:dyDescent="0.35">
      <c r="B126" s="21"/>
      <c r="C126" s="1"/>
      <c r="D126" s="1"/>
      <c r="E126" s="1"/>
      <c r="F126" s="1"/>
      <c r="G126" s="1"/>
      <c r="P126" s="1"/>
      <c r="Q126" s="1"/>
    </row>
    <row r="127" spans="2:17" x14ac:dyDescent="0.35">
      <c r="B127" s="21"/>
      <c r="C127" s="1"/>
      <c r="D127" s="1"/>
      <c r="E127" s="1"/>
      <c r="F127" s="1"/>
      <c r="G127" s="1"/>
      <c r="P127" s="1"/>
      <c r="Q127" s="1"/>
    </row>
    <row r="128" spans="2:17" x14ac:dyDescent="0.35">
      <c r="B128" s="21"/>
      <c r="C128" s="1"/>
      <c r="D128" s="1"/>
      <c r="E128" s="1"/>
      <c r="F128" s="1"/>
      <c r="G128" s="1"/>
      <c r="P128" s="1"/>
      <c r="Q128" s="1"/>
    </row>
    <row r="129" spans="2:17" x14ac:dyDescent="0.35">
      <c r="B129" s="21"/>
      <c r="C129" s="1"/>
      <c r="D129" s="1"/>
      <c r="E129" s="1"/>
      <c r="F129" s="1"/>
      <c r="G129" s="1"/>
      <c r="P129" s="1"/>
      <c r="Q129" s="1"/>
    </row>
    <row r="130" spans="2:17" x14ac:dyDescent="0.35">
      <c r="B130" s="21"/>
      <c r="C130" s="1"/>
      <c r="D130" s="1"/>
      <c r="E130" s="1"/>
      <c r="F130" s="1"/>
      <c r="G130" s="1"/>
      <c r="P130" s="1"/>
      <c r="Q130" s="1"/>
    </row>
    <row r="131" spans="2:17" x14ac:dyDescent="0.35">
      <c r="B131" s="21"/>
      <c r="C131" s="1"/>
      <c r="D131" s="1"/>
      <c r="E131" s="1"/>
      <c r="F131" s="1"/>
      <c r="G131" s="1"/>
      <c r="P131" s="1"/>
      <c r="Q131" s="1"/>
    </row>
    <row r="132" spans="2:17" x14ac:dyDescent="0.35">
      <c r="B132" s="21"/>
      <c r="C132" s="1"/>
      <c r="D132" s="1"/>
      <c r="E132" s="1"/>
      <c r="F132" s="1"/>
      <c r="G132" s="1"/>
      <c r="P132" s="1"/>
      <c r="Q132" s="1"/>
    </row>
    <row r="133" spans="2:17" x14ac:dyDescent="0.35">
      <c r="B133" s="21"/>
      <c r="C133" s="1"/>
      <c r="D133" s="1"/>
      <c r="E133" s="1"/>
      <c r="F133" s="1"/>
      <c r="G133" s="1"/>
      <c r="P133" s="1"/>
      <c r="Q133" s="1"/>
    </row>
    <row r="134" spans="2:17" x14ac:dyDescent="0.35">
      <c r="B134" s="21"/>
      <c r="C134" s="1"/>
      <c r="D134" s="1"/>
      <c r="E134" s="1"/>
      <c r="F134" s="1"/>
      <c r="G134" s="1"/>
      <c r="P134" s="1"/>
      <c r="Q134" s="1"/>
    </row>
    <row r="135" spans="2:17" x14ac:dyDescent="0.35">
      <c r="B135" s="21"/>
      <c r="C135" s="1"/>
      <c r="D135" s="1"/>
      <c r="E135" s="1"/>
      <c r="F135" s="1"/>
      <c r="G135" s="1"/>
      <c r="P135" s="1"/>
      <c r="Q135" s="1"/>
    </row>
    <row r="136" spans="2:17" x14ac:dyDescent="0.35">
      <c r="B136" s="21"/>
      <c r="C136" s="1"/>
      <c r="D136" s="1"/>
      <c r="E136" s="1"/>
      <c r="F136" s="1"/>
      <c r="G136" s="1"/>
      <c r="P136" s="1"/>
      <c r="Q136" s="1"/>
    </row>
    <row r="137" spans="2:17" x14ac:dyDescent="0.35">
      <c r="B137" s="21"/>
      <c r="C137" s="1"/>
      <c r="D137" s="1"/>
      <c r="E137" s="1"/>
      <c r="F137" s="1"/>
      <c r="G137" s="1"/>
      <c r="P137" s="1"/>
      <c r="Q137" s="1"/>
    </row>
    <row r="138" spans="2:17" x14ac:dyDescent="0.35">
      <c r="B138" s="21"/>
      <c r="C138" s="1"/>
      <c r="D138" s="1"/>
      <c r="E138" s="1"/>
      <c r="F138" s="1"/>
      <c r="G138" s="1"/>
      <c r="P138" s="1"/>
      <c r="Q138" s="1"/>
    </row>
    <row r="139" spans="2:17" x14ac:dyDescent="0.35">
      <c r="B139" s="21"/>
      <c r="C139" s="1"/>
      <c r="D139" s="1"/>
      <c r="E139" s="1"/>
      <c r="F139" s="1"/>
      <c r="G139" s="1"/>
      <c r="P139" s="1"/>
      <c r="Q139" s="1"/>
    </row>
    <row r="140" spans="2:17" x14ac:dyDescent="0.35">
      <c r="B140" s="21"/>
      <c r="C140" s="1"/>
      <c r="D140" s="1"/>
      <c r="E140" s="1"/>
      <c r="F140" s="1"/>
      <c r="G140" s="1"/>
      <c r="P140" s="1"/>
      <c r="Q140" s="1"/>
    </row>
    <row r="141" spans="2:17" x14ac:dyDescent="0.35">
      <c r="B141" s="21"/>
      <c r="C141" s="1"/>
      <c r="D141" s="1"/>
      <c r="E141" s="1"/>
      <c r="F141" s="1"/>
      <c r="G141" s="1"/>
      <c r="P141" s="1"/>
      <c r="Q141" s="1"/>
    </row>
    <row r="142" spans="2:17" x14ac:dyDescent="0.35">
      <c r="B142" s="21"/>
      <c r="C142" s="1"/>
      <c r="D142" s="1"/>
      <c r="E142" s="1"/>
      <c r="F142" s="1"/>
      <c r="G142" s="1"/>
      <c r="P142" s="1"/>
      <c r="Q142" s="1"/>
    </row>
    <row r="143" spans="2:17" x14ac:dyDescent="0.35">
      <c r="B143" s="21"/>
      <c r="C143" s="1"/>
      <c r="D143" s="1"/>
      <c r="E143" s="1"/>
      <c r="F143" s="1"/>
      <c r="G143" s="1"/>
      <c r="P143" s="1"/>
      <c r="Q143" s="1"/>
    </row>
    <row r="144" spans="2:17" x14ac:dyDescent="0.35">
      <c r="B144" s="21"/>
      <c r="C144" s="1"/>
      <c r="D144" s="1"/>
      <c r="E144" s="1"/>
      <c r="F144" s="1"/>
      <c r="G144" s="1"/>
      <c r="P144" s="1"/>
      <c r="Q144" s="1"/>
    </row>
    <row r="145" spans="2:17" x14ac:dyDescent="0.35">
      <c r="B145" s="21"/>
      <c r="C145" s="1"/>
      <c r="D145" s="1"/>
      <c r="E145" s="1"/>
      <c r="F145" s="1"/>
      <c r="G145" s="1"/>
      <c r="P145" s="1"/>
      <c r="Q145" s="1"/>
    </row>
    <row r="146" spans="2:17" x14ac:dyDescent="0.35">
      <c r="B146" s="21"/>
      <c r="C146" s="1"/>
      <c r="D146" s="1"/>
      <c r="E146" s="1"/>
      <c r="F146" s="1"/>
      <c r="G146" s="1"/>
      <c r="P146" s="1"/>
      <c r="Q146" s="1"/>
    </row>
    <row r="147" spans="2:17" x14ac:dyDescent="0.35">
      <c r="B147" s="21"/>
      <c r="C147" s="1"/>
      <c r="D147" s="1"/>
      <c r="E147" s="1"/>
      <c r="F147" s="1"/>
      <c r="G147" s="1"/>
      <c r="P147" s="1"/>
      <c r="Q147" s="1"/>
    </row>
    <row r="148" spans="2:17" x14ac:dyDescent="0.35">
      <c r="B148" s="21"/>
      <c r="C148" s="1"/>
      <c r="D148" s="1"/>
      <c r="E148" s="1"/>
      <c r="F148" s="1"/>
      <c r="G148" s="1"/>
      <c r="P148" s="1"/>
      <c r="Q148" s="1"/>
    </row>
    <row r="149" spans="2:17" x14ac:dyDescent="0.35">
      <c r="B149" s="21"/>
      <c r="C149" s="1"/>
      <c r="D149" s="1"/>
      <c r="E149" s="1"/>
      <c r="F149" s="1"/>
      <c r="G149" s="1"/>
      <c r="P149" s="1"/>
      <c r="Q149" s="1"/>
    </row>
    <row r="150" spans="2:17" x14ac:dyDescent="0.35">
      <c r="B150" s="21"/>
      <c r="C150" s="1"/>
      <c r="D150" s="1"/>
      <c r="E150" s="1"/>
      <c r="F150" s="1"/>
      <c r="G150" s="1"/>
      <c r="P150" s="1"/>
      <c r="Q150" s="1"/>
    </row>
    <row r="151" spans="2:17" x14ac:dyDescent="0.35">
      <c r="B151" s="21"/>
      <c r="C151" s="1"/>
      <c r="D151" s="1"/>
      <c r="E151" s="1"/>
      <c r="F151" s="1"/>
      <c r="G151" s="1"/>
      <c r="P151" s="1"/>
      <c r="Q151" s="1"/>
    </row>
    <row r="152" spans="2:17" x14ac:dyDescent="0.35">
      <c r="B152" s="21"/>
      <c r="C152" s="1"/>
      <c r="D152" s="1"/>
      <c r="E152" s="1"/>
      <c r="F152" s="1"/>
      <c r="G152" s="1"/>
      <c r="P152" s="1"/>
      <c r="Q152" s="1"/>
    </row>
    <row r="153" spans="2:17" x14ac:dyDescent="0.35">
      <c r="B153" s="21"/>
      <c r="C153" s="1"/>
      <c r="D153" s="1"/>
      <c r="E153" s="1"/>
      <c r="F153" s="1"/>
      <c r="G153" s="1"/>
      <c r="P153" s="1"/>
      <c r="Q153" s="1"/>
    </row>
    <row r="154" spans="2:17" x14ac:dyDescent="0.35">
      <c r="B154" s="21"/>
      <c r="C154" s="1"/>
      <c r="D154" s="1"/>
      <c r="E154" s="1"/>
      <c r="F154" s="1"/>
      <c r="G154" s="1"/>
      <c r="P154" s="1"/>
      <c r="Q154" s="1"/>
    </row>
    <row r="155" spans="2:17" x14ac:dyDescent="0.35">
      <c r="B155" s="21"/>
      <c r="C155" s="1"/>
      <c r="D155" s="1"/>
      <c r="E155" s="1"/>
      <c r="F155" s="1"/>
      <c r="G155" s="1"/>
      <c r="P155" s="1"/>
      <c r="Q155" s="1"/>
    </row>
    <row r="156" spans="2:17" x14ac:dyDescent="0.35">
      <c r="B156" s="21"/>
      <c r="C156" s="1"/>
      <c r="D156" s="1"/>
      <c r="E156" s="1"/>
      <c r="F156" s="1"/>
      <c r="G156" s="1"/>
      <c r="P156" s="1"/>
      <c r="Q156" s="1"/>
    </row>
    <row r="157" spans="2:17" x14ac:dyDescent="0.35">
      <c r="B157" s="21"/>
      <c r="C157" s="1"/>
      <c r="D157" s="1"/>
      <c r="E157" s="1"/>
      <c r="F157" s="1"/>
      <c r="G157" s="1"/>
      <c r="P157" s="1"/>
      <c r="Q157" s="1"/>
    </row>
    <row r="158" spans="2:17" x14ac:dyDescent="0.35">
      <c r="B158" s="21"/>
      <c r="C158" s="1"/>
      <c r="D158" s="1"/>
      <c r="E158" s="1"/>
      <c r="F158" s="1"/>
      <c r="G158" s="1"/>
      <c r="P158" s="1"/>
      <c r="Q158" s="1"/>
    </row>
    <row r="159" spans="2:17" x14ac:dyDescent="0.35">
      <c r="B159" s="21"/>
      <c r="C159" s="1"/>
      <c r="D159" s="1"/>
      <c r="E159" s="1"/>
      <c r="F159" s="1"/>
      <c r="G159" s="1"/>
      <c r="P159" s="1"/>
      <c r="Q159" s="1"/>
    </row>
    <row r="160" spans="2:17" x14ac:dyDescent="0.35">
      <c r="B160" s="21"/>
      <c r="C160" s="1"/>
      <c r="D160" s="1"/>
      <c r="E160" s="1"/>
      <c r="F160" s="1"/>
      <c r="G160" s="1"/>
      <c r="P160" s="1"/>
      <c r="Q160" s="1"/>
    </row>
    <row r="161" spans="2:17" x14ac:dyDescent="0.35">
      <c r="B161" s="21"/>
      <c r="C161" s="1"/>
      <c r="D161" s="1"/>
      <c r="E161" s="1"/>
      <c r="F161" s="1"/>
      <c r="G161" s="1"/>
      <c r="P161" s="1"/>
      <c r="Q161" s="1"/>
    </row>
    <row r="162" spans="2:17" x14ac:dyDescent="0.35">
      <c r="B162" s="21"/>
      <c r="C162" s="1"/>
      <c r="D162" s="1"/>
      <c r="E162" s="1"/>
      <c r="F162" s="1"/>
      <c r="G162" s="1"/>
      <c r="P162" s="1"/>
      <c r="Q162" s="1"/>
    </row>
    <row r="163" spans="2:17" x14ac:dyDescent="0.35">
      <c r="B163" s="21"/>
      <c r="C163" s="1"/>
      <c r="D163" s="1"/>
      <c r="E163" s="1"/>
      <c r="F163" s="1"/>
      <c r="G163" s="1"/>
      <c r="P163" s="1"/>
      <c r="Q163" s="1"/>
    </row>
    <row r="164" spans="2:17" x14ac:dyDescent="0.35">
      <c r="B164" s="21"/>
      <c r="C164" s="1"/>
      <c r="D164" s="1"/>
      <c r="E164" s="1"/>
      <c r="F164" s="1"/>
      <c r="G164" s="1"/>
      <c r="P164" s="1"/>
      <c r="Q164" s="1"/>
    </row>
    <row r="165" spans="2:17" x14ac:dyDescent="0.35">
      <c r="B165" s="21"/>
      <c r="C165" s="1"/>
      <c r="D165" s="1"/>
      <c r="E165" s="1"/>
      <c r="F165" s="1"/>
      <c r="G165" s="1"/>
      <c r="P165" s="1"/>
      <c r="Q165" s="1"/>
    </row>
    <row r="166" spans="2:17" x14ac:dyDescent="0.35">
      <c r="B166" s="21"/>
      <c r="C166" s="1"/>
      <c r="D166" s="1"/>
      <c r="E166" s="1"/>
      <c r="F166" s="1"/>
      <c r="G166" s="1"/>
      <c r="P166" s="1"/>
      <c r="Q166" s="1"/>
    </row>
    <row r="167" spans="2:17" x14ac:dyDescent="0.35">
      <c r="B167" s="21"/>
      <c r="C167" s="1"/>
      <c r="D167" s="1"/>
      <c r="E167" s="1"/>
      <c r="F167" s="1"/>
      <c r="G167" s="1"/>
      <c r="P167" s="1"/>
      <c r="Q167" s="1"/>
    </row>
    <row r="168" spans="2:17" x14ac:dyDescent="0.35">
      <c r="B168" s="21"/>
      <c r="C168" s="1"/>
      <c r="D168" s="1"/>
      <c r="E168" s="1"/>
      <c r="F168" s="1"/>
      <c r="G168" s="1"/>
      <c r="P168" s="1"/>
      <c r="Q168" s="1"/>
    </row>
    <row r="169" spans="2:17" x14ac:dyDescent="0.35">
      <c r="B169" s="21"/>
      <c r="C169" s="1"/>
      <c r="D169" s="1"/>
      <c r="E169" s="1"/>
      <c r="F169" s="1"/>
      <c r="G169" s="1"/>
      <c r="P169" s="1"/>
      <c r="Q169" s="1"/>
    </row>
    <row r="170" spans="2:17" x14ac:dyDescent="0.35">
      <c r="B170" s="21"/>
      <c r="C170" s="1"/>
      <c r="D170" s="1"/>
      <c r="E170" s="1"/>
      <c r="F170" s="1"/>
      <c r="G170" s="1"/>
      <c r="P170" s="1"/>
      <c r="Q170" s="1"/>
    </row>
    <row r="171" spans="2:17" x14ac:dyDescent="0.35">
      <c r="B171" s="21"/>
      <c r="C171" s="1"/>
      <c r="D171" s="1"/>
      <c r="E171" s="1"/>
      <c r="F171" s="1"/>
      <c r="G171" s="1"/>
      <c r="P171" s="1"/>
      <c r="Q171" s="1"/>
    </row>
    <row r="172" spans="2:17" x14ac:dyDescent="0.35">
      <c r="B172" s="21"/>
      <c r="C172" s="1"/>
      <c r="D172" s="1"/>
      <c r="E172" s="1"/>
      <c r="F172" s="1"/>
      <c r="G172" s="1"/>
      <c r="P172" s="1"/>
      <c r="Q172" s="1"/>
    </row>
    <row r="173" spans="2:17" x14ac:dyDescent="0.35">
      <c r="B173" s="21"/>
      <c r="C173" s="1"/>
      <c r="D173" s="1"/>
      <c r="E173" s="1"/>
      <c r="F173" s="1"/>
      <c r="G173" s="1"/>
      <c r="P173" s="1"/>
      <c r="Q173" s="1"/>
    </row>
    <row r="174" spans="2:17" x14ac:dyDescent="0.35">
      <c r="B174" s="21"/>
      <c r="C174" s="1"/>
      <c r="D174" s="1"/>
      <c r="E174" s="1"/>
      <c r="F174" s="1"/>
      <c r="G174" s="1"/>
      <c r="P174" s="1"/>
      <c r="Q174" s="1"/>
    </row>
    <row r="175" spans="2:17" x14ac:dyDescent="0.35">
      <c r="B175" s="21"/>
      <c r="C175" s="1"/>
      <c r="D175" s="1"/>
      <c r="E175" s="1"/>
      <c r="F175" s="1"/>
      <c r="G175" s="1"/>
      <c r="P175" s="1"/>
      <c r="Q175" s="1"/>
    </row>
    <row r="176" spans="2:17" x14ac:dyDescent="0.35">
      <c r="B176" s="21"/>
      <c r="C176" s="1"/>
      <c r="D176" s="1"/>
      <c r="E176" s="1"/>
      <c r="F176" s="1"/>
      <c r="G176" s="1"/>
      <c r="P176" s="1"/>
      <c r="Q176" s="1"/>
    </row>
    <row r="177" spans="2:17" x14ac:dyDescent="0.35">
      <c r="B177" s="21"/>
      <c r="C177" s="1"/>
      <c r="D177" s="1"/>
      <c r="E177" s="1"/>
      <c r="F177" s="1"/>
      <c r="G177" s="1"/>
      <c r="P177" s="1"/>
      <c r="Q177" s="1"/>
    </row>
    <row r="178" spans="2:17" x14ac:dyDescent="0.35">
      <c r="B178" s="21"/>
      <c r="C178" s="1"/>
      <c r="D178" s="1"/>
      <c r="E178" s="1"/>
      <c r="F178" s="1"/>
      <c r="G178" s="1"/>
      <c r="P178" s="1"/>
      <c r="Q178" s="1"/>
    </row>
    <row r="179" spans="2:17" x14ac:dyDescent="0.35">
      <c r="B179" s="21"/>
      <c r="C179" s="1"/>
      <c r="D179" s="1"/>
      <c r="E179" s="1"/>
      <c r="F179" s="1"/>
      <c r="G179" s="1"/>
      <c r="P179" s="1"/>
      <c r="Q179" s="1"/>
    </row>
    <row r="180" spans="2:17" x14ac:dyDescent="0.35">
      <c r="B180" s="21"/>
      <c r="C180" s="1"/>
      <c r="D180" s="1"/>
      <c r="E180" s="1"/>
      <c r="F180" s="1"/>
      <c r="G180" s="1"/>
      <c r="P180" s="1"/>
      <c r="Q180" s="1"/>
    </row>
    <row r="181" spans="2:17" x14ac:dyDescent="0.35">
      <c r="B181" s="21"/>
      <c r="C181" s="1"/>
      <c r="D181" s="1"/>
      <c r="E181" s="1"/>
      <c r="F181" s="1"/>
      <c r="G181" s="1"/>
      <c r="P181" s="1"/>
      <c r="Q181" s="1"/>
    </row>
    <row r="182" spans="2:17" x14ac:dyDescent="0.35">
      <c r="B182" s="21"/>
      <c r="C182" s="1"/>
      <c r="D182" s="1"/>
      <c r="E182" s="1"/>
      <c r="F182" s="1"/>
      <c r="G182" s="1"/>
      <c r="P182" s="1"/>
      <c r="Q182" s="1"/>
    </row>
    <row r="183" spans="2:17" x14ac:dyDescent="0.35">
      <c r="B183" s="21"/>
      <c r="C183" s="1"/>
      <c r="D183" s="1"/>
      <c r="E183" s="1"/>
      <c r="F183" s="1"/>
      <c r="G183" s="1"/>
      <c r="P183" s="1"/>
      <c r="Q183" s="1"/>
    </row>
    <row r="184" spans="2:17" x14ac:dyDescent="0.35">
      <c r="B184" s="21"/>
      <c r="C184" s="1"/>
      <c r="D184" s="1"/>
      <c r="E184" s="1"/>
      <c r="F184" s="1"/>
      <c r="G184" s="1"/>
      <c r="P184" s="1"/>
      <c r="Q184" s="1"/>
    </row>
    <row r="185" spans="2:17" x14ac:dyDescent="0.35">
      <c r="B185" s="21"/>
      <c r="C185" s="1"/>
      <c r="D185" s="1"/>
      <c r="E185" s="1"/>
      <c r="F185" s="1"/>
      <c r="G185" s="1"/>
      <c r="P185" s="1"/>
      <c r="Q185" s="1"/>
    </row>
    <row r="186" spans="2:17" x14ac:dyDescent="0.35">
      <c r="B186" s="21"/>
      <c r="C186" s="1"/>
      <c r="D186" s="1"/>
      <c r="E186" s="1"/>
      <c r="F186" s="1"/>
      <c r="G186" s="1"/>
      <c r="P186" s="1"/>
      <c r="Q186" s="1"/>
    </row>
    <row r="187" spans="2:17" x14ac:dyDescent="0.35">
      <c r="B187" s="21"/>
      <c r="C187" s="1"/>
      <c r="D187" s="1"/>
      <c r="E187" s="1"/>
      <c r="F187" s="1"/>
      <c r="G187" s="1"/>
      <c r="P187" s="1"/>
      <c r="Q187" s="1"/>
    </row>
    <row r="188" spans="2:17" x14ac:dyDescent="0.35">
      <c r="B188" s="21"/>
      <c r="C188" s="1"/>
      <c r="D188" s="1"/>
      <c r="E188" s="1"/>
      <c r="F188" s="1"/>
      <c r="G188" s="1"/>
      <c r="P188" s="1"/>
      <c r="Q188" s="1"/>
    </row>
    <row r="189" spans="2:17" x14ac:dyDescent="0.35">
      <c r="B189" s="21"/>
      <c r="C189" s="1"/>
      <c r="D189" s="1"/>
      <c r="E189" s="1"/>
      <c r="F189" s="1"/>
      <c r="G189" s="1"/>
      <c r="P189" s="1"/>
      <c r="Q189" s="1"/>
    </row>
    <row r="190" spans="2:17" x14ac:dyDescent="0.35">
      <c r="B190" s="21"/>
      <c r="C190" s="1"/>
      <c r="D190" s="1"/>
      <c r="E190" s="1"/>
      <c r="F190" s="1"/>
      <c r="G190" s="1"/>
      <c r="P190" s="1"/>
      <c r="Q190" s="1"/>
    </row>
    <row r="191" spans="2:17" x14ac:dyDescent="0.35">
      <c r="B191" s="21"/>
      <c r="C191" s="1"/>
      <c r="D191" s="1"/>
      <c r="E191" s="1"/>
      <c r="F191" s="1"/>
      <c r="G191" s="1"/>
      <c r="P191" s="1"/>
      <c r="Q191" s="1"/>
    </row>
    <row r="192" spans="2:17" x14ac:dyDescent="0.35">
      <c r="B192" s="21"/>
      <c r="C192" s="1"/>
      <c r="D192" s="1"/>
      <c r="E192" s="1"/>
      <c r="F192" s="1"/>
      <c r="G192" s="1"/>
      <c r="P192" s="1"/>
      <c r="Q192" s="1"/>
    </row>
    <row r="193" spans="2:17" x14ac:dyDescent="0.35">
      <c r="B193" s="21"/>
      <c r="C193" s="1"/>
      <c r="D193" s="1"/>
      <c r="E193" s="1"/>
      <c r="F193" s="1"/>
      <c r="G193" s="1"/>
      <c r="P193" s="1"/>
      <c r="Q193" s="1"/>
    </row>
    <row r="194" spans="2:17" x14ac:dyDescent="0.35">
      <c r="B194" s="21"/>
      <c r="C194" s="1"/>
      <c r="D194" s="1"/>
      <c r="E194" s="1"/>
      <c r="F194" s="1"/>
      <c r="G194" s="1"/>
      <c r="P194" s="1"/>
      <c r="Q194" s="1"/>
    </row>
    <row r="195" spans="2:17" x14ac:dyDescent="0.35">
      <c r="B195" s="21"/>
      <c r="C195" s="1"/>
      <c r="D195" s="1"/>
      <c r="E195" s="1"/>
      <c r="F195" s="1"/>
      <c r="G195" s="1"/>
      <c r="P195" s="1"/>
      <c r="Q195" s="1"/>
    </row>
    <row r="196" spans="2:17" x14ac:dyDescent="0.35">
      <c r="B196" s="21"/>
      <c r="C196" s="1"/>
      <c r="D196" s="1"/>
      <c r="E196" s="1"/>
      <c r="F196" s="1"/>
      <c r="G196" s="1"/>
      <c r="P196" s="1"/>
      <c r="Q196" s="1"/>
    </row>
    <row r="197" spans="2:17" x14ac:dyDescent="0.35">
      <c r="B197" s="21"/>
      <c r="C197" s="1"/>
      <c r="D197" s="1"/>
      <c r="E197" s="1"/>
      <c r="F197" s="1"/>
      <c r="G197" s="1"/>
      <c r="P197" s="1"/>
      <c r="Q197" s="1"/>
    </row>
    <row r="198" spans="2:17" x14ac:dyDescent="0.35">
      <c r="B198" s="21"/>
      <c r="C198" s="1"/>
      <c r="D198" s="1"/>
      <c r="E198" s="1"/>
      <c r="F198" s="1"/>
      <c r="G198" s="1"/>
      <c r="P198" s="1"/>
      <c r="Q198" s="1"/>
    </row>
    <row r="199" spans="2:17" x14ac:dyDescent="0.35">
      <c r="B199" s="21"/>
      <c r="C199" s="1"/>
      <c r="D199" s="1"/>
      <c r="E199" s="1"/>
      <c r="F199" s="1"/>
      <c r="G199" s="1"/>
      <c r="P199" s="1"/>
      <c r="Q199" s="1"/>
    </row>
    <row r="200" spans="2:17" x14ac:dyDescent="0.35">
      <c r="B200" s="21"/>
      <c r="C200" s="1"/>
      <c r="D200" s="1"/>
      <c r="E200" s="1"/>
      <c r="F200" s="1"/>
      <c r="G200" s="1"/>
      <c r="P200" s="1"/>
      <c r="Q200" s="1"/>
    </row>
    <row r="201" spans="2:17" x14ac:dyDescent="0.35">
      <c r="B201" s="21"/>
      <c r="C201" s="1"/>
      <c r="D201" s="1"/>
      <c r="E201" s="1"/>
      <c r="F201" s="1"/>
      <c r="G201" s="1"/>
      <c r="P201" s="1"/>
      <c r="Q201" s="1"/>
    </row>
    <row r="202" spans="2:17" x14ac:dyDescent="0.35">
      <c r="B202" s="21"/>
      <c r="C202" s="1"/>
      <c r="D202" s="1"/>
      <c r="E202" s="1"/>
      <c r="F202" s="1"/>
      <c r="G202" s="1"/>
      <c r="P202" s="1"/>
      <c r="Q202" s="1"/>
    </row>
    <row r="203" spans="2:17" x14ac:dyDescent="0.35">
      <c r="B203" s="21"/>
      <c r="C203" s="1"/>
      <c r="D203" s="1"/>
      <c r="E203" s="1"/>
      <c r="F203" s="1"/>
      <c r="G203" s="1"/>
      <c r="P203" s="1"/>
      <c r="Q203" s="1"/>
    </row>
    <row r="204" spans="2:17" x14ac:dyDescent="0.35">
      <c r="B204" s="21"/>
      <c r="C204" s="1"/>
      <c r="D204" s="1"/>
      <c r="E204" s="1"/>
      <c r="F204" s="1"/>
      <c r="G204" s="1"/>
      <c r="P204" s="1"/>
      <c r="Q204" s="1"/>
    </row>
    <row r="205" spans="2:17" x14ac:dyDescent="0.35">
      <c r="B205" s="21"/>
      <c r="C205" s="1"/>
      <c r="D205" s="1"/>
      <c r="E205" s="1"/>
      <c r="F205" s="1"/>
      <c r="G205" s="1"/>
      <c r="P205" s="1"/>
      <c r="Q205" s="1"/>
    </row>
    <row r="206" spans="2:17" x14ac:dyDescent="0.35">
      <c r="B206" s="21"/>
      <c r="C206" s="1"/>
      <c r="D206" s="1"/>
      <c r="E206" s="1"/>
      <c r="F206" s="1"/>
      <c r="G206" s="1"/>
      <c r="P206" s="1"/>
      <c r="Q206" s="1"/>
    </row>
    <row r="207" spans="2:17" x14ac:dyDescent="0.35">
      <c r="B207" s="21"/>
      <c r="C207" s="1"/>
      <c r="D207" s="1"/>
      <c r="E207" s="1"/>
      <c r="F207" s="1"/>
      <c r="G207" s="1"/>
      <c r="P207" s="1"/>
      <c r="Q207" s="1"/>
    </row>
    <row r="208" spans="2:17" x14ac:dyDescent="0.35">
      <c r="B208" s="21"/>
      <c r="C208" s="1"/>
      <c r="D208" s="1"/>
      <c r="E208" s="1"/>
      <c r="F208" s="1"/>
      <c r="G208" s="1"/>
      <c r="P208" s="1"/>
      <c r="Q208" s="1"/>
    </row>
    <row r="209" spans="2:17" x14ac:dyDescent="0.35">
      <c r="B209" s="21"/>
      <c r="C209" s="1"/>
      <c r="D209" s="1"/>
      <c r="E209" s="1"/>
      <c r="F209" s="1"/>
      <c r="G209" s="1"/>
      <c r="P209" s="1"/>
      <c r="Q209" s="1"/>
    </row>
    <row r="210" spans="2:17" x14ac:dyDescent="0.35">
      <c r="B210" s="21"/>
      <c r="C210" s="1"/>
      <c r="D210" s="1"/>
      <c r="E210" s="1"/>
      <c r="F210" s="1"/>
      <c r="G210" s="1"/>
      <c r="P210" s="1"/>
      <c r="Q210" s="1"/>
    </row>
    <row r="211" spans="2:17" x14ac:dyDescent="0.35">
      <c r="B211" s="21"/>
      <c r="C211" s="1"/>
      <c r="D211" s="1"/>
      <c r="E211" s="1"/>
      <c r="F211" s="1"/>
      <c r="G211" s="1"/>
      <c r="P211" s="1"/>
      <c r="Q211" s="1"/>
    </row>
    <row r="212" spans="2:17" x14ac:dyDescent="0.35">
      <c r="B212" s="21"/>
      <c r="C212" s="1"/>
      <c r="D212" s="1"/>
      <c r="E212" s="1"/>
      <c r="F212" s="1"/>
      <c r="G212" s="1"/>
      <c r="P212" s="1"/>
      <c r="Q212" s="1"/>
    </row>
    <row r="213" spans="2:17" x14ac:dyDescent="0.35">
      <c r="B213" s="21"/>
      <c r="C213" s="1"/>
      <c r="D213" s="1"/>
      <c r="E213" s="1"/>
      <c r="F213" s="1"/>
      <c r="G213" s="1"/>
      <c r="P213" s="1"/>
      <c r="Q213" s="1"/>
    </row>
    <row r="214" spans="2:17" x14ac:dyDescent="0.35">
      <c r="B214" s="21"/>
      <c r="C214" s="1"/>
      <c r="D214" s="1"/>
      <c r="E214" s="1"/>
      <c r="F214" s="1"/>
      <c r="G214" s="1"/>
      <c r="P214" s="1"/>
      <c r="Q214" s="1"/>
    </row>
    <row r="215" spans="2:17" x14ac:dyDescent="0.35">
      <c r="B215" s="21"/>
      <c r="C215" s="1"/>
      <c r="D215" s="1"/>
      <c r="E215" s="1"/>
      <c r="F215" s="1"/>
      <c r="G215" s="1"/>
      <c r="P215" s="1"/>
      <c r="Q215" s="1"/>
    </row>
    <row r="216" spans="2:17" x14ac:dyDescent="0.35">
      <c r="B216" s="21"/>
      <c r="C216" s="1"/>
      <c r="D216" s="1"/>
      <c r="E216" s="1"/>
      <c r="F216" s="1"/>
      <c r="G216" s="1"/>
      <c r="P216" s="1"/>
      <c r="Q216" s="1"/>
    </row>
    <row r="217" spans="2:17" x14ac:dyDescent="0.35">
      <c r="B217" s="21"/>
      <c r="C217" s="1"/>
      <c r="D217" s="1"/>
      <c r="E217" s="1"/>
      <c r="F217" s="1"/>
      <c r="G217" s="1"/>
      <c r="P217" s="1"/>
      <c r="Q217" s="1"/>
    </row>
    <row r="218" spans="2:17" x14ac:dyDescent="0.35">
      <c r="B218" s="21"/>
      <c r="C218" s="1"/>
      <c r="D218" s="1"/>
      <c r="E218" s="1"/>
      <c r="F218" s="1"/>
      <c r="G218" s="1"/>
      <c r="P218" s="1"/>
      <c r="Q218" s="1"/>
    </row>
    <row r="219" spans="2:17" x14ac:dyDescent="0.35">
      <c r="B219" s="21"/>
      <c r="C219" s="1"/>
      <c r="D219" s="1"/>
      <c r="E219" s="1"/>
      <c r="F219" s="1"/>
      <c r="G219" s="1"/>
      <c r="P219" s="1"/>
      <c r="Q219" s="1"/>
    </row>
    <row r="220" spans="2:17" x14ac:dyDescent="0.35">
      <c r="B220" s="21"/>
      <c r="C220" s="1"/>
      <c r="D220" s="1"/>
      <c r="E220" s="1"/>
      <c r="F220" s="1"/>
      <c r="G220" s="1"/>
      <c r="P220" s="1"/>
      <c r="Q220" s="1"/>
    </row>
    <row r="221" spans="2:17" x14ac:dyDescent="0.35">
      <c r="B221" s="21"/>
      <c r="C221" s="1"/>
      <c r="D221" s="1"/>
      <c r="E221" s="1"/>
      <c r="F221" s="1"/>
      <c r="G221" s="1"/>
      <c r="P221" s="1"/>
      <c r="Q221" s="1"/>
    </row>
    <row r="222" spans="2:17" x14ac:dyDescent="0.35">
      <c r="B222" s="21"/>
      <c r="C222" s="1"/>
      <c r="D222" s="1"/>
      <c r="E222" s="1"/>
      <c r="F222" s="1"/>
      <c r="G222" s="1"/>
      <c r="P222" s="1"/>
      <c r="Q222" s="1"/>
    </row>
    <row r="223" spans="2:17" x14ac:dyDescent="0.35">
      <c r="B223" s="21"/>
      <c r="C223" s="1"/>
      <c r="D223" s="1"/>
      <c r="E223" s="1"/>
      <c r="F223" s="1"/>
      <c r="G223" s="1"/>
      <c r="P223" s="1"/>
      <c r="Q223" s="1"/>
    </row>
    <row r="224" spans="2:17" x14ac:dyDescent="0.35">
      <c r="B224" s="21"/>
      <c r="C224" s="1"/>
      <c r="D224" s="1"/>
      <c r="E224" s="1"/>
      <c r="F224" s="1"/>
      <c r="G224" s="1"/>
      <c r="P224" s="1"/>
      <c r="Q224" s="1"/>
    </row>
    <row r="225" spans="2:17" x14ac:dyDescent="0.35">
      <c r="B225" s="21"/>
      <c r="C225" s="1"/>
      <c r="D225" s="1"/>
      <c r="E225" s="1"/>
      <c r="F225" s="1"/>
      <c r="G225" s="1"/>
      <c r="P225" s="1"/>
      <c r="Q225" s="1"/>
    </row>
    <row r="226" spans="2:17" x14ac:dyDescent="0.35">
      <c r="B226" s="21"/>
      <c r="C226" s="1"/>
      <c r="D226" s="1"/>
      <c r="E226" s="1"/>
      <c r="F226" s="1"/>
      <c r="G226" s="1"/>
      <c r="P226" s="1"/>
      <c r="Q226" s="1"/>
    </row>
    <row r="227" spans="2:17" x14ac:dyDescent="0.35">
      <c r="B227" s="21"/>
      <c r="C227" s="1"/>
      <c r="D227" s="1"/>
      <c r="E227" s="1"/>
      <c r="F227" s="1"/>
      <c r="G227" s="1"/>
      <c r="P227" s="1"/>
      <c r="Q227" s="1"/>
    </row>
    <row r="228" spans="2:17" x14ac:dyDescent="0.35">
      <c r="B228" s="21"/>
      <c r="C228" s="1"/>
      <c r="D228" s="1"/>
      <c r="E228" s="1"/>
      <c r="F228" s="1"/>
      <c r="G228" s="1"/>
      <c r="P228" s="1"/>
      <c r="Q228" s="1"/>
    </row>
    <row r="229" spans="2:17" x14ac:dyDescent="0.35">
      <c r="B229" s="21"/>
      <c r="C229" s="1"/>
      <c r="D229" s="1"/>
      <c r="E229" s="1"/>
      <c r="F229" s="1"/>
      <c r="G229" s="1"/>
      <c r="P229" s="1"/>
      <c r="Q229" s="1"/>
    </row>
    <row r="230" spans="2:17" x14ac:dyDescent="0.35">
      <c r="B230" s="21"/>
      <c r="C230" s="1"/>
      <c r="D230" s="1"/>
      <c r="E230" s="1"/>
      <c r="F230" s="1"/>
      <c r="G230" s="1"/>
      <c r="P230" s="1"/>
      <c r="Q230" s="1"/>
    </row>
    <row r="231" spans="2:17" x14ac:dyDescent="0.35">
      <c r="B231" s="21"/>
      <c r="C231" s="1"/>
      <c r="D231" s="1"/>
      <c r="E231" s="1"/>
      <c r="F231" s="1"/>
      <c r="G231" s="1"/>
      <c r="P231" s="1"/>
      <c r="Q231" s="1"/>
    </row>
    <row r="232" spans="2:17" x14ac:dyDescent="0.35">
      <c r="B232" s="21"/>
      <c r="C232" s="1"/>
      <c r="D232" s="1"/>
      <c r="E232" s="1"/>
      <c r="F232" s="1"/>
      <c r="G232" s="16"/>
    </row>
    <row r="233" spans="2:17" x14ac:dyDescent="0.35">
      <c r="B233" s="21"/>
      <c r="C233" s="1"/>
      <c r="D233" s="1"/>
      <c r="E233" s="1"/>
      <c r="F233" s="1"/>
      <c r="G233" s="16"/>
    </row>
    <row r="234" spans="2:17" x14ac:dyDescent="0.35">
      <c r="B234" s="21"/>
      <c r="C234" s="1"/>
      <c r="D234" s="1"/>
      <c r="E234" s="1"/>
      <c r="F234" s="1"/>
      <c r="G234" s="16"/>
    </row>
    <row r="235" spans="2:17" x14ac:dyDescent="0.35">
      <c r="B235" s="21"/>
      <c r="C235" s="1"/>
      <c r="D235" s="1"/>
      <c r="E235" s="1"/>
      <c r="F235" s="1"/>
      <c r="G235" s="16"/>
    </row>
    <row r="236" spans="2:17" x14ac:dyDescent="0.35">
      <c r="B236" s="21"/>
      <c r="C236" s="1"/>
      <c r="D236" s="1"/>
      <c r="E236" s="1"/>
      <c r="F236" s="1"/>
      <c r="G236" s="16"/>
    </row>
    <row r="237" spans="2:17" x14ac:dyDescent="0.35">
      <c r="B237" s="21"/>
      <c r="C237" s="1"/>
      <c r="D237" s="1"/>
      <c r="E237" s="1"/>
      <c r="F237" s="1"/>
      <c r="G237" s="16"/>
    </row>
    <row r="238" spans="2:17" x14ac:dyDescent="0.35">
      <c r="B238" s="21"/>
      <c r="C238" s="1"/>
      <c r="D238" s="1"/>
      <c r="E238" s="1"/>
      <c r="F238" s="1"/>
      <c r="G238" s="16"/>
    </row>
    <row r="239" spans="2:17" x14ac:dyDescent="0.35">
      <c r="B239" s="21"/>
      <c r="C239" s="1"/>
      <c r="D239" s="1"/>
      <c r="E239" s="1"/>
      <c r="F239" s="1"/>
      <c r="G239" s="16"/>
    </row>
    <row r="240" spans="2:17" x14ac:dyDescent="0.35">
      <c r="B240" s="21"/>
      <c r="C240" s="1"/>
      <c r="D240" s="1"/>
      <c r="E240" s="1"/>
      <c r="F240" s="1"/>
      <c r="G240" s="16"/>
    </row>
    <row r="241" spans="2:7" x14ac:dyDescent="0.35">
      <c r="B241" s="21"/>
      <c r="C241" s="1"/>
      <c r="D241" s="1"/>
      <c r="E241" s="1"/>
      <c r="F241" s="1"/>
      <c r="G241" s="16"/>
    </row>
    <row r="242" spans="2:7" x14ac:dyDescent="0.35">
      <c r="B242" s="21"/>
      <c r="C242" s="1"/>
      <c r="D242" s="1"/>
      <c r="E242" s="1"/>
      <c r="F242" s="1"/>
      <c r="G242" s="16"/>
    </row>
    <row r="243" spans="2:7" x14ac:dyDescent="0.35">
      <c r="B243" s="21"/>
      <c r="C243" s="1"/>
      <c r="D243" s="1"/>
      <c r="E243" s="1"/>
      <c r="F243" s="1"/>
      <c r="G243"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7B15B-7288-4A69-82BA-6A50AE00ACB0}">
  <sheetPr codeName="Sheet2"/>
  <dimension ref="A1:AN1789"/>
  <sheetViews>
    <sheetView rightToLeft="1" zoomScale="72" zoomScaleNormal="72" workbookViewId="0">
      <pane xSplit="7" ySplit="1" topLeftCell="H1602" activePane="bottomRight" state="frozen"/>
      <selection activeCell="A6" sqref="A6"/>
      <selection pane="topRight" activeCell="A6" sqref="A6"/>
      <selection pane="bottomLeft" activeCell="A6" sqref="A6"/>
      <selection pane="bottomRight" activeCell="N1602" sqref="N1602"/>
    </sheetView>
  </sheetViews>
  <sheetFormatPr defaultColWidth="8.81640625" defaultRowHeight="14.5" x14ac:dyDescent="0.35"/>
  <cols>
    <col min="1" max="2" width="17.90625" style="6" customWidth="1"/>
    <col min="3" max="6" width="17.90625" style="94" hidden="1" customWidth="1"/>
    <col min="7" max="7" width="4.36328125" style="91" hidden="1" customWidth="1"/>
    <col min="8" max="8" width="26.26953125" style="2" customWidth="1"/>
    <col min="9" max="9" width="23" style="2" customWidth="1"/>
    <col min="10" max="10" width="11.81640625" style="2" customWidth="1"/>
    <col min="11" max="11" width="12.453125" style="2" bestFit="1" customWidth="1"/>
    <col min="12" max="12" width="10.1796875" style="2" customWidth="1"/>
    <col min="13" max="13" width="8.81640625" style="2" bestFit="1" customWidth="1"/>
    <col min="14" max="14" width="10.1796875" style="1" customWidth="1"/>
    <col min="15" max="15" width="11.81640625" style="1" customWidth="1"/>
    <col min="16" max="21" width="8.81640625" style="1" customWidth="1"/>
    <col min="22" max="23" width="8.81640625" style="30" customWidth="1"/>
    <col min="24" max="40" width="8.81640625" style="1" customWidth="1"/>
    <col min="41" max="41" width="8.81640625" style="2"/>
    <col min="42" max="42" width="11" style="2" customWidth="1"/>
    <col min="43" max="43" width="8.81640625" style="2"/>
    <col min="44" max="44" width="10.54296875" style="2" bestFit="1" customWidth="1"/>
    <col min="45" max="45" width="8.81640625" style="2"/>
    <col min="46" max="46" width="16.08984375" style="2" bestFit="1" customWidth="1"/>
    <col min="47" max="16384" width="8.81640625" style="2"/>
  </cols>
  <sheetData>
    <row r="1" spans="1:40" ht="15" thickBot="1" x14ac:dyDescent="0.4">
      <c r="A1" s="124" t="s">
        <v>3320</v>
      </c>
      <c r="B1" s="125" t="s">
        <v>3322</v>
      </c>
      <c r="C1" s="119" t="s">
        <v>3344</v>
      </c>
      <c r="D1" s="95" t="s">
        <v>3345</v>
      </c>
      <c r="E1" s="95" t="s">
        <v>3346</v>
      </c>
      <c r="F1" s="95" t="s">
        <v>3347</v>
      </c>
      <c r="G1" s="95" t="s">
        <v>5554</v>
      </c>
      <c r="H1" s="126" t="s">
        <v>3310</v>
      </c>
      <c r="I1" s="95" t="s">
        <v>3344</v>
      </c>
      <c r="J1" s="95" t="s">
        <v>3345</v>
      </c>
      <c r="K1" s="96" t="s">
        <v>3346</v>
      </c>
      <c r="L1" s="9" t="s">
        <v>3347</v>
      </c>
      <c r="M1" s="14" t="s">
        <v>5554</v>
      </c>
      <c r="N1" s="4" t="s">
        <v>3320</v>
      </c>
      <c r="O1" s="4"/>
      <c r="P1" s="4"/>
      <c r="Q1" s="4"/>
      <c r="R1" s="4"/>
      <c r="S1" s="4"/>
      <c r="T1" s="4"/>
      <c r="U1" s="4"/>
      <c r="V1" s="28"/>
      <c r="W1" s="28"/>
      <c r="X1" s="4"/>
      <c r="Y1" s="4"/>
      <c r="Z1" s="4"/>
      <c r="AA1" s="4"/>
      <c r="AB1" s="4"/>
      <c r="AC1" s="4"/>
      <c r="AD1" s="4"/>
      <c r="AE1" s="4"/>
      <c r="AF1" s="4"/>
      <c r="AG1" s="4"/>
      <c r="AH1" s="4"/>
      <c r="AI1" s="4"/>
      <c r="AJ1" s="4"/>
      <c r="AK1" s="4"/>
      <c r="AL1" s="4"/>
      <c r="AM1" s="4"/>
      <c r="AN1" s="4"/>
    </row>
    <row r="2" spans="1:40" x14ac:dyDescent="0.35">
      <c r="A2" s="120" t="s">
        <v>392</v>
      </c>
      <c r="B2" s="97" t="s">
        <v>392</v>
      </c>
      <c r="C2" s="123" t="str" cm="1">
        <f t="array" ref="C2">_xlfn.TEXTSPLIT('איחוד שאלות'!$B2,"_")</f>
        <v>ID</v>
      </c>
      <c r="D2" s="97"/>
      <c r="E2" s="97"/>
      <c r="F2" s="97"/>
      <c r="G2" s="98"/>
      <c r="H2" s="127" t="s">
        <v>3319</v>
      </c>
      <c r="I2" s="99" t="s">
        <v>392</v>
      </c>
      <c r="J2" s="100"/>
      <c r="K2" s="101"/>
      <c r="L2" s="3"/>
      <c r="M2" s="15"/>
      <c r="N2" s="1" t="s">
        <v>392</v>
      </c>
    </row>
    <row r="3" spans="1:40" x14ac:dyDescent="0.35">
      <c r="A3" s="121" t="s">
        <v>394</v>
      </c>
      <c r="B3" s="99" t="s">
        <v>3335</v>
      </c>
      <c r="C3" s="121" t="str" cm="1">
        <f t="array" ref="C3:D3">_xlfn.TEXTSPLIT('איחוד שאלות'!$B3,"_")</f>
        <v>questionnaire</v>
      </c>
      <c r="D3" s="99" t="str">
        <v>date</v>
      </c>
      <c r="E3" s="99"/>
      <c r="F3" s="99"/>
      <c r="G3" s="100"/>
      <c r="H3" s="128" t="s">
        <v>3319</v>
      </c>
      <c r="I3" s="102" t="s">
        <v>5762</v>
      </c>
      <c r="J3" s="103" t="s">
        <v>395</v>
      </c>
      <c r="K3" s="104"/>
      <c r="L3" s="3"/>
      <c r="M3" s="15"/>
      <c r="N3" s="1" t="s">
        <v>394</v>
      </c>
    </row>
    <row r="4" spans="1:40" ht="29" x14ac:dyDescent="0.35">
      <c r="A4" s="113" t="s">
        <v>396</v>
      </c>
      <c r="B4" s="102" t="s">
        <v>4083</v>
      </c>
      <c r="C4" s="123" t="str" cm="1">
        <f t="array" ref="C4:E4">_xlfn.TEXTSPLIT('איחוד שאלות'!$B4,"_")</f>
        <v>questionnaire</v>
      </c>
      <c r="D4" s="102" t="str">
        <v>date</v>
      </c>
      <c r="E4" s="102" t="str">
        <v>post</v>
      </c>
      <c r="F4" s="102"/>
      <c r="G4" s="103"/>
      <c r="H4" s="129" t="s">
        <v>3319</v>
      </c>
      <c r="I4" s="99" t="s">
        <v>5762</v>
      </c>
      <c r="J4" s="100" t="s">
        <v>395</v>
      </c>
      <c r="K4" s="101" t="s">
        <v>5763</v>
      </c>
      <c r="L4" s="1"/>
      <c r="M4" s="16"/>
      <c r="N4" s="1" t="s">
        <v>396</v>
      </c>
    </row>
    <row r="5" spans="1:40" ht="29" x14ac:dyDescent="0.35">
      <c r="A5" s="121" t="s">
        <v>2786</v>
      </c>
      <c r="B5" s="99" t="s">
        <v>3336</v>
      </c>
      <c r="C5" s="121" t="str" cm="1">
        <f t="array" ref="C5:D5">_xlfn.TEXTSPLIT('איחוד שאלות'!$B5,"_")</f>
        <v>questionnaire</v>
      </c>
      <c r="D5" s="99" t="str">
        <v>location</v>
      </c>
      <c r="E5" s="99"/>
      <c r="F5" s="99"/>
      <c r="G5" s="100"/>
      <c r="H5" s="128" t="s">
        <v>3319</v>
      </c>
      <c r="I5" s="102" t="s">
        <v>5762</v>
      </c>
      <c r="J5" s="103" t="s">
        <v>5764</v>
      </c>
      <c r="K5" s="104"/>
      <c r="L5" s="3"/>
      <c r="M5" s="15"/>
      <c r="N5" s="1" t="s">
        <v>2786</v>
      </c>
    </row>
    <row r="6" spans="1:40" ht="29" x14ac:dyDescent="0.35">
      <c r="A6" s="113" t="s">
        <v>398</v>
      </c>
      <c r="B6" s="102" t="s">
        <v>4084</v>
      </c>
      <c r="C6" s="123" t="str" cm="1">
        <f t="array" ref="C6:E6">_xlfn.TEXTSPLIT('איחוד שאלות'!$B6,"_")</f>
        <v>demography</v>
      </c>
      <c r="D6" s="102" t="str">
        <v>identity</v>
      </c>
      <c r="E6" s="102" t="str">
        <v>sector</v>
      </c>
      <c r="F6" s="102"/>
      <c r="G6" s="103"/>
      <c r="H6" s="129" t="s">
        <v>3319</v>
      </c>
      <c r="I6" s="99" t="s">
        <v>5765</v>
      </c>
      <c r="J6" s="100" t="s">
        <v>5766</v>
      </c>
      <c r="K6" s="101" t="s">
        <v>399</v>
      </c>
      <c r="L6" s="3"/>
      <c r="M6" s="15"/>
      <c r="N6" s="1" t="s">
        <v>398</v>
      </c>
    </row>
    <row r="7" spans="1:40" ht="29" x14ac:dyDescent="0.35">
      <c r="A7" s="121" t="s">
        <v>839</v>
      </c>
      <c r="B7" s="99" t="s">
        <v>3337</v>
      </c>
      <c r="C7" s="121" t="str" cm="1">
        <f t="array" ref="C7:D7">_xlfn.TEXTSPLIT('איחוד שאלות'!$B7,"_")</f>
        <v>questionnaire</v>
      </c>
      <c r="D7" s="99" t="str">
        <v>panel</v>
      </c>
      <c r="E7" s="99"/>
      <c r="F7" s="99"/>
      <c r="G7" s="100"/>
      <c r="H7" s="128" t="s">
        <v>3319</v>
      </c>
      <c r="I7" s="102" t="s">
        <v>5762</v>
      </c>
      <c r="J7" s="103" t="s">
        <v>840</v>
      </c>
      <c r="K7" s="104"/>
      <c r="L7" s="3"/>
      <c r="M7" s="15"/>
      <c r="N7" s="1" t="s">
        <v>839</v>
      </c>
    </row>
    <row r="8" spans="1:40" ht="29" x14ac:dyDescent="0.35">
      <c r="A8" s="113" t="s">
        <v>401</v>
      </c>
      <c r="B8" s="102" t="s">
        <v>3338</v>
      </c>
      <c r="C8" s="123" t="str" cm="1">
        <f t="array" ref="C8:D8">_xlfn.TEXTSPLIT('איחוד שאלות'!$B8,"_")</f>
        <v>questionnaire</v>
      </c>
      <c r="D8" s="102" t="str">
        <v>version</v>
      </c>
      <c r="E8" s="102"/>
      <c r="F8" s="102"/>
      <c r="G8" s="103"/>
      <c r="H8" s="129" t="s">
        <v>3319</v>
      </c>
      <c r="I8" s="99" t="s">
        <v>5762</v>
      </c>
      <c r="J8" s="100" t="s">
        <v>402</v>
      </c>
      <c r="K8" s="101"/>
      <c r="L8" s="3"/>
      <c r="M8" s="15"/>
      <c r="N8" s="1" t="s">
        <v>401</v>
      </c>
    </row>
    <row r="9" spans="1:40" ht="29" x14ac:dyDescent="0.35">
      <c r="A9" s="121" t="s">
        <v>1261</v>
      </c>
      <c r="B9" s="99" t="s">
        <v>3339</v>
      </c>
      <c r="C9" s="121" t="str" cm="1">
        <f t="array" ref="C9:D9">_xlfn.TEXTSPLIT('איחוד שאלות'!$B9,"_")</f>
        <v>questionnaire</v>
      </c>
      <c r="D9" s="99" t="str">
        <v>language</v>
      </c>
      <c r="E9" s="99"/>
      <c r="F9" s="99"/>
      <c r="G9" s="100"/>
      <c r="H9" s="128" t="s">
        <v>3319</v>
      </c>
      <c r="I9" s="102" t="s">
        <v>5762</v>
      </c>
      <c r="J9" s="103" t="s">
        <v>5767</v>
      </c>
      <c r="K9" s="104"/>
      <c r="L9" s="3"/>
      <c r="M9" s="15"/>
      <c r="N9" s="1" t="s">
        <v>1261</v>
      </c>
    </row>
    <row r="10" spans="1:40" x14ac:dyDescent="0.35">
      <c r="A10" s="113" t="s">
        <v>1446</v>
      </c>
      <c r="B10" s="102" t="s">
        <v>4085</v>
      </c>
      <c r="C10" s="123" t="str" cm="1">
        <f t="array" ref="C10:D10">_xlfn.TEXTSPLIT('איחוד שאלות'!$B10,"_")</f>
        <v>demography</v>
      </c>
      <c r="D10" s="102" t="str">
        <v>age</v>
      </c>
      <c r="E10" s="102"/>
      <c r="F10" s="102"/>
      <c r="G10" s="103"/>
      <c r="H10" s="129" t="s">
        <v>3319</v>
      </c>
      <c r="I10" s="100" t="s">
        <v>5765</v>
      </c>
      <c r="J10" s="100" t="s">
        <v>1</v>
      </c>
      <c r="K10" s="101"/>
      <c r="L10" s="1"/>
      <c r="M10" s="16"/>
      <c r="N10" s="1" t="s">
        <v>1446</v>
      </c>
    </row>
    <row r="11" spans="1:40" ht="29" x14ac:dyDescent="0.35">
      <c r="A11" s="122" t="s">
        <v>1450</v>
      </c>
      <c r="B11" s="99" t="s">
        <v>4086</v>
      </c>
      <c r="C11" s="121" t="str" cm="1">
        <f t="array" ref="C11:E11">_xlfn.TEXTSPLIT('איחוד שאלות'!$B11,"_")</f>
        <v>demography</v>
      </c>
      <c r="D11" s="99" t="str">
        <v>identity</v>
      </c>
      <c r="E11" s="99" t="str">
        <v>jewishetnicity</v>
      </c>
      <c r="F11" s="99"/>
      <c r="G11" s="100"/>
      <c r="H11" s="128" t="s">
        <v>3319</v>
      </c>
      <c r="I11" s="102" t="s">
        <v>5765</v>
      </c>
      <c r="J11" s="103" t="s">
        <v>5766</v>
      </c>
      <c r="K11" s="104" t="s">
        <v>5768</v>
      </c>
      <c r="L11" s="3"/>
      <c r="M11" s="15"/>
      <c r="N11" s="1" t="s">
        <v>1450</v>
      </c>
    </row>
    <row r="12" spans="1:40" ht="29" x14ac:dyDescent="0.35">
      <c r="A12" s="113" t="s">
        <v>1672</v>
      </c>
      <c r="B12" s="102" t="s">
        <v>4086</v>
      </c>
      <c r="C12" s="123" t="str" cm="1">
        <f t="array" ref="C12:E12">_xlfn.TEXTSPLIT('איחוד שאלות'!$B12,"_")</f>
        <v>demography</v>
      </c>
      <c r="D12" s="102" t="str">
        <v>identity</v>
      </c>
      <c r="E12" s="102" t="str">
        <v>jewishetnicity</v>
      </c>
      <c r="F12" s="102"/>
      <c r="G12" s="103"/>
      <c r="H12" s="129" t="s">
        <v>3319</v>
      </c>
      <c r="I12" s="100" t="s">
        <v>5765</v>
      </c>
      <c r="J12" s="100" t="s">
        <v>5766</v>
      </c>
      <c r="K12" s="101" t="s">
        <v>5768</v>
      </c>
      <c r="L12" s="1"/>
      <c r="M12" s="16"/>
      <c r="N12" s="1" t="s">
        <v>1672</v>
      </c>
    </row>
    <row r="13" spans="1:40" ht="29" x14ac:dyDescent="0.35">
      <c r="A13" s="122" t="s">
        <v>2</v>
      </c>
      <c r="B13" s="99" t="s">
        <v>4087</v>
      </c>
      <c r="C13" s="121" t="str" cm="1">
        <f t="array" ref="C13:E13">_xlfn.TEXTSPLIT('איחוד שאלות'!$B13,"_")</f>
        <v>demography</v>
      </c>
      <c r="D13" s="99" t="str">
        <v>age</v>
      </c>
      <c r="E13" s="99" t="str">
        <v>group</v>
      </c>
      <c r="F13" s="99"/>
      <c r="G13" s="100"/>
      <c r="H13" s="128" t="s">
        <v>3319</v>
      </c>
      <c r="I13" s="103" t="s">
        <v>5765</v>
      </c>
      <c r="J13" s="103" t="s">
        <v>1</v>
      </c>
      <c r="K13" s="104" t="s">
        <v>5769</v>
      </c>
      <c r="L13" s="1"/>
      <c r="M13" s="16"/>
      <c r="N13" s="1" t="s">
        <v>2</v>
      </c>
    </row>
    <row r="14" spans="1:40" ht="29" x14ac:dyDescent="0.35">
      <c r="A14" s="105" t="s">
        <v>2565</v>
      </c>
      <c r="B14" s="102" t="s">
        <v>4088</v>
      </c>
      <c r="C14" s="123" t="str" cm="1">
        <f t="array" ref="C14:E14">_xlfn.TEXTSPLIT('איחוד שאלות'!$B14,"_")</f>
        <v>demography</v>
      </c>
      <c r="D14" s="102" t="str">
        <v>identity</v>
      </c>
      <c r="E14" s="102" t="str">
        <v>gender</v>
      </c>
      <c r="F14" s="102"/>
      <c r="G14" s="103"/>
      <c r="H14" s="129" t="s">
        <v>3319</v>
      </c>
      <c r="I14" s="100" t="s">
        <v>5765</v>
      </c>
      <c r="J14" s="100" t="s">
        <v>5766</v>
      </c>
      <c r="K14" s="101" t="s">
        <v>4</v>
      </c>
      <c r="L14" s="1"/>
      <c r="M14" s="16"/>
      <c r="N14" s="1" t="s">
        <v>2565</v>
      </c>
    </row>
    <row r="15" spans="1:40" x14ac:dyDescent="0.35">
      <c r="A15" s="122" t="s">
        <v>5</v>
      </c>
      <c r="B15" s="100" t="s">
        <v>4089</v>
      </c>
      <c r="C15" s="121" t="str" cm="1">
        <f t="array" ref="C15:D15">_xlfn.TEXTSPLIT('איחוד שאלות'!$B15,"_")</f>
        <v>demography</v>
      </c>
      <c r="D15" s="100" t="str">
        <v>educ</v>
      </c>
      <c r="E15" s="100"/>
      <c r="F15" s="100"/>
      <c r="G15" s="100"/>
      <c r="H15" s="128" t="s">
        <v>3319</v>
      </c>
      <c r="I15" s="102" t="s">
        <v>5765</v>
      </c>
      <c r="J15" s="103" t="s">
        <v>6</v>
      </c>
      <c r="K15" s="104"/>
      <c r="L15" s="1"/>
      <c r="M15" s="16"/>
      <c r="N15" s="1" t="s">
        <v>5</v>
      </c>
    </row>
    <row r="16" spans="1:40" ht="29" x14ac:dyDescent="0.35">
      <c r="A16" s="113" t="s">
        <v>1647</v>
      </c>
      <c r="B16" s="102" t="s">
        <v>4090</v>
      </c>
      <c r="C16" s="123" t="str" cm="1">
        <f t="array" ref="C16:E16">_xlfn.TEXTSPLIT('איחוד שאלות'!$B16,"_")</f>
        <v>demography</v>
      </c>
      <c r="D16" s="102" t="str">
        <v>educ</v>
      </c>
      <c r="E16" s="102" t="str">
        <v>years</v>
      </c>
      <c r="F16" s="102"/>
      <c r="G16" s="103"/>
      <c r="H16" s="129" t="s">
        <v>3319</v>
      </c>
      <c r="I16" s="100" t="s">
        <v>5765</v>
      </c>
      <c r="J16" s="100" t="s">
        <v>6</v>
      </c>
      <c r="K16" s="101" t="s">
        <v>5770</v>
      </c>
      <c r="L16" s="1"/>
      <c r="M16" s="1"/>
      <c r="N16" s="1" t="s">
        <v>1647</v>
      </c>
      <c r="V16" s="1"/>
      <c r="W16" s="1"/>
    </row>
    <row r="17" spans="1:23" ht="58" x14ac:dyDescent="0.35">
      <c r="A17" s="121" t="s">
        <v>149</v>
      </c>
      <c r="B17" s="99" t="s">
        <v>4091</v>
      </c>
      <c r="C17" s="121" t="str" cm="1">
        <f t="array" ref="C17:E17">_xlfn.TEXTSPLIT('איחוד שאלות'!$B17,"_")</f>
        <v>demography</v>
      </c>
      <c r="D17" s="99" t="str">
        <v>educ</v>
      </c>
      <c r="E17" s="99" t="str">
        <v>religious</v>
      </c>
      <c r="F17" s="99"/>
      <c r="G17" s="100"/>
      <c r="H17" s="128" t="s">
        <v>3319</v>
      </c>
      <c r="I17" s="103" t="s">
        <v>5765</v>
      </c>
      <c r="J17" s="103" t="s">
        <v>6</v>
      </c>
      <c r="K17" s="104" t="s">
        <v>5771</v>
      </c>
      <c r="L17" s="1"/>
      <c r="M17" s="16"/>
      <c r="N17" s="1" t="s">
        <v>149</v>
      </c>
      <c r="V17" s="1"/>
      <c r="W17" s="1"/>
    </row>
    <row r="18" spans="1:23" ht="29" x14ac:dyDescent="0.35">
      <c r="A18" s="113" t="s">
        <v>3018</v>
      </c>
      <c r="B18" s="102" t="s">
        <v>4092</v>
      </c>
      <c r="C18" s="123" t="str" cm="1">
        <f t="array" ref="C18:E18">_xlfn.TEXTSPLIT('איחוד שאלות'!$B18,"_")</f>
        <v>demography</v>
      </c>
      <c r="D18" s="102" t="str">
        <v>educ</v>
      </c>
      <c r="E18" s="102" t="str">
        <v>partner</v>
      </c>
      <c r="F18" s="102"/>
      <c r="G18" s="103"/>
      <c r="H18" s="129" t="s">
        <v>3319</v>
      </c>
      <c r="I18" s="100" t="s">
        <v>5765</v>
      </c>
      <c r="J18" s="100" t="s">
        <v>6</v>
      </c>
      <c r="K18" s="101" t="s">
        <v>5772</v>
      </c>
      <c r="L18" s="1"/>
      <c r="M18" s="16"/>
      <c r="N18" s="1" t="s">
        <v>3018</v>
      </c>
      <c r="V18" s="1"/>
      <c r="W18" s="1"/>
    </row>
    <row r="19" spans="1:23" ht="29" x14ac:dyDescent="0.35">
      <c r="A19" s="121" t="s">
        <v>825</v>
      </c>
      <c r="B19" s="99" t="s">
        <v>4093</v>
      </c>
      <c r="C19" s="121" t="str" cm="1">
        <f t="array" ref="C19:E19">_xlfn.TEXTSPLIT('איחוד שאלות'!$B19,"_")</f>
        <v>demography</v>
      </c>
      <c r="D19" s="99" t="str">
        <v>educ</v>
      </c>
      <c r="E19" s="99" t="str">
        <v>academy</v>
      </c>
      <c r="F19" s="99"/>
      <c r="G19" s="100"/>
      <c r="H19" s="128" t="s">
        <v>3319</v>
      </c>
      <c r="I19" s="103" t="s">
        <v>5765</v>
      </c>
      <c r="J19" s="103" t="s">
        <v>6</v>
      </c>
      <c r="K19" s="104" t="s">
        <v>5773</v>
      </c>
      <c r="L19" s="1"/>
      <c r="M19" s="16"/>
      <c r="N19" s="1" t="s">
        <v>825</v>
      </c>
      <c r="V19" s="1"/>
      <c r="W19" s="1"/>
    </row>
    <row r="20" spans="1:23" ht="29" x14ac:dyDescent="0.35">
      <c r="A20" s="113" t="s">
        <v>835</v>
      </c>
      <c r="B20" s="102" t="s">
        <v>4094</v>
      </c>
      <c r="C20" s="123" t="str" cm="1">
        <f t="array" ref="C20:E20">_xlfn.TEXTSPLIT('איחוד שאלות'!$B20,"_")</f>
        <v>demography</v>
      </c>
      <c r="D20" s="102" t="str">
        <v>educ</v>
      </c>
      <c r="E20" s="102" t="str">
        <v>last</v>
      </c>
      <c r="F20" s="102"/>
      <c r="G20" s="103"/>
      <c r="H20" s="129" t="s">
        <v>3319</v>
      </c>
      <c r="I20" s="100" t="s">
        <v>5765</v>
      </c>
      <c r="J20" s="100" t="s">
        <v>6</v>
      </c>
      <c r="K20" s="101" t="s">
        <v>5774</v>
      </c>
      <c r="L20" s="1"/>
      <c r="M20" s="16"/>
      <c r="N20" s="1" t="s">
        <v>835</v>
      </c>
    </row>
    <row r="21" spans="1:23" ht="29" x14ac:dyDescent="0.35">
      <c r="A21" s="122" t="s">
        <v>7</v>
      </c>
      <c r="B21" s="99" t="s">
        <v>3342</v>
      </c>
      <c r="C21" s="121" t="str" cm="1">
        <f t="array" ref="C21:E21">_xlfn.TEXTSPLIT('איחוד שאלות'!$B21,"_")</f>
        <v>attribute</v>
      </c>
      <c r="D21" s="99" t="str">
        <v>identity</v>
      </c>
      <c r="E21" s="99" t="str">
        <v>citizen</v>
      </c>
      <c r="F21" s="99"/>
      <c r="G21" s="100"/>
      <c r="H21" s="128" t="s">
        <v>3319</v>
      </c>
      <c r="I21" s="103" t="s">
        <v>5775</v>
      </c>
      <c r="J21" s="103" t="s">
        <v>5766</v>
      </c>
      <c r="K21" s="104" t="s">
        <v>5776</v>
      </c>
      <c r="L21" s="1"/>
      <c r="M21" s="16"/>
      <c r="N21" s="1" t="s">
        <v>7</v>
      </c>
    </row>
    <row r="22" spans="1:23" ht="29" x14ac:dyDescent="0.35">
      <c r="A22" s="105" t="s">
        <v>538</v>
      </c>
      <c r="B22" s="102" t="s">
        <v>4095</v>
      </c>
      <c r="C22" s="123" t="str" cm="1">
        <f t="array" ref="C22:E22">_xlfn.TEXTSPLIT('איחוד שאלות'!$B22,"_")</f>
        <v>demography</v>
      </c>
      <c r="D22" s="102" t="str">
        <v>birthcountry</v>
      </c>
      <c r="E22" s="102" t="str">
        <v>self</v>
      </c>
      <c r="F22" s="102"/>
      <c r="G22" s="103"/>
      <c r="H22" s="129" t="s">
        <v>3319</v>
      </c>
      <c r="I22" s="100" t="s">
        <v>5765</v>
      </c>
      <c r="J22" s="100" t="s">
        <v>5777</v>
      </c>
      <c r="K22" s="101" t="s">
        <v>5778</v>
      </c>
      <c r="L22" s="1"/>
      <c r="M22" s="16"/>
      <c r="N22" s="1" t="s">
        <v>538</v>
      </c>
    </row>
    <row r="23" spans="1:23" ht="29" x14ac:dyDescent="0.35">
      <c r="A23" s="122" t="s">
        <v>2295</v>
      </c>
      <c r="B23" s="99" t="s">
        <v>4096</v>
      </c>
      <c r="C23" s="121" t="str" cm="1">
        <f t="array" ref="C23:E23">_xlfn.TEXTSPLIT('איחוד שאלות'!$B23,"_")</f>
        <v>demography</v>
      </c>
      <c r="D23" s="99" t="str">
        <v>birthcountry</v>
      </c>
      <c r="E23" s="99" t="str">
        <v>father</v>
      </c>
      <c r="F23" s="99"/>
      <c r="G23" s="100"/>
      <c r="H23" s="128" t="s">
        <v>3319</v>
      </c>
      <c r="I23" s="103" t="s">
        <v>5765</v>
      </c>
      <c r="J23" s="103" t="s">
        <v>5777</v>
      </c>
      <c r="K23" s="104" t="s">
        <v>5779</v>
      </c>
      <c r="L23" s="1"/>
      <c r="M23" s="16"/>
      <c r="N23" s="1" t="s">
        <v>2295</v>
      </c>
    </row>
    <row r="24" spans="1:23" ht="29" x14ac:dyDescent="0.35">
      <c r="A24" s="113" t="s">
        <v>297</v>
      </c>
      <c r="B24" s="102" t="s">
        <v>4096</v>
      </c>
      <c r="C24" s="123" t="str" cm="1">
        <f t="array" ref="C24:E24">_xlfn.TEXTSPLIT('איחוד שאלות'!$B24,"_")</f>
        <v>demography</v>
      </c>
      <c r="D24" s="102" t="str">
        <v>birthcountry</v>
      </c>
      <c r="E24" s="102" t="str">
        <v>father</v>
      </c>
      <c r="F24" s="102"/>
      <c r="G24" s="103"/>
      <c r="H24" s="129" t="s">
        <v>3319</v>
      </c>
      <c r="I24" s="100" t="s">
        <v>5765</v>
      </c>
      <c r="J24" s="100" t="s">
        <v>5777</v>
      </c>
      <c r="K24" s="101" t="s">
        <v>5779</v>
      </c>
      <c r="L24" s="1"/>
      <c r="M24" s="16"/>
      <c r="N24" s="1" t="s">
        <v>297</v>
      </c>
    </row>
    <row r="25" spans="1:23" ht="29" x14ac:dyDescent="0.35">
      <c r="A25" s="121" t="s">
        <v>299</v>
      </c>
      <c r="B25" s="99" t="s">
        <v>4097</v>
      </c>
      <c r="C25" s="121" t="str" cm="1">
        <f t="array" ref="C25:E25">_xlfn.TEXTSPLIT('איחוד שאלות'!$B25,"_")</f>
        <v>demography</v>
      </c>
      <c r="D25" s="99" t="str">
        <v>birthcountry</v>
      </c>
      <c r="E25" s="99" t="str">
        <v>mother</v>
      </c>
      <c r="F25" s="99"/>
      <c r="G25" s="100"/>
      <c r="H25" s="128" t="s">
        <v>3319</v>
      </c>
      <c r="I25" s="103" t="s">
        <v>5765</v>
      </c>
      <c r="J25" s="103" t="s">
        <v>5777</v>
      </c>
      <c r="K25" s="104" t="s">
        <v>5780</v>
      </c>
      <c r="L25" s="1"/>
      <c r="M25" s="16"/>
      <c r="N25" s="1" t="s">
        <v>299</v>
      </c>
    </row>
    <row r="26" spans="1:23" ht="29" x14ac:dyDescent="0.35">
      <c r="A26" s="113" t="s">
        <v>3017</v>
      </c>
      <c r="B26" s="102" t="s">
        <v>4098</v>
      </c>
      <c r="C26" s="123" t="str" cm="1">
        <f t="array" ref="C26:E26">_xlfn.TEXTSPLIT('איחוד שאלות'!$B26,"_")</f>
        <v>demography</v>
      </c>
      <c r="D26" s="102" t="str">
        <v>birthcountry</v>
      </c>
      <c r="E26" s="102" t="str">
        <v>partner</v>
      </c>
      <c r="F26" s="102"/>
      <c r="G26" s="103"/>
      <c r="H26" s="129" t="s">
        <v>3319</v>
      </c>
      <c r="I26" s="100" t="s">
        <v>5765</v>
      </c>
      <c r="J26" s="100" t="s">
        <v>5777</v>
      </c>
      <c r="K26" s="101" t="s">
        <v>5772</v>
      </c>
      <c r="L26" s="1"/>
      <c r="M26" s="16"/>
      <c r="N26" s="1" t="s">
        <v>3017</v>
      </c>
    </row>
    <row r="27" spans="1:23" ht="29" x14ac:dyDescent="0.35">
      <c r="A27" s="122" t="s">
        <v>147</v>
      </c>
      <c r="B27" s="99" t="s">
        <v>4099</v>
      </c>
      <c r="C27" s="121" t="str" cm="1">
        <f t="array" ref="C27:E27">_xlfn.TEXTSPLIT('איחוד שאלות'!$B27,"_")</f>
        <v>demography</v>
      </c>
      <c r="D27" s="99" t="str">
        <v>imm</v>
      </c>
      <c r="E27" s="99" t="str">
        <v>year</v>
      </c>
      <c r="F27" s="99"/>
      <c r="G27" s="100"/>
      <c r="H27" s="128" t="s">
        <v>3319</v>
      </c>
      <c r="I27" s="103" t="s">
        <v>5765</v>
      </c>
      <c r="J27" s="105" t="s">
        <v>5781</v>
      </c>
      <c r="K27" s="106" t="s">
        <v>5782</v>
      </c>
      <c r="N27" s="1" t="s">
        <v>147</v>
      </c>
    </row>
    <row r="28" spans="1:23" ht="29" x14ac:dyDescent="0.35">
      <c r="A28" s="105" t="s">
        <v>1259</v>
      </c>
      <c r="B28" s="102" t="s">
        <v>4100</v>
      </c>
      <c r="C28" s="123" t="str" cm="1">
        <f t="array" ref="C28:E28">_xlfn.TEXTSPLIT('איחוד שאלות'!$B28,"_")</f>
        <v>demography</v>
      </c>
      <c r="D28" s="102" t="str">
        <v>imm</v>
      </c>
      <c r="E28" s="102" t="str">
        <v>USSR</v>
      </c>
      <c r="F28" s="102"/>
      <c r="G28" s="103"/>
      <c r="H28" s="129" t="s">
        <v>3319</v>
      </c>
      <c r="I28" s="107" t="s">
        <v>5765</v>
      </c>
      <c r="J28" s="108" t="s">
        <v>5781</v>
      </c>
      <c r="K28" s="109" t="s">
        <v>5783</v>
      </c>
      <c r="N28" s="1" t="s">
        <v>1259</v>
      </c>
    </row>
    <row r="29" spans="1:23" ht="43.5" x14ac:dyDescent="0.35">
      <c r="A29" s="121" t="s">
        <v>1093</v>
      </c>
      <c r="B29" s="99" t="s">
        <v>4101</v>
      </c>
      <c r="C29" s="121" t="str" cm="1">
        <f t="array" ref="C29:F29">_xlfn.TEXTSPLIT('איחוד שאלות'!$B29,"_")</f>
        <v>demography</v>
      </c>
      <c r="D29" s="99" t="str">
        <v>imm</v>
      </c>
      <c r="E29" s="99" t="str">
        <v>USSR</v>
      </c>
      <c r="F29" s="99" t="str">
        <v>residence</v>
      </c>
      <c r="G29" s="100"/>
      <c r="H29" s="128" t="s">
        <v>3319</v>
      </c>
      <c r="I29" s="110" t="s">
        <v>5765</v>
      </c>
      <c r="J29" s="111" t="s">
        <v>5781</v>
      </c>
      <c r="K29" s="112" t="s">
        <v>5783</v>
      </c>
      <c r="L29" s="2" t="s">
        <v>5784</v>
      </c>
      <c r="N29" s="1" t="s">
        <v>1093</v>
      </c>
    </row>
    <row r="30" spans="1:23" ht="43.5" x14ac:dyDescent="0.35">
      <c r="A30" s="113" t="s">
        <v>1095</v>
      </c>
      <c r="B30" s="102" t="s">
        <v>4102</v>
      </c>
      <c r="C30" s="123" t="str" cm="1">
        <f t="array" ref="C30:F30">_xlfn.TEXTSPLIT('איחוד שאלות'!$B30,"_")</f>
        <v>demography</v>
      </c>
      <c r="D30" s="102" t="str">
        <v>imm</v>
      </c>
      <c r="E30" s="102" t="str">
        <v>USSR</v>
      </c>
      <c r="F30" s="102" t="str">
        <v>nationality</v>
      </c>
      <c r="G30" s="103"/>
      <c r="H30" s="129" t="s">
        <v>3319</v>
      </c>
      <c r="I30" s="107" t="s">
        <v>5765</v>
      </c>
      <c r="J30" s="108" t="s">
        <v>5781</v>
      </c>
      <c r="K30" s="109" t="s">
        <v>5783</v>
      </c>
      <c r="L30" s="2" t="s">
        <v>5785</v>
      </c>
      <c r="N30" s="1" t="s">
        <v>1095</v>
      </c>
    </row>
    <row r="31" spans="1:23" ht="43.5" x14ac:dyDescent="0.35">
      <c r="A31" s="121" t="s">
        <v>1097</v>
      </c>
      <c r="B31" s="99" t="s">
        <v>4103</v>
      </c>
      <c r="C31" s="121" t="str" cm="1">
        <f t="array" ref="C31:F31">_xlfn.TEXTSPLIT('איחוד שאלות'!$B31,"_")</f>
        <v>???</v>
      </c>
      <c r="D31" s="99" t="str">
        <v>friends</v>
      </c>
      <c r="E31" s="99" t="str">
        <v>imm</v>
      </c>
      <c r="F31" s="99" t="str">
        <v>USSR</v>
      </c>
      <c r="G31" s="100"/>
      <c r="H31" s="128" t="s">
        <v>3319</v>
      </c>
      <c r="I31" s="103" t="s">
        <v>5786</v>
      </c>
      <c r="J31" s="103" t="s">
        <v>5787</v>
      </c>
      <c r="K31" s="104" t="s">
        <v>5781</v>
      </c>
      <c r="L31" s="1" t="s">
        <v>5783</v>
      </c>
      <c r="M31" s="16"/>
      <c r="N31" s="1" t="s">
        <v>1097</v>
      </c>
    </row>
    <row r="32" spans="1:23" ht="29" x14ac:dyDescent="0.35">
      <c r="A32" s="105" t="s">
        <v>805</v>
      </c>
      <c r="B32" s="102" t="s">
        <v>4104</v>
      </c>
      <c r="C32" s="123" t="str" cm="1">
        <f t="array" ref="C32:F32">_xlfn.TEXTSPLIT('איחוד שאלות'!$B32,"_")</f>
        <v>demography</v>
      </c>
      <c r="D32" s="102" t="str">
        <v>identity</v>
      </c>
      <c r="E32" s="102" t="str">
        <v>hierarchy</v>
      </c>
      <c r="F32" s="102" t="str">
        <v>1</v>
      </c>
      <c r="G32" s="103"/>
      <c r="H32" s="129" t="s">
        <v>3319</v>
      </c>
      <c r="I32" s="100" t="s">
        <v>5765</v>
      </c>
      <c r="J32" s="100" t="s">
        <v>5766</v>
      </c>
      <c r="K32" s="101" t="s">
        <v>5788</v>
      </c>
      <c r="L32" s="1" t="s">
        <v>5789</v>
      </c>
      <c r="M32" s="1"/>
      <c r="N32" s="1" t="s">
        <v>805</v>
      </c>
      <c r="V32" s="1"/>
      <c r="W32" s="1"/>
    </row>
    <row r="33" spans="1:23" ht="29" x14ac:dyDescent="0.35">
      <c r="A33" s="122" t="s">
        <v>806</v>
      </c>
      <c r="B33" s="99" t="s">
        <v>4106</v>
      </c>
      <c r="C33" s="121" t="str" cm="1">
        <f t="array" ref="C33:F33">_xlfn.TEXTSPLIT('איחוד שאלות'!$B33,"_")</f>
        <v>demography</v>
      </c>
      <c r="D33" s="99" t="str">
        <v>identity</v>
      </c>
      <c r="E33" s="99" t="str">
        <v>hierarchy</v>
      </c>
      <c r="F33" s="99" t="str">
        <v>2</v>
      </c>
      <c r="G33" s="100"/>
      <c r="H33" s="128" t="s">
        <v>3319</v>
      </c>
      <c r="I33" s="103" t="s">
        <v>5765</v>
      </c>
      <c r="J33" s="103" t="s">
        <v>5766</v>
      </c>
      <c r="K33" s="104" t="s">
        <v>5788</v>
      </c>
      <c r="L33" s="1" t="s">
        <v>5790</v>
      </c>
      <c r="M33" s="1"/>
      <c r="N33" s="1" t="s">
        <v>806</v>
      </c>
      <c r="V33" s="1"/>
      <c r="W33" s="1"/>
    </row>
    <row r="34" spans="1:23" ht="29" x14ac:dyDescent="0.35">
      <c r="A34" s="105" t="s">
        <v>807</v>
      </c>
      <c r="B34" s="102" t="s">
        <v>4105</v>
      </c>
      <c r="C34" s="123" t="str" cm="1">
        <f t="array" ref="C34:F34">_xlfn.TEXTSPLIT('איחוד שאלות'!$B34,"_")</f>
        <v>demography</v>
      </c>
      <c r="D34" s="102" t="str">
        <v>identity</v>
      </c>
      <c r="E34" s="102" t="str">
        <v>hierarchy</v>
      </c>
      <c r="F34" s="102" t="str">
        <v>3</v>
      </c>
      <c r="G34" s="103"/>
      <c r="H34" s="129" t="s">
        <v>3319</v>
      </c>
      <c r="I34" s="100" t="s">
        <v>5765</v>
      </c>
      <c r="J34" s="100" t="s">
        <v>5766</v>
      </c>
      <c r="K34" s="101" t="s">
        <v>5788</v>
      </c>
      <c r="L34" s="1" t="s">
        <v>5791</v>
      </c>
      <c r="M34" s="1"/>
      <c r="N34" s="1" t="s">
        <v>807</v>
      </c>
      <c r="V34" s="1"/>
      <c r="W34" s="1"/>
    </row>
    <row r="35" spans="1:23" ht="29" x14ac:dyDescent="0.35">
      <c r="A35" s="122" t="s">
        <v>808</v>
      </c>
      <c r="B35" s="99" t="s">
        <v>4107</v>
      </c>
      <c r="C35" s="121" t="str" cm="1">
        <f t="array" ref="C35:F35">_xlfn.TEXTSPLIT('איחוד שאלות'!$B35,"_")</f>
        <v>demography</v>
      </c>
      <c r="D35" s="99" t="str">
        <v>identity</v>
      </c>
      <c r="E35" s="99" t="str">
        <v>hierarchy</v>
      </c>
      <c r="F35" s="99" t="str">
        <v>4</v>
      </c>
      <c r="G35" s="100"/>
      <c r="H35" s="128" t="s">
        <v>3319</v>
      </c>
      <c r="I35" s="103" t="s">
        <v>5765</v>
      </c>
      <c r="J35" s="105" t="s">
        <v>5766</v>
      </c>
      <c r="K35" s="106" t="s">
        <v>5788</v>
      </c>
      <c r="L35" s="2" t="s">
        <v>5792</v>
      </c>
      <c r="N35" s="1" t="s">
        <v>808</v>
      </c>
    </row>
    <row r="36" spans="1:23" ht="29" x14ac:dyDescent="0.35">
      <c r="A36" s="113" t="s">
        <v>303</v>
      </c>
      <c r="B36" s="102" t="s">
        <v>4108</v>
      </c>
      <c r="C36" s="123" t="str" cm="1">
        <f t="array" ref="C36:E36">_xlfn.TEXTSPLIT('איחוד שאלות'!$B36,"_")</f>
        <v>demography</v>
      </c>
      <c r="D36" s="102" t="str">
        <v>identity</v>
      </c>
      <c r="E36" s="102" t="str">
        <v>class</v>
      </c>
      <c r="F36" s="102"/>
      <c r="G36" s="103"/>
      <c r="H36" s="129" t="s">
        <v>3319</v>
      </c>
      <c r="I36" s="100" t="s">
        <v>5765</v>
      </c>
      <c r="J36" s="100" t="s">
        <v>5766</v>
      </c>
      <c r="K36" s="101" t="s">
        <v>5793</v>
      </c>
      <c r="L36" s="1"/>
      <c r="M36" s="1"/>
      <c r="N36" s="1" t="s">
        <v>303</v>
      </c>
      <c r="V36" s="1"/>
      <c r="W36" s="1"/>
    </row>
    <row r="37" spans="1:23" ht="101.5" x14ac:dyDescent="0.35">
      <c r="A37" s="121" t="s">
        <v>152</v>
      </c>
      <c r="B37" s="99" t="s">
        <v>4110</v>
      </c>
      <c r="C37" s="121" t="str" cm="1">
        <f t="array" ref="C37:F37">_xlfn.TEXTSPLIT('איחוד שאלות'!$B37,"_")</f>
        <v>demography</v>
      </c>
      <c r="D37" s="99" t="str">
        <v>wealth</v>
      </c>
      <c r="E37" s="99" t="str">
        <v>household</v>
      </c>
      <c r="F37" s="99" t="str">
        <v>expense</v>
      </c>
      <c r="G37" s="100"/>
      <c r="H37" s="128" t="s">
        <v>3319</v>
      </c>
      <c r="I37" s="103" t="s">
        <v>5765</v>
      </c>
      <c r="J37" s="103" t="s">
        <v>5794</v>
      </c>
      <c r="K37" s="104" t="s">
        <v>5795</v>
      </c>
      <c r="L37" s="1" t="s">
        <v>5796</v>
      </c>
      <c r="M37" s="1"/>
      <c r="N37" s="1" t="s">
        <v>152</v>
      </c>
      <c r="V37" s="1"/>
      <c r="W37" s="1"/>
    </row>
    <row r="38" spans="1:23" ht="43.5" x14ac:dyDescent="0.35">
      <c r="A38" s="113" t="s">
        <v>2410</v>
      </c>
      <c r="B38" s="102" t="s">
        <v>4110</v>
      </c>
      <c r="C38" s="123" t="str" cm="1">
        <f t="array" ref="C38:F38">_xlfn.TEXTSPLIT('איחוד שאלות'!$B38,"_")</f>
        <v>demography</v>
      </c>
      <c r="D38" s="102" t="str">
        <v>wealth</v>
      </c>
      <c r="E38" s="102" t="str">
        <v>household</v>
      </c>
      <c r="F38" s="102" t="str">
        <v>expense</v>
      </c>
      <c r="G38" s="103"/>
      <c r="H38" s="129" t="s">
        <v>3319</v>
      </c>
      <c r="I38" s="100" t="s">
        <v>5765</v>
      </c>
      <c r="J38" s="100" t="s">
        <v>5794</v>
      </c>
      <c r="K38" s="101" t="s">
        <v>5795</v>
      </c>
      <c r="L38" s="1" t="s">
        <v>5796</v>
      </c>
      <c r="M38" s="1"/>
      <c r="N38" s="1" t="s">
        <v>2410</v>
      </c>
      <c r="V38" s="1"/>
      <c r="W38" s="1"/>
    </row>
    <row r="39" spans="1:23" ht="101.5" x14ac:dyDescent="0.35">
      <c r="A39" s="121" t="s">
        <v>671</v>
      </c>
      <c r="B39" s="99" t="s">
        <v>4111</v>
      </c>
      <c r="C39" s="121" t="str" cm="1">
        <f t="array" ref="C39:F39">_xlfn.TEXTSPLIT('איחוד שאלות'!$B39,"_")</f>
        <v>demography</v>
      </c>
      <c r="D39" s="99" t="str">
        <v>wealth</v>
      </c>
      <c r="E39" s="99" t="str">
        <v>household</v>
      </c>
      <c r="F39" s="99" t="str">
        <v>incomeprimery</v>
      </c>
      <c r="G39" s="100"/>
      <c r="H39" s="128" t="s">
        <v>3319</v>
      </c>
      <c r="I39" s="103" t="s">
        <v>5765</v>
      </c>
      <c r="J39" s="103" t="s">
        <v>5794</v>
      </c>
      <c r="K39" s="104" t="s">
        <v>5795</v>
      </c>
      <c r="L39" s="1" t="s">
        <v>5797</v>
      </c>
      <c r="M39" s="1"/>
      <c r="N39" s="1" t="s">
        <v>671</v>
      </c>
      <c r="V39" s="1"/>
      <c r="W39" s="1"/>
    </row>
    <row r="40" spans="1:23" ht="72.5" x14ac:dyDescent="0.35">
      <c r="A40" s="113" t="s">
        <v>672</v>
      </c>
      <c r="B40" s="102" t="s">
        <v>4112</v>
      </c>
      <c r="C40" s="123" t="str" cm="1">
        <f t="array" ref="C40:F40">_xlfn.TEXTSPLIT('איחוד שאלות'!$B40,"_")</f>
        <v>demography</v>
      </c>
      <c r="D40" s="102" t="str">
        <v>wealth</v>
      </c>
      <c r="E40" s="102" t="str">
        <v>household</v>
      </c>
      <c r="F40" s="102" t="str">
        <v>incomehousehold</v>
      </c>
      <c r="G40" s="103"/>
      <c r="H40" s="129" t="s">
        <v>3319</v>
      </c>
      <c r="I40" s="100" t="s">
        <v>5765</v>
      </c>
      <c r="J40" s="100" t="s">
        <v>5794</v>
      </c>
      <c r="K40" s="101" t="s">
        <v>5795</v>
      </c>
      <c r="L40" s="1" t="s">
        <v>5798</v>
      </c>
      <c r="M40" s="1"/>
      <c r="N40" s="1" t="s">
        <v>672</v>
      </c>
      <c r="V40" s="1"/>
      <c r="W40" s="1"/>
    </row>
    <row r="41" spans="1:23" ht="43.5" x14ac:dyDescent="0.35">
      <c r="A41" s="121" t="s">
        <v>1787</v>
      </c>
      <c r="B41" s="99" t="s">
        <v>4113</v>
      </c>
      <c r="C41" s="121" t="str" cm="1">
        <f t="array" ref="C41:F41">_xlfn.TEXTSPLIT('איחוד שאלות'!$B41,"_")</f>
        <v>demography</v>
      </c>
      <c r="D41" s="99" t="str">
        <v>wealth</v>
      </c>
      <c r="E41" s="99" t="str">
        <v>household</v>
      </c>
      <c r="F41" s="99" t="str">
        <v>incomeproportion</v>
      </c>
      <c r="G41" s="100"/>
      <c r="H41" s="128" t="s">
        <v>3319</v>
      </c>
      <c r="I41" s="103" t="s">
        <v>5765</v>
      </c>
      <c r="J41" s="103" t="s">
        <v>5794</v>
      </c>
      <c r="K41" s="104" t="s">
        <v>5795</v>
      </c>
      <c r="L41" s="1" t="s">
        <v>5799</v>
      </c>
      <c r="M41" s="1"/>
      <c r="N41" s="1" t="s">
        <v>1787</v>
      </c>
      <c r="V41" s="1"/>
      <c r="W41" s="1"/>
    </row>
    <row r="42" spans="1:23" ht="43.5" x14ac:dyDescent="0.35">
      <c r="A42" s="113" t="s">
        <v>2578</v>
      </c>
      <c r="B42" s="102" t="s">
        <v>4109</v>
      </c>
      <c r="C42" s="123" t="str" cm="1">
        <f t="array" ref="C42:E42">_xlfn.TEXTSPLIT('איחוד שאלות'!$B42,"_")</f>
        <v>demography</v>
      </c>
      <c r="D42" s="102" t="str">
        <v>wealth</v>
      </c>
      <c r="E42" s="102" t="str">
        <v>incomepersonal</v>
      </c>
      <c r="F42" s="102"/>
      <c r="G42" s="103"/>
      <c r="H42" s="129" t="s">
        <v>3319</v>
      </c>
      <c r="I42" s="100" t="s">
        <v>5765</v>
      </c>
      <c r="J42" s="100" t="s">
        <v>5794</v>
      </c>
      <c r="K42" s="101" t="s">
        <v>5800</v>
      </c>
      <c r="L42" s="1"/>
      <c r="M42" s="1"/>
      <c r="N42" s="1" t="s">
        <v>2578</v>
      </c>
      <c r="V42" s="1"/>
      <c r="W42" s="1"/>
    </row>
    <row r="43" spans="1:23" ht="29" x14ac:dyDescent="0.35">
      <c r="A43" s="121" t="s">
        <v>153</v>
      </c>
      <c r="B43" s="99" t="s">
        <v>4114</v>
      </c>
      <c r="C43" s="121" t="str" cm="1">
        <f t="array" ref="C43:E43">_xlfn.TEXTSPLIT('איחוד שאלות'!$B43,"_")</f>
        <v>demography</v>
      </c>
      <c r="D43" s="99" t="str">
        <v>household</v>
      </c>
      <c r="E43" s="99" t="str">
        <v>rooms</v>
      </c>
      <c r="F43" s="99"/>
      <c r="G43" s="100"/>
      <c r="H43" s="128" t="s">
        <v>3319</v>
      </c>
      <c r="I43" s="103" t="s">
        <v>5765</v>
      </c>
      <c r="J43" s="103" t="s">
        <v>5795</v>
      </c>
      <c r="K43" s="104" t="s">
        <v>5801</v>
      </c>
      <c r="L43" s="1"/>
      <c r="M43" s="1"/>
      <c r="N43" s="1" t="s">
        <v>153</v>
      </c>
      <c r="V43" s="1"/>
      <c r="W43" s="1"/>
    </row>
    <row r="44" spans="1:23" ht="43.5" x14ac:dyDescent="0.35">
      <c r="A44" s="113" t="s">
        <v>155</v>
      </c>
      <c r="B44" s="102" t="s">
        <v>4115</v>
      </c>
      <c r="C44" s="123" t="str" cm="1">
        <f t="array" ref="C44:E44">_xlfn.TEXTSPLIT('איחוד שאלות'!$B44,"_")</f>
        <v>demography</v>
      </c>
      <c r="D44" s="102" t="str">
        <v>household</v>
      </c>
      <c r="E44" s="102" t="str">
        <v>residents</v>
      </c>
      <c r="F44" s="102"/>
      <c r="G44" s="103"/>
      <c r="H44" s="129" t="s">
        <v>3319</v>
      </c>
      <c r="I44" s="100" t="s">
        <v>5765</v>
      </c>
      <c r="J44" s="100" t="s">
        <v>5795</v>
      </c>
      <c r="K44" s="101" t="s">
        <v>5802</v>
      </c>
      <c r="L44" s="1"/>
      <c r="M44" s="1"/>
      <c r="N44" s="1" t="s">
        <v>155</v>
      </c>
      <c r="V44" s="1"/>
      <c r="W44" s="1"/>
    </row>
    <row r="45" spans="1:23" ht="29" x14ac:dyDescent="0.35">
      <c r="A45" s="121" t="s">
        <v>3016</v>
      </c>
      <c r="B45" s="99" t="s">
        <v>4116</v>
      </c>
      <c r="C45" s="121" t="str" cm="1">
        <f t="array" ref="C45:E45">_xlfn.TEXTSPLIT('איחוד שאלות'!$B45,"_")</f>
        <v>demography</v>
      </c>
      <c r="D45" s="99" t="str">
        <v>household</v>
      </c>
      <c r="E45" s="99" t="str">
        <v>consistency</v>
      </c>
      <c r="F45" s="99"/>
      <c r="G45" s="100"/>
      <c r="H45" s="128" t="s">
        <v>3319</v>
      </c>
      <c r="I45" s="103" t="s">
        <v>5765</v>
      </c>
      <c r="J45" s="103" t="s">
        <v>5795</v>
      </c>
      <c r="K45" s="104" t="s">
        <v>5803</v>
      </c>
      <c r="L45" s="1"/>
      <c r="M45" s="1"/>
      <c r="N45" s="1" t="s">
        <v>3016</v>
      </c>
      <c r="V45" s="1"/>
      <c r="W45" s="1"/>
    </row>
    <row r="46" spans="1:23" ht="29" x14ac:dyDescent="0.35">
      <c r="A46" s="113" t="s">
        <v>157</v>
      </c>
      <c r="B46" s="102" t="s">
        <v>4117</v>
      </c>
      <c r="C46" s="123" t="str" cm="1">
        <f t="array" ref="C46:E46">_xlfn.TEXTSPLIT('איחוד שאלות'!$B46,"_")</f>
        <v>demography</v>
      </c>
      <c r="D46" s="102" t="str">
        <v>identity</v>
      </c>
      <c r="E46" s="102" t="str">
        <v>religion</v>
      </c>
      <c r="F46" s="102"/>
      <c r="G46" s="103"/>
      <c r="H46" s="129" t="s">
        <v>3319</v>
      </c>
      <c r="I46" s="100" t="s">
        <v>5765</v>
      </c>
      <c r="J46" s="100" t="s">
        <v>5766</v>
      </c>
      <c r="K46" s="101" t="s">
        <v>5804</v>
      </c>
      <c r="L46" s="1"/>
      <c r="M46" s="1"/>
      <c r="N46" s="1" t="s">
        <v>157</v>
      </c>
      <c r="V46" s="1"/>
      <c r="W46" s="1"/>
    </row>
    <row r="47" spans="1:23" ht="29" x14ac:dyDescent="0.35">
      <c r="A47" s="121" t="s">
        <v>159</v>
      </c>
      <c r="B47" s="99" t="s">
        <v>4118</v>
      </c>
      <c r="C47" s="121" t="str" cm="1">
        <f t="array" ref="C47:E47">_xlfn.TEXTSPLIT('איחוד שאלות'!$B47,"_")</f>
        <v>demography</v>
      </c>
      <c r="D47" s="99" t="str">
        <v>identity</v>
      </c>
      <c r="E47" s="99" t="str">
        <v>religiousety</v>
      </c>
      <c r="F47" s="99"/>
      <c r="G47" s="100"/>
      <c r="H47" s="128" t="s">
        <v>3319</v>
      </c>
      <c r="I47" s="103" t="s">
        <v>5765</v>
      </c>
      <c r="J47" s="103" t="s">
        <v>5766</v>
      </c>
      <c r="K47" s="104" t="s">
        <v>5805</v>
      </c>
      <c r="L47" s="1"/>
      <c r="M47" s="1"/>
      <c r="N47" s="1" t="s">
        <v>159</v>
      </c>
      <c r="V47" s="1"/>
      <c r="W47" s="1"/>
    </row>
    <row r="48" spans="1:23" ht="43.5" x14ac:dyDescent="0.35">
      <c r="A48" s="113" t="s">
        <v>294</v>
      </c>
      <c r="B48" s="102" t="s">
        <v>3323</v>
      </c>
      <c r="C48" s="123" t="str" cm="1">
        <f t="array" ref="C48:D48">_xlfn.TEXTSPLIT('איחוד שאלות'!$B48,"_")</f>
        <v>behavior</v>
      </c>
      <c r="D48" s="102" t="str">
        <v>religiousety</v>
      </c>
      <c r="E48" s="102"/>
      <c r="F48" s="102"/>
      <c r="G48" s="103"/>
      <c r="H48" s="129" t="s">
        <v>3319</v>
      </c>
      <c r="I48" s="100" t="s">
        <v>5806</v>
      </c>
      <c r="J48" s="100" t="s">
        <v>5805</v>
      </c>
      <c r="K48" s="101"/>
      <c r="L48" s="1"/>
      <c r="M48" s="1"/>
      <c r="N48" s="1" t="s">
        <v>294</v>
      </c>
      <c r="V48" s="1"/>
      <c r="W48" s="1"/>
    </row>
    <row r="49" spans="1:23" ht="29" x14ac:dyDescent="0.35">
      <c r="A49" s="121" t="s">
        <v>2397</v>
      </c>
      <c r="B49" s="99" t="s">
        <v>3324</v>
      </c>
      <c r="C49" s="121" t="str" cm="1">
        <f t="array" ref="C49:E49">_xlfn.TEXTSPLIT('איחוד שאלות'!$B49,"_")</f>
        <v>behavior</v>
      </c>
      <c r="D49" s="99" t="str">
        <v>religiousety</v>
      </c>
      <c r="E49" s="99" t="str">
        <v>shabat</v>
      </c>
      <c r="F49" s="99"/>
      <c r="G49" s="100"/>
      <c r="H49" s="128" t="s">
        <v>3319</v>
      </c>
      <c r="I49" s="103" t="s">
        <v>5806</v>
      </c>
      <c r="J49" s="103" t="s">
        <v>5805</v>
      </c>
      <c r="K49" s="104" t="s">
        <v>5807</v>
      </c>
      <c r="L49" s="1"/>
      <c r="M49" s="1"/>
      <c r="N49" s="1" t="s">
        <v>2397</v>
      </c>
      <c r="V49" s="1"/>
      <c r="W49" s="1"/>
    </row>
    <row r="50" spans="1:23" ht="29" x14ac:dyDescent="0.35">
      <c r="A50" s="113" t="s">
        <v>2398</v>
      </c>
      <c r="B50" s="102" t="s">
        <v>3325</v>
      </c>
      <c r="C50" s="123" t="str" cm="1">
        <f t="array" ref="C50:E50">_xlfn.TEXTSPLIT('איחוד שאלות'!$B50,"_")</f>
        <v>behavior</v>
      </c>
      <c r="D50" s="102" t="str">
        <v>religiousety</v>
      </c>
      <c r="E50" s="102" t="str">
        <v>kosher</v>
      </c>
      <c r="F50" s="102"/>
      <c r="G50" s="103"/>
      <c r="H50" s="129" t="s">
        <v>3319</v>
      </c>
      <c r="I50" s="100" t="s">
        <v>5806</v>
      </c>
      <c r="J50" s="100" t="s">
        <v>5805</v>
      </c>
      <c r="K50" s="101" t="s">
        <v>5808</v>
      </c>
      <c r="L50" s="1"/>
      <c r="M50" s="1"/>
      <c r="N50" s="1" t="s">
        <v>2398</v>
      </c>
      <c r="V50" s="1"/>
      <c r="W50" s="1"/>
    </row>
    <row r="51" spans="1:23" ht="43.5" x14ac:dyDescent="0.35">
      <c r="A51" s="121" t="s">
        <v>2401</v>
      </c>
      <c r="B51" s="99" t="s">
        <v>3326</v>
      </c>
      <c r="C51" s="121" t="str" cm="1">
        <f t="array" ref="C51:E51">_xlfn.TEXTSPLIT('איחוד שאלות'!$B51,"_")</f>
        <v>behavior</v>
      </c>
      <c r="D51" s="99" t="str">
        <v>religiousety</v>
      </c>
      <c r="E51" s="99" t="str">
        <v>synagoge</v>
      </c>
      <c r="F51" s="99"/>
      <c r="G51" s="100"/>
      <c r="H51" s="128" t="s">
        <v>3319</v>
      </c>
      <c r="I51" s="103" t="s">
        <v>5806</v>
      </c>
      <c r="J51" s="103" t="s">
        <v>5805</v>
      </c>
      <c r="K51" s="104" t="s">
        <v>5809</v>
      </c>
      <c r="L51" s="1"/>
      <c r="M51" s="1"/>
      <c r="N51" s="1" t="s">
        <v>2401</v>
      </c>
      <c r="V51" s="1"/>
      <c r="W51" s="1"/>
    </row>
    <row r="52" spans="1:23" ht="29" x14ac:dyDescent="0.35">
      <c r="A52" s="113" t="s">
        <v>1451</v>
      </c>
      <c r="B52" s="102" t="s">
        <v>4119</v>
      </c>
      <c r="C52" s="123" t="str" cm="1">
        <f t="array" ref="C52:E52">_xlfn.TEXTSPLIT('איחוד שאלות'!$B52,"_")</f>
        <v>demography</v>
      </c>
      <c r="D52" s="102" t="str">
        <v>occupation</v>
      </c>
      <c r="E52" s="102" t="str">
        <v>domestic</v>
      </c>
      <c r="F52" s="102"/>
      <c r="G52" s="103"/>
      <c r="H52" s="129" t="s">
        <v>3319</v>
      </c>
      <c r="I52" s="100" t="s">
        <v>5765</v>
      </c>
      <c r="J52" s="100" t="s">
        <v>5810</v>
      </c>
      <c r="K52" s="101" t="s">
        <v>5811</v>
      </c>
      <c r="L52" s="1"/>
      <c r="M52" s="1"/>
      <c r="N52" s="1" t="s">
        <v>1451</v>
      </c>
      <c r="V52" s="1"/>
      <c r="W52" s="1"/>
    </row>
    <row r="53" spans="1:23" ht="29" x14ac:dyDescent="0.35">
      <c r="A53" s="121" t="s">
        <v>554</v>
      </c>
      <c r="B53" s="99" t="s">
        <v>4120</v>
      </c>
      <c r="C53" s="121" t="str" cm="1">
        <f t="array" ref="C53:E53">_xlfn.TEXTSPLIT('איחוד שאלות'!$B53,"_")</f>
        <v>demography</v>
      </c>
      <c r="D53" s="99" t="str">
        <v>occupation</v>
      </c>
      <c r="E53" s="99" t="str">
        <v>status</v>
      </c>
      <c r="F53" s="99"/>
      <c r="G53" s="100"/>
      <c r="H53" s="128" t="s">
        <v>3319</v>
      </c>
      <c r="I53" s="103" t="s">
        <v>5765</v>
      </c>
      <c r="J53" s="103" t="s">
        <v>5810</v>
      </c>
      <c r="K53" s="104" t="s">
        <v>5812</v>
      </c>
      <c r="L53" s="1"/>
      <c r="M53" s="1"/>
      <c r="N53" s="1" t="s">
        <v>554</v>
      </c>
      <c r="V53" s="1"/>
      <c r="W53" s="1"/>
    </row>
    <row r="54" spans="1:23" ht="43.5" x14ac:dyDescent="0.35">
      <c r="A54" s="113" t="s">
        <v>2566</v>
      </c>
      <c r="B54" s="102" t="s">
        <v>4121</v>
      </c>
      <c r="C54" s="123" t="str" cm="1">
        <f t="array" ref="C54:F54">_xlfn.TEXTSPLIT('איחוד שאלות'!$B54,"_")</f>
        <v>demography</v>
      </c>
      <c r="D54" s="102" t="str">
        <v>occupation</v>
      </c>
      <c r="E54" s="102" t="str">
        <v>status</v>
      </c>
      <c r="F54" s="102" t="str">
        <v>partner</v>
      </c>
      <c r="G54" s="103"/>
      <c r="H54" s="129" t="s">
        <v>3319</v>
      </c>
      <c r="I54" s="100" t="s">
        <v>5765</v>
      </c>
      <c r="J54" s="100" t="s">
        <v>5810</v>
      </c>
      <c r="K54" s="101" t="s">
        <v>5812</v>
      </c>
      <c r="L54" s="1" t="s">
        <v>5772</v>
      </c>
      <c r="M54" s="1"/>
      <c r="N54" s="1" t="s">
        <v>2566</v>
      </c>
      <c r="V54" s="1"/>
      <c r="W54" s="1"/>
    </row>
    <row r="55" spans="1:23" ht="43.5" x14ac:dyDescent="0.35">
      <c r="A55" s="121" t="s">
        <v>555</v>
      </c>
      <c r="B55" s="99" t="s">
        <v>4122</v>
      </c>
      <c r="C55" s="121" t="str" cm="1">
        <f t="array" ref="C55:E55">_xlfn.TEXTSPLIT('איחוד שאלות'!$B55,"_")</f>
        <v>demography</v>
      </c>
      <c r="D55" s="99" t="str">
        <v>occupation</v>
      </c>
      <c r="E55" s="99" t="str">
        <v>extent</v>
      </c>
      <c r="F55" s="99"/>
      <c r="G55" s="100"/>
      <c r="H55" s="128" t="s">
        <v>3319</v>
      </c>
      <c r="I55" s="103" t="s">
        <v>5765</v>
      </c>
      <c r="J55" s="103" t="s">
        <v>5810</v>
      </c>
      <c r="K55" s="104" t="s">
        <v>5813</v>
      </c>
      <c r="L55" s="1"/>
      <c r="M55" s="1"/>
      <c r="N55" s="1" t="s">
        <v>555</v>
      </c>
      <c r="V55" s="1"/>
      <c r="W55" s="1"/>
    </row>
    <row r="56" spans="1:23" ht="43.5" x14ac:dyDescent="0.35">
      <c r="A56" s="113" t="s">
        <v>301</v>
      </c>
      <c r="B56" s="102" t="s">
        <v>4123</v>
      </c>
      <c r="C56" s="123" t="str" cm="1">
        <f t="array" ref="C56:E56">_xlfn.TEXTSPLIT('איחוד שאלות'!$B56,"_")</f>
        <v>demography</v>
      </c>
      <c r="D56" s="102" t="str">
        <v>occupation</v>
      </c>
      <c r="E56" s="102" t="str">
        <v>description</v>
      </c>
      <c r="F56" s="102"/>
      <c r="G56" s="103"/>
      <c r="H56" s="129" t="s">
        <v>3319</v>
      </c>
      <c r="I56" s="100" t="s">
        <v>5765</v>
      </c>
      <c r="J56" s="100" t="s">
        <v>5810</v>
      </c>
      <c r="K56" s="101" t="s">
        <v>5814</v>
      </c>
      <c r="L56" s="1"/>
      <c r="M56" s="1"/>
      <c r="N56" s="1" t="s">
        <v>301</v>
      </c>
      <c r="V56" s="1"/>
      <c r="W56" s="1"/>
    </row>
    <row r="57" spans="1:23" ht="29" x14ac:dyDescent="0.35">
      <c r="A57" s="121" t="s">
        <v>556</v>
      </c>
      <c r="B57" s="99" t="s">
        <v>4124</v>
      </c>
      <c r="C57" s="121" t="str" cm="1">
        <f t="array" ref="C57:E57">_xlfn.TEXTSPLIT('איחוד שאלות'!$B57,"_")</f>
        <v>demography</v>
      </c>
      <c r="D57" s="99" t="str">
        <v>occupation</v>
      </c>
      <c r="E57" s="99" t="str">
        <v>sector</v>
      </c>
      <c r="F57" s="99"/>
      <c r="G57" s="100"/>
      <c r="H57" s="128" t="s">
        <v>3319</v>
      </c>
      <c r="I57" s="103" t="s">
        <v>5765</v>
      </c>
      <c r="J57" s="103" t="s">
        <v>5810</v>
      </c>
      <c r="K57" s="104" t="s">
        <v>399</v>
      </c>
      <c r="L57" s="1"/>
      <c r="M57" s="1"/>
      <c r="N57" s="1" t="s">
        <v>556</v>
      </c>
      <c r="V57" s="1"/>
      <c r="W57" s="1"/>
    </row>
    <row r="58" spans="1:23" ht="58" x14ac:dyDescent="0.35">
      <c r="A58" s="113" t="s">
        <v>829</v>
      </c>
      <c r="B58" s="102" t="s">
        <v>4125</v>
      </c>
      <c r="C58" s="123" t="str" cm="1">
        <f t="array" ref="C58:F58">_xlfn.TEXTSPLIT('איחוד שאלות'!$B58,"_")</f>
        <v>affect</v>
      </c>
      <c r="D58" s="102" t="str">
        <v>threat</v>
      </c>
      <c r="E58" s="102" t="str">
        <v>occupation</v>
      </c>
      <c r="F58" s="102" t="str">
        <v>fired</v>
      </c>
      <c r="G58" s="103"/>
      <c r="H58" s="129" t="s">
        <v>3319</v>
      </c>
      <c r="I58" s="100" t="s">
        <v>5815</v>
      </c>
      <c r="J58" s="100" t="s">
        <v>5816</v>
      </c>
      <c r="K58" s="101" t="s">
        <v>5810</v>
      </c>
      <c r="L58" s="1" t="s">
        <v>5817</v>
      </c>
      <c r="M58" s="1"/>
      <c r="N58" s="1" t="s">
        <v>829</v>
      </c>
      <c r="V58" s="1"/>
      <c r="W58" s="1"/>
    </row>
    <row r="59" spans="1:23" ht="29" x14ac:dyDescent="0.35">
      <c r="A59" s="121" t="s">
        <v>292</v>
      </c>
      <c r="B59" s="99" t="s">
        <v>4126</v>
      </c>
      <c r="C59" s="121" t="str" cm="1">
        <f t="array" ref="C59:E59">_xlfn.TEXTSPLIT('איחוד שאלות'!$B59,"_")</f>
        <v>demography</v>
      </c>
      <c r="D59" s="99" t="str">
        <v>household</v>
      </c>
      <c r="E59" s="99" t="str">
        <v>status</v>
      </c>
      <c r="F59" s="99"/>
      <c r="G59" s="99"/>
      <c r="H59" s="130" t="s">
        <v>3319</v>
      </c>
      <c r="I59" s="103" t="s">
        <v>5765</v>
      </c>
      <c r="J59" s="103" t="s">
        <v>5795</v>
      </c>
      <c r="K59" s="104" t="s">
        <v>5812</v>
      </c>
      <c r="L59" s="1"/>
      <c r="M59" s="1"/>
      <c r="N59" s="1" t="s">
        <v>292</v>
      </c>
      <c r="V59" s="1"/>
      <c r="W59" s="1"/>
    </row>
    <row r="60" spans="1:23" ht="29" x14ac:dyDescent="0.35">
      <c r="A60" s="113" t="s">
        <v>534</v>
      </c>
      <c r="B60" s="102" t="s">
        <v>4127</v>
      </c>
      <c r="C60" s="123" t="str" cm="1">
        <f t="array" ref="C60:E60">_xlfn.TEXTSPLIT('איחוד שאלות'!$B60,"_")</f>
        <v>demography</v>
      </c>
      <c r="D60" s="102" t="str">
        <v>household</v>
      </c>
      <c r="E60" s="102" t="str">
        <v>children</v>
      </c>
      <c r="F60" s="102"/>
      <c r="G60" s="102"/>
      <c r="H60" s="131" t="s">
        <v>3319</v>
      </c>
      <c r="I60" s="100" t="s">
        <v>5765</v>
      </c>
      <c r="J60" s="100" t="s">
        <v>5795</v>
      </c>
      <c r="K60" s="101" t="s">
        <v>5818</v>
      </c>
      <c r="L60" s="1"/>
      <c r="M60" s="1"/>
      <c r="N60" s="1" t="s">
        <v>534</v>
      </c>
      <c r="V60" s="1"/>
      <c r="W60" s="1"/>
    </row>
    <row r="61" spans="1:23" ht="29" x14ac:dyDescent="0.35">
      <c r="A61" s="121" t="s">
        <v>535</v>
      </c>
      <c r="B61" s="99" t="s">
        <v>4128</v>
      </c>
      <c r="C61" s="121" t="str" cm="1">
        <f t="array" ref="C61:F61">_xlfn.TEXTSPLIT('איחוד שאלות'!$B61,"_")</f>
        <v>demography</v>
      </c>
      <c r="D61" s="99" t="str">
        <v>household</v>
      </c>
      <c r="E61" s="99" t="str">
        <v>children</v>
      </c>
      <c r="F61" s="99" t="str">
        <v>num</v>
      </c>
      <c r="G61" s="100"/>
      <c r="H61" s="128" t="s">
        <v>3319</v>
      </c>
      <c r="I61" s="103" t="s">
        <v>5765</v>
      </c>
      <c r="J61" s="103" t="s">
        <v>5795</v>
      </c>
      <c r="K61" s="104" t="s">
        <v>5818</v>
      </c>
      <c r="L61" s="1" t="s">
        <v>5819</v>
      </c>
      <c r="M61" s="1"/>
      <c r="N61" s="1" t="s">
        <v>535</v>
      </c>
      <c r="V61" s="1"/>
      <c r="W61" s="1"/>
    </row>
    <row r="62" spans="1:23" ht="43.5" x14ac:dyDescent="0.35">
      <c r="A62" s="113" t="s">
        <v>1950</v>
      </c>
      <c r="B62" s="102" t="s">
        <v>4129</v>
      </c>
      <c r="C62" s="123" t="str" cm="1">
        <f t="array" ref="C62:F62">_xlfn.TEXTSPLIT('איחוד שאלות'!$B62,"_")</f>
        <v>demography</v>
      </c>
      <c r="D62" s="102" t="str">
        <v>household</v>
      </c>
      <c r="E62" s="102" t="str">
        <v>childern</v>
      </c>
      <c r="F62" s="102" t="str">
        <v>16</v>
      </c>
      <c r="G62" s="103"/>
      <c r="H62" s="129" t="s">
        <v>3319</v>
      </c>
      <c r="I62" s="100" t="s">
        <v>5765</v>
      </c>
      <c r="J62" s="100" t="s">
        <v>5795</v>
      </c>
      <c r="K62" s="101" t="s">
        <v>5820</v>
      </c>
      <c r="L62" s="1" t="s">
        <v>5821</v>
      </c>
      <c r="M62" s="1"/>
      <c r="N62" s="1" t="s">
        <v>6855</v>
      </c>
      <c r="V62" s="1"/>
      <c r="W62" s="1"/>
    </row>
    <row r="63" spans="1:23" ht="43.5" x14ac:dyDescent="0.35">
      <c r="A63" s="121" t="s">
        <v>1951</v>
      </c>
      <c r="B63" s="99" t="s">
        <v>4130</v>
      </c>
      <c r="C63" s="121" t="str" cm="1">
        <f t="array" ref="C63:F63">_xlfn.TEXTSPLIT('איחוד שאלות'!$B63,"_")</f>
        <v>demography</v>
      </c>
      <c r="D63" s="99" t="str">
        <v>household</v>
      </c>
      <c r="E63" s="99" t="str">
        <v>childern</v>
      </c>
      <c r="F63" s="99" t="str">
        <v>18</v>
      </c>
      <c r="G63" s="100"/>
      <c r="H63" s="128" t="s">
        <v>3319</v>
      </c>
      <c r="I63" s="103" t="s">
        <v>5765</v>
      </c>
      <c r="J63" s="103" t="s">
        <v>5795</v>
      </c>
      <c r="K63" s="104" t="s">
        <v>5820</v>
      </c>
      <c r="L63" s="1" t="s">
        <v>5822</v>
      </c>
      <c r="M63" s="1"/>
      <c r="N63" s="1" t="s">
        <v>6856</v>
      </c>
      <c r="V63" s="1"/>
      <c r="W63" s="1"/>
    </row>
    <row r="64" spans="1:23" ht="43.5" x14ac:dyDescent="0.35">
      <c r="A64" s="113" t="s">
        <v>1952</v>
      </c>
      <c r="B64" s="102" t="s">
        <v>4131</v>
      </c>
      <c r="C64" s="123" t="str" cm="1">
        <f t="array" ref="C64:F64">_xlfn.TEXTSPLIT('איחוד שאלות'!$B64,"_")</f>
        <v>demography</v>
      </c>
      <c r="D64" s="102" t="str">
        <v>household</v>
      </c>
      <c r="E64" s="102" t="str">
        <v>childern</v>
      </c>
      <c r="F64" s="102" t="str">
        <v>23</v>
      </c>
      <c r="G64" s="103"/>
      <c r="H64" s="129" t="s">
        <v>3319</v>
      </c>
      <c r="I64" s="100" t="s">
        <v>5765</v>
      </c>
      <c r="J64" s="100" t="s">
        <v>5795</v>
      </c>
      <c r="K64" s="101" t="s">
        <v>5820</v>
      </c>
      <c r="L64" s="1" t="s">
        <v>5823</v>
      </c>
      <c r="M64" s="1"/>
      <c r="N64" s="1" t="s">
        <v>6857</v>
      </c>
      <c r="V64" s="1"/>
      <c r="W64" s="1"/>
    </row>
    <row r="65" spans="1:23" ht="43.5" x14ac:dyDescent="0.35">
      <c r="A65" s="121" t="s">
        <v>537</v>
      </c>
      <c r="B65" s="99" t="s">
        <v>4132</v>
      </c>
      <c r="C65" s="121" t="str" cm="1">
        <f t="array" ref="C65:F65">_xlfn.TEXTSPLIT('איחוד שאלות'!$B65,"_")</f>
        <v>demography</v>
      </c>
      <c r="D65" s="99" t="str">
        <v>household</v>
      </c>
      <c r="E65" s="99" t="str">
        <v>childern</v>
      </c>
      <c r="F65" s="99" t="str">
        <v>inhousehold</v>
      </c>
      <c r="G65" s="100"/>
      <c r="H65" s="128" t="s">
        <v>3319</v>
      </c>
      <c r="I65" s="103" t="s">
        <v>5765</v>
      </c>
      <c r="J65" s="103" t="s">
        <v>5795</v>
      </c>
      <c r="K65" s="104" t="s">
        <v>5820</v>
      </c>
      <c r="L65" s="1" t="s">
        <v>5824</v>
      </c>
      <c r="M65" s="1"/>
      <c r="N65" s="1" t="s">
        <v>537</v>
      </c>
      <c r="V65" s="1"/>
      <c r="W65" s="1"/>
    </row>
    <row r="66" spans="1:23" ht="29" x14ac:dyDescent="0.35">
      <c r="A66" s="113" t="s">
        <v>1778</v>
      </c>
      <c r="B66" s="102" t="s">
        <v>3327</v>
      </c>
      <c r="C66" s="123" t="str" cm="1">
        <f t="array" ref="C66:E66">_xlfn.TEXTSPLIT('איחוד שאלות'!$B66,"_")</f>
        <v>behavior</v>
      </c>
      <c r="D66" s="102" t="str">
        <v>IDF</v>
      </c>
      <c r="E66" s="102" t="str">
        <v>service</v>
      </c>
      <c r="F66" s="102"/>
      <c r="G66" s="103"/>
      <c r="H66" s="129" t="s">
        <v>3319</v>
      </c>
      <c r="I66" s="100" t="s">
        <v>5806</v>
      </c>
      <c r="J66" s="100" t="s">
        <v>5825</v>
      </c>
      <c r="K66" s="101" t="s">
        <v>5826</v>
      </c>
      <c r="L66" s="1"/>
      <c r="M66" s="1"/>
      <c r="N66" s="1" t="s">
        <v>1778</v>
      </c>
      <c r="V66" s="1"/>
      <c r="W66" s="1"/>
    </row>
    <row r="67" spans="1:23" ht="29" x14ac:dyDescent="0.35">
      <c r="A67" s="121" t="s">
        <v>1939</v>
      </c>
      <c r="B67" s="99" t="s">
        <v>3328</v>
      </c>
      <c r="C67" s="121" t="str" cm="1">
        <f t="array" ref="C67:E67">_xlfn.TEXTSPLIT('איחוד שאלות'!$B67,"_")</f>
        <v>behavior</v>
      </c>
      <c r="D67" s="99" t="str">
        <v>IDF</v>
      </c>
      <c r="E67" s="99" t="str">
        <v>reserve</v>
      </c>
      <c r="F67" s="99"/>
      <c r="G67" s="100"/>
      <c r="H67" s="128" t="s">
        <v>3319</v>
      </c>
      <c r="I67" s="103" t="s">
        <v>5806</v>
      </c>
      <c r="J67" s="103" t="s">
        <v>5825</v>
      </c>
      <c r="K67" s="104" t="s">
        <v>5827</v>
      </c>
      <c r="L67" s="1"/>
      <c r="M67" s="1"/>
      <c r="N67" s="1" t="s">
        <v>1939</v>
      </c>
      <c r="V67" s="1"/>
      <c r="W67" s="1"/>
    </row>
    <row r="68" spans="1:23" ht="43.5" x14ac:dyDescent="0.35">
      <c r="A68" s="113" t="s">
        <v>1940</v>
      </c>
      <c r="B68" s="102" t="s">
        <v>3349</v>
      </c>
      <c r="C68" s="123" t="str" cm="1">
        <f t="array" ref="C68:F68">_xlfn.TEXTSPLIT('איחוד שאלות'!$B68,"_")</f>
        <v>behavior</v>
      </c>
      <c r="D68" s="102" t="str">
        <v>IDF</v>
      </c>
      <c r="E68" s="102" t="str">
        <v>reserve</v>
      </c>
      <c r="F68" s="102" t="str">
        <v>dayslastyear</v>
      </c>
      <c r="G68" s="103"/>
      <c r="H68" s="129" t="s">
        <v>3319</v>
      </c>
      <c r="I68" s="100" t="s">
        <v>5806</v>
      </c>
      <c r="J68" s="100" t="s">
        <v>5825</v>
      </c>
      <c r="K68" s="101" t="s">
        <v>5827</v>
      </c>
      <c r="L68" s="1" t="s">
        <v>5828</v>
      </c>
      <c r="M68" s="1"/>
      <c r="N68" s="1" t="s">
        <v>1940</v>
      </c>
      <c r="V68" s="1"/>
      <c r="W68" s="1"/>
    </row>
    <row r="69" spans="1:23" ht="58" x14ac:dyDescent="0.35">
      <c r="A69" s="121" t="s">
        <v>1941</v>
      </c>
      <c r="B69" s="99" t="s">
        <v>3329</v>
      </c>
      <c r="C69" s="121" t="str" cm="1">
        <f t="array" ref="C69:F69">_xlfn.TEXTSPLIT('איחוד שאלות'!$B69,"_")</f>
        <v>behavior</v>
      </c>
      <c r="D69" s="99" t="str">
        <v>IDF</v>
      </c>
      <c r="E69" s="99" t="str">
        <v>reserve</v>
      </c>
      <c r="F69" s="99" t="str">
        <v>combatant</v>
      </c>
      <c r="G69" s="100"/>
      <c r="H69" s="128" t="s">
        <v>3319</v>
      </c>
      <c r="I69" s="103" t="s">
        <v>5806</v>
      </c>
      <c r="J69" s="103" t="s">
        <v>5825</v>
      </c>
      <c r="K69" s="104" t="s">
        <v>5827</v>
      </c>
      <c r="L69" s="1" t="s">
        <v>5829</v>
      </c>
      <c r="M69" s="1"/>
      <c r="N69" s="1" t="s">
        <v>1941</v>
      </c>
      <c r="V69" s="1"/>
      <c r="W69" s="1"/>
    </row>
    <row r="70" spans="1:23" ht="29" x14ac:dyDescent="0.35">
      <c r="A70" s="113" t="s">
        <v>1942</v>
      </c>
      <c r="B70" s="102" t="s">
        <v>3330</v>
      </c>
      <c r="C70" s="123" t="str" cm="1">
        <f t="array" ref="C70:F70">_xlfn.TEXTSPLIT('איחוד שאלות'!$B70,"_")</f>
        <v>behavior</v>
      </c>
      <c r="D70" s="102" t="str">
        <v>IDF</v>
      </c>
      <c r="E70" s="102" t="str">
        <v>service</v>
      </c>
      <c r="F70" s="102" t="str">
        <v>years</v>
      </c>
      <c r="G70" s="103"/>
      <c r="H70" s="129" t="s">
        <v>3319</v>
      </c>
      <c r="I70" s="100" t="s">
        <v>5806</v>
      </c>
      <c r="J70" s="100" t="s">
        <v>5825</v>
      </c>
      <c r="K70" s="101" t="s">
        <v>5826</v>
      </c>
      <c r="L70" s="1" t="s">
        <v>5770</v>
      </c>
      <c r="M70" s="1"/>
      <c r="N70" s="1" t="s">
        <v>1942</v>
      </c>
      <c r="V70" s="1"/>
      <c r="W70" s="1"/>
    </row>
    <row r="71" spans="1:23" ht="43.5" x14ac:dyDescent="0.35">
      <c r="A71" s="121" t="s">
        <v>1943</v>
      </c>
      <c r="B71" s="99" t="s">
        <v>3331</v>
      </c>
      <c r="C71" s="121" t="str" cm="1">
        <f t="array" ref="C71:F71">_xlfn.TEXTSPLIT('איחוד שאלות'!$B71,"_")</f>
        <v>behavior</v>
      </c>
      <c r="D71" s="99" t="str">
        <v>IDF</v>
      </c>
      <c r="E71" s="99" t="str">
        <v>service</v>
      </c>
      <c r="F71" s="99" t="str">
        <v>combatant</v>
      </c>
      <c r="G71" s="100"/>
      <c r="H71" s="128" t="s">
        <v>3319</v>
      </c>
      <c r="I71" s="103" t="s">
        <v>5806</v>
      </c>
      <c r="J71" s="103" t="s">
        <v>5825</v>
      </c>
      <c r="K71" s="104" t="s">
        <v>5826</v>
      </c>
      <c r="L71" s="1" t="s">
        <v>5829</v>
      </c>
      <c r="M71" s="1"/>
      <c r="N71" s="1" t="s">
        <v>1943</v>
      </c>
      <c r="V71" s="1"/>
      <c r="W71" s="1"/>
    </row>
    <row r="72" spans="1:23" ht="58" x14ac:dyDescent="0.35">
      <c r="A72" s="113" t="s">
        <v>1944</v>
      </c>
      <c r="B72" s="102" t="s">
        <v>4133</v>
      </c>
      <c r="C72" s="123" t="str" cm="1">
        <f t="array" ref="C72:E72">_xlfn.TEXTSPLIT('איחוד שאלות'!$B72,"_")</f>
        <v>demography</v>
      </c>
      <c r="D72" s="102" t="str">
        <v>IDF</v>
      </c>
      <c r="E72" s="102" t="str">
        <v>rank</v>
      </c>
      <c r="F72" s="102"/>
      <c r="G72" s="103"/>
      <c r="H72" s="129" t="s">
        <v>3319</v>
      </c>
      <c r="I72" s="100" t="s">
        <v>5765</v>
      </c>
      <c r="J72" s="100" t="s">
        <v>5825</v>
      </c>
      <c r="K72" s="101" t="s">
        <v>5830</v>
      </c>
      <c r="L72" s="1"/>
      <c r="M72" s="1"/>
      <c r="N72" s="1" t="s">
        <v>1944</v>
      </c>
      <c r="V72" s="1"/>
      <c r="W72" s="1"/>
    </row>
    <row r="73" spans="1:23" ht="29" x14ac:dyDescent="0.35">
      <c r="A73" s="121" t="s">
        <v>2974</v>
      </c>
      <c r="B73" s="99" t="s">
        <v>4134</v>
      </c>
      <c r="C73" s="121" t="str" cm="1">
        <f t="array" ref="C73:E73">_xlfn.TEXTSPLIT('איחוד שאלות'!$B73,"_")</f>
        <v>demography</v>
      </c>
      <c r="D73" s="99" t="str">
        <v>household</v>
      </c>
      <c r="E73" s="99" t="str">
        <v>head</v>
      </c>
      <c r="F73" s="99"/>
      <c r="G73" s="100"/>
      <c r="H73" s="128" t="s">
        <v>3319</v>
      </c>
      <c r="I73" s="103" t="s">
        <v>5765</v>
      </c>
      <c r="J73" s="103" t="s">
        <v>5795</v>
      </c>
      <c r="K73" s="104" t="s">
        <v>5831</v>
      </c>
      <c r="L73" s="1"/>
      <c r="M73" s="1"/>
      <c r="N73" s="1" t="s">
        <v>2974</v>
      </c>
      <c r="V73" s="1"/>
      <c r="W73" s="1"/>
    </row>
    <row r="74" spans="1:23" ht="43.5" x14ac:dyDescent="0.35">
      <c r="A74" s="113" t="s">
        <v>2975</v>
      </c>
      <c r="B74" s="102" t="s">
        <v>4135</v>
      </c>
      <c r="C74" s="123" t="str" cm="1">
        <f t="array" ref="C74:E74">_xlfn.TEXTSPLIT('איחוד שאלות'!$B74,"_")</f>
        <v>demography</v>
      </c>
      <c r="D74" s="102" t="str">
        <v>educ</v>
      </c>
      <c r="E74" s="102" t="str">
        <v>father</v>
      </c>
      <c r="F74" s="102"/>
      <c r="G74" s="103"/>
      <c r="H74" s="129" t="s">
        <v>3319</v>
      </c>
      <c r="I74" s="100" t="s">
        <v>5765</v>
      </c>
      <c r="J74" s="100" t="s">
        <v>6</v>
      </c>
      <c r="K74" s="101" t="s">
        <v>5779</v>
      </c>
      <c r="L74" s="1"/>
      <c r="M74" s="1"/>
      <c r="N74" s="1" t="s">
        <v>2975</v>
      </c>
      <c r="V74" s="1"/>
      <c r="W74" s="1"/>
    </row>
    <row r="75" spans="1:23" ht="43.5" x14ac:dyDescent="0.35">
      <c r="A75" s="121" t="s">
        <v>3014</v>
      </c>
      <c r="B75" s="99" t="s">
        <v>4136</v>
      </c>
      <c r="C75" s="121" t="str" cm="1">
        <f t="array" ref="C75:E75">_xlfn.TEXTSPLIT('איחוד שאלות'!$B75,"_")</f>
        <v>demography</v>
      </c>
      <c r="D75" s="99" t="str">
        <v>educ</v>
      </c>
      <c r="E75" s="99" t="str">
        <v>mother</v>
      </c>
      <c r="F75" s="99"/>
      <c r="G75" s="100"/>
      <c r="H75" s="128" t="s">
        <v>3319</v>
      </c>
      <c r="I75" s="103" t="s">
        <v>5765</v>
      </c>
      <c r="J75" s="103" t="s">
        <v>6</v>
      </c>
      <c r="K75" s="104" t="s">
        <v>5780</v>
      </c>
      <c r="L75" s="1"/>
      <c r="M75" s="1"/>
      <c r="N75" s="1" t="s">
        <v>3014</v>
      </c>
      <c r="V75" s="1"/>
      <c r="W75" s="1"/>
    </row>
    <row r="76" spans="1:23" ht="43.5" x14ac:dyDescent="0.35">
      <c r="A76" s="113" t="s">
        <v>2976</v>
      </c>
      <c r="B76" s="102" t="s">
        <v>4138</v>
      </c>
      <c r="C76" s="123" t="str" cm="1">
        <f t="array" ref="C76:G76">_xlfn.TEXTSPLIT('איחוד שאלות'!$B76,"_")</f>
        <v>demography</v>
      </c>
      <c r="D76" s="102" t="str">
        <v>household</v>
      </c>
      <c r="E76" s="102" t="str">
        <v>occupation</v>
      </c>
      <c r="F76" s="102" t="str">
        <v>description</v>
      </c>
      <c r="G76" s="103" t="str">
        <v>head</v>
      </c>
      <c r="H76" s="129" t="s">
        <v>3319</v>
      </c>
      <c r="I76" s="100" t="s">
        <v>5765</v>
      </c>
      <c r="J76" s="100" t="s">
        <v>5795</v>
      </c>
      <c r="K76" s="101" t="s">
        <v>5810</v>
      </c>
      <c r="L76" s="1" t="s">
        <v>5814</v>
      </c>
      <c r="M76" s="1" t="s">
        <v>5831</v>
      </c>
      <c r="N76" s="1" t="s">
        <v>2976</v>
      </c>
      <c r="V76" s="1"/>
      <c r="W76" s="1"/>
    </row>
    <row r="77" spans="1:23" ht="43.5" x14ac:dyDescent="0.35">
      <c r="A77" s="121" t="s">
        <v>2977</v>
      </c>
      <c r="B77" s="99" t="s">
        <v>4137</v>
      </c>
      <c r="C77" s="121" t="str" cm="1">
        <f t="array" ref="C77:G77">_xlfn.TEXTSPLIT('איחוד שאלות'!$B77,"_")</f>
        <v>demography</v>
      </c>
      <c r="D77" s="99" t="str">
        <v>household</v>
      </c>
      <c r="E77" s="99" t="str">
        <v>occupation</v>
      </c>
      <c r="F77" s="99" t="str">
        <v>status</v>
      </c>
      <c r="G77" s="100" t="str">
        <v>head</v>
      </c>
      <c r="H77" s="128" t="s">
        <v>3319</v>
      </c>
      <c r="I77" s="103" t="s">
        <v>5765</v>
      </c>
      <c r="J77" s="103" t="s">
        <v>5795</v>
      </c>
      <c r="K77" s="104" t="s">
        <v>5810</v>
      </c>
      <c r="L77" s="1" t="s">
        <v>5812</v>
      </c>
      <c r="M77" s="1" t="s">
        <v>5831</v>
      </c>
      <c r="N77" s="1" t="s">
        <v>2977</v>
      </c>
      <c r="V77" s="1"/>
      <c r="W77" s="1"/>
    </row>
    <row r="78" spans="1:23" ht="29" x14ac:dyDescent="0.35">
      <c r="A78" s="113" t="s">
        <v>2978</v>
      </c>
      <c r="B78" s="102" t="s">
        <v>4139</v>
      </c>
      <c r="C78" s="123" t="str" cm="1">
        <f t="array" ref="C78:E78">_xlfn.TEXTSPLIT('איחוד שאלות'!$B78,"_")</f>
        <v>demography</v>
      </c>
      <c r="D78" s="102" t="str">
        <v>occupation</v>
      </c>
      <c r="E78" s="102" t="str">
        <v>ownership</v>
      </c>
      <c r="F78" s="102"/>
      <c r="G78" s="103"/>
      <c r="H78" s="129" t="s">
        <v>3319</v>
      </c>
      <c r="I78" s="100" t="s">
        <v>5765</v>
      </c>
      <c r="J78" s="100" t="s">
        <v>5810</v>
      </c>
      <c r="K78" s="101" t="s">
        <v>5832</v>
      </c>
      <c r="L78" s="1"/>
      <c r="M78" s="1"/>
      <c r="N78" s="1" t="s">
        <v>2978</v>
      </c>
      <c r="V78" s="1"/>
      <c r="W78" s="1"/>
    </row>
    <row r="79" spans="1:23" ht="29" x14ac:dyDescent="0.35">
      <c r="A79" s="121" t="s">
        <v>2979</v>
      </c>
      <c r="B79" s="99" t="s">
        <v>4140</v>
      </c>
      <c r="C79" s="121" t="str" cm="1">
        <f t="array" ref="C79:E79">_xlfn.TEXTSPLIT('איחוד שאלות'!$B79,"_")</f>
        <v>demography</v>
      </c>
      <c r="D79" s="99" t="str">
        <v>occupation</v>
      </c>
      <c r="E79" s="99" t="str">
        <v>industrial</v>
      </c>
      <c r="F79" s="99"/>
      <c r="G79" s="100"/>
      <c r="H79" s="128" t="s">
        <v>3319</v>
      </c>
      <c r="I79" s="103" t="s">
        <v>5765</v>
      </c>
      <c r="J79" s="103" t="s">
        <v>5810</v>
      </c>
      <c r="K79" s="104" t="s">
        <v>5833</v>
      </c>
      <c r="L79" s="1"/>
      <c r="M79" s="1"/>
      <c r="N79" s="1" t="s">
        <v>2979</v>
      </c>
      <c r="V79" s="1"/>
      <c r="W79" s="1"/>
    </row>
    <row r="80" spans="1:23" ht="29" x14ac:dyDescent="0.35">
      <c r="A80" s="113" t="s">
        <v>1777</v>
      </c>
      <c r="B80" s="102" t="s">
        <v>4146</v>
      </c>
      <c r="C80" s="123" t="str" cm="1">
        <f t="array" ref="C80:E80">_xlfn.TEXTSPLIT('איחוד שאלות'!$B80,"_")</f>
        <v>behavior</v>
      </c>
      <c r="D80" s="102" t="str">
        <v>association</v>
      </c>
      <c r="E80" s="102" t="str">
        <v>histadrut</v>
      </c>
      <c r="F80" s="102"/>
      <c r="G80" s="103"/>
      <c r="H80" s="129" t="s">
        <v>3319</v>
      </c>
      <c r="I80" s="100" t="s">
        <v>5806</v>
      </c>
      <c r="J80" s="100" t="s">
        <v>5834</v>
      </c>
      <c r="K80" s="101" t="s">
        <v>5835</v>
      </c>
      <c r="L80" s="1"/>
      <c r="M80" s="1"/>
      <c r="N80" s="1" t="s">
        <v>1777</v>
      </c>
      <c r="V80" s="1"/>
      <c r="W80" s="1"/>
    </row>
    <row r="81" spans="1:23" ht="29" x14ac:dyDescent="0.35">
      <c r="A81" s="121" t="s">
        <v>2980</v>
      </c>
      <c r="B81" s="99" t="s">
        <v>4141</v>
      </c>
      <c r="C81" s="121" t="str" cm="1">
        <f t="array" ref="C81:E81">_xlfn.TEXTSPLIT('איחוד שאלות'!$B81,"_")</f>
        <v>demography</v>
      </c>
      <c r="D81" s="99" t="str">
        <v>welfare</v>
      </c>
      <c r="E81" s="99" t="str">
        <v>healthcare</v>
      </c>
      <c r="F81" s="99"/>
      <c r="G81" s="100"/>
      <c r="H81" s="128" t="s">
        <v>3319</v>
      </c>
      <c r="I81" s="103" t="s">
        <v>5765</v>
      </c>
      <c r="J81" s="103" t="s">
        <v>5836</v>
      </c>
      <c r="K81" s="104" t="s">
        <v>5837</v>
      </c>
      <c r="L81" s="1"/>
      <c r="M81" s="1"/>
      <c r="N81" s="1" t="s">
        <v>2980</v>
      </c>
      <c r="V81" s="1"/>
      <c r="W81" s="1"/>
    </row>
    <row r="82" spans="1:23" ht="29" x14ac:dyDescent="0.35">
      <c r="A82" s="113" t="s">
        <v>3015</v>
      </c>
      <c r="B82" s="102" t="s">
        <v>4142</v>
      </c>
      <c r="C82" s="123" t="str" cm="1">
        <f t="array" ref="C82:E82">_xlfn.TEXTSPLIT('איחוד שאלות'!$B82,"_")</f>
        <v>demography</v>
      </c>
      <c r="D82" s="102" t="str">
        <v>household</v>
      </c>
      <c r="E82" s="102" t="str">
        <v>language</v>
      </c>
      <c r="F82" s="102"/>
      <c r="G82" s="103"/>
      <c r="H82" s="129" t="s">
        <v>3319</v>
      </c>
      <c r="I82" s="100" t="s">
        <v>5765</v>
      </c>
      <c r="J82" s="100" t="s">
        <v>5795</v>
      </c>
      <c r="K82" s="101" t="s">
        <v>5767</v>
      </c>
      <c r="L82" s="1"/>
      <c r="M82" s="1"/>
      <c r="N82" s="1" t="s">
        <v>3015</v>
      </c>
      <c r="V82" s="1"/>
      <c r="W82" s="1"/>
    </row>
    <row r="83" spans="1:23" ht="43.5" x14ac:dyDescent="0.35">
      <c r="A83" s="121" t="s">
        <v>3134</v>
      </c>
      <c r="B83" s="99" t="s">
        <v>4143</v>
      </c>
      <c r="C83" s="121" t="str" cm="1">
        <f t="array" ref="C83:E83">_xlfn.TEXTSPLIT('איחוד שאלות'!$B83,"_")</f>
        <v>demography</v>
      </c>
      <c r="D83" s="99" t="str">
        <v>household</v>
      </c>
      <c r="E83" s="99" t="str">
        <v>washingmachine</v>
      </c>
      <c r="F83" s="99"/>
      <c r="G83" s="100"/>
      <c r="H83" s="128" t="s">
        <v>3319</v>
      </c>
      <c r="I83" s="103" t="s">
        <v>5765</v>
      </c>
      <c r="J83" s="103" t="s">
        <v>5795</v>
      </c>
      <c r="K83" s="104" t="s">
        <v>5838</v>
      </c>
      <c r="L83" s="1"/>
      <c r="M83" s="1"/>
      <c r="N83" s="1" t="s">
        <v>3134</v>
      </c>
      <c r="V83" s="1"/>
      <c r="W83" s="1"/>
    </row>
    <row r="84" spans="1:23" ht="29" x14ac:dyDescent="0.35">
      <c r="A84" s="113" t="s">
        <v>3136</v>
      </c>
      <c r="B84" s="102" t="s">
        <v>4144</v>
      </c>
      <c r="C84" s="123" t="str" cm="1">
        <f t="array" ref="C84:E84">_xlfn.TEXTSPLIT('איחוד שאלות'!$B84,"_")</f>
        <v>demography</v>
      </c>
      <c r="D84" s="102" t="str">
        <v>household</v>
      </c>
      <c r="E84" s="102" t="str">
        <v>car</v>
      </c>
      <c r="F84" s="102"/>
      <c r="G84" s="103"/>
      <c r="H84" s="129" t="s">
        <v>3319</v>
      </c>
      <c r="I84" s="100" t="s">
        <v>5765</v>
      </c>
      <c r="J84" s="100" t="s">
        <v>5795</v>
      </c>
      <c r="K84" s="101" t="s">
        <v>5839</v>
      </c>
      <c r="L84" s="1"/>
      <c r="M84" s="1"/>
      <c r="N84" s="1" t="s">
        <v>3136</v>
      </c>
      <c r="V84" s="1"/>
      <c r="W84" s="1"/>
    </row>
    <row r="85" spans="1:23" ht="43.5" x14ac:dyDescent="0.35">
      <c r="A85" s="121" t="s">
        <v>3137</v>
      </c>
      <c r="B85" s="99" t="s">
        <v>4145</v>
      </c>
      <c r="C85" s="121" t="str" cm="1">
        <f t="array" ref="C85:F85">_xlfn.TEXTSPLIT('איחוד שאלות'!$B85,"_")</f>
        <v>demography</v>
      </c>
      <c r="D85" s="99" t="str">
        <v>household</v>
      </c>
      <c r="E85" s="99" t="str">
        <v>residence</v>
      </c>
      <c r="F85" s="99" t="str">
        <v>lastelections</v>
      </c>
      <c r="G85" s="100"/>
      <c r="H85" s="128" t="s">
        <v>3319</v>
      </c>
      <c r="I85" s="103" t="s">
        <v>5765</v>
      </c>
      <c r="J85" s="103" t="s">
        <v>5795</v>
      </c>
      <c r="K85" s="104" t="s">
        <v>5784</v>
      </c>
      <c r="L85" s="1" t="s">
        <v>5840</v>
      </c>
      <c r="M85" s="1"/>
      <c r="N85" s="1" t="s">
        <v>3137</v>
      </c>
      <c r="V85" s="1"/>
      <c r="W85" s="1"/>
    </row>
    <row r="86" spans="1:23" ht="43.5" x14ac:dyDescent="0.35">
      <c r="A86" s="113" t="s">
        <v>2960</v>
      </c>
      <c r="B86" s="102" t="s">
        <v>4147</v>
      </c>
      <c r="C86" s="123" t="str" cm="1">
        <f t="array" ref="C86:F86">_xlfn.TEXTSPLIT('איחוד שאלות'!$B86,"_")</f>
        <v>behavior</v>
      </c>
      <c r="D86" s="102" t="str">
        <v>association</v>
      </c>
      <c r="E86" s="102" t="str">
        <v>youth</v>
      </c>
      <c r="F86" s="102" t="str">
        <v>organization</v>
      </c>
      <c r="G86" s="103"/>
      <c r="H86" s="129" t="s">
        <v>3319</v>
      </c>
      <c r="I86" s="100" t="s">
        <v>5806</v>
      </c>
      <c r="J86" s="100" t="s">
        <v>5834</v>
      </c>
      <c r="K86" s="101" t="s">
        <v>5841</v>
      </c>
      <c r="L86" s="1" t="s">
        <v>5842</v>
      </c>
      <c r="M86" s="1"/>
      <c r="N86" s="1" t="s">
        <v>2960</v>
      </c>
      <c r="V86" s="1"/>
      <c r="W86" s="1"/>
    </row>
    <row r="87" spans="1:23" ht="29" x14ac:dyDescent="0.35">
      <c r="A87" s="121" t="s">
        <v>3138</v>
      </c>
      <c r="B87" s="99" t="s">
        <v>4148</v>
      </c>
      <c r="C87" s="121" t="str" cm="1">
        <f t="array" ref="C87:E87">_xlfn.TEXTSPLIT('איחוד שאלות'!$B87,"_")</f>
        <v>behavior</v>
      </c>
      <c r="D87" s="99" t="str">
        <v>association</v>
      </c>
      <c r="E87" s="99" t="str">
        <v>kibbutz</v>
      </c>
      <c r="F87" s="99"/>
      <c r="G87" s="100"/>
      <c r="H87" s="128" t="s">
        <v>3319</v>
      </c>
      <c r="I87" s="103" t="s">
        <v>5806</v>
      </c>
      <c r="J87" s="103" t="s">
        <v>5834</v>
      </c>
      <c r="K87" s="104" t="s">
        <v>5843</v>
      </c>
      <c r="L87" s="1"/>
      <c r="M87" s="1"/>
      <c r="N87" s="1" t="s">
        <v>3138</v>
      </c>
      <c r="V87" s="1"/>
      <c r="W87" s="1"/>
    </row>
    <row r="88" spans="1:23" ht="29" x14ac:dyDescent="0.35">
      <c r="A88" s="113" t="s">
        <v>18</v>
      </c>
      <c r="B88" s="102" t="s">
        <v>5215</v>
      </c>
      <c r="C88" s="123" t="str" cm="1">
        <f t="array" ref="C88:E88">_xlfn.TEXTSPLIT('איחוד שאלות'!$B88,"_")</f>
        <v>perception</v>
      </c>
      <c r="D88" s="102" t="str">
        <v>israel</v>
      </c>
      <c r="E88" s="102" t="str">
        <v>condition</v>
      </c>
      <c r="F88" s="102"/>
      <c r="G88" s="103"/>
      <c r="H88" s="132" t="s">
        <v>3332</v>
      </c>
      <c r="I88" s="100" t="s">
        <v>5844</v>
      </c>
      <c r="J88" s="100" t="s">
        <v>5845</v>
      </c>
      <c r="K88" s="101" t="s">
        <v>5846</v>
      </c>
      <c r="L88" s="1"/>
      <c r="M88" s="1"/>
      <c r="N88" s="1" t="s">
        <v>18</v>
      </c>
      <c r="V88" s="1"/>
      <c r="W88" s="1"/>
    </row>
    <row r="89" spans="1:23" ht="58" x14ac:dyDescent="0.35">
      <c r="A89" s="121" t="s">
        <v>178</v>
      </c>
      <c r="B89" s="99" t="s">
        <v>4149</v>
      </c>
      <c r="C89" s="121" t="str" cm="1">
        <f t="array" ref="C89:E89">_xlfn.TEXTSPLIT('איחוד שאלות'!$B89,"_")</f>
        <v>perception</v>
      </c>
      <c r="D89" s="114" t="str">
        <v>satisfaction</v>
      </c>
      <c r="E89" s="114" t="str">
        <v>government</v>
      </c>
      <c r="F89" s="114"/>
      <c r="G89" s="100"/>
      <c r="H89" s="133" t="s">
        <v>3332</v>
      </c>
      <c r="I89" s="103" t="s">
        <v>5844</v>
      </c>
      <c r="J89" s="103" t="s">
        <v>5847</v>
      </c>
      <c r="K89" s="104" t="s">
        <v>5848</v>
      </c>
      <c r="L89" s="1"/>
      <c r="M89" s="1"/>
      <c r="N89" s="1" t="s">
        <v>178</v>
      </c>
      <c r="V89" s="1"/>
      <c r="W89" s="1"/>
    </row>
    <row r="90" spans="1:23" ht="43.5" x14ac:dyDescent="0.35">
      <c r="A90" s="113" t="s">
        <v>19</v>
      </c>
      <c r="B90" s="102" t="s">
        <v>4150</v>
      </c>
      <c r="C90" s="123" t="str" cm="1">
        <f t="array" ref="C90:F90">_xlfn.TEXTSPLIT('איחוד שאלות'!$B90,"_")</f>
        <v>perception</v>
      </c>
      <c r="D90" s="102" t="str">
        <v>problem</v>
      </c>
      <c r="E90" s="102" t="str">
        <v>hierarchy</v>
      </c>
      <c r="F90" s="102" t="str">
        <v>1</v>
      </c>
      <c r="G90" s="103"/>
      <c r="H90" s="132" t="s">
        <v>3332</v>
      </c>
      <c r="I90" s="100" t="s">
        <v>5844</v>
      </c>
      <c r="J90" s="100" t="s">
        <v>5849</v>
      </c>
      <c r="K90" s="101" t="s">
        <v>5788</v>
      </c>
      <c r="L90" s="1" t="s">
        <v>5789</v>
      </c>
      <c r="M90" s="1"/>
      <c r="N90" s="1" t="s">
        <v>19</v>
      </c>
      <c r="V90" s="1"/>
      <c r="W90" s="1"/>
    </row>
    <row r="91" spans="1:23" ht="29" x14ac:dyDescent="0.35">
      <c r="A91" s="121" t="s">
        <v>2731</v>
      </c>
      <c r="B91" s="99" t="s">
        <v>4151</v>
      </c>
      <c r="C91" s="121" t="str" cm="1">
        <f t="array" ref="C91:F91">_xlfn.TEXTSPLIT('איחוד שאלות'!$B91,"_")</f>
        <v>perception</v>
      </c>
      <c r="D91" s="99" t="str">
        <v>problem</v>
      </c>
      <c r="E91" s="99" t="str">
        <v>hierarchy</v>
      </c>
      <c r="F91" s="99" t="str">
        <v>2</v>
      </c>
      <c r="G91" s="100"/>
      <c r="H91" s="133" t="s">
        <v>3332</v>
      </c>
      <c r="I91" s="103" t="s">
        <v>5844</v>
      </c>
      <c r="J91" s="103" t="s">
        <v>5849</v>
      </c>
      <c r="K91" s="104" t="s">
        <v>5788</v>
      </c>
      <c r="L91" s="1" t="s">
        <v>5790</v>
      </c>
      <c r="M91" s="1"/>
      <c r="N91" s="1" t="s">
        <v>2731</v>
      </c>
      <c r="V91" s="1"/>
      <c r="W91" s="1"/>
    </row>
    <row r="92" spans="1:23" ht="29" x14ac:dyDescent="0.35">
      <c r="A92" s="113" t="s">
        <v>3024</v>
      </c>
      <c r="B92" s="102" t="s">
        <v>4152</v>
      </c>
      <c r="C92" s="123" t="str" cm="1">
        <f t="array" ref="C92:F92">_xlfn.TEXTSPLIT('איחוד שאלות'!$B92,"_")</f>
        <v>perception</v>
      </c>
      <c r="D92" s="102" t="str">
        <v>problem</v>
      </c>
      <c r="E92" s="102" t="str">
        <v>hierarchy</v>
      </c>
      <c r="F92" s="102" t="str">
        <v>3</v>
      </c>
      <c r="G92" s="103"/>
      <c r="H92" s="132" t="s">
        <v>3332</v>
      </c>
      <c r="I92" s="100" t="s">
        <v>5844</v>
      </c>
      <c r="J92" s="100" t="s">
        <v>5849</v>
      </c>
      <c r="K92" s="101" t="s">
        <v>5788</v>
      </c>
      <c r="L92" s="1" t="s">
        <v>5791</v>
      </c>
      <c r="M92" s="1"/>
      <c r="N92" s="1" t="s">
        <v>3024</v>
      </c>
      <c r="V92" s="1"/>
      <c r="W92" s="1"/>
    </row>
    <row r="93" spans="1:23" ht="58" x14ac:dyDescent="0.35">
      <c r="A93" s="121" t="s">
        <v>2860</v>
      </c>
      <c r="B93" s="115" t="s">
        <v>4238</v>
      </c>
      <c r="C93" s="121" t="str" cm="1">
        <f t="array" ref="C93:F93">_xlfn.TEXTSPLIT('איחוד שאלות'!$B93,"_")</f>
        <v>perception</v>
      </c>
      <c r="D93" s="99" t="str">
        <v>expectation</v>
      </c>
      <c r="E93" s="99" t="str">
        <v>solution</v>
      </c>
      <c r="F93" s="99" t="str">
        <v>government</v>
      </c>
      <c r="G93" s="100"/>
      <c r="H93" s="133" t="s">
        <v>3332</v>
      </c>
      <c r="I93" s="103" t="s">
        <v>5844</v>
      </c>
      <c r="J93" s="103" t="s">
        <v>5850</v>
      </c>
      <c r="K93" s="104" t="s">
        <v>5851</v>
      </c>
      <c r="L93" s="1" t="s">
        <v>5848</v>
      </c>
      <c r="M93" s="1"/>
      <c r="N93" s="1" t="s">
        <v>2860</v>
      </c>
      <c r="V93" s="1"/>
      <c r="W93" s="1"/>
    </row>
    <row r="94" spans="1:23" ht="43.5" x14ac:dyDescent="0.35">
      <c r="A94" s="113" t="s">
        <v>1265</v>
      </c>
      <c r="B94" s="102" t="s">
        <v>4239</v>
      </c>
      <c r="C94" s="123" t="str" cm="1">
        <f t="array" ref="C94:F94">_xlfn.TEXTSPLIT('איחוד שאלות'!$B94,"_")</f>
        <v>perception</v>
      </c>
      <c r="D94" s="102" t="str">
        <v>expectation</v>
      </c>
      <c r="E94" s="102" t="str">
        <v>solution</v>
      </c>
      <c r="F94" s="102" t="str">
        <v>candidates</v>
      </c>
      <c r="G94" s="103"/>
      <c r="H94" s="132" t="s">
        <v>3332</v>
      </c>
      <c r="I94" s="100" t="s">
        <v>5844</v>
      </c>
      <c r="J94" s="100" t="s">
        <v>5850</v>
      </c>
      <c r="K94" s="101" t="s">
        <v>5851</v>
      </c>
      <c r="L94" s="1" t="s">
        <v>5852</v>
      </c>
      <c r="M94" s="1"/>
      <c r="N94" s="1" t="s">
        <v>1265</v>
      </c>
      <c r="V94" s="1"/>
      <c r="W94" s="1"/>
    </row>
    <row r="95" spans="1:23" ht="43.5" x14ac:dyDescent="0.35">
      <c r="A95" s="121" t="s">
        <v>1489</v>
      </c>
      <c r="B95" s="99" t="s">
        <v>4240</v>
      </c>
      <c r="C95" s="121" t="str" cm="1">
        <f t="array" ref="C95:F95">_xlfn.TEXTSPLIT('איחוד שאלות'!$B95,"_")</f>
        <v>perception</v>
      </c>
      <c r="D95" s="99" t="str">
        <v>expectation</v>
      </c>
      <c r="E95" s="99" t="str">
        <v>solution</v>
      </c>
      <c r="F95" s="99" t="str">
        <v>party</v>
      </c>
      <c r="G95" s="100"/>
      <c r="H95" s="133" t="s">
        <v>3332</v>
      </c>
      <c r="I95" s="103" t="s">
        <v>5844</v>
      </c>
      <c r="J95" s="103" t="s">
        <v>5850</v>
      </c>
      <c r="K95" s="104" t="s">
        <v>5851</v>
      </c>
      <c r="L95" s="1" t="s">
        <v>5853</v>
      </c>
      <c r="M95" s="1"/>
      <c r="N95" s="1" t="s">
        <v>1489</v>
      </c>
      <c r="V95" s="1"/>
      <c r="W95" s="1"/>
    </row>
    <row r="96" spans="1:23" ht="58" x14ac:dyDescent="0.35">
      <c r="A96" s="113" t="s">
        <v>1457</v>
      </c>
      <c r="B96" s="102" t="s">
        <v>4200</v>
      </c>
      <c r="C96" s="123" t="str" cm="1">
        <f t="array" ref="C96:E96">_xlfn.TEXTSPLIT('איחוד שאלות'!$B96,"_")</f>
        <v>post</v>
      </c>
      <c r="D96" s="102" t="str">
        <v>perception</v>
      </c>
      <c r="E96" s="102" t="str">
        <v>problem</v>
      </c>
      <c r="F96" s="102"/>
      <c r="G96" s="103"/>
      <c r="H96" s="132" t="s">
        <v>3332</v>
      </c>
      <c r="I96" s="100" t="s">
        <v>5763</v>
      </c>
      <c r="J96" s="100" t="s">
        <v>5844</v>
      </c>
      <c r="K96" s="101" t="s">
        <v>5849</v>
      </c>
      <c r="L96" s="1"/>
      <c r="M96" s="1"/>
      <c r="N96" s="1" t="s">
        <v>6858</v>
      </c>
      <c r="V96" s="1"/>
      <c r="W96" s="1"/>
    </row>
    <row r="97" spans="1:23" ht="72.5" x14ac:dyDescent="0.35">
      <c r="A97" s="121" t="s">
        <v>2244</v>
      </c>
      <c r="B97" s="99" t="s">
        <v>4241</v>
      </c>
      <c r="C97" s="121" t="str" cm="1">
        <f t="array" ref="C97:F97">_xlfn.TEXTSPLIT('איחוד שאלות'!$B97,"_")</f>
        <v>perception</v>
      </c>
      <c r="D97" s="99" t="str">
        <v>expectation</v>
      </c>
      <c r="E97" s="99" t="str">
        <v>solution</v>
      </c>
      <c r="F97" s="99" t="str">
        <v>team84</v>
      </c>
      <c r="G97" s="100"/>
      <c r="H97" s="133" t="s">
        <v>3332</v>
      </c>
      <c r="I97" s="103" t="s">
        <v>5844</v>
      </c>
      <c r="J97" s="103" t="s">
        <v>5850</v>
      </c>
      <c r="K97" s="104" t="s">
        <v>5851</v>
      </c>
      <c r="L97" s="1" t="s">
        <v>5854</v>
      </c>
      <c r="M97" s="1"/>
      <c r="N97" s="1" t="s">
        <v>2244</v>
      </c>
      <c r="V97" s="1"/>
      <c r="W97" s="1"/>
    </row>
    <row r="98" spans="1:23" ht="58" x14ac:dyDescent="0.35">
      <c r="A98" s="113" t="s">
        <v>109</v>
      </c>
      <c r="B98" s="102" t="s">
        <v>5564</v>
      </c>
      <c r="C98" s="123" t="str" cm="1">
        <f t="array" ref="C98:E98">_xlfn.TEXTSPLIT('איחוד שאלות'!$B98,"_")</f>
        <v>affect</v>
      </c>
      <c r="D98" s="102" t="str">
        <v>threat</v>
      </c>
      <c r="E98" s="102" t="str">
        <v>politicalsystem</v>
      </c>
      <c r="F98" s="102"/>
      <c r="G98" s="103"/>
      <c r="H98" s="132" t="s">
        <v>3332</v>
      </c>
      <c r="I98" s="100" t="s">
        <v>5815</v>
      </c>
      <c r="J98" s="100" t="s">
        <v>5816</v>
      </c>
      <c r="K98" s="101" t="s">
        <v>5855</v>
      </c>
      <c r="L98" s="1"/>
      <c r="M98" s="1"/>
      <c r="N98" s="1" t="s">
        <v>109</v>
      </c>
      <c r="V98" s="1"/>
      <c r="W98" s="1"/>
    </row>
    <row r="99" spans="1:23" ht="72.5" x14ac:dyDescent="0.35">
      <c r="A99" s="121" t="s">
        <v>132</v>
      </c>
      <c r="B99" s="99" t="s">
        <v>5565</v>
      </c>
      <c r="C99" s="121" t="str" cm="1">
        <f t="array" ref="C99:E99">_xlfn.TEXTSPLIT('איחוד שאלות'!$B99,"_")</f>
        <v>perception</v>
      </c>
      <c r="D99" s="99" t="str">
        <v>satisfaction</v>
      </c>
      <c r="E99" s="99" t="str">
        <v>politicalsystem</v>
      </c>
      <c r="F99" s="99"/>
      <c r="G99" s="99"/>
      <c r="H99" s="134" t="s">
        <v>3332</v>
      </c>
      <c r="I99" s="103" t="s">
        <v>5844</v>
      </c>
      <c r="J99" s="103" t="s">
        <v>5847</v>
      </c>
      <c r="K99" s="104" t="s">
        <v>5855</v>
      </c>
      <c r="L99" s="1"/>
      <c r="M99" s="1"/>
      <c r="N99" s="1" t="s">
        <v>132</v>
      </c>
      <c r="V99" s="1"/>
      <c r="W99" s="1"/>
    </row>
    <row r="100" spans="1:23" ht="72.5" x14ac:dyDescent="0.35">
      <c r="A100" s="113" t="s">
        <v>336</v>
      </c>
      <c r="B100" s="102" t="s">
        <v>4153</v>
      </c>
      <c r="C100" s="123" t="str" cm="1">
        <f t="array" ref="C100:F100">_xlfn.TEXTSPLIT('איחוד שאלות'!$B100,"_")</f>
        <v>preference</v>
      </c>
      <c r="D100" s="102" t="str">
        <v>importance</v>
      </c>
      <c r="E100" s="102" t="str">
        <v>historical</v>
      </c>
      <c r="F100" s="102" t="str">
        <v>event</v>
      </c>
      <c r="G100" s="103"/>
      <c r="H100" s="132" t="s">
        <v>3332</v>
      </c>
      <c r="I100" s="100" t="s">
        <v>5856</v>
      </c>
      <c r="J100" s="100" t="s">
        <v>5857</v>
      </c>
      <c r="K100" s="101" t="s">
        <v>5858</v>
      </c>
      <c r="L100" s="1" t="s">
        <v>5859</v>
      </c>
      <c r="M100" s="1"/>
      <c r="N100" s="1" t="s">
        <v>336</v>
      </c>
      <c r="V100" s="1"/>
      <c r="W100" s="1"/>
    </row>
    <row r="101" spans="1:23" ht="87" x14ac:dyDescent="0.35">
      <c r="A101" s="121" t="s">
        <v>337</v>
      </c>
      <c r="B101" s="99" t="s">
        <v>4154</v>
      </c>
      <c r="C101" s="121" t="str" cm="1">
        <f t="array" ref="C101:F101">_xlfn.TEXTSPLIT('איחוד שאלות'!$B101,"_")</f>
        <v>preference</v>
      </c>
      <c r="D101" s="99" t="str">
        <v>importance</v>
      </c>
      <c r="E101" s="99" t="str">
        <v>event</v>
      </c>
      <c r="F101" s="99" t="str">
        <v>future</v>
      </c>
      <c r="G101" s="100"/>
      <c r="H101" s="133" t="s">
        <v>3332</v>
      </c>
      <c r="I101" s="103" t="s">
        <v>5856</v>
      </c>
      <c r="J101" s="103" t="s">
        <v>5857</v>
      </c>
      <c r="K101" s="104" t="s">
        <v>5859</v>
      </c>
      <c r="L101" s="1" t="s">
        <v>5860</v>
      </c>
      <c r="M101" s="1"/>
      <c r="N101" s="1" t="s">
        <v>337</v>
      </c>
      <c r="V101" s="1"/>
      <c r="W101" s="1"/>
    </row>
    <row r="102" spans="1:23" ht="58" x14ac:dyDescent="0.35">
      <c r="A102" s="113" t="s">
        <v>338</v>
      </c>
      <c r="B102" s="102" t="s">
        <v>4155</v>
      </c>
      <c r="C102" s="123" t="str" cm="1">
        <f t="array" ref="C102:F102">_xlfn.TEXTSPLIT('איחוד שאלות'!$B102,"_")</f>
        <v>preference</v>
      </c>
      <c r="D102" s="102" t="str">
        <v>importance</v>
      </c>
      <c r="E102" s="102" t="str">
        <v>historical</v>
      </c>
      <c r="F102" s="102" t="str">
        <v>persona</v>
      </c>
      <c r="G102" s="103"/>
      <c r="H102" s="132" t="s">
        <v>3332</v>
      </c>
      <c r="I102" s="100" t="s">
        <v>5856</v>
      </c>
      <c r="J102" s="100" t="s">
        <v>5857</v>
      </c>
      <c r="K102" s="101" t="s">
        <v>5858</v>
      </c>
      <c r="L102" s="1" t="s">
        <v>5861</v>
      </c>
      <c r="M102" s="1"/>
      <c r="N102" s="1" t="s">
        <v>338</v>
      </c>
      <c r="V102" s="1"/>
      <c r="W102" s="1"/>
    </row>
    <row r="103" spans="1:23" ht="101.5" x14ac:dyDescent="0.35">
      <c r="A103" s="121" t="s">
        <v>423</v>
      </c>
      <c r="B103" s="99" t="s">
        <v>4156</v>
      </c>
      <c r="C103" s="121" t="str" cm="1">
        <f t="array" ref="C103:E103">_xlfn.TEXTSPLIT('איחוד שאלות'!$B103,"_")</f>
        <v>perception</v>
      </c>
      <c r="D103" s="99" t="str">
        <v>agreement</v>
      </c>
      <c r="E103" s="99" t="str">
        <v>politicalcomplexity</v>
      </c>
      <c r="F103" s="99"/>
      <c r="G103" s="100"/>
      <c r="H103" s="133" t="s">
        <v>3332</v>
      </c>
      <c r="I103" s="103" t="s">
        <v>5844</v>
      </c>
      <c r="J103" s="103" t="s">
        <v>5862</v>
      </c>
      <c r="K103" s="104" t="s">
        <v>5863</v>
      </c>
      <c r="L103" s="1"/>
      <c r="M103" s="1"/>
      <c r="N103" s="1" t="s">
        <v>6859</v>
      </c>
      <c r="V103" s="1"/>
      <c r="W103" s="1"/>
    </row>
    <row r="104" spans="1:23" ht="101.5" x14ac:dyDescent="0.35">
      <c r="A104" s="113" t="s">
        <v>617</v>
      </c>
      <c r="B104" s="102" t="s">
        <v>4157</v>
      </c>
      <c r="C104" s="123" t="str" cm="1">
        <f t="array" ref="C104:E104">_xlfn.TEXTSPLIT('איחוד שאלות'!$B104,"_")</f>
        <v>preference</v>
      </c>
      <c r="D104" s="102" t="str">
        <v>agreement</v>
      </c>
      <c r="E104" s="102" t="str">
        <v xml:space="preserve">deportforeignworkers </v>
      </c>
      <c r="F104" s="102"/>
      <c r="G104" s="103"/>
      <c r="H104" s="132" t="s">
        <v>3332</v>
      </c>
      <c r="I104" s="100" t="s">
        <v>5856</v>
      </c>
      <c r="J104" s="100" t="s">
        <v>5862</v>
      </c>
      <c r="K104" s="101" t="s">
        <v>5864</v>
      </c>
      <c r="L104" s="1"/>
      <c r="M104" s="1"/>
      <c r="N104" s="1" t="s">
        <v>6860</v>
      </c>
      <c r="V104" s="1"/>
      <c r="W104" s="1"/>
    </row>
    <row r="105" spans="1:23" ht="130.5" x14ac:dyDescent="0.35">
      <c r="A105" s="121" t="s">
        <v>529</v>
      </c>
      <c r="B105" s="99" t="s">
        <v>3333</v>
      </c>
      <c r="C105" s="121" t="str" cm="1">
        <f t="array" ref="C105:F105">_xlfn.TEXTSPLIT('איחוד שאלות'!$B105,"_")</f>
        <v>preference</v>
      </c>
      <c r="D105" s="99" t="str">
        <v>goal</v>
      </c>
      <c r="E105" s="99" t="str">
        <v>hierarchy</v>
      </c>
      <c r="F105" s="99" t="str">
        <v>1</v>
      </c>
      <c r="G105" s="100"/>
      <c r="H105" s="133" t="s">
        <v>3332</v>
      </c>
      <c r="I105" s="103" t="s">
        <v>5856</v>
      </c>
      <c r="J105" s="103" t="s">
        <v>5865</v>
      </c>
      <c r="K105" s="104" t="s">
        <v>5788</v>
      </c>
      <c r="L105" s="1" t="s">
        <v>5789</v>
      </c>
      <c r="M105" s="1"/>
      <c r="N105" s="1" t="s">
        <v>529</v>
      </c>
      <c r="V105" s="1"/>
      <c r="W105" s="1"/>
    </row>
    <row r="106" spans="1:23" ht="29" x14ac:dyDescent="0.35">
      <c r="A106" s="113" t="s">
        <v>530</v>
      </c>
      <c r="B106" s="102" t="s">
        <v>3334</v>
      </c>
      <c r="C106" s="123" t="str" cm="1">
        <f t="array" ref="C106:F106">_xlfn.TEXTSPLIT('איחוד שאלות'!$B106,"_")</f>
        <v>preference</v>
      </c>
      <c r="D106" s="102" t="str">
        <v>goal</v>
      </c>
      <c r="E106" s="102" t="str">
        <v>hierarchy</v>
      </c>
      <c r="F106" s="102" t="str">
        <v>2</v>
      </c>
      <c r="G106" s="103"/>
      <c r="H106" s="132" t="s">
        <v>3332</v>
      </c>
      <c r="I106" s="100" t="s">
        <v>5856</v>
      </c>
      <c r="J106" s="100" t="s">
        <v>5865</v>
      </c>
      <c r="K106" s="101" t="s">
        <v>5788</v>
      </c>
      <c r="L106" s="1" t="s">
        <v>5790</v>
      </c>
      <c r="M106" s="1"/>
      <c r="N106" s="1" t="s">
        <v>530</v>
      </c>
      <c r="V106" s="1"/>
      <c r="W106" s="1"/>
    </row>
    <row r="107" spans="1:23" ht="43.5" x14ac:dyDescent="0.35">
      <c r="A107" s="121" t="s">
        <v>727</v>
      </c>
      <c r="B107" s="99" t="s">
        <v>5213</v>
      </c>
      <c r="C107" s="121" t="str" cm="1">
        <f t="array" ref="C107:E107">_xlfn.TEXTSPLIT('איחוד שאלות'!$B107,"_")</f>
        <v>perception</v>
      </c>
      <c r="D107" s="99" t="str">
        <v>personal</v>
      </c>
      <c r="E107" s="99" t="str">
        <v>condition</v>
      </c>
      <c r="F107" s="99"/>
      <c r="G107" s="100"/>
      <c r="H107" s="133" t="s">
        <v>3332</v>
      </c>
      <c r="I107" s="103" t="s">
        <v>5844</v>
      </c>
      <c r="J107" s="103" t="s">
        <v>5866</v>
      </c>
      <c r="K107" s="104" t="s">
        <v>5846</v>
      </c>
      <c r="L107" s="1"/>
      <c r="M107" s="1"/>
      <c r="N107" s="1" t="s">
        <v>727</v>
      </c>
      <c r="V107" s="1"/>
      <c r="W107" s="1"/>
    </row>
    <row r="108" spans="1:23" ht="43.5" x14ac:dyDescent="0.35">
      <c r="A108" s="113" t="s">
        <v>728</v>
      </c>
      <c r="B108" s="102" t="s">
        <v>5216</v>
      </c>
      <c r="C108" s="123" t="str" cm="1">
        <f t="array" ref="C108:F108">_xlfn.TEXTSPLIT('איחוד שאלות'!$B108,"_")</f>
        <v>perception</v>
      </c>
      <c r="D108" s="102" t="str">
        <v>personal</v>
      </c>
      <c r="E108" s="102" t="str">
        <v>condition</v>
      </c>
      <c r="F108" s="102" t="str">
        <v>last5years</v>
      </c>
      <c r="G108" s="103"/>
      <c r="H108" s="132" t="s">
        <v>3332</v>
      </c>
      <c r="I108" s="100" t="s">
        <v>5844</v>
      </c>
      <c r="J108" s="100" t="s">
        <v>5866</v>
      </c>
      <c r="K108" s="101" t="s">
        <v>5846</v>
      </c>
      <c r="L108" s="1" t="s">
        <v>5867</v>
      </c>
      <c r="M108" s="1"/>
      <c r="N108" s="1" t="s">
        <v>728</v>
      </c>
      <c r="V108" s="1"/>
      <c r="W108" s="1"/>
    </row>
    <row r="109" spans="1:23" ht="43.5" x14ac:dyDescent="0.35">
      <c r="A109" s="121" t="s">
        <v>729</v>
      </c>
      <c r="B109" s="99" t="s">
        <v>5217</v>
      </c>
      <c r="C109" s="121" t="str" cm="1">
        <f t="array" ref="C109:F109">_xlfn.TEXTSPLIT('איחוד שאלות'!$B109,"_")</f>
        <v>perception</v>
      </c>
      <c r="D109" s="99" t="str">
        <v>personal</v>
      </c>
      <c r="E109" s="99" t="str">
        <v>condition</v>
      </c>
      <c r="F109" s="99" t="str">
        <v>next5years</v>
      </c>
      <c r="G109" s="100"/>
      <c r="H109" s="133" t="s">
        <v>3332</v>
      </c>
      <c r="I109" s="103" t="s">
        <v>5844</v>
      </c>
      <c r="J109" s="103" t="s">
        <v>5866</v>
      </c>
      <c r="K109" s="104" t="s">
        <v>5846</v>
      </c>
      <c r="L109" s="1" t="s">
        <v>5868</v>
      </c>
      <c r="M109" s="1"/>
      <c r="N109" s="1" t="s">
        <v>729</v>
      </c>
      <c r="V109" s="1"/>
      <c r="W109" s="1"/>
    </row>
    <row r="110" spans="1:23" ht="43.5" x14ac:dyDescent="0.35">
      <c r="A110" s="113" t="s">
        <v>2900</v>
      </c>
      <c r="B110" s="102" t="s">
        <v>5214</v>
      </c>
      <c r="C110" s="123" t="str" cm="1">
        <f t="array" ref="C110:G110">_xlfn.TEXTSPLIT('איחוד שאלות'!$B110,"_")</f>
        <v>perception</v>
      </c>
      <c r="D110" s="102" t="str">
        <v>expectation</v>
      </c>
      <c r="E110" s="102" t="str">
        <v>personal</v>
      </c>
      <c r="F110" s="102" t="str">
        <v>condition</v>
      </c>
      <c r="G110" s="103" t="str">
        <v>rulingparty</v>
      </c>
      <c r="H110" s="132" t="s">
        <v>3332</v>
      </c>
      <c r="I110" s="100" t="s">
        <v>5844</v>
      </c>
      <c r="J110" s="100" t="s">
        <v>5850</v>
      </c>
      <c r="K110" s="101" t="s">
        <v>5866</v>
      </c>
      <c r="L110" s="1" t="s">
        <v>5846</v>
      </c>
      <c r="M110" s="1" t="s">
        <v>5869</v>
      </c>
      <c r="N110" s="1" t="s">
        <v>2900</v>
      </c>
      <c r="V110" s="1"/>
      <c r="W110" s="1"/>
    </row>
    <row r="111" spans="1:23" ht="58" x14ac:dyDescent="0.35">
      <c r="A111" s="121" t="s">
        <v>1251</v>
      </c>
      <c r="B111" s="99" t="s">
        <v>4158</v>
      </c>
      <c r="C111" s="121" t="str" cm="1">
        <f t="array" ref="C111:F111">_xlfn.TEXTSPLIT('איחוד שאלות'!$B111,"_")</f>
        <v>preference</v>
      </c>
      <c r="D111" s="99" t="str">
        <v>support</v>
      </c>
      <c r="E111" s="99" t="str">
        <v>arabparty</v>
      </c>
      <c r="F111" s="99" t="str">
        <v>minister</v>
      </c>
      <c r="G111" s="100"/>
      <c r="H111" s="133" t="s">
        <v>3332</v>
      </c>
      <c r="I111" s="103" t="s">
        <v>5856</v>
      </c>
      <c r="J111" s="103" t="s">
        <v>5870</v>
      </c>
      <c r="K111" s="104" t="s">
        <v>5871</v>
      </c>
      <c r="L111" s="1" t="s">
        <v>5872</v>
      </c>
      <c r="M111" s="1"/>
      <c r="N111" s="1" t="s">
        <v>1251</v>
      </c>
      <c r="V111" s="1"/>
      <c r="W111" s="1"/>
    </row>
    <row r="112" spans="1:23" ht="72.5" x14ac:dyDescent="0.35">
      <c r="A112" s="113" t="s">
        <v>1387</v>
      </c>
      <c r="B112" s="102" t="s">
        <v>3348</v>
      </c>
      <c r="C112" s="123" t="str" cm="1">
        <f t="array" ref="C112:E112">_xlfn.TEXTSPLIT('איחוד שאלות'!$B112,"_")</f>
        <v>preference</v>
      </c>
      <c r="D112" s="102" t="str">
        <v>importance</v>
      </c>
      <c r="E112" s="102" t="str">
        <v>citizencommongood</v>
      </c>
      <c r="F112" s="102"/>
      <c r="G112" s="103"/>
      <c r="H112" s="132" t="s">
        <v>3332</v>
      </c>
      <c r="I112" s="100" t="s">
        <v>5856</v>
      </c>
      <c r="J112" s="100" t="s">
        <v>5857</v>
      </c>
      <c r="K112" s="101" t="s">
        <v>5873</v>
      </c>
      <c r="L112" s="1"/>
      <c r="M112" s="1"/>
      <c r="N112" s="1" t="s">
        <v>1387</v>
      </c>
      <c r="V112" s="1"/>
      <c r="W112" s="1"/>
    </row>
    <row r="113" spans="1:23" ht="72.5" x14ac:dyDescent="0.35">
      <c r="A113" s="121" t="s">
        <v>1504</v>
      </c>
      <c r="B113" s="99" t="s">
        <v>4159</v>
      </c>
      <c r="C113" s="121" t="str" cm="1">
        <f t="array" ref="C113:F113">_xlfn.TEXTSPLIT('איחוד שאלות'!$B113,"_")</f>
        <v>perception</v>
      </c>
      <c r="D113" s="99" t="str">
        <v>expectation</v>
      </c>
      <c r="E113" s="99" t="str">
        <v>peaceprocess</v>
      </c>
      <c r="F113" s="99" t="str">
        <v>civilwar</v>
      </c>
      <c r="G113" s="100"/>
      <c r="H113" s="133" t="s">
        <v>3332</v>
      </c>
      <c r="I113" s="103" t="s">
        <v>5844</v>
      </c>
      <c r="J113" s="103" t="s">
        <v>5850</v>
      </c>
      <c r="K113" s="104" t="s">
        <v>5874</v>
      </c>
      <c r="L113" s="1" t="s">
        <v>5875</v>
      </c>
      <c r="M113" s="1"/>
      <c r="N113" s="1" t="s">
        <v>1504</v>
      </c>
      <c r="V113" s="1"/>
      <c r="W113" s="1"/>
    </row>
    <row r="114" spans="1:23" ht="217.5" x14ac:dyDescent="0.35">
      <c r="A114" s="113" t="s">
        <v>1589</v>
      </c>
      <c r="B114" s="102" t="s">
        <v>4160</v>
      </c>
      <c r="C114" s="123" t="str" cm="1">
        <f t="array" ref="C114:G114">_xlfn.TEXTSPLIT('איחוד שאלות'!$B114,"_")</f>
        <v>perception</v>
      </c>
      <c r="D114" s="102" t="str">
        <v>expectation</v>
      </c>
      <c r="E114" s="102" t="str">
        <v>goal</v>
      </c>
      <c r="F114" s="102" t="str">
        <v>achieve</v>
      </c>
      <c r="G114" s="103" t="str">
        <v>all</v>
      </c>
      <c r="H114" s="132" t="s">
        <v>3332</v>
      </c>
      <c r="I114" s="100" t="s">
        <v>5844</v>
      </c>
      <c r="J114" s="100" t="s">
        <v>5850</v>
      </c>
      <c r="K114" s="101" t="s">
        <v>5865</v>
      </c>
      <c r="L114" s="1" t="s">
        <v>5876</v>
      </c>
      <c r="M114" s="1" t="s">
        <v>5877</v>
      </c>
      <c r="N114" s="1" t="s">
        <v>1589</v>
      </c>
      <c r="V114" s="1"/>
      <c r="W114" s="1"/>
    </row>
    <row r="115" spans="1:23" ht="29" x14ac:dyDescent="0.35">
      <c r="A115" s="121" t="s">
        <v>1632</v>
      </c>
      <c r="B115" s="115" t="s">
        <v>4161</v>
      </c>
      <c r="C115" s="121" t="str" cm="1">
        <f t="array" ref="C115:E115">_xlfn.TEXTSPLIT('איחוד שאלות'!$B115,"_")</f>
        <v>???</v>
      </c>
      <c r="D115" s="115" t="str">
        <v>friends</v>
      </c>
      <c r="E115" s="115" t="str">
        <v>arabs</v>
      </c>
      <c r="F115" s="115"/>
      <c r="G115" s="100"/>
      <c r="H115" s="133" t="s">
        <v>3332</v>
      </c>
      <c r="I115" s="103" t="s">
        <v>5786</v>
      </c>
      <c r="J115" s="103" t="s">
        <v>5787</v>
      </c>
      <c r="K115" s="104" t="s">
        <v>5878</v>
      </c>
      <c r="L115" s="1"/>
      <c r="M115" s="1"/>
      <c r="N115" s="1" t="s">
        <v>1632</v>
      </c>
      <c r="V115" s="1"/>
      <c r="W115" s="1"/>
    </row>
    <row r="116" spans="1:23" ht="72.5" x14ac:dyDescent="0.35">
      <c r="A116" s="113" t="s">
        <v>1763</v>
      </c>
      <c r="B116" s="102" t="s">
        <v>4162</v>
      </c>
      <c r="C116" s="123" t="str" cm="1">
        <f t="array" ref="C116:E116">_xlfn.TEXTSPLIT('איחוד שאלות'!$B116,"_")</f>
        <v>affect</v>
      </c>
      <c r="D116" s="102" t="str">
        <v>threat</v>
      </c>
      <c r="E116" s="102" t="str">
        <v>jewisharabratio</v>
      </c>
      <c r="F116" s="102"/>
      <c r="G116" s="103"/>
      <c r="H116" s="132" t="s">
        <v>3332</v>
      </c>
      <c r="I116" s="100" t="s">
        <v>5815</v>
      </c>
      <c r="J116" s="100" t="s">
        <v>5816</v>
      </c>
      <c r="K116" s="101" t="s">
        <v>5879</v>
      </c>
      <c r="L116" s="1"/>
      <c r="M116" s="1"/>
      <c r="N116" s="1" t="s">
        <v>6861</v>
      </c>
      <c r="V116" s="1"/>
      <c r="W116" s="1"/>
    </row>
    <row r="117" spans="1:23" ht="72.5" x14ac:dyDescent="0.35">
      <c r="A117" s="121" t="s">
        <v>1765</v>
      </c>
      <c r="B117" s="99" t="s">
        <v>4163</v>
      </c>
      <c r="C117" s="121" t="str" cm="1">
        <f t="array" ref="C117:E117">_xlfn.TEXTSPLIT('איחוד שאלות'!$B117,"_")</f>
        <v>affect</v>
      </c>
      <c r="D117" s="99" t="str">
        <v>threat</v>
      </c>
      <c r="E117" s="99" t="str">
        <v>USAendaid</v>
      </c>
      <c r="F117" s="99"/>
      <c r="G117" s="100"/>
      <c r="H117" s="133" t="s">
        <v>3332</v>
      </c>
      <c r="I117" s="103" t="s">
        <v>5815</v>
      </c>
      <c r="J117" s="103" t="s">
        <v>5816</v>
      </c>
      <c r="K117" s="104" t="s">
        <v>5880</v>
      </c>
      <c r="L117" s="1"/>
      <c r="M117" s="1"/>
      <c r="N117" s="1" t="s">
        <v>6862</v>
      </c>
      <c r="V117" s="1"/>
      <c r="W117" s="1"/>
    </row>
    <row r="118" spans="1:23" ht="87" x14ac:dyDescent="0.35">
      <c r="A118" s="113" t="s">
        <v>1769</v>
      </c>
      <c r="B118" s="102" t="s">
        <v>4164</v>
      </c>
      <c r="C118" s="123" t="str" cm="1">
        <f t="array" ref="C118:E118">_xlfn.TEXTSPLIT('איחוד שאלות'!$B118,"_")</f>
        <v>perception</v>
      </c>
      <c r="D118" s="102" t="str">
        <v>expectation</v>
      </c>
      <c r="E118" s="102" t="str">
        <v>jewisharabratio</v>
      </c>
      <c r="F118" s="102"/>
      <c r="G118" s="103"/>
      <c r="H118" s="132" t="s">
        <v>3332</v>
      </c>
      <c r="I118" s="100" t="s">
        <v>5844</v>
      </c>
      <c r="J118" s="100" t="s">
        <v>5850</v>
      </c>
      <c r="K118" s="101" t="s">
        <v>5879</v>
      </c>
      <c r="L118" s="1"/>
      <c r="M118" s="1"/>
      <c r="N118" s="1" t="s">
        <v>6863</v>
      </c>
      <c r="V118" s="1"/>
      <c r="W118" s="1"/>
    </row>
    <row r="119" spans="1:23" ht="87" x14ac:dyDescent="0.35">
      <c r="A119" s="121" t="s">
        <v>1770</v>
      </c>
      <c r="B119" s="99" t="s">
        <v>4165</v>
      </c>
      <c r="C119" s="121" t="str" cm="1">
        <f t="array" ref="C119:E119">_xlfn.TEXTSPLIT('איחוד שאלות'!$B119,"_")</f>
        <v>perception</v>
      </c>
      <c r="D119" s="99" t="str">
        <v>expectation</v>
      </c>
      <c r="E119" s="99" t="str">
        <v>USAendaid</v>
      </c>
      <c r="F119" s="99"/>
      <c r="G119" s="100"/>
      <c r="H119" s="133" t="s">
        <v>3332</v>
      </c>
      <c r="I119" s="103" t="s">
        <v>5844</v>
      </c>
      <c r="J119" s="103" t="s">
        <v>5850</v>
      </c>
      <c r="K119" s="104" t="s">
        <v>5880</v>
      </c>
      <c r="L119" s="1"/>
      <c r="M119" s="1"/>
      <c r="N119" s="1" t="s">
        <v>6864</v>
      </c>
      <c r="V119" s="1"/>
      <c r="W119" s="1"/>
    </row>
    <row r="120" spans="1:23" ht="116" x14ac:dyDescent="0.35">
      <c r="A120" s="113" t="s">
        <v>1830</v>
      </c>
      <c r="B120" s="102" t="s">
        <v>4166</v>
      </c>
      <c r="C120" s="123" t="str" cm="1">
        <f t="array" ref="C120:E120">_xlfn.TEXTSPLIT('איחוד שאלות'!$B120,"_")</f>
        <v>perception</v>
      </c>
      <c r="D120" s="102" t="str">
        <v>agreement</v>
      </c>
      <c r="E120" s="102" t="str">
        <v>moralabsolutism</v>
      </c>
      <c r="F120" s="102"/>
      <c r="G120" s="103"/>
      <c r="H120" s="132" t="s">
        <v>3332</v>
      </c>
      <c r="I120" s="100" t="s">
        <v>5844</v>
      </c>
      <c r="J120" s="100" t="s">
        <v>5862</v>
      </c>
      <c r="K120" s="101" t="s">
        <v>5881</v>
      </c>
      <c r="L120" s="1"/>
      <c r="M120" s="1"/>
      <c r="N120" s="1" t="s">
        <v>6865</v>
      </c>
      <c r="V120" s="1"/>
      <c r="W120" s="1"/>
    </row>
    <row r="121" spans="1:23" ht="43.5" x14ac:dyDescent="0.35">
      <c r="A121" s="121" t="s">
        <v>1831</v>
      </c>
      <c r="B121" s="99" t="s">
        <v>5537</v>
      </c>
      <c r="C121" s="121" t="str" cm="1">
        <f t="array" ref="C121:G121">_xlfn.TEXTSPLIT('איחוד שאלות'!$B121,"_")</f>
        <v>preference</v>
      </c>
      <c r="D121" s="99" t="str">
        <v>policy</v>
      </c>
      <c r="E121" s="99" t="str">
        <v>democracy</v>
      </c>
      <c r="F121" s="99" t="str">
        <v>lawintohands</v>
      </c>
      <c r="G121" s="100" t="str">
        <v>neg</v>
      </c>
      <c r="H121" s="133" t="s">
        <v>3332</v>
      </c>
      <c r="I121" s="103" t="s">
        <v>5856</v>
      </c>
      <c r="J121" s="103" t="s">
        <v>5882</v>
      </c>
      <c r="K121" s="104" t="s">
        <v>5883</v>
      </c>
      <c r="L121" s="1" t="s">
        <v>5884</v>
      </c>
      <c r="M121" s="1" t="s">
        <v>5885</v>
      </c>
      <c r="N121" s="1" t="s">
        <v>1831</v>
      </c>
      <c r="V121" s="1"/>
      <c r="W121" s="1"/>
    </row>
    <row r="122" spans="1:23" ht="87" x14ac:dyDescent="0.35">
      <c r="A122" s="113" t="s">
        <v>1832</v>
      </c>
      <c r="B122" s="102" t="s">
        <v>4167</v>
      </c>
      <c r="C122" s="123" t="str" cm="1">
        <f t="array" ref="C122:E122">_xlfn.TEXTSPLIT('איחוד שאלות'!$B122,"_")</f>
        <v>preference</v>
      </c>
      <c r="D122" s="102" t="str">
        <v>agreement</v>
      </c>
      <c r="E122" s="102" t="str">
        <v>commongood</v>
      </c>
      <c r="F122" s="102"/>
      <c r="G122" s="103"/>
      <c r="H122" s="132" t="s">
        <v>3332</v>
      </c>
      <c r="I122" s="100" t="s">
        <v>5856</v>
      </c>
      <c r="J122" s="100" t="s">
        <v>5862</v>
      </c>
      <c r="K122" s="101" t="s">
        <v>5886</v>
      </c>
      <c r="L122" s="1"/>
      <c r="M122" s="1"/>
      <c r="N122" s="1" t="s">
        <v>1832</v>
      </c>
      <c r="V122" s="1"/>
      <c r="W122" s="1"/>
    </row>
    <row r="123" spans="1:23" ht="43.5" x14ac:dyDescent="0.35">
      <c r="A123" s="121" t="s">
        <v>1833</v>
      </c>
      <c r="B123" s="99" t="s">
        <v>4168</v>
      </c>
      <c r="C123" s="121" t="str" cm="1">
        <f t="array" ref="C123:E123">_xlfn.TEXTSPLIT('איחוד שאלות'!$B123,"_")</f>
        <v>preference</v>
      </c>
      <c r="D123" s="99" t="str">
        <v>agreement</v>
      </c>
      <c r="E123" s="99" t="str">
        <v>territoriesrestitution</v>
      </c>
      <c r="F123" s="99"/>
      <c r="G123" s="100"/>
      <c r="H123" s="133" t="s">
        <v>3332</v>
      </c>
      <c r="I123" s="103" t="s">
        <v>5856</v>
      </c>
      <c r="J123" s="103" t="s">
        <v>5862</v>
      </c>
      <c r="K123" s="104" t="s">
        <v>5887</v>
      </c>
      <c r="L123" s="1"/>
      <c r="M123" s="1"/>
      <c r="N123" s="1" t="s">
        <v>1833</v>
      </c>
      <c r="V123" s="1"/>
      <c r="W123" s="1"/>
    </row>
    <row r="124" spans="1:23" ht="58" x14ac:dyDescent="0.35">
      <c r="A124" s="113" t="s">
        <v>1834</v>
      </c>
      <c r="B124" s="102" t="s">
        <v>4169</v>
      </c>
      <c r="C124" s="123" t="str" cm="1">
        <f t="array" ref="C124:F124">_xlfn.TEXTSPLIT('איחוד שאלות'!$B124,"_")</f>
        <v>perception</v>
      </c>
      <c r="D124" s="102" t="str">
        <v>agreement</v>
      </c>
      <c r="E124" s="102" t="str">
        <v>providence</v>
      </c>
      <c r="F124" s="102" t="str">
        <v>war</v>
      </c>
      <c r="G124" s="103"/>
      <c r="H124" s="132" t="s">
        <v>3332</v>
      </c>
      <c r="I124" s="100" t="s">
        <v>5844</v>
      </c>
      <c r="J124" s="100" t="s">
        <v>5862</v>
      </c>
      <c r="K124" s="101" t="s">
        <v>5888</v>
      </c>
      <c r="L124" s="1" t="s">
        <v>5889</v>
      </c>
      <c r="M124" s="1"/>
      <c r="N124" s="1" t="s">
        <v>1834</v>
      </c>
      <c r="V124" s="1"/>
      <c r="W124" s="1"/>
    </row>
    <row r="125" spans="1:23" ht="58" x14ac:dyDescent="0.35">
      <c r="A125" s="121" t="s">
        <v>1835</v>
      </c>
      <c r="B125" s="99" t="s">
        <v>4170</v>
      </c>
      <c r="C125" s="121" t="str" cm="1">
        <f t="array" ref="C125:F125">_xlfn.TEXTSPLIT('איחוד שאלות'!$B125,"_")</f>
        <v>perception</v>
      </c>
      <c r="D125" s="99" t="str">
        <v>expectation</v>
      </c>
      <c r="E125" s="99" t="str">
        <v>long</v>
      </c>
      <c r="F125" s="99" t="str">
        <v>existence</v>
      </c>
      <c r="G125" s="100"/>
      <c r="H125" s="133" t="s">
        <v>3332</v>
      </c>
      <c r="I125" s="103" t="s">
        <v>5844</v>
      </c>
      <c r="J125" s="103" t="s">
        <v>5850</v>
      </c>
      <c r="K125" s="104" t="s">
        <v>5890</v>
      </c>
      <c r="L125" s="1" t="s">
        <v>5891</v>
      </c>
      <c r="M125" s="1"/>
      <c r="N125" s="1" t="s">
        <v>1835</v>
      </c>
      <c r="V125" s="1"/>
      <c r="W125" s="1"/>
    </row>
    <row r="126" spans="1:23" ht="43.5" x14ac:dyDescent="0.35">
      <c r="A126" s="113" t="s">
        <v>1854</v>
      </c>
      <c r="B126" s="102" t="s">
        <v>4171</v>
      </c>
      <c r="C126" s="123" t="str" cm="1">
        <f t="array" ref="C126:G126">_xlfn.TEXTSPLIT('איחוד שאלות'!$B126,"_")</f>
        <v>perception</v>
      </c>
      <c r="D126" s="102" t="str">
        <v>satisfaction</v>
      </c>
      <c r="E126" s="102" t="str">
        <v>IDF</v>
      </c>
      <c r="F126" s="102" t="str">
        <v>service</v>
      </c>
      <c r="G126" s="103" t="str">
        <v>burdendivision</v>
      </c>
      <c r="H126" s="132" t="s">
        <v>3332</v>
      </c>
      <c r="I126" s="100" t="s">
        <v>5844</v>
      </c>
      <c r="J126" s="100" t="s">
        <v>5847</v>
      </c>
      <c r="K126" s="101" t="s">
        <v>5825</v>
      </c>
      <c r="L126" s="1" t="s">
        <v>5826</v>
      </c>
      <c r="M126" s="1" t="s">
        <v>5892</v>
      </c>
      <c r="N126" s="1" t="s">
        <v>1854</v>
      </c>
      <c r="V126" s="1"/>
      <c r="W126" s="1"/>
    </row>
    <row r="127" spans="1:23" ht="58" x14ac:dyDescent="0.35">
      <c r="A127" s="121" t="s">
        <v>1855</v>
      </c>
      <c r="B127" s="99" t="s">
        <v>4172</v>
      </c>
      <c r="C127" s="121" t="str" cm="1">
        <f t="array" ref="C127:G127">_xlfn.TEXTSPLIT('איחוד שאלות'!$B127,"_")</f>
        <v>perception</v>
      </c>
      <c r="D127" s="99" t="str">
        <v>satisfaction</v>
      </c>
      <c r="E127" s="99" t="str">
        <v>IDF</v>
      </c>
      <c r="F127" s="99" t="str">
        <v>reserve</v>
      </c>
      <c r="G127" s="100" t="str">
        <v>efficiency</v>
      </c>
      <c r="H127" s="133" t="s">
        <v>3332</v>
      </c>
      <c r="I127" s="103" t="s">
        <v>5844</v>
      </c>
      <c r="J127" s="103" t="s">
        <v>5847</v>
      </c>
      <c r="K127" s="104" t="s">
        <v>5825</v>
      </c>
      <c r="L127" s="1" t="s">
        <v>5827</v>
      </c>
      <c r="M127" s="1" t="s">
        <v>5893</v>
      </c>
      <c r="N127" s="1" t="s">
        <v>1855</v>
      </c>
      <c r="V127" s="1"/>
      <c r="W127" s="1"/>
    </row>
    <row r="128" spans="1:23" ht="58" x14ac:dyDescent="0.35">
      <c r="A128" s="113" t="s">
        <v>1856</v>
      </c>
      <c r="B128" s="102" t="s">
        <v>4173</v>
      </c>
      <c r="C128" s="123" t="str" cm="1">
        <f t="array" ref="C128:G128">_xlfn.TEXTSPLIT('איחוד שאלות'!$B128,"_")</f>
        <v>perception</v>
      </c>
      <c r="D128" s="102" t="str">
        <v>satisfaction</v>
      </c>
      <c r="E128" s="102" t="str">
        <v>IDF</v>
      </c>
      <c r="F128" s="102" t="str">
        <v>service</v>
      </c>
      <c r="G128" s="103" t="str">
        <v>duration</v>
      </c>
      <c r="H128" s="132" t="s">
        <v>3332</v>
      </c>
      <c r="I128" s="100" t="s">
        <v>5844</v>
      </c>
      <c r="J128" s="100" t="s">
        <v>5847</v>
      </c>
      <c r="K128" s="101" t="s">
        <v>5825</v>
      </c>
      <c r="L128" s="1" t="s">
        <v>5826</v>
      </c>
      <c r="M128" s="1" t="s">
        <v>5894</v>
      </c>
      <c r="N128" s="1" t="s">
        <v>1856</v>
      </c>
      <c r="V128" s="1"/>
      <c r="W128" s="1"/>
    </row>
    <row r="129" spans="1:23" ht="130.5" x14ac:dyDescent="0.35">
      <c r="A129" s="121" t="s">
        <v>1869</v>
      </c>
      <c r="B129" s="99" t="s">
        <v>4174</v>
      </c>
      <c r="C129" s="121" t="str" cm="1">
        <f t="array" ref="C129:F129">_xlfn.TEXTSPLIT('איחוד שאלות'!$B129,"_")</f>
        <v>perception</v>
      </c>
      <c r="D129" s="99" t="str">
        <v>agreement</v>
      </c>
      <c r="E129" s="99" t="str">
        <v>phrase</v>
      </c>
      <c r="F129" s="99" t="str">
        <v>1</v>
      </c>
      <c r="G129" s="100"/>
      <c r="H129" s="133" t="s">
        <v>3332</v>
      </c>
      <c r="I129" s="103" t="s">
        <v>5844</v>
      </c>
      <c r="J129" s="103" t="s">
        <v>5862</v>
      </c>
      <c r="K129" s="104" t="s">
        <v>5895</v>
      </c>
      <c r="L129" s="1" t="s">
        <v>5789</v>
      </c>
      <c r="M129" s="1"/>
      <c r="N129" s="1" t="s">
        <v>6866</v>
      </c>
      <c r="V129" s="1"/>
      <c r="W129" s="1"/>
    </row>
    <row r="130" spans="1:23" ht="29" x14ac:dyDescent="0.35">
      <c r="A130" s="113" t="s">
        <v>1870</v>
      </c>
      <c r="B130" s="102" t="s">
        <v>4175</v>
      </c>
      <c r="C130" s="123" t="str" cm="1">
        <f t="array" ref="C130:F130">_xlfn.TEXTSPLIT('איחוד שאלות'!$B130,"_")</f>
        <v>perception</v>
      </c>
      <c r="D130" s="102" t="str">
        <v>agreement</v>
      </c>
      <c r="E130" s="102" t="str">
        <v>phrase</v>
      </c>
      <c r="F130" s="102" t="str">
        <v>2</v>
      </c>
      <c r="G130" s="103"/>
      <c r="H130" s="132" t="s">
        <v>3332</v>
      </c>
      <c r="I130" s="100" t="s">
        <v>5844</v>
      </c>
      <c r="J130" s="100" t="s">
        <v>5862</v>
      </c>
      <c r="K130" s="101" t="s">
        <v>5895</v>
      </c>
      <c r="L130" s="1" t="s">
        <v>5790</v>
      </c>
      <c r="M130" s="1"/>
      <c r="N130" s="1" t="s">
        <v>1870</v>
      </c>
      <c r="V130" s="1"/>
      <c r="W130" s="1"/>
    </row>
    <row r="131" spans="1:23" ht="29" x14ac:dyDescent="0.35">
      <c r="A131" s="121" t="s">
        <v>1871</v>
      </c>
      <c r="B131" s="99" t="s">
        <v>4176</v>
      </c>
      <c r="C131" s="121" t="str" cm="1">
        <f t="array" ref="C131:F131">_xlfn.TEXTSPLIT('איחוד שאלות'!$B131,"_")</f>
        <v>perception</v>
      </c>
      <c r="D131" s="99" t="str">
        <v>agreement</v>
      </c>
      <c r="E131" s="99" t="str">
        <v>phrase</v>
      </c>
      <c r="F131" s="99" t="str">
        <v>3</v>
      </c>
      <c r="G131" s="100"/>
      <c r="H131" s="133" t="s">
        <v>3332</v>
      </c>
      <c r="I131" s="103" t="s">
        <v>5844</v>
      </c>
      <c r="J131" s="103" t="s">
        <v>5862</v>
      </c>
      <c r="K131" s="104" t="s">
        <v>5895</v>
      </c>
      <c r="L131" s="1" t="s">
        <v>5791</v>
      </c>
      <c r="M131" s="1"/>
      <c r="N131" s="1" t="s">
        <v>1871</v>
      </c>
      <c r="V131" s="1"/>
      <c r="W131" s="1"/>
    </row>
    <row r="132" spans="1:23" ht="29" x14ac:dyDescent="0.35">
      <c r="A132" s="113" t="s">
        <v>1872</v>
      </c>
      <c r="B132" s="102" t="s">
        <v>4177</v>
      </c>
      <c r="C132" s="123" t="str" cm="1">
        <f t="array" ref="C132:F132">_xlfn.TEXTSPLIT('איחוד שאלות'!$B132,"_")</f>
        <v>perception</v>
      </c>
      <c r="D132" s="102" t="str">
        <v>agreement</v>
      </c>
      <c r="E132" s="102" t="str">
        <v>phrase</v>
      </c>
      <c r="F132" s="102" t="str">
        <v>4</v>
      </c>
      <c r="G132" s="103"/>
      <c r="H132" s="132" t="s">
        <v>3332</v>
      </c>
      <c r="I132" s="100" t="s">
        <v>5844</v>
      </c>
      <c r="J132" s="100" t="s">
        <v>5862</v>
      </c>
      <c r="K132" s="101" t="s">
        <v>5895</v>
      </c>
      <c r="L132" s="1" t="s">
        <v>5792</v>
      </c>
      <c r="M132" s="1"/>
      <c r="N132" s="1" t="s">
        <v>1872</v>
      </c>
      <c r="V132" s="1"/>
      <c r="W132" s="1"/>
    </row>
    <row r="133" spans="1:23" ht="43.5" x14ac:dyDescent="0.35">
      <c r="A133" s="121" t="s">
        <v>1873</v>
      </c>
      <c r="B133" s="99" t="s">
        <v>4178</v>
      </c>
      <c r="C133" s="121" t="str" cm="1">
        <f t="array" ref="C133:F133">_xlfn.TEXTSPLIT('איחוד שאלות'!$B133,"_")</f>
        <v>perception</v>
      </c>
      <c r="D133" s="99" t="str">
        <v>agreement</v>
      </c>
      <c r="E133" s="99" t="str">
        <v>phrase</v>
      </c>
      <c r="F133" s="99" t="str">
        <v>5</v>
      </c>
      <c r="G133" s="100"/>
      <c r="H133" s="133" t="s">
        <v>3332</v>
      </c>
      <c r="I133" s="103" t="s">
        <v>5844</v>
      </c>
      <c r="J133" s="103" t="s">
        <v>5862</v>
      </c>
      <c r="K133" s="104" t="s">
        <v>5895</v>
      </c>
      <c r="L133" s="1" t="s">
        <v>5896</v>
      </c>
      <c r="M133" s="1"/>
      <c r="N133" s="1" t="s">
        <v>1873</v>
      </c>
      <c r="V133" s="1"/>
      <c r="W133" s="1"/>
    </row>
    <row r="134" spans="1:23" ht="29" x14ac:dyDescent="0.35">
      <c r="A134" s="113" t="s">
        <v>1874</v>
      </c>
      <c r="B134" s="102" t="s">
        <v>4179</v>
      </c>
      <c r="C134" s="123" t="str" cm="1">
        <f t="array" ref="C134:F134">_xlfn.TEXTSPLIT('איחוד שאלות'!$B134,"_")</f>
        <v>perception</v>
      </c>
      <c r="D134" s="102" t="str">
        <v>agreement</v>
      </c>
      <c r="E134" s="102" t="str">
        <v>phrase</v>
      </c>
      <c r="F134" s="102" t="str">
        <v>6</v>
      </c>
      <c r="G134" s="103"/>
      <c r="H134" s="132" t="s">
        <v>3332</v>
      </c>
      <c r="I134" s="100" t="s">
        <v>5844</v>
      </c>
      <c r="J134" s="100" t="s">
        <v>5862</v>
      </c>
      <c r="K134" s="101" t="s">
        <v>5895</v>
      </c>
      <c r="L134" s="1" t="s">
        <v>5897</v>
      </c>
      <c r="M134" s="1"/>
      <c r="N134" s="1" t="s">
        <v>1874</v>
      </c>
      <c r="V134" s="1"/>
      <c r="W134" s="1"/>
    </row>
    <row r="135" spans="1:23" ht="29" x14ac:dyDescent="0.35">
      <c r="A135" s="121" t="s">
        <v>1875</v>
      </c>
      <c r="B135" s="99" t="s">
        <v>4180</v>
      </c>
      <c r="C135" s="121" t="str" cm="1">
        <f t="array" ref="C135:F135">_xlfn.TEXTSPLIT('איחוד שאלות'!$B135,"_")</f>
        <v>perception</v>
      </c>
      <c r="D135" s="99" t="str">
        <v>agreement</v>
      </c>
      <c r="E135" s="99" t="str">
        <v>phrase</v>
      </c>
      <c r="F135" s="99" t="str">
        <v>7</v>
      </c>
      <c r="G135" s="100"/>
      <c r="H135" s="133" t="s">
        <v>3332</v>
      </c>
      <c r="I135" s="103" t="s">
        <v>5844</v>
      </c>
      <c r="J135" s="103" t="s">
        <v>5862</v>
      </c>
      <c r="K135" s="104" t="s">
        <v>5895</v>
      </c>
      <c r="L135" s="1" t="s">
        <v>5898</v>
      </c>
      <c r="M135" s="1"/>
      <c r="N135" s="1" t="s">
        <v>1875</v>
      </c>
      <c r="V135" s="1"/>
      <c r="W135" s="1"/>
    </row>
    <row r="136" spans="1:23" ht="29" x14ac:dyDescent="0.35">
      <c r="A136" s="113" t="s">
        <v>1876</v>
      </c>
      <c r="B136" s="102" t="s">
        <v>4181</v>
      </c>
      <c r="C136" s="123" t="str" cm="1">
        <f t="array" ref="C136:F136">_xlfn.TEXTSPLIT('איחוד שאלות'!$B136,"_")</f>
        <v>perception</v>
      </c>
      <c r="D136" s="102" t="str">
        <v>agreement</v>
      </c>
      <c r="E136" s="102" t="str">
        <v>phrase</v>
      </c>
      <c r="F136" s="102" t="str">
        <v>8</v>
      </c>
      <c r="G136" s="103"/>
      <c r="H136" s="132" t="s">
        <v>3332</v>
      </c>
      <c r="I136" s="100" t="s">
        <v>5844</v>
      </c>
      <c r="J136" s="100" t="s">
        <v>5862</v>
      </c>
      <c r="K136" s="101" t="s">
        <v>5895</v>
      </c>
      <c r="L136" s="1" t="s">
        <v>5899</v>
      </c>
      <c r="M136" s="1"/>
      <c r="N136" s="1" t="s">
        <v>1876</v>
      </c>
      <c r="V136" s="1"/>
      <c r="W136" s="1"/>
    </row>
    <row r="137" spans="1:23" ht="29" x14ac:dyDescent="0.35">
      <c r="A137" s="121" t="s">
        <v>1877</v>
      </c>
      <c r="B137" s="99" t="s">
        <v>4182</v>
      </c>
      <c r="C137" s="121" t="str" cm="1">
        <f t="array" ref="C137:F137">_xlfn.TEXTSPLIT('איחוד שאלות'!$B137,"_")</f>
        <v>perception</v>
      </c>
      <c r="D137" s="99" t="str">
        <v>agreement</v>
      </c>
      <c r="E137" s="99" t="str">
        <v>phrase</v>
      </c>
      <c r="F137" s="99" t="str">
        <v>9</v>
      </c>
      <c r="G137" s="100"/>
      <c r="H137" s="133" t="s">
        <v>3332</v>
      </c>
      <c r="I137" s="103" t="s">
        <v>5844</v>
      </c>
      <c r="J137" s="103" t="s">
        <v>5862</v>
      </c>
      <c r="K137" s="104" t="s">
        <v>5895</v>
      </c>
      <c r="L137" s="1" t="s">
        <v>5900</v>
      </c>
      <c r="M137" s="1"/>
      <c r="N137" s="1" t="s">
        <v>1877</v>
      </c>
      <c r="V137" s="1"/>
      <c r="W137" s="1"/>
    </row>
    <row r="138" spans="1:23" ht="101.5" x14ac:dyDescent="0.35">
      <c r="A138" s="113" t="s">
        <v>1878</v>
      </c>
      <c r="B138" s="102" t="s">
        <v>4183</v>
      </c>
      <c r="C138" s="123" t="str" cm="1">
        <f t="array" ref="C138:F138">_xlfn.TEXTSPLIT('איחוד שאלות'!$B138,"_")</f>
        <v>affect</v>
      </c>
      <c r="D138" s="102" t="str">
        <v>trust</v>
      </c>
      <c r="E138" s="102" t="str">
        <v>protector</v>
      </c>
      <c r="F138" s="102" t="str">
        <v>israel</v>
      </c>
      <c r="G138" s="103"/>
      <c r="H138" s="132" t="s">
        <v>3332</v>
      </c>
      <c r="I138" s="100" t="s">
        <v>5815</v>
      </c>
      <c r="J138" s="100" t="s">
        <v>5901</v>
      </c>
      <c r="K138" s="101" t="s">
        <v>5902</v>
      </c>
      <c r="L138" s="1" t="s">
        <v>5845</v>
      </c>
      <c r="M138" s="1"/>
      <c r="N138" s="1" t="s">
        <v>1878</v>
      </c>
      <c r="V138" s="1"/>
      <c r="W138" s="1"/>
    </row>
    <row r="139" spans="1:23" ht="116" x14ac:dyDescent="0.35">
      <c r="A139" s="121" t="s">
        <v>1879</v>
      </c>
      <c r="B139" s="99" t="s">
        <v>3340</v>
      </c>
      <c r="C139" s="121" t="str" cm="1">
        <f t="array" ref="C139:F139">_xlfn.TEXTSPLIT('איחוד שאלות'!$B139,"_")</f>
        <v>preference</v>
      </c>
      <c r="D139" s="99" t="str">
        <v>policy</v>
      </c>
      <c r="E139" s="99" t="str">
        <v>arms</v>
      </c>
      <c r="F139" s="99" t="str">
        <v>export</v>
      </c>
      <c r="G139" s="100"/>
      <c r="H139" s="133" t="s">
        <v>3332</v>
      </c>
      <c r="I139" s="103" t="s">
        <v>5856</v>
      </c>
      <c r="J139" s="103" t="s">
        <v>5882</v>
      </c>
      <c r="K139" s="104" t="s">
        <v>5903</v>
      </c>
      <c r="L139" s="1" t="s">
        <v>5904</v>
      </c>
      <c r="M139" s="1"/>
      <c r="N139" s="1" t="s">
        <v>1879</v>
      </c>
      <c r="V139" s="1"/>
      <c r="W139" s="1"/>
    </row>
    <row r="140" spans="1:23" ht="116" x14ac:dyDescent="0.35">
      <c r="A140" s="113" t="s">
        <v>1894</v>
      </c>
      <c r="B140" s="102" t="s">
        <v>4184</v>
      </c>
      <c r="C140" s="123" t="str" cm="1">
        <f t="array" ref="C140:E140">_xlfn.TEXTSPLIT('איחוד שאלות'!$B140,"_")</f>
        <v>perception</v>
      </c>
      <c r="D140" s="102" t="str">
        <v>agreement</v>
      </c>
      <c r="E140" s="102" t="str">
        <v>endsjustifymeans</v>
      </c>
      <c r="F140" s="102"/>
      <c r="G140" s="103"/>
      <c r="H140" s="132" t="s">
        <v>3332</v>
      </c>
      <c r="I140" s="100" t="s">
        <v>5844</v>
      </c>
      <c r="J140" s="100" t="s">
        <v>5862</v>
      </c>
      <c r="K140" s="101" t="s">
        <v>5905</v>
      </c>
      <c r="L140" s="1"/>
      <c r="M140" s="1"/>
      <c r="N140" s="1" t="s">
        <v>1894</v>
      </c>
      <c r="V140" s="1"/>
      <c r="W140" s="1"/>
    </row>
    <row r="141" spans="1:23" ht="58" x14ac:dyDescent="0.35">
      <c r="A141" s="121" t="s">
        <v>1895</v>
      </c>
      <c r="B141" s="99" t="s">
        <v>4185</v>
      </c>
      <c r="C141" s="121" t="str" cm="1">
        <f t="array" ref="C141:F141">_xlfn.TEXTSPLIT('איחוד שאלות'!$B141,"_")</f>
        <v>perception</v>
      </c>
      <c r="D141" s="99" t="str">
        <v>agreement</v>
      </c>
      <c r="E141" s="99" t="str">
        <v>antisemitic</v>
      </c>
      <c r="F141" s="99" t="str">
        <v>criticism</v>
      </c>
      <c r="G141" s="100"/>
      <c r="H141" s="133" t="s">
        <v>3332</v>
      </c>
      <c r="I141" s="103" t="s">
        <v>5844</v>
      </c>
      <c r="J141" s="103" t="s">
        <v>5862</v>
      </c>
      <c r="K141" s="104" t="s">
        <v>5906</v>
      </c>
      <c r="L141" s="1" t="s">
        <v>5907</v>
      </c>
      <c r="M141" s="1"/>
      <c r="N141" s="1" t="s">
        <v>1895</v>
      </c>
      <c r="V141" s="1"/>
      <c r="W141" s="1"/>
    </row>
    <row r="142" spans="1:23" ht="43.5" x14ac:dyDescent="0.35">
      <c r="A142" s="113" t="s">
        <v>1896</v>
      </c>
      <c r="B142" s="102" t="s">
        <v>5534</v>
      </c>
      <c r="C142" s="123" t="str" cm="1">
        <f t="array" ref="C142:F142">_xlfn.TEXTSPLIT('איחוד שאלות'!$B142,"_")</f>
        <v>preference</v>
      </c>
      <c r="D142" s="102" t="str">
        <v>policy</v>
      </c>
      <c r="E142" s="102" t="str">
        <v>foreign</v>
      </c>
      <c r="F142" s="102" t="str">
        <v>nonjewishopinion</v>
      </c>
      <c r="G142" s="103"/>
      <c r="H142" s="132" t="s">
        <v>3332</v>
      </c>
      <c r="I142" s="100" t="s">
        <v>5856</v>
      </c>
      <c r="J142" s="100" t="s">
        <v>5882</v>
      </c>
      <c r="K142" s="101" t="s">
        <v>5908</v>
      </c>
      <c r="L142" s="1" t="s">
        <v>5909</v>
      </c>
      <c r="M142" s="1"/>
      <c r="N142" s="1" t="s">
        <v>1896</v>
      </c>
      <c r="V142" s="1"/>
      <c r="W142" s="1"/>
    </row>
    <row r="143" spans="1:23" ht="58" x14ac:dyDescent="0.35">
      <c r="A143" s="121" t="s">
        <v>1897</v>
      </c>
      <c r="B143" s="99" t="s">
        <v>5535</v>
      </c>
      <c r="C143" s="121" t="str" cm="1">
        <f t="array" ref="C143:F143">_xlfn.TEXTSPLIT('איחוד שאלות'!$B143,"_")</f>
        <v>preference</v>
      </c>
      <c r="D143" s="99" t="str">
        <v>policy</v>
      </c>
      <c r="E143" s="99" t="str">
        <v>democracy</v>
      </c>
      <c r="F143" s="99" t="str">
        <v>strongleader</v>
      </c>
      <c r="G143" s="100"/>
      <c r="H143" s="133" t="s">
        <v>3332</v>
      </c>
      <c r="I143" s="103" t="s">
        <v>5856</v>
      </c>
      <c r="J143" s="103" t="s">
        <v>5882</v>
      </c>
      <c r="K143" s="104" t="s">
        <v>5883</v>
      </c>
      <c r="L143" s="1" t="s">
        <v>5910</v>
      </c>
      <c r="M143" s="1"/>
      <c r="N143" s="1" t="s">
        <v>1897</v>
      </c>
      <c r="V143" s="1"/>
      <c r="W143" s="1"/>
    </row>
    <row r="144" spans="1:23" ht="101.5" x14ac:dyDescent="0.35">
      <c r="A144" s="113" t="s">
        <v>1904</v>
      </c>
      <c r="B144" s="102" t="s">
        <v>4186</v>
      </c>
      <c r="C144" s="123" t="str" cm="1">
        <f t="array" ref="C144:E144">_xlfn.TEXTSPLIT('איחוד שאלות'!$B144,"_")</f>
        <v>affect</v>
      </c>
      <c r="D144" s="102" t="str">
        <v>trust</v>
      </c>
      <c r="E144" s="102" t="str">
        <v>people</v>
      </c>
      <c r="F144" s="102"/>
      <c r="G144" s="103"/>
      <c r="H144" s="132" t="s">
        <v>3332</v>
      </c>
      <c r="I144" s="100" t="s">
        <v>5815</v>
      </c>
      <c r="J144" s="100" t="s">
        <v>5901</v>
      </c>
      <c r="K144" s="101" t="s">
        <v>5911</v>
      </c>
      <c r="L144" s="1"/>
      <c r="M144" s="1"/>
      <c r="N144" s="1" t="s">
        <v>1904</v>
      </c>
      <c r="V144" s="1"/>
      <c r="W144" s="1"/>
    </row>
    <row r="145" spans="1:23" ht="58" x14ac:dyDescent="0.35">
      <c r="A145" s="121" t="s">
        <v>1905</v>
      </c>
      <c r="B145" s="99" t="s">
        <v>4187</v>
      </c>
      <c r="C145" s="121" t="str" cm="1">
        <f t="array" ref="C145:E145">_xlfn.TEXTSPLIT('איחוד שאלות'!$B145,"_")</f>
        <v>perception</v>
      </c>
      <c r="D145" s="99" t="str">
        <v>public</v>
      </c>
      <c r="E145" s="99" t="str">
        <v>selfishness</v>
      </c>
      <c r="F145" s="99"/>
      <c r="G145" s="100"/>
      <c r="H145" s="133" t="s">
        <v>3332</v>
      </c>
      <c r="I145" s="103" t="s">
        <v>5844</v>
      </c>
      <c r="J145" s="103" t="s">
        <v>5912</v>
      </c>
      <c r="K145" s="104" t="s">
        <v>5913</v>
      </c>
      <c r="L145" s="1"/>
      <c r="M145" s="1"/>
      <c r="N145" s="1" t="s">
        <v>1905</v>
      </c>
      <c r="V145" s="1"/>
      <c r="W145" s="1"/>
    </row>
    <row r="146" spans="1:23" ht="72.5" x14ac:dyDescent="0.35">
      <c r="A146" s="113" t="s">
        <v>1906</v>
      </c>
      <c r="B146" s="102" t="s">
        <v>4188</v>
      </c>
      <c r="C146" s="123" t="str" cm="1">
        <f t="array" ref="C146:F146">_xlfn.TEXTSPLIT('איחוד שאלות'!$B146,"_")</f>
        <v>preference</v>
      </c>
      <c r="D146" s="102" t="str">
        <v>importance</v>
      </c>
      <c r="E146" s="102" t="str">
        <v>value</v>
      </c>
      <c r="F146" s="102" t="str">
        <v>list</v>
      </c>
      <c r="G146" s="103"/>
      <c r="H146" s="132" t="s">
        <v>3332</v>
      </c>
      <c r="I146" s="100" t="s">
        <v>5856</v>
      </c>
      <c r="J146" s="100" t="s">
        <v>5857</v>
      </c>
      <c r="K146" s="101" t="s">
        <v>5914</v>
      </c>
      <c r="L146" s="1" t="s">
        <v>5915</v>
      </c>
      <c r="M146" s="1"/>
      <c r="N146" s="1" t="s">
        <v>1906</v>
      </c>
      <c r="V146" s="1"/>
      <c r="W146" s="1"/>
    </row>
    <row r="147" spans="1:23" ht="87" x14ac:dyDescent="0.35">
      <c r="A147" s="121" t="s">
        <v>1908</v>
      </c>
      <c r="B147" s="99" t="s">
        <v>4189</v>
      </c>
      <c r="C147" s="121" t="str" cm="1">
        <f t="array" ref="C147:F147">_xlfn.TEXTSPLIT('איחוד שאלות'!$B147,"_")</f>
        <v>perception</v>
      </c>
      <c r="D147" s="99" t="str">
        <v>agreement</v>
      </c>
      <c r="E147" s="99" t="str">
        <v>self</v>
      </c>
      <c r="F147" s="99" t="str">
        <v>reliance</v>
      </c>
      <c r="G147" s="100"/>
      <c r="H147" s="133" t="s">
        <v>3332</v>
      </c>
      <c r="I147" s="103" t="s">
        <v>5844</v>
      </c>
      <c r="J147" s="103" t="s">
        <v>5862</v>
      </c>
      <c r="K147" s="104" t="s">
        <v>5778</v>
      </c>
      <c r="L147" s="1" t="s">
        <v>5916</v>
      </c>
      <c r="M147" s="1"/>
      <c r="N147" s="1" t="s">
        <v>6867</v>
      </c>
      <c r="V147" s="1"/>
      <c r="W147" s="1"/>
    </row>
    <row r="148" spans="1:23" ht="43.5" x14ac:dyDescent="0.35">
      <c r="A148" s="113" t="s">
        <v>1909</v>
      </c>
      <c r="B148" s="102" t="s">
        <v>4190</v>
      </c>
      <c r="C148" s="123" t="str" cm="1">
        <f t="array" ref="C148:E148">_xlfn.TEXTSPLIT('איחוד שאלות'!$B148,"_")</f>
        <v>perception</v>
      </c>
      <c r="D148" s="102" t="str">
        <v>agreement</v>
      </c>
      <c r="E148" s="102" t="str">
        <v>lifeisstruggle</v>
      </c>
      <c r="F148" s="102"/>
      <c r="G148" s="103"/>
      <c r="H148" s="132" t="s">
        <v>3332</v>
      </c>
      <c r="I148" s="100" t="s">
        <v>5844</v>
      </c>
      <c r="J148" s="100" t="s">
        <v>5862</v>
      </c>
      <c r="K148" s="101" t="s">
        <v>5917</v>
      </c>
      <c r="L148" s="1"/>
      <c r="M148" s="1"/>
      <c r="N148" s="1" t="s">
        <v>1909</v>
      </c>
      <c r="V148" s="1"/>
      <c r="W148" s="1"/>
    </row>
    <row r="149" spans="1:23" ht="58" x14ac:dyDescent="0.35">
      <c r="A149" s="121" t="s">
        <v>1910</v>
      </c>
      <c r="B149" s="99" t="s">
        <v>4191</v>
      </c>
      <c r="C149" s="121" t="str" cm="1">
        <f t="array" ref="C149:F149">_xlfn.TEXTSPLIT('איחוד שאלות'!$B149,"_")</f>
        <v>perception</v>
      </c>
      <c r="D149" s="99" t="str">
        <v>agreement</v>
      </c>
      <c r="E149" s="99" t="str">
        <v>political</v>
      </c>
      <c r="F149" s="99" t="str">
        <v>compromise</v>
      </c>
      <c r="G149" s="100"/>
      <c r="H149" s="133" t="s">
        <v>3332</v>
      </c>
      <c r="I149" s="103" t="s">
        <v>5844</v>
      </c>
      <c r="J149" s="103" t="s">
        <v>5862</v>
      </c>
      <c r="K149" s="104" t="s">
        <v>5918</v>
      </c>
      <c r="L149" s="1" t="s">
        <v>5919</v>
      </c>
      <c r="M149" s="1"/>
      <c r="N149" s="1" t="s">
        <v>1910</v>
      </c>
      <c r="V149" s="1"/>
      <c r="W149" s="1"/>
    </row>
    <row r="150" spans="1:23" ht="58" x14ac:dyDescent="0.35">
      <c r="A150" s="113" t="s">
        <v>1911</v>
      </c>
      <c r="B150" s="102" t="s">
        <v>4192</v>
      </c>
      <c r="C150" s="123" t="str" cm="1">
        <f t="array" ref="C150:F150">_xlfn.TEXTSPLIT('איחוד שאלות'!$B150,"_")</f>
        <v>perception</v>
      </c>
      <c r="D150" s="102" t="str">
        <v>agreement</v>
      </c>
      <c r="E150" s="102" t="str">
        <v>opinion</v>
      </c>
      <c r="F150" s="102" t="str">
        <v>diversity</v>
      </c>
      <c r="G150" s="103"/>
      <c r="H150" s="132" t="s">
        <v>3332</v>
      </c>
      <c r="I150" s="100" t="s">
        <v>5844</v>
      </c>
      <c r="J150" s="100" t="s">
        <v>5862</v>
      </c>
      <c r="K150" s="101" t="s">
        <v>5920</v>
      </c>
      <c r="L150" s="1" t="s">
        <v>5921</v>
      </c>
      <c r="M150" s="1"/>
      <c r="N150" s="1" t="s">
        <v>1911</v>
      </c>
      <c r="V150" s="1"/>
      <c r="W150" s="1"/>
    </row>
    <row r="151" spans="1:23" ht="145" x14ac:dyDescent="0.35">
      <c r="A151" s="121" t="s">
        <v>1912</v>
      </c>
      <c r="B151" s="99" t="s">
        <v>4193</v>
      </c>
      <c r="C151" s="121" t="str" cm="1">
        <f t="array" ref="C151:F151">_xlfn.TEXTSPLIT('איחוד שאלות'!$B151,"_")</f>
        <v>perception</v>
      </c>
      <c r="D151" s="99" t="str">
        <v>agreement</v>
      </c>
      <c r="E151" s="99" t="str">
        <v>polarizing</v>
      </c>
      <c r="F151" s="99" t="str">
        <v>objectivism</v>
      </c>
      <c r="G151" s="100"/>
      <c r="H151" s="133" t="s">
        <v>3332</v>
      </c>
      <c r="I151" s="103" t="s">
        <v>5844</v>
      </c>
      <c r="J151" s="103" t="s">
        <v>5862</v>
      </c>
      <c r="K151" s="104" t="s">
        <v>5922</v>
      </c>
      <c r="L151" s="1" t="s">
        <v>5923</v>
      </c>
      <c r="M151" s="1"/>
      <c r="N151" s="1" t="s">
        <v>1912</v>
      </c>
      <c r="V151" s="1"/>
      <c r="W151" s="1"/>
    </row>
    <row r="152" spans="1:23" ht="43.5" x14ac:dyDescent="0.35">
      <c r="A152" s="113" t="s">
        <v>1913</v>
      </c>
      <c r="B152" s="102" t="s">
        <v>4194</v>
      </c>
      <c r="C152" s="123" t="str" cm="1">
        <f t="array" ref="C152:G152">_xlfn.TEXTSPLIT('איחוד שאלות'!$B152,"_")</f>
        <v>perception</v>
      </c>
      <c r="D152" s="102" t="str">
        <v>agreement</v>
      </c>
      <c r="E152" s="102" t="str">
        <v>new</v>
      </c>
      <c r="F152" s="102" t="str">
        <v>ideas</v>
      </c>
      <c r="G152" s="103" t="str">
        <v>worth</v>
      </c>
      <c r="H152" s="132" t="s">
        <v>3332</v>
      </c>
      <c r="I152" s="100" t="s">
        <v>5844</v>
      </c>
      <c r="J152" s="100" t="s">
        <v>5862</v>
      </c>
      <c r="K152" s="101" t="s">
        <v>5924</v>
      </c>
      <c r="L152" s="1" t="s">
        <v>5925</v>
      </c>
      <c r="M152" s="1" t="s">
        <v>5926</v>
      </c>
      <c r="N152" s="1" t="s">
        <v>1913</v>
      </c>
      <c r="V152" s="1"/>
      <c r="W152" s="1"/>
    </row>
    <row r="153" spans="1:23" ht="72.5" x14ac:dyDescent="0.35">
      <c r="A153" s="121" t="s">
        <v>1914</v>
      </c>
      <c r="B153" s="99" t="s">
        <v>4195</v>
      </c>
      <c r="C153" s="121" t="str" cm="1">
        <f t="array" ref="C153:F153">_xlfn.TEXTSPLIT('איחוד שאלות'!$B153,"_")</f>
        <v>perception</v>
      </c>
      <c r="D153" s="99" t="str">
        <v>agreement</v>
      </c>
      <c r="E153" s="99" t="str">
        <v>friends</v>
      </c>
      <c r="F153" s="99" t="str">
        <v>similarity</v>
      </c>
      <c r="G153" s="100"/>
      <c r="H153" s="133" t="s">
        <v>3332</v>
      </c>
      <c r="I153" s="103" t="s">
        <v>5844</v>
      </c>
      <c r="J153" s="103" t="s">
        <v>5862</v>
      </c>
      <c r="K153" s="104" t="s">
        <v>5787</v>
      </c>
      <c r="L153" s="1" t="s">
        <v>5927</v>
      </c>
      <c r="M153" s="1"/>
      <c r="N153" s="1" t="s">
        <v>1914</v>
      </c>
      <c r="V153" s="1"/>
      <c r="W153" s="1"/>
    </row>
    <row r="154" spans="1:23" ht="43.5" x14ac:dyDescent="0.35">
      <c r="A154" s="113" t="s">
        <v>1915</v>
      </c>
      <c r="B154" s="102" t="s">
        <v>4196</v>
      </c>
      <c r="C154" s="123" t="str" cm="1">
        <f t="array" ref="C154:F154">_xlfn.TEXTSPLIT('איחוד שאלות'!$B154,"_")</f>
        <v>perception</v>
      </c>
      <c r="D154" s="102" t="str">
        <v>agreement</v>
      </c>
      <c r="E154" s="102" t="str">
        <v>decision</v>
      </c>
      <c r="F154" s="102" t="str">
        <v>capability</v>
      </c>
      <c r="G154" s="103"/>
      <c r="H154" s="132" t="s">
        <v>3332</v>
      </c>
      <c r="I154" s="100" t="s">
        <v>5844</v>
      </c>
      <c r="J154" s="100" t="s">
        <v>5862</v>
      </c>
      <c r="K154" s="101" t="s">
        <v>5928</v>
      </c>
      <c r="L154" s="1" t="s">
        <v>5929</v>
      </c>
      <c r="M154" s="1"/>
      <c r="N154" s="1" t="s">
        <v>1915</v>
      </c>
      <c r="V154" s="1"/>
      <c r="W154" s="1"/>
    </row>
    <row r="155" spans="1:23" ht="58" x14ac:dyDescent="0.35">
      <c r="A155" s="121" t="s">
        <v>1916</v>
      </c>
      <c r="B155" s="99" t="s">
        <v>4197</v>
      </c>
      <c r="C155" s="121" t="str" cm="1">
        <f t="array" ref="C155:E155">_xlfn.TEXTSPLIT('איחוד שאלות'!$B155,"_")</f>
        <v>affect</v>
      </c>
      <c r="D155" s="99" t="str">
        <v>termo</v>
      </c>
      <c r="E155" s="99" t="str">
        <v>USA</v>
      </c>
      <c r="F155" s="99"/>
      <c r="G155" s="100"/>
      <c r="H155" s="133" t="s">
        <v>3332</v>
      </c>
      <c r="I155" s="103" t="s">
        <v>5815</v>
      </c>
      <c r="J155" s="103" t="s">
        <v>5930</v>
      </c>
      <c r="K155" s="104" t="s">
        <v>5931</v>
      </c>
      <c r="L155" s="1"/>
      <c r="M155" s="1"/>
      <c r="N155" s="1" t="s">
        <v>1916</v>
      </c>
      <c r="V155" s="1"/>
      <c r="W155" s="1"/>
    </row>
    <row r="156" spans="1:23" ht="58" x14ac:dyDescent="0.35">
      <c r="A156" s="113" t="s">
        <v>1917</v>
      </c>
      <c r="B156" s="102" t="s">
        <v>4198</v>
      </c>
      <c r="C156" s="123" t="str" cm="1">
        <f t="array" ref="C156:F156">_xlfn.TEXTSPLIT('איחוד שאלות'!$B156,"_")</f>
        <v>affect</v>
      </c>
      <c r="D156" s="102" t="str">
        <v>termo</v>
      </c>
      <c r="E156" s="102" t="str">
        <v>USA</v>
      </c>
      <c r="F156" s="102" t="str">
        <v>neutral</v>
      </c>
      <c r="G156" s="103"/>
      <c r="H156" s="132" t="s">
        <v>3332</v>
      </c>
      <c r="I156" s="100" t="s">
        <v>5815</v>
      </c>
      <c r="J156" s="100" t="s">
        <v>5930</v>
      </c>
      <c r="K156" s="101" t="s">
        <v>5931</v>
      </c>
      <c r="L156" s="1" t="s">
        <v>5932</v>
      </c>
      <c r="M156" s="1"/>
      <c r="N156" s="1" t="s">
        <v>1917</v>
      </c>
      <c r="V156" s="1"/>
      <c r="W156" s="1"/>
    </row>
    <row r="157" spans="1:23" ht="43.5" x14ac:dyDescent="0.35">
      <c r="A157" s="121" t="s">
        <v>1923</v>
      </c>
      <c r="B157" s="99" t="s">
        <v>4199</v>
      </c>
      <c r="C157" s="121" t="str" cm="1">
        <f t="array" ref="C157:F157">_xlfn.TEXTSPLIT('איחוד שאלות'!$B157,"_")</f>
        <v>perception</v>
      </c>
      <c r="D157" s="99" t="str">
        <v>satisfaction</v>
      </c>
      <c r="E157" s="99" t="str">
        <v>personal</v>
      </c>
      <c r="F157" s="99" t="str">
        <v>condition</v>
      </c>
      <c r="G157" s="100"/>
      <c r="H157" s="133" t="s">
        <v>3332</v>
      </c>
      <c r="I157" s="103" t="s">
        <v>5844</v>
      </c>
      <c r="J157" s="103" t="s">
        <v>5847</v>
      </c>
      <c r="K157" s="104" t="s">
        <v>5866</v>
      </c>
      <c r="L157" s="1" t="s">
        <v>5846</v>
      </c>
      <c r="M157" s="1"/>
      <c r="N157" s="1" t="s">
        <v>1923</v>
      </c>
      <c r="V157" s="1"/>
      <c r="W157" s="1"/>
    </row>
    <row r="158" spans="1:23" ht="101.5" x14ac:dyDescent="0.35">
      <c r="A158" s="113" t="s">
        <v>1935</v>
      </c>
      <c r="B158" s="102" t="s">
        <v>4252</v>
      </c>
      <c r="C158" s="123" t="str" cm="1">
        <f t="array" ref="C158:E158">_xlfn.TEXTSPLIT('איחוד שאלות'!$B158,"_")</f>
        <v>behavior</v>
      </c>
      <c r="D158" s="102" t="str">
        <v>political</v>
      </c>
      <c r="E158" s="102" t="str">
        <v>persuasion</v>
      </c>
      <c r="F158" s="102"/>
      <c r="G158" s="103"/>
      <c r="H158" s="132" t="s">
        <v>3332</v>
      </c>
      <c r="I158" s="100" t="s">
        <v>5806</v>
      </c>
      <c r="J158" s="100" t="s">
        <v>5918</v>
      </c>
      <c r="K158" s="101" t="s">
        <v>5933</v>
      </c>
      <c r="L158" s="1"/>
      <c r="M158" s="1"/>
      <c r="N158" s="1" t="s">
        <v>1935</v>
      </c>
      <c r="V158" s="1"/>
      <c r="W158" s="1"/>
    </row>
    <row r="159" spans="1:23" ht="43.5" x14ac:dyDescent="0.35">
      <c r="A159" s="121" t="s">
        <v>1936</v>
      </c>
      <c r="B159" s="99" t="s">
        <v>4201</v>
      </c>
      <c r="C159" s="121" t="str" cm="1">
        <f t="array" ref="C159:D159">_xlfn.TEXTSPLIT('איחוד שאלות'!$B159,"_")</f>
        <v>preference</v>
      </c>
      <c r="D159" s="99" t="str">
        <v>leaveisrael</v>
      </c>
      <c r="E159" s="99"/>
      <c r="F159" s="99"/>
      <c r="G159" s="100"/>
      <c r="H159" s="133" t="s">
        <v>3332</v>
      </c>
      <c r="I159" s="103" t="s">
        <v>5856</v>
      </c>
      <c r="J159" s="103" t="s">
        <v>5934</v>
      </c>
      <c r="K159" s="104"/>
      <c r="L159" s="1"/>
      <c r="M159" s="1"/>
      <c r="N159" s="1" t="s">
        <v>1936</v>
      </c>
      <c r="V159" s="1"/>
      <c r="W159" s="1"/>
    </row>
    <row r="160" spans="1:23" ht="116" x14ac:dyDescent="0.35">
      <c r="A160" s="113" t="s">
        <v>1937</v>
      </c>
      <c r="B160" s="102" t="s">
        <v>4202</v>
      </c>
      <c r="C160" s="123" t="str" cm="1">
        <f t="array" ref="C160:F160">_xlfn.TEXTSPLIT('איחוד שאלות'!$B160,"_")</f>
        <v>perception</v>
      </c>
      <c r="D160" s="102" t="str">
        <v>public</v>
      </c>
      <c r="E160" s="102" t="str">
        <v>reason</v>
      </c>
      <c r="F160" s="102" t="str">
        <v>leaveisrael</v>
      </c>
      <c r="G160" s="103"/>
      <c r="H160" s="132" t="s">
        <v>3332</v>
      </c>
      <c r="I160" s="100" t="s">
        <v>5844</v>
      </c>
      <c r="J160" s="100" t="s">
        <v>5912</v>
      </c>
      <c r="K160" s="101" t="s">
        <v>5935</v>
      </c>
      <c r="L160" s="1" t="s">
        <v>5934</v>
      </c>
      <c r="M160" s="1"/>
      <c r="N160" s="1" t="s">
        <v>1937</v>
      </c>
      <c r="V160" s="1"/>
      <c r="W160" s="1"/>
    </row>
    <row r="161" spans="1:23" ht="87" x14ac:dyDescent="0.35">
      <c r="A161" s="121" t="s">
        <v>1938</v>
      </c>
      <c r="B161" s="99" t="s">
        <v>4480</v>
      </c>
      <c r="C161" s="121" t="str" cm="1">
        <f t="array" ref="C161:E161">_xlfn.TEXTSPLIT('איחוד שאלות'!$B161,"_")</f>
        <v>affect</v>
      </c>
      <c r="D161" s="99" t="str">
        <v>emotion</v>
      </c>
      <c r="E161" s="99" t="str">
        <v>happiness</v>
      </c>
      <c r="F161" s="99"/>
      <c r="G161" s="100"/>
      <c r="H161" s="133" t="s">
        <v>3332</v>
      </c>
      <c r="I161" s="103" t="s">
        <v>5815</v>
      </c>
      <c r="J161" s="103" t="s">
        <v>5936</v>
      </c>
      <c r="K161" s="104" t="s">
        <v>5937</v>
      </c>
      <c r="L161" s="1"/>
      <c r="M161" s="1"/>
      <c r="N161" s="1" t="s">
        <v>1938</v>
      </c>
      <c r="V161" s="1"/>
      <c r="W161" s="1"/>
    </row>
    <row r="162" spans="1:23" ht="43.5" x14ac:dyDescent="0.35">
      <c r="A162" s="113" t="s">
        <v>1946</v>
      </c>
      <c r="B162" s="102" t="s">
        <v>4203</v>
      </c>
      <c r="C162" s="123" t="str" cm="1">
        <f t="array" ref="C162:F162">_xlfn.TEXTSPLIT('איחוד שאלות'!$B162,"_")</f>
        <v>perception</v>
      </c>
      <c r="D162" s="102" t="str">
        <v>satisfaction</v>
      </c>
      <c r="E162" s="102" t="str">
        <v>IDF</v>
      </c>
      <c r="F162" s="102" t="str">
        <v>service</v>
      </c>
      <c r="G162" s="103"/>
      <c r="H162" s="132" t="s">
        <v>3332</v>
      </c>
      <c r="I162" s="100" t="s">
        <v>5844</v>
      </c>
      <c r="J162" s="100" t="s">
        <v>5847</v>
      </c>
      <c r="K162" s="101" t="s">
        <v>5825</v>
      </c>
      <c r="L162" s="1" t="s">
        <v>5826</v>
      </c>
      <c r="M162" s="1"/>
      <c r="N162" s="1" t="s">
        <v>1946</v>
      </c>
      <c r="V162" s="1"/>
      <c r="W162" s="1"/>
    </row>
    <row r="163" spans="1:23" ht="29" x14ac:dyDescent="0.35">
      <c r="A163" s="121" t="s">
        <v>1947</v>
      </c>
      <c r="B163" s="99" t="s">
        <v>4204</v>
      </c>
      <c r="C163" s="121" t="str" cm="1">
        <f t="array" ref="C163:F163">_xlfn.TEXTSPLIT('איחוד שאלות'!$B163,"_")</f>
        <v>preference</v>
      </c>
      <c r="D163" s="99" t="str">
        <v>reason</v>
      </c>
      <c r="E163" s="99" t="str">
        <v>IDF</v>
      </c>
      <c r="F163" s="99" t="str">
        <v>noservice</v>
      </c>
      <c r="G163" s="100"/>
      <c r="H163" s="133" t="s">
        <v>3332</v>
      </c>
      <c r="I163" s="103" t="s">
        <v>5856</v>
      </c>
      <c r="J163" s="103" t="s">
        <v>5935</v>
      </c>
      <c r="K163" s="104" t="s">
        <v>5825</v>
      </c>
      <c r="L163" s="1" t="s">
        <v>5938</v>
      </c>
      <c r="M163" s="1"/>
      <c r="N163" s="1" t="s">
        <v>1947</v>
      </c>
      <c r="V163" s="1"/>
      <c r="W163" s="1"/>
    </row>
    <row r="164" spans="1:23" ht="43.5" x14ac:dyDescent="0.35">
      <c r="A164" s="113" t="s">
        <v>1948</v>
      </c>
      <c r="B164" s="102" t="s">
        <v>4221</v>
      </c>
      <c r="C164" s="123" t="str" cm="1">
        <f t="array" ref="C164:F164">_xlfn.TEXTSPLIT('איחוד שאלות'!$B164,"_")</f>
        <v>demography</v>
      </c>
      <c r="D164" s="102" t="str">
        <v>IDF</v>
      </c>
      <c r="E164" s="102" t="str">
        <v>service</v>
      </c>
      <c r="F164" s="102" t="str">
        <v>family</v>
      </c>
      <c r="G164" s="103"/>
      <c r="H164" s="132" t="s">
        <v>3332</v>
      </c>
      <c r="I164" s="100" t="s">
        <v>5765</v>
      </c>
      <c r="J164" s="100" t="s">
        <v>5825</v>
      </c>
      <c r="K164" s="101" t="s">
        <v>5826</v>
      </c>
      <c r="L164" s="1" t="s">
        <v>5939</v>
      </c>
      <c r="M164" s="1"/>
      <c r="N164" s="1" t="s">
        <v>1948</v>
      </c>
      <c r="V164" s="1"/>
      <c r="W164" s="1"/>
    </row>
    <row r="165" spans="1:23" ht="43.5" x14ac:dyDescent="0.35">
      <c r="A165" s="121" t="s">
        <v>1959</v>
      </c>
      <c r="B165" s="99" t="s">
        <v>4222</v>
      </c>
      <c r="C165" s="121" t="str" cm="1">
        <f t="array" ref="C165:E165">_xlfn.TEXTSPLIT('איחוד שאלות'!$B165,"_")</f>
        <v>demography</v>
      </c>
      <c r="D165" s="99" t="str">
        <v>IDF</v>
      </c>
      <c r="E165" s="99" t="str">
        <v>injured</v>
      </c>
      <c r="F165" s="99"/>
      <c r="G165" s="100"/>
      <c r="H165" s="133" t="s">
        <v>3332</v>
      </c>
      <c r="I165" s="103" t="s">
        <v>5765</v>
      </c>
      <c r="J165" s="103" t="s">
        <v>5825</v>
      </c>
      <c r="K165" s="104" t="s">
        <v>5940</v>
      </c>
      <c r="L165" s="1"/>
      <c r="M165" s="1"/>
      <c r="N165" s="1" t="s">
        <v>1959</v>
      </c>
      <c r="V165" s="1"/>
      <c r="W165" s="1"/>
    </row>
    <row r="166" spans="1:23" ht="43.5" x14ac:dyDescent="0.35">
      <c r="A166" s="113" t="s">
        <v>1960</v>
      </c>
      <c r="B166" s="102" t="s">
        <v>4223</v>
      </c>
      <c r="C166" s="123" t="str" cm="1">
        <f t="array" ref="C166:E166">_xlfn.TEXTSPLIT('איחוד שאלות'!$B166,"_")</f>
        <v>demography</v>
      </c>
      <c r="D166" s="102" t="str">
        <v>IDF</v>
      </c>
      <c r="E166" s="102" t="str">
        <v>killed</v>
      </c>
      <c r="F166" s="102"/>
      <c r="G166" s="103"/>
      <c r="H166" s="132" t="s">
        <v>3332</v>
      </c>
      <c r="I166" s="100" t="s">
        <v>5765</v>
      </c>
      <c r="J166" s="100" t="s">
        <v>5825</v>
      </c>
      <c r="K166" s="101" t="s">
        <v>5941</v>
      </c>
      <c r="L166" s="1"/>
      <c r="M166" s="1"/>
      <c r="N166" s="1" t="s">
        <v>1960</v>
      </c>
      <c r="V166" s="1"/>
      <c r="W166" s="1"/>
    </row>
    <row r="167" spans="1:23" ht="43.5" x14ac:dyDescent="0.35">
      <c r="A167" s="121" t="s">
        <v>1954</v>
      </c>
      <c r="B167" s="99" t="s">
        <v>4280</v>
      </c>
      <c r="C167" s="121" t="str" cm="1">
        <f t="array" ref="C167:G167">_xlfn.TEXTSPLIT('איחוד שאלות'!$B167,"_")</f>
        <v>behavior</v>
      </c>
      <c r="D167" s="99" t="str">
        <v>political</v>
      </c>
      <c r="E167" s="99" t="str">
        <v>knowledge</v>
      </c>
      <c r="F167" s="99" t="str">
        <v>read</v>
      </c>
      <c r="G167" s="100" t="str">
        <v xml:space="preserve">security </v>
      </c>
      <c r="H167" s="133" t="s">
        <v>3332</v>
      </c>
      <c r="I167" s="103" t="s">
        <v>5806</v>
      </c>
      <c r="J167" s="103" t="s">
        <v>5918</v>
      </c>
      <c r="K167" s="104" t="s">
        <v>5942</v>
      </c>
      <c r="L167" s="1" t="s">
        <v>5943</v>
      </c>
      <c r="M167" s="1" t="s">
        <v>5944</v>
      </c>
      <c r="N167" s="1" t="s">
        <v>1954</v>
      </c>
      <c r="V167" s="1"/>
      <c r="W167" s="1"/>
    </row>
    <row r="168" spans="1:23" ht="58" x14ac:dyDescent="0.35">
      <c r="A168" s="113" t="s">
        <v>1956</v>
      </c>
      <c r="B168" s="102" t="s">
        <v>4205</v>
      </c>
      <c r="C168" s="123" t="str" cm="1">
        <f t="array" ref="C168:E168">_xlfn.TEXTSPLIT('איחוד שאלות'!$B168,"_")</f>
        <v>demography</v>
      </c>
      <c r="D168" s="102" t="str">
        <v>holocaust</v>
      </c>
      <c r="E168" s="102" t="str">
        <v>survivor</v>
      </c>
      <c r="F168" s="102"/>
      <c r="G168" s="103"/>
      <c r="H168" s="132" t="s">
        <v>3332</v>
      </c>
      <c r="I168" s="100" t="s">
        <v>5765</v>
      </c>
      <c r="J168" s="100" t="s">
        <v>5945</v>
      </c>
      <c r="K168" s="101" t="s">
        <v>5946</v>
      </c>
      <c r="L168" s="1"/>
      <c r="M168" s="1"/>
      <c r="N168" s="1" t="s">
        <v>1956</v>
      </c>
      <c r="V168" s="1"/>
      <c r="W168" s="1"/>
    </row>
    <row r="169" spans="1:23" ht="72.5" x14ac:dyDescent="0.35">
      <c r="A169" s="121" t="s">
        <v>1957</v>
      </c>
      <c r="B169" s="99" t="s">
        <v>4206</v>
      </c>
      <c r="C169" s="121" t="str" cm="1">
        <f t="array" ref="C169:F169">_xlfn.TEXTSPLIT('איחוד שאלות'!$B169,"_")</f>
        <v>demography</v>
      </c>
      <c r="D169" s="99" t="str">
        <v>household</v>
      </c>
      <c r="E169" s="99" t="str">
        <v>holocaust</v>
      </c>
      <c r="F169" s="99" t="str">
        <v>survivor</v>
      </c>
      <c r="G169" s="100"/>
      <c r="H169" s="133" t="s">
        <v>3332</v>
      </c>
      <c r="I169" s="103" t="s">
        <v>5765</v>
      </c>
      <c r="J169" s="103" t="s">
        <v>5795</v>
      </c>
      <c r="K169" s="104" t="s">
        <v>5945</v>
      </c>
      <c r="L169" s="1" t="s">
        <v>5946</v>
      </c>
      <c r="M169" s="1"/>
      <c r="N169" s="1" t="s">
        <v>1957</v>
      </c>
      <c r="V169" s="1"/>
      <c r="W169" s="1"/>
    </row>
    <row r="170" spans="1:23" ht="58" x14ac:dyDescent="0.35">
      <c r="A170" s="113" t="s">
        <v>1958</v>
      </c>
      <c r="B170" s="102" t="s">
        <v>4207</v>
      </c>
      <c r="C170" s="123" t="str" cm="1">
        <f t="array" ref="C170:F170">_xlfn.TEXTSPLIT('איחוד שאלות'!$B170,"_")</f>
        <v>demography</v>
      </c>
      <c r="D170" s="102" t="str">
        <v>household</v>
      </c>
      <c r="E170" s="102" t="str">
        <v>holocaust</v>
      </c>
      <c r="F170" s="102" t="str">
        <v>injuredkilled</v>
      </c>
      <c r="G170" s="103"/>
      <c r="H170" s="132" t="s">
        <v>3332</v>
      </c>
      <c r="I170" s="100" t="s">
        <v>5765</v>
      </c>
      <c r="J170" s="100" t="s">
        <v>5795</v>
      </c>
      <c r="K170" s="101" t="s">
        <v>5945</v>
      </c>
      <c r="L170" s="1" t="s">
        <v>5947</v>
      </c>
      <c r="M170" s="1"/>
      <c r="N170" s="1" t="s">
        <v>1958</v>
      </c>
      <c r="V170" s="1"/>
      <c r="W170" s="1"/>
    </row>
    <row r="171" spans="1:23" ht="87" x14ac:dyDescent="0.35">
      <c r="A171" s="121" t="s">
        <v>2420</v>
      </c>
      <c r="B171" s="99" t="s">
        <v>4208</v>
      </c>
      <c r="C171" s="121" t="str" cm="1">
        <f t="array" ref="C171:G171">_xlfn.TEXTSPLIT('איחוד שאלות'!$B171,"_")</f>
        <v>perception</v>
      </c>
      <c r="D171" s="99" t="str">
        <v>behavior</v>
      </c>
      <c r="E171" s="99" t="str">
        <v>good</v>
      </c>
      <c r="F171" s="99" t="str">
        <v>citizen</v>
      </c>
      <c r="G171" s="100" t="str">
        <v>tax</v>
      </c>
      <c r="H171" s="133" t="s">
        <v>3332</v>
      </c>
      <c r="I171" s="103" t="s">
        <v>5844</v>
      </c>
      <c r="J171" s="103" t="s">
        <v>5806</v>
      </c>
      <c r="K171" s="104" t="s">
        <v>5948</v>
      </c>
      <c r="L171" s="1" t="s">
        <v>5776</v>
      </c>
      <c r="M171" s="1" t="s">
        <v>5949</v>
      </c>
      <c r="N171" s="1" t="s">
        <v>6868</v>
      </c>
      <c r="V171" s="1"/>
      <c r="W171" s="1"/>
    </row>
    <row r="172" spans="1:23" ht="101.5" x14ac:dyDescent="0.35">
      <c r="A172" s="113" t="s">
        <v>2421</v>
      </c>
      <c r="B172" s="102" t="s">
        <v>4209</v>
      </c>
      <c r="C172" s="123" t="str" cm="1">
        <f t="array" ref="C172:G172">_xlfn.TEXTSPLIT('איחוד שאלות'!$B172,"_")</f>
        <v>perception</v>
      </c>
      <c r="D172" s="102" t="str">
        <v>behavior</v>
      </c>
      <c r="E172" s="102" t="str">
        <v>good</v>
      </c>
      <c r="F172" s="102" t="str">
        <v>citizen</v>
      </c>
      <c r="G172" s="103" t="str">
        <v>vote</v>
      </c>
      <c r="H172" s="132" t="s">
        <v>3332</v>
      </c>
      <c r="I172" s="100" t="s">
        <v>5844</v>
      </c>
      <c r="J172" s="100" t="s">
        <v>5806</v>
      </c>
      <c r="K172" s="101" t="s">
        <v>5948</v>
      </c>
      <c r="L172" s="1" t="s">
        <v>5776</v>
      </c>
      <c r="M172" s="1" t="s">
        <v>5950</v>
      </c>
      <c r="N172" s="1" t="s">
        <v>6869</v>
      </c>
      <c r="V172" s="1"/>
      <c r="W172" s="1"/>
    </row>
    <row r="173" spans="1:23" ht="87" x14ac:dyDescent="0.35">
      <c r="A173" s="121" t="s">
        <v>2422</v>
      </c>
      <c r="B173" s="99" t="s">
        <v>4211</v>
      </c>
      <c r="C173" s="121" t="str" cm="1">
        <f t="array" ref="C173:G173">_xlfn.TEXTSPLIT('איחוד שאלות'!$B173,"_")</f>
        <v>perception</v>
      </c>
      <c r="D173" s="99" t="str">
        <v>behavior</v>
      </c>
      <c r="E173" s="99" t="str">
        <v>good</v>
      </c>
      <c r="F173" s="99" t="str">
        <v>citizen</v>
      </c>
      <c r="G173" s="100" t="str">
        <v>educabroad</v>
      </c>
      <c r="H173" s="133" t="s">
        <v>3332</v>
      </c>
      <c r="I173" s="103" t="s">
        <v>5844</v>
      </c>
      <c r="J173" s="103" t="s">
        <v>5806</v>
      </c>
      <c r="K173" s="104" t="s">
        <v>5948</v>
      </c>
      <c r="L173" s="1" t="s">
        <v>5776</v>
      </c>
      <c r="M173" s="1" t="s">
        <v>5951</v>
      </c>
      <c r="N173" s="1" t="s">
        <v>6870</v>
      </c>
      <c r="V173" s="1"/>
      <c r="W173" s="1"/>
    </row>
    <row r="174" spans="1:23" ht="116" x14ac:dyDescent="0.35">
      <c r="A174" s="113" t="s">
        <v>2423</v>
      </c>
      <c r="B174" s="102" t="s">
        <v>4210</v>
      </c>
      <c r="C174" s="123" t="str" cm="1">
        <f t="array" ref="C174:G174">_xlfn.TEXTSPLIT('איחוד שאלות'!$B174,"_")</f>
        <v>perception</v>
      </c>
      <c r="D174" s="102" t="str">
        <v>behavior</v>
      </c>
      <c r="E174" s="102" t="str">
        <v>good</v>
      </c>
      <c r="F174" s="102" t="str">
        <v>citizen</v>
      </c>
      <c r="G174" s="103" t="str">
        <v>obedience</v>
      </c>
      <c r="H174" s="132" t="s">
        <v>3332</v>
      </c>
      <c r="I174" s="100" t="s">
        <v>5844</v>
      </c>
      <c r="J174" s="100" t="s">
        <v>5806</v>
      </c>
      <c r="K174" s="101" t="s">
        <v>5948</v>
      </c>
      <c r="L174" s="1" t="s">
        <v>5776</v>
      </c>
      <c r="M174" s="1" t="s">
        <v>5952</v>
      </c>
      <c r="N174" s="1" t="s">
        <v>6871</v>
      </c>
      <c r="V174" s="1"/>
      <c r="W174" s="1"/>
    </row>
    <row r="175" spans="1:23" ht="101.5" x14ac:dyDescent="0.35">
      <c r="A175" s="121" t="s">
        <v>2424</v>
      </c>
      <c r="B175" s="99" t="s">
        <v>4212</v>
      </c>
      <c r="C175" s="121" t="str" cm="1">
        <f t="array" ref="C175:G175">_xlfn.TEXTSPLIT('איחוד שאלות'!$B175,"_")</f>
        <v>perception</v>
      </c>
      <c r="D175" s="99" t="str">
        <v>behavior</v>
      </c>
      <c r="E175" s="99" t="str">
        <v>good</v>
      </c>
      <c r="F175" s="99" t="str">
        <v>citizen</v>
      </c>
      <c r="G175" s="100" t="str">
        <v>commongood</v>
      </c>
      <c r="H175" s="133" t="s">
        <v>3332</v>
      </c>
      <c r="I175" s="103" t="s">
        <v>5844</v>
      </c>
      <c r="J175" s="103" t="s">
        <v>5806</v>
      </c>
      <c r="K175" s="104" t="s">
        <v>5948</v>
      </c>
      <c r="L175" s="1" t="s">
        <v>5776</v>
      </c>
      <c r="M175" s="1" t="s">
        <v>5886</v>
      </c>
      <c r="N175" s="1" t="s">
        <v>6872</v>
      </c>
      <c r="V175" s="1"/>
      <c r="W175" s="1"/>
    </row>
    <row r="176" spans="1:23" ht="101.5" x14ac:dyDescent="0.35">
      <c r="A176" s="113" t="s">
        <v>2425</v>
      </c>
      <c r="B176" s="102" t="s">
        <v>4213</v>
      </c>
      <c r="C176" s="123" t="str" cm="1">
        <f t="array" ref="C176:G176">_xlfn.TEXTSPLIT('איחוד שאלות'!$B176,"_")</f>
        <v>perception</v>
      </c>
      <c r="D176" s="102" t="str">
        <v>behavior</v>
      </c>
      <c r="E176" s="102" t="str">
        <v>good</v>
      </c>
      <c r="F176" s="102" t="str">
        <v>citizen</v>
      </c>
      <c r="G176" s="103" t="str">
        <v>emigrate</v>
      </c>
      <c r="H176" s="132" t="s">
        <v>3332</v>
      </c>
      <c r="I176" s="100" t="s">
        <v>5844</v>
      </c>
      <c r="J176" s="100" t="s">
        <v>5806</v>
      </c>
      <c r="K176" s="101" t="s">
        <v>5948</v>
      </c>
      <c r="L176" s="1" t="s">
        <v>5776</v>
      </c>
      <c r="M176" s="1" t="s">
        <v>5953</v>
      </c>
      <c r="N176" s="1" t="s">
        <v>6873</v>
      </c>
      <c r="V176" s="1"/>
      <c r="W176" s="1"/>
    </row>
    <row r="177" spans="1:23" ht="101.5" x14ac:dyDescent="0.35">
      <c r="A177" s="121" t="s">
        <v>2426</v>
      </c>
      <c r="B177" s="99" t="s">
        <v>4214</v>
      </c>
      <c r="C177" s="121" t="str" cm="1">
        <f t="array" ref="C177:G177">_xlfn.TEXTSPLIT('איחוד שאלות'!$B177,"_")</f>
        <v>perception</v>
      </c>
      <c r="D177" s="99" t="str">
        <v>behavior</v>
      </c>
      <c r="E177" s="99" t="str">
        <v>good</v>
      </c>
      <c r="F177" s="99" t="str">
        <v>citizen</v>
      </c>
      <c r="G177" s="100" t="str">
        <v>selfishness</v>
      </c>
      <c r="H177" s="133" t="s">
        <v>3332</v>
      </c>
      <c r="I177" s="103" t="s">
        <v>5844</v>
      </c>
      <c r="J177" s="103" t="s">
        <v>5806</v>
      </c>
      <c r="K177" s="104" t="s">
        <v>5948</v>
      </c>
      <c r="L177" s="1" t="s">
        <v>5776</v>
      </c>
      <c r="M177" s="1" t="s">
        <v>5913</v>
      </c>
      <c r="N177" s="1" t="s">
        <v>6874</v>
      </c>
      <c r="V177" s="1"/>
      <c r="W177" s="1"/>
    </row>
    <row r="178" spans="1:23" ht="43.5" x14ac:dyDescent="0.35">
      <c r="A178" s="113" t="s">
        <v>2705</v>
      </c>
      <c r="B178" s="102" t="s">
        <v>4215</v>
      </c>
      <c r="C178" s="123" t="str" cm="1">
        <f t="array" ref="C178:F178">_xlfn.TEXTSPLIT('איחוד שאלות'!$B178,"_")</f>
        <v>affect</v>
      </c>
      <c r="D178" s="102" t="str">
        <v>trust</v>
      </c>
      <c r="E178" s="102" t="str">
        <v>party</v>
      </c>
      <c r="F178" s="102" t="str">
        <v>elections</v>
      </c>
      <c r="G178" s="103"/>
      <c r="H178" s="132" t="s">
        <v>3332</v>
      </c>
      <c r="I178" s="100" t="s">
        <v>5815</v>
      </c>
      <c r="J178" s="100" t="s">
        <v>5901</v>
      </c>
      <c r="K178" s="101" t="s">
        <v>5853</v>
      </c>
      <c r="L178" s="1" t="s">
        <v>5954</v>
      </c>
      <c r="M178" s="1"/>
      <c r="N178" s="1" t="s">
        <v>2705</v>
      </c>
      <c r="V178" s="1"/>
      <c r="W178" s="1"/>
    </row>
    <row r="179" spans="1:23" ht="58" x14ac:dyDescent="0.35">
      <c r="A179" s="121" t="s">
        <v>2720</v>
      </c>
      <c r="B179" s="115" t="s">
        <v>3341</v>
      </c>
      <c r="C179" s="121" t="str" cm="1">
        <f t="array" ref="C179:F179">_xlfn.TEXTSPLIT('איחוד שאלות'!$B179,"_")</f>
        <v>behavior</v>
      </c>
      <c r="D179" s="115" t="str">
        <v>IDF</v>
      </c>
      <c r="E179" s="115" t="str">
        <v>reserve</v>
      </c>
      <c r="F179" s="115" t="str">
        <v>73</v>
      </c>
      <c r="G179" s="100"/>
      <c r="H179" s="133" t="s">
        <v>3332</v>
      </c>
      <c r="I179" s="103" t="s">
        <v>5806</v>
      </c>
      <c r="J179" s="103" t="s">
        <v>5825</v>
      </c>
      <c r="K179" s="104" t="s">
        <v>5827</v>
      </c>
      <c r="L179" s="1" t="s">
        <v>5955</v>
      </c>
      <c r="M179" s="1"/>
      <c r="N179" s="1" t="s">
        <v>2720</v>
      </c>
      <c r="V179" s="1"/>
      <c r="W179" s="1"/>
    </row>
    <row r="180" spans="1:23" ht="58" x14ac:dyDescent="0.35">
      <c r="A180" s="113" t="s">
        <v>2734</v>
      </c>
      <c r="B180" s="102" t="s">
        <v>4217</v>
      </c>
      <c r="C180" s="123" t="str" cm="1">
        <f t="array" ref="C180:E180">_xlfn.TEXTSPLIT('איחוד שאלות'!$B180,"_")</f>
        <v>perception</v>
      </c>
      <c r="D180" s="102" t="str">
        <v>satisfaction</v>
      </c>
      <c r="E180" s="102" t="str">
        <v>elections</v>
      </c>
      <c r="F180" s="102"/>
      <c r="G180" s="103"/>
      <c r="H180" s="132" t="s">
        <v>3332</v>
      </c>
      <c r="I180" s="100" t="s">
        <v>5844</v>
      </c>
      <c r="J180" s="100" t="s">
        <v>5847</v>
      </c>
      <c r="K180" s="101" t="s">
        <v>5954</v>
      </c>
      <c r="L180" s="1"/>
      <c r="M180" s="1"/>
      <c r="N180" s="1" t="s">
        <v>2734</v>
      </c>
      <c r="V180" s="1"/>
      <c r="W180" s="1"/>
    </row>
    <row r="181" spans="1:23" ht="29" x14ac:dyDescent="0.35">
      <c r="A181" s="121" t="s">
        <v>2832</v>
      </c>
      <c r="B181" s="99" t="s">
        <v>4216</v>
      </c>
      <c r="C181" s="121" t="str" cm="1">
        <f t="array" ref="C181:F181">_xlfn.TEXTSPLIT('איחוד שאלות'!$B181,"_")</f>
        <v>perception</v>
      </c>
      <c r="D181" s="99" t="str">
        <v>satisfaction</v>
      </c>
      <c r="E181" s="99" t="str">
        <v>election</v>
      </c>
      <c r="F181" s="99" t="str">
        <v>reason</v>
      </c>
      <c r="G181" s="100"/>
      <c r="H181" s="133" t="s">
        <v>3332</v>
      </c>
      <c r="I181" s="103" t="s">
        <v>5844</v>
      </c>
      <c r="J181" s="103" t="s">
        <v>5847</v>
      </c>
      <c r="K181" s="104" t="s">
        <v>5956</v>
      </c>
      <c r="L181" s="1" t="s">
        <v>5935</v>
      </c>
      <c r="M181" s="1"/>
      <c r="N181" s="1" t="s">
        <v>2832</v>
      </c>
      <c r="V181" s="1"/>
      <c r="W181" s="1"/>
    </row>
    <row r="182" spans="1:23" ht="58" x14ac:dyDescent="0.35">
      <c r="A182" s="113" t="s">
        <v>2869</v>
      </c>
      <c r="B182" s="102" t="s">
        <v>4218</v>
      </c>
      <c r="C182" s="123" t="str" cm="1">
        <f t="array" ref="C182:F182">_xlfn.TEXTSPLIT('איחוד שאלות'!$B182,"_")</f>
        <v>perception</v>
      </c>
      <c r="D182" s="102" t="str">
        <v>behavior</v>
      </c>
      <c r="E182" s="102" t="str">
        <v>elections</v>
      </c>
      <c r="F182" s="102" t="str">
        <v>prestige</v>
      </c>
      <c r="G182" s="103"/>
      <c r="H182" s="132" t="s">
        <v>3332</v>
      </c>
      <c r="I182" s="100" t="s">
        <v>5844</v>
      </c>
      <c r="J182" s="100" t="s">
        <v>5806</v>
      </c>
      <c r="K182" s="101" t="s">
        <v>5954</v>
      </c>
      <c r="L182" s="1" t="s">
        <v>5957</v>
      </c>
      <c r="M182" s="1"/>
      <c r="N182" s="1" t="s">
        <v>2869</v>
      </c>
      <c r="V182" s="1"/>
      <c r="W182" s="1"/>
    </row>
    <row r="183" spans="1:23" ht="87" x14ac:dyDescent="0.35">
      <c r="A183" s="121" t="s">
        <v>2870</v>
      </c>
      <c r="B183" s="99" t="s">
        <v>4219</v>
      </c>
      <c r="C183" s="121" t="str" cm="1">
        <f t="array" ref="C183:F183">_xlfn.TEXTSPLIT('איחוד שאלות'!$B183,"_")</f>
        <v>perception</v>
      </c>
      <c r="D183" s="99" t="str">
        <v>behavior</v>
      </c>
      <c r="E183" s="99" t="str">
        <v>elections</v>
      </c>
      <c r="F183" s="99" t="str">
        <v>connections</v>
      </c>
      <c r="G183" s="100"/>
      <c r="H183" s="133" t="s">
        <v>3332</v>
      </c>
      <c r="I183" s="103" t="s">
        <v>5844</v>
      </c>
      <c r="J183" s="103" t="s">
        <v>5806</v>
      </c>
      <c r="K183" s="104" t="s">
        <v>5954</v>
      </c>
      <c r="L183" s="1" t="s">
        <v>5958</v>
      </c>
      <c r="M183" s="1"/>
      <c r="N183" s="1" t="s">
        <v>2870</v>
      </c>
      <c r="V183" s="1"/>
      <c r="W183" s="1"/>
    </row>
    <row r="184" spans="1:23" ht="29" x14ac:dyDescent="0.35">
      <c r="A184" s="113" t="s">
        <v>2784</v>
      </c>
      <c r="B184" s="102" t="s">
        <v>4220</v>
      </c>
      <c r="C184" s="123" t="str" cm="1">
        <f t="array" ref="C184:F184">_xlfn.TEXTSPLIT('איחוד שאלות'!$B184,"_")</f>
        <v>demography</v>
      </c>
      <c r="D184" s="102" t="str">
        <v>IDF</v>
      </c>
      <c r="E184" s="102" t="str">
        <v>reserve</v>
      </c>
      <c r="F184" s="102" t="str">
        <v>husband</v>
      </c>
      <c r="G184" s="103"/>
      <c r="H184" s="132" t="s">
        <v>3332</v>
      </c>
      <c r="I184" s="100" t="s">
        <v>5765</v>
      </c>
      <c r="J184" s="100" t="s">
        <v>5825</v>
      </c>
      <c r="K184" s="101" t="s">
        <v>5827</v>
      </c>
      <c r="L184" s="1" t="s">
        <v>5959</v>
      </c>
      <c r="M184" s="1"/>
      <c r="N184" s="1" t="s">
        <v>2784</v>
      </c>
      <c r="V184" s="1"/>
      <c r="W184" s="1"/>
    </row>
    <row r="185" spans="1:23" ht="72.5" x14ac:dyDescent="0.35">
      <c r="A185" s="121" t="s">
        <v>2788</v>
      </c>
      <c r="B185" s="99" t="s">
        <v>5212</v>
      </c>
      <c r="C185" s="121" t="str" cm="1">
        <f t="array" ref="C185:F185">_xlfn.TEXTSPLIT('איחוד שאלות'!$B185,"_")</f>
        <v>perception</v>
      </c>
      <c r="D185" s="99" t="str">
        <v>israel</v>
      </c>
      <c r="E185" s="99" t="str">
        <v>condition</v>
      </c>
      <c r="F185" s="99" t="str">
        <v>kippurwar</v>
      </c>
      <c r="G185" s="100"/>
      <c r="H185" s="133" t="s">
        <v>3332</v>
      </c>
      <c r="I185" s="103" t="s">
        <v>5844</v>
      </c>
      <c r="J185" s="103" t="s">
        <v>5845</v>
      </c>
      <c r="K185" s="104" t="s">
        <v>5846</v>
      </c>
      <c r="L185" s="1" t="s">
        <v>5960</v>
      </c>
      <c r="M185" s="1"/>
      <c r="N185" s="1" t="s">
        <v>2788</v>
      </c>
      <c r="V185" s="1"/>
      <c r="W185" s="1"/>
    </row>
    <row r="186" spans="1:23" ht="58" x14ac:dyDescent="0.35">
      <c r="A186" s="113" t="s">
        <v>2789</v>
      </c>
      <c r="B186" s="102" t="s">
        <v>4224</v>
      </c>
      <c r="C186" s="123" t="str" cm="1">
        <f t="array" ref="C186:E186">_xlfn.TEXTSPLIT('איחוד שאלות'!$B186,"_")</f>
        <v>perception</v>
      </c>
      <c r="D186" s="102" t="str">
        <v>responsibility</v>
      </c>
      <c r="E186" s="102" t="str">
        <v>government</v>
      </c>
      <c r="F186" s="102"/>
      <c r="G186" s="103"/>
      <c r="H186" s="132" t="s">
        <v>3332</v>
      </c>
      <c r="I186" s="100" t="s">
        <v>5844</v>
      </c>
      <c r="J186" s="100" t="s">
        <v>5961</v>
      </c>
      <c r="K186" s="101" t="s">
        <v>5848</v>
      </c>
      <c r="L186" s="1"/>
      <c r="M186" s="1"/>
      <c r="N186" s="1" t="s">
        <v>6875</v>
      </c>
      <c r="V186" s="1"/>
      <c r="W186" s="1"/>
    </row>
    <row r="187" spans="1:23" ht="72.5" x14ac:dyDescent="0.35">
      <c r="A187" s="121" t="s">
        <v>2790</v>
      </c>
      <c r="B187" s="99" t="s">
        <v>4225</v>
      </c>
      <c r="C187" s="121" t="str" cm="1">
        <f t="array" ref="C187:E187">_xlfn.TEXTSPLIT('איחוד שאלות'!$B187,"_")</f>
        <v>perception</v>
      </c>
      <c r="D187" s="99" t="str">
        <v>responsibility</v>
      </c>
      <c r="E187" s="99" t="str">
        <v>IDF</v>
      </c>
      <c r="F187" s="99"/>
      <c r="G187" s="100"/>
      <c r="H187" s="133" t="s">
        <v>3332</v>
      </c>
      <c r="I187" s="103" t="s">
        <v>5844</v>
      </c>
      <c r="J187" s="103" t="s">
        <v>5961</v>
      </c>
      <c r="K187" s="104" t="s">
        <v>5825</v>
      </c>
      <c r="L187" s="1"/>
      <c r="M187" s="1"/>
      <c r="N187" s="1" t="s">
        <v>6876</v>
      </c>
      <c r="V187" s="1"/>
      <c r="W187" s="1"/>
    </row>
    <row r="188" spans="1:23" ht="58" x14ac:dyDescent="0.35">
      <c r="A188" s="113" t="s">
        <v>2791</v>
      </c>
      <c r="B188" s="102" t="s">
        <v>4226</v>
      </c>
      <c r="C188" s="123" t="str" cm="1">
        <f t="array" ref="C188:E188">_xlfn.TEXTSPLIT('איחוד שאלות'!$B188,"_")</f>
        <v>perception</v>
      </c>
      <c r="D188" s="102" t="str">
        <v>responsibility</v>
      </c>
      <c r="E188" s="102" t="str">
        <v>arabcountries</v>
      </c>
      <c r="F188" s="102"/>
      <c r="G188" s="103"/>
      <c r="H188" s="132" t="s">
        <v>3332</v>
      </c>
      <c r="I188" s="100" t="s">
        <v>5844</v>
      </c>
      <c r="J188" s="100" t="s">
        <v>5961</v>
      </c>
      <c r="K188" s="101" t="s">
        <v>5962</v>
      </c>
      <c r="L188" s="1"/>
      <c r="M188" s="1"/>
      <c r="N188" s="1" t="s">
        <v>6877</v>
      </c>
      <c r="V188" s="1"/>
      <c r="W188" s="1"/>
    </row>
    <row r="189" spans="1:23" ht="72.5" x14ac:dyDescent="0.35">
      <c r="A189" s="121" t="s">
        <v>2792</v>
      </c>
      <c r="B189" s="99" t="s">
        <v>4227</v>
      </c>
      <c r="C189" s="121" t="str" cm="1">
        <f t="array" ref="C189:E189">_xlfn.TEXTSPLIT('איחוד שאלות'!$B189,"_")</f>
        <v>perception</v>
      </c>
      <c r="D189" s="99" t="str">
        <v>responsibility</v>
      </c>
      <c r="E189" s="99" t="str">
        <v>Superpowers</v>
      </c>
      <c r="F189" s="99"/>
      <c r="G189" s="100"/>
      <c r="H189" s="133" t="s">
        <v>3332</v>
      </c>
      <c r="I189" s="103" t="s">
        <v>5844</v>
      </c>
      <c r="J189" s="103" t="s">
        <v>5961</v>
      </c>
      <c r="K189" s="104" t="s">
        <v>5963</v>
      </c>
      <c r="L189" s="1"/>
      <c r="M189" s="1"/>
      <c r="N189" s="1" t="s">
        <v>6878</v>
      </c>
      <c r="V189" s="1"/>
      <c r="W189" s="1"/>
    </row>
    <row r="190" spans="1:23" ht="87" x14ac:dyDescent="0.35">
      <c r="A190" s="113" t="s">
        <v>2821</v>
      </c>
      <c r="B190" s="102" t="s">
        <v>4228</v>
      </c>
      <c r="C190" s="123" t="str" cm="1">
        <f t="array" ref="C190:F190">_xlfn.TEXTSPLIT('איחוד שאלות'!$B190,"_")</f>
        <v>affect</v>
      </c>
      <c r="D190" s="102" t="str">
        <v>trust</v>
      </c>
      <c r="E190" s="102" t="str">
        <v>government</v>
      </c>
      <c r="F190" s="102" t="str">
        <v>golda</v>
      </c>
      <c r="G190" s="103"/>
      <c r="H190" s="132" t="s">
        <v>3332</v>
      </c>
      <c r="I190" s="100" t="s">
        <v>5815</v>
      </c>
      <c r="J190" s="100" t="s">
        <v>5901</v>
      </c>
      <c r="K190" s="101" t="s">
        <v>5848</v>
      </c>
      <c r="L190" s="1" t="s">
        <v>5964</v>
      </c>
      <c r="M190" s="1"/>
      <c r="N190" s="1" t="s">
        <v>2821</v>
      </c>
      <c r="V190" s="1"/>
      <c r="W190" s="1"/>
    </row>
    <row r="191" spans="1:23" ht="29" x14ac:dyDescent="0.35">
      <c r="A191" s="121" t="s">
        <v>2840</v>
      </c>
      <c r="B191" s="99" t="s">
        <v>5565</v>
      </c>
      <c r="C191" s="121" t="str" cm="1">
        <f t="array" ref="C191:E191">_xlfn.TEXTSPLIT('איחוד שאלות'!$B191,"_")</f>
        <v>perception</v>
      </c>
      <c r="D191" s="99" t="str">
        <v>satisfaction</v>
      </c>
      <c r="E191" s="99" t="str">
        <v>politicalsystem</v>
      </c>
      <c r="F191" s="99"/>
      <c r="G191" s="100"/>
      <c r="H191" s="133" t="s">
        <v>3332</v>
      </c>
      <c r="I191" s="103" t="s">
        <v>5844</v>
      </c>
      <c r="J191" s="103" t="s">
        <v>5847</v>
      </c>
      <c r="K191" s="104" t="s">
        <v>5855</v>
      </c>
      <c r="L191" s="1"/>
      <c r="M191" s="1"/>
      <c r="N191" s="1" t="s">
        <v>2840</v>
      </c>
      <c r="V191" s="1"/>
      <c r="W191" s="1"/>
    </row>
    <row r="192" spans="1:23" ht="43.5" x14ac:dyDescent="0.35">
      <c r="A192" s="113" t="s">
        <v>2854</v>
      </c>
      <c r="B192" s="102" t="s">
        <v>4229</v>
      </c>
      <c r="C192" s="123" t="str" cm="1">
        <f t="array" ref="C192:F192">_xlfn.TEXTSPLIT('איחוד שאלות'!$B192,"_")</f>
        <v>affect</v>
      </c>
      <c r="D192" s="102" t="str">
        <v>belonging</v>
      </c>
      <c r="E192" s="102" t="str">
        <v>nation</v>
      </c>
      <c r="F192" s="102" t="str">
        <v>importance</v>
      </c>
      <c r="G192" s="103"/>
      <c r="H192" s="132" t="s">
        <v>3332</v>
      </c>
      <c r="I192" s="100" t="s">
        <v>5815</v>
      </c>
      <c r="J192" s="100" t="s">
        <v>5965</v>
      </c>
      <c r="K192" s="101" t="s">
        <v>5966</v>
      </c>
      <c r="L192" s="1" t="s">
        <v>5857</v>
      </c>
      <c r="M192" s="1"/>
      <c r="N192" s="1" t="s">
        <v>2854</v>
      </c>
      <c r="V192" s="1"/>
      <c r="W192" s="1"/>
    </row>
    <row r="193" spans="1:23" ht="72.5" x14ac:dyDescent="0.35">
      <c r="A193" s="121" t="s">
        <v>2873</v>
      </c>
      <c r="B193" s="99" t="s">
        <v>4230</v>
      </c>
      <c r="C193" s="121" t="str" cm="1">
        <f t="array" ref="C193:F193">_xlfn.TEXTSPLIT('איחוד שאלות'!$B193,"_")</f>
        <v>affect</v>
      </c>
      <c r="D193" s="99" t="str">
        <v>belonging</v>
      </c>
      <c r="E193" s="99" t="str">
        <v>nation</v>
      </c>
      <c r="F193" s="99" t="str">
        <v>voting</v>
      </c>
      <c r="G193" s="100"/>
      <c r="H193" s="133" t="s">
        <v>3332</v>
      </c>
      <c r="I193" s="103" t="s">
        <v>5815</v>
      </c>
      <c r="J193" s="103" t="s">
        <v>5965</v>
      </c>
      <c r="K193" s="104" t="s">
        <v>5966</v>
      </c>
      <c r="L193" s="1" t="s">
        <v>5967</v>
      </c>
      <c r="M193" s="1"/>
      <c r="N193" s="1" t="s">
        <v>2873</v>
      </c>
      <c r="V193" s="1"/>
      <c r="W193" s="1"/>
    </row>
    <row r="194" spans="1:23" ht="43.5" x14ac:dyDescent="0.35">
      <c r="A194" s="113" t="s">
        <v>2857</v>
      </c>
      <c r="B194" s="102" t="s">
        <v>4231</v>
      </c>
      <c r="C194" s="123" t="str" cm="1">
        <f t="array" ref="C194:F194">_xlfn.TEXTSPLIT('איחוד שאלות'!$B194,"_")</f>
        <v>affect</v>
      </c>
      <c r="D194" s="102" t="str">
        <v>belonging</v>
      </c>
      <c r="E194" s="102" t="str">
        <v>friends</v>
      </c>
      <c r="F194" s="102" t="str">
        <v>importance</v>
      </c>
      <c r="G194" s="103"/>
      <c r="H194" s="132" t="s">
        <v>3332</v>
      </c>
      <c r="I194" s="100" t="s">
        <v>5815</v>
      </c>
      <c r="J194" s="100" t="s">
        <v>5965</v>
      </c>
      <c r="K194" s="101" t="s">
        <v>5787</v>
      </c>
      <c r="L194" s="1" t="s">
        <v>5857</v>
      </c>
      <c r="M194" s="1"/>
      <c r="N194" s="1" t="s">
        <v>2857</v>
      </c>
      <c r="V194" s="1"/>
      <c r="W194" s="1"/>
    </row>
    <row r="195" spans="1:23" ht="58" x14ac:dyDescent="0.35">
      <c r="A195" s="121" t="s">
        <v>2877</v>
      </c>
      <c r="B195" s="99" t="s">
        <v>4232</v>
      </c>
      <c r="C195" s="121" t="str" cm="1">
        <f t="array" ref="C195:F195">_xlfn.TEXTSPLIT('איחוד שאלות'!$B195,"_")</f>
        <v>affect</v>
      </c>
      <c r="D195" s="99" t="str">
        <v>belonging</v>
      </c>
      <c r="E195" s="99" t="str">
        <v>friends</v>
      </c>
      <c r="F195" s="99" t="str">
        <v>voting</v>
      </c>
      <c r="G195" s="100"/>
      <c r="H195" s="133" t="s">
        <v>3332</v>
      </c>
      <c r="I195" s="103" t="s">
        <v>5815</v>
      </c>
      <c r="J195" s="103" t="s">
        <v>5965</v>
      </c>
      <c r="K195" s="104" t="s">
        <v>5787</v>
      </c>
      <c r="L195" s="1" t="s">
        <v>5967</v>
      </c>
      <c r="M195" s="1"/>
      <c r="N195" s="1" t="s">
        <v>2877</v>
      </c>
      <c r="V195" s="1"/>
      <c r="W195" s="1"/>
    </row>
    <row r="196" spans="1:23" ht="43.5" x14ac:dyDescent="0.35">
      <c r="A196" s="113" t="s">
        <v>2859</v>
      </c>
      <c r="B196" s="102" t="s">
        <v>4233</v>
      </c>
      <c r="C196" s="123" t="str" cm="1">
        <f t="array" ref="C196:F196">_xlfn.TEXTSPLIT('איחוד שאלות'!$B196,"_")</f>
        <v>affect</v>
      </c>
      <c r="D196" s="102" t="str">
        <v>importance</v>
      </c>
      <c r="E196" s="102" t="str">
        <v>influence</v>
      </c>
      <c r="F196" s="102" t="str">
        <v>elections</v>
      </c>
      <c r="G196" s="103"/>
      <c r="H196" s="132" t="s">
        <v>3332</v>
      </c>
      <c r="I196" s="100" t="s">
        <v>5815</v>
      </c>
      <c r="J196" s="100" t="s">
        <v>5857</v>
      </c>
      <c r="K196" s="101" t="s">
        <v>5968</v>
      </c>
      <c r="L196" s="1" t="s">
        <v>5954</v>
      </c>
      <c r="M196" s="1"/>
      <c r="N196" s="1" t="s">
        <v>2859</v>
      </c>
      <c r="V196" s="1"/>
      <c r="W196" s="1"/>
    </row>
    <row r="197" spans="1:23" ht="58" x14ac:dyDescent="0.35">
      <c r="A197" s="121" t="s">
        <v>2878</v>
      </c>
      <c r="B197" s="99" t="s">
        <v>4234</v>
      </c>
      <c r="C197" s="121" t="str" cm="1">
        <f t="array" ref="C197:F197">_xlfn.TEXTSPLIT('איחוד שאלות'!$B197,"_")</f>
        <v>affect</v>
      </c>
      <c r="D197" s="99" t="str">
        <v>voting</v>
      </c>
      <c r="E197" s="99" t="str">
        <v>influence</v>
      </c>
      <c r="F197" s="99" t="str">
        <v>elections</v>
      </c>
      <c r="G197" s="100"/>
      <c r="H197" s="133" t="s">
        <v>3332</v>
      </c>
      <c r="I197" s="103" t="s">
        <v>5815</v>
      </c>
      <c r="J197" s="103" t="s">
        <v>5967</v>
      </c>
      <c r="K197" s="104" t="s">
        <v>5968</v>
      </c>
      <c r="L197" s="1" t="s">
        <v>5954</v>
      </c>
      <c r="M197" s="1"/>
      <c r="N197" s="1" t="s">
        <v>2878</v>
      </c>
      <c r="V197" s="1"/>
      <c r="W197" s="1"/>
    </row>
    <row r="198" spans="1:23" ht="72.5" x14ac:dyDescent="0.35">
      <c r="A198" s="113" t="s">
        <v>2879</v>
      </c>
      <c r="B198" s="102" t="s">
        <v>5555</v>
      </c>
      <c r="C198" s="123" t="str" cm="1">
        <f t="array" ref="C198:G198">_xlfn.TEXTSPLIT('איחוד שאלות'!$B198,"_")</f>
        <v>affect</v>
      </c>
      <c r="D198" s="102" t="str">
        <v>voting</v>
      </c>
      <c r="E198" s="102" t="str">
        <v>emotion</v>
      </c>
      <c r="F198" s="102" t="str">
        <v>happiness</v>
      </c>
      <c r="G198" s="103" t="str">
        <v>celebration</v>
      </c>
      <c r="H198" s="132" t="s">
        <v>3332</v>
      </c>
      <c r="I198" s="100" t="s">
        <v>5815</v>
      </c>
      <c r="J198" s="100" t="s">
        <v>5967</v>
      </c>
      <c r="K198" s="101" t="s">
        <v>5936</v>
      </c>
      <c r="L198" s="1" t="s">
        <v>5937</v>
      </c>
      <c r="M198" s="1" t="s">
        <v>5969</v>
      </c>
      <c r="N198" s="1" t="s">
        <v>2879</v>
      </c>
      <c r="V198" s="1"/>
      <c r="W198" s="1"/>
    </row>
    <row r="199" spans="1:23" ht="43.5" x14ac:dyDescent="0.35">
      <c r="A199" s="121" t="s">
        <v>3098</v>
      </c>
      <c r="B199" s="99" t="s">
        <v>4235</v>
      </c>
      <c r="C199" s="121" t="str" cm="1">
        <f t="array" ref="C199:E199">_xlfn.TEXTSPLIT('איחוד שאלות'!$B199,"_")</f>
        <v>perception</v>
      </c>
      <c r="D199" s="99" t="str">
        <v>satisfaction</v>
      </c>
      <c r="E199" s="99" t="str">
        <v>municipality</v>
      </c>
      <c r="F199" s="99"/>
      <c r="G199" s="100"/>
      <c r="H199" s="133" t="s">
        <v>3332</v>
      </c>
      <c r="I199" s="103" t="s">
        <v>5844</v>
      </c>
      <c r="J199" s="103" t="s">
        <v>5847</v>
      </c>
      <c r="K199" s="104" t="s">
        <v>5970</v>
      </c>
      <c r="L199" s="1"/>
      <c r="M199" s="1"/>
      <c r="N199" s="1" t="s">
        <v>3098</v>
      </c>
      <c r="V199" s="1"/>
      <c r="W199" s="1"/>
    </row>
    <row r="200" spans="1:23" ht="58" x14ac:dyDescent="0.35">
      <c r="A200" s="113" t="s">
        <v>2941</v>
      </c>
      <c r="B200" s="102" t="s">
        <v>4236</v>
      </c>
      <c r="C200" s="123" t="str" cm="1">
        <f t="array" ref="C200:E200">_xlfn.TEXTSPLIT('איחוד שאלות'!$B200,"_")</f>
        <v>perception</v>
      </c>
      <c r="D200" s="102" t="str">
        <v>problem</v>
      </c>
      <c r="E200" s="102" t="str">
        <v>municipality</v>
      </c>
      <c r="F200" s="102"/>
      <c r="G200" s="103"/>
      <c r="H200" s="132" t="s">
        <v>3332</v>
      </c>
      <c r="I200" s="100" t="s">
        <v>5844</v>
      </c>
      <c r="J200" s="100" t="s">
        <v>5849</v>
      </c>
      <c r="K200" s="101" t="s">
        <v>5970</v>
      </c>
      <c r="L200" s="1"/>
      <c r="M200" s="1"/>
      <c r="N200" s="1" t="s">
        <v>2941</v>
      </c>
      <c r="V200" s="1"/>
      <c r="W200" s="1"/>
    </row>
    <row r="201" spans="1:23" ht="58" x14ac:dyDescent="0.35">
      <c r="A201" s="121" t="s">
        <v>3099</v>
      </c>
      <c r="B201" s="99" t="s">
        <v>4237</v>
      </c>
      <c r="C201" s="121" t="str" cm="1">
        <f t="array" ref="C201:F201">_xlfn.TEXTSPLIT('איחוד שאלות'!$B201,"_")</f>
        <v>perception</v>
      </c>
      <c r="D201" s="99" t="str">
        <v>municipality</v>
      </c>
      <c r="E201" s="99" t="str">
        <v>solution</v>
      </c>
      <c r="F201" s="99" t="str">
        <v>clarity</v>
      </c>
      <c r="G201" s="100"/>
      <c r="H201" s="133" t="s">
        <v>3332</v>
      </c>
      <c r="I201" s="103" t="s">
        <v>5844</v>
      </c>
      <c r="J201" s="103" t="s">
        <v>5970</v>
      </c>
      <c r="K201" s="104" t="s">
        <v>5851</v>
      </c>
      <c r="L201" s="1" t="s">
        <v>5971</v>
      </c>
      <c r="M201" s="1"/>
      <c r="N201" s="1" t="s">
        <v>3099</v>
      </c>
      <c r="V201" s="1"/>
      <c r="W201" s="1"/>
    </row>
    <row r="202" spans="1:23" ht="58" x14ac:dyDescent="0.35">
      <c r="A202" s="113" t="s">
        <v>2944</v>
      </c>
      <c r="B202" s="102" t="s">
        <v>4242</v>
      </c>
      <c r="C202" s="123" t="str" cm="1">
        <f t="array" ref="C202:G202">_xlfn.TEXTSPLIT('איחוד שאלות'!$B202,"_")</f>
        <v>perception</v>
      </c>
      <c r="D202" s="102" t="str">
        <v>expectation</v>
      </c>
      <c r="E202" s="102" t="str">
        <v>municipality</v>
      </c>
      <c r="F202" s="102" t="str">
        <v>solution</v>
      </c>
      <c r="G202" s="103" t="str">
        <v>party</v>
      </c>
      <c r="H202" s="132" t="s">
        <v>3332</v>
      </c>
      <c r="I202" s="100" t="s">
        <v>5844</v>
      </c>
      <c r="J202" s="100" t="s">
        <v>5850</v>
      </c>
      <c r="K202" s="101" t="s">
        <v>5970</v>
      </c>
      <c r="L202" s="1" t="s">
        <v>5851</v>
      </c>
      <c r="M202" s="1" t="s">
        <v>5853</v>
      </c>
      <c r="N202" s="1" t="s">
        <v>2944</v>
      </c>
      <c r="V202" s="1"/>
      <c r="W202" s="1"/>
    </row>
    <row r="203" spans="1:23" ht="58" x14ac:dyDescent="0.35">
      <c r="A203" s="121" t="s">
        <v>2945</v>
      </c>
      <c r="B203" s="99" t="s">
        <v>4243</v>
      </c>
      <c r="C203" s="121" t="str" cm="1">
        <f t="array" ref="C203:F203">_xlfn.TEXTSPLIT('איחוד שאלות'!$B203,"_")</f>
        <v>perception</v>
      </c>
      <c r="D203" s="99" t="str">
        <v>satisfaction</v>
      </c>
      <c r="E203" s="99" t="str">
        <v>municipality</v>
      </c>
      <c r="F203" s="99" t="str">
        <v>services</v>
      </c>
      <c r="G203" s="100"/>
      <c r="H203" s="133" t="s">
        <v>3332</v>
      </c>
      <c r="I203" s="103" t="s">
        <v>5844</v>
      </c>
      <c r="J203" s="103" t="s">
        <v>5847</v>
      </c>
      <c r="K203" s="104" t="s">
        <v>5970</v>
      </c>
      <c r="L203" s="1" t="s">
        <v>5972</v>
      </c>
      <c r="M203" s="1"/>
      <c r="N203" s="1" t="s">
        <v>2945</v>
      </c>
      <c r="V203" s="1"/>
      <c r="W203" s="1"/>
    </row>
    <row r="204" spans="1:23" ht="43.5" x14ac:dyDescent="0.35">
      <c r="A204" s="113" t="s">
        <v>2947</v>
      </c>
      <c r="B204" s="102" t="s">
        <v>4244</v>
      </c>
      <c r="C204" s="123" t="str" cm="1">
        <f t="array" ref="C204:F204">_xlfn.TEXTSPLIT('איחוד שאלות'!$B204,"_")</f>
        <v>preference</v>
      </c>
      <c r="D204" s="102" t="str">
        <v>municipality</v>
      </c>
      <c r="E204" s="102" t="str">
        <v>mayor</v>
      </c>
      <c r="F204" s="102" t="str">
        <v>replace</v>
      </c>
      <c r="G204" s="103"/>
      <c r="H204" s="132" t="s">
        <v>3332</v>
      </c>
      <c r="I204" s="100" t="s">
        <v>5856</v>
      </c>
      <c r="J204" s="100" t="s">
        <v>5970</v>
      </c>
      <c r="K204" s="101" t="s">
        <v>5973</v>
      </c>
      <c r="L204" s="1" t="s">
        <v>5974</v>
      </c>
      <c r="M204" s="1"/>
      <c r="N204" s="1" t="s">
        <v>2947</v>
      </c>
      <c r="V204" s="1"/>
      <c r="W204" s="1"/>
    </row>
    <row r="205" spans="1:23" ht="87" x14ac:dyDescent="0.35">
      <c r="A205" s="121" t="s">
        <v>3107</v>
      </c>
      <c r="B205" s="99" t="s">
        <v>4245</v>
      </c>
      <c r="C205" s="121" t="str" cm="1">
        <f t="array" ref="C205:F205">_xlfn.TEXTSPLIT('איחוד שאלות'!$B205,"_")</f>
        <v>preference</v>
      </c>
      <c r="D205" s="99" t="str">
        <v>municipality</v>
      </c>
      <c r="E205" s="99" t="str">
        <v>mayor</v>
      </c>
      <c r="F205" s="99" t="str">
        <v>electionsystem</v>
      </c>
      <c r="G205" s="100"/>
      <c r="H205" s="133" t="s">
        <v>3332</v>
      </c>
      <c r="I205" s="103" t="s">
        <v>5856</v>
      </c>
      <c r="J205" s="103" t="s">
        <v>5970</v>
      </c>
      <c r="K205" s="104" t="s">
        <v>5973</v>
      </c>
      <c r="L205" s="1" t="s">
        <v>5975</v>
      </c>
      <c r="M205" s="1"/>
      <c r="N205" s="1" t="s">
        <v>3107</v>
      </c>
      <c r="V205" s="1"/>
      <c r="W205" s="1"/>
    </row>
    <row r="206" spans="1:23" ht="72.5" x14ac:dyDescent="0.35">
      <c r="A206" s="113" t="s">
        <v>2961</v>
      </c>
      <c r="B206" s="102" t="s">
        <v>4246</v>
      </c>
      <c r="C206" s="123" t="str" cm="1">
        <f t="array" ref="C206:F206">_xlfn.TEXTSPLIT('איחוד שאלות'!$B206,"_")</f>
        <v>preference</v>
      </c>
      <c r="D206" s="102" t="str">
        <v>party</v>
      </c>
      <c r="E206" s="102" t="str">
        <v>youth</v>
      </c>
      <c r="F206" s="102" t="str">
        <v>organization</v>
      </c>
      <c r="G206" s="103"/>
      <c r="H206" s="132" t="s">
        <v>3332</v>
      </c>
      <c r="I206" s="100" t="s">
        <v>5856</v>
      </c>
      <c r="J206" s="100" t="s">
        <v>5853</v>
      </c>
      <c r="K206" s="101" t="s">
        <v>5841</v>
      </c>
      <c r="L206" s="1" t="s">
        <v>5842</v>
      </c>
      <c r="M206" s="1"/>
      <c r="N206" s="1" t="s">
        <v>2961</v>
      </c>
      <c r="V206" s="1"/>
      <c r="W206" s="1"/>
    </row>
    <row r="207" spans="1:23" ht="58" x14ac:dyDescent="0.35">
      <c r="A207" s="121" t="s">
        <v>3023</v>
      </c>
      <c r="B207" s="99" t="s">
        <v>4247</v>
      </c>
      <c r="C207" s="121" t="str" cm="1">
        <f t="array" ref="C207:E207">_xlfn.TEXTSPLIT('איחוד שאלות'!$B207,"_")</f>
        <v>perception</v>
      </c>
      <c r="D207" s="99" t="str">
        <v>problem</v>
      </c>
      <c r="E207" s="99" t="str">
        <v>clarity</v>
      </c>
      <c r="F207" s="99"/>
      <c r="G207" s="100"/>
      <c r="H207" s="133" t="s">
        <v>3332</v>
      </c>
      <c r="I207" s="103" t="s">
        <v>5844</v>
      </c>
      <c r="J207" s="103" t="s">
        <v>5849</v>
      </c>
      <c r="K207" s="104" t="s">
        <v>5971</v>
      </c>
      <c r="L207" s="1"/>
      <c r="M207" s="1"/>
      <c r="N207" s="1" t="s">
        <v>3023</v>
      </c>
      <c r="V207" s="1"/>
      <c r="W207" s="1"/>
    </row>
    <row r="208" spans="1:23" ht="72.5" x14ac:dyDescent="0.35">
      <c r="A208" s="113" t="s">
        <v>3097</v>
      </c>
      <c r="B208" s="102" t="s">
        <v>4248</v>
      </c>
      <c r="C208" s="123" t="str" cm="1">
        <f t="array" ref="C208:F208">_xlfn.TEXTSPLIT('איחוד שאלות'!$B208,"_")</f>
        <v>perception</v>
      </c>
      <c r="D208" s="102" t="str">
        <v>policy</v>
      </c>
      <c r="E208" s="102" t="str">
        <v>solution</v>
      </c>
      <c r="F208" s="102" t="str">
        <v>clarity</v>
      </c>
      <c r="G208" s="103"/>
      <c r="H208" s="132" t="s">
        <v>3332</v>
      </c>
      <c r="I208" s="100" t="s">
        <v>5844</v>
      </c>
      <c r="J208" s="100" t="s">
        <v>5882</v>
      </c>
      <c r="K208" s="101" t="s">
        <v>5851</v>
      </c>
      <c r="L208" s="1" t="s">
        <v>5971</v>
      </c>
      <c r="M208" s="1"/>
      <c r="N208" s="1" t="s">
        <v>3097</v>
      </c>
      <c r="V208" s="1"/>
      <c r="W208" s="1"/>
    </row>
    <row r="209" spans="1:23" ht="72.5" x14ac:dyDescent="0.35">
      <c r="A209" s="121" t="s">
        <v>3025</v>
      </c>
      <c r="B209" s="99" t="s">
        <v>4249</v>
      </c>
      <c r="C209" s="121" t="str" cm="1">
        <f t="array" ref="C209:F209">_xlfn.TEXTSPLIT('איחוד שאלות'!$B209,"_")</f>
        <v>preference</v>
      </c>
      <c r="D209" s="99" t="str">
        <v>importance</v>
      </c>
      <c r="E209" s="99" t="str">
        <v>issues</v>
      </c>
      <c r="F209" s="99" t="str">
        <v>party</v>
      </c>
      <c r="G209" s="100"/>
      <c r="H209" s="133" t="s">
        <v>3332</v>
      </c>
      <c r="I209" s="103" t="s">
        <v>5856</v>
      </c>
      <c r="J209" s="103" t="s">
        <v>5857</v>
      </c>
      <c r="K209" s="104" t="s">
        <v>5976</v>
      </c>
      <c r="L209" s="1" t="s">
        <v>5853</v>
      </c>
      <c r="M209" s="1"/>
      <c r="N209" s="1" t="s">
        <v>3025</v>
      </c>
      <c r="V209" s="1"/>
      <c r="W209" s="1"/>
    </row>
    <row r="210" spans="1:23" ht="87" x14ac:dyDescent="0.35">
      <c r="A210" s="113" t="s">
        <v>3035</v>
      </c>
      <c r="B210" s="102" t="s">
        <v>4283</v>
      </c>
      <c r="C210" s="123" t="str" cm="1">
        <f t="array" ref="C210:G210">_xlfn.TEXTSPLIT('איחוד שאלות'!$B210,"_")</f>
        <v>perception</v>
      </c>
      <c r="D210" s="102" t="str">
        <v>party</v>
      </c>
      <c r="E210" s="102" t="str">
        <v>supporters</v>
      </c>
      <c r="F210" s="102" t="str">
        <v>Hamaarakh</v>
      </c>
      <c r="G210" s="103" t="str">
        <v>age</v>
      </c>
      <c r="H210" s="132" t="s">
        <v>3332</v>
      </c>
      <c r="I210" s="100" t="s">
        <v>5844</v>
      </c>
      <c r="J210" s="100" t="s">
        <v>5853</v>
      </c>
      <c r="K210" s="101" t="s">
        <v>5977</v>
      </c>
      <c r="L210" s="1" t="s">
        <v>5978</v>
      </c>
      <c r="M210" s="1" t="s">
        <v>1</v>
      </c>
      <c r="N210" s="1" t="s">
        <v>6879</v>
      </c>
      <c r="V210" s="1"/>
      <c r="W210" s="1"/>
    </row>
    <row r="211" spans="1:23" ht="87" x14ac:dyDescent="0.35">
      <c r="A211" s="121" t="s">
        <v>3036</v>
      </c>
      <c r="B211" s="99" t="s">
        <v>4284</v>
      </c>
      <c r="C211" s="121" t="str" cm="1">
        <f t="array" ref="C211:G211">_xlfn.TEXTSPLIT('איחוד שאלות'!$B211,"_")</f>
        <v>perception</v>
      </c>
      <c r="D211" s="99" t="str">
        <v>party</v>
      </c>
      <c r="E211" s="99" t="str">
        <v>supporters</v>
      </c>
      <c r="F211" s="99" t="str">
        <v>Hamaarakh</v>
      </c>
      <c r="G211" s="100" t="str">
        <v>jewishetnicity</v>
      </c>
      <c r="H211" s="133" t="s">
        <v>3332</v>
      </c>
      <c r="I211" s="103" t="s">
        <v>5844</v>
      </c>
      <c r="J211" s="103" t="s">
        <v>5853</v>
      </c>
      <c r="K211" s="104" t="s">
        <v>5977</v>
      </c>
      <c r="L211" s="1" t="s">
        <v>5978</v>
      </c>
      <c r="M211" s="1" t="s">
        <v>5768</v>
      </c>
      <c r="N211" s="1" t="s">
        <v>6880</v>
      </c>
      <c r="V211" s="1"/>
      <c r="W211" s="1"/>
    </row>
    <row r="212" spans="1:23" ht="101.5" x14ac:dyDescent="0.35">
      <c r="A212" s="113" t="s">
        <v>3037</v>
      </c>
      <c r="B212" s="102" t="s">
        <v>4285</v>
      </c>
      <c r="C212" s="123" t="str" cm="1">
        <f t="array" ref="C212:G212">_xlfn.TEXTSPLIT('איחוד שאלות'!$B212,"_")</f>
        <v>perception</v>
      </c>
      <c r="D212" s="102" t="str">
        <v>party</v>
      </c>
      <c r="E212" s="102" t="str">
        <v>supporters</v>
      </c>
      <c r="F212" s="102" t="str">
        <v>Hamaarakh</v>
      </c>
      <c r="G212" s="103" t="str">
        <v>occupation</v>
      </c>
      <c r="H212" s="132" t="s">
        <v>3332</v>
      </c>
      <c r="I212" s="100" t="s">
        <v>5844</v>
      </c>
      <c r="J212" s="100" t="s">
        <v>5853</v>
      </c>
      <c r="K212" s="101" t="s">
        <v>5977</v>
      </c>
      <c r="L212" s="1" t="s">
        <v>5978</v>
      </c>
      <c r="M212" s="1" t="s">
        <v>5810</v>
      </c>
      <c r="N212" s="1" t="s">
        <v>6881</v>
      </c>
      <c r="V212" s="1"/>
      <c r="W212" s="1"/>
    </row>
    <row r="213" spans="1:23" ht="87" x14ac:dyDescent="0.35">
      <c r="A213" s="121" t="s">
        <v>3038</v>
      </c>
      <c r="B213" s="99" t="s">
        <v>4286</v>
      </c>
      <c r="C213" s="121" t="str" cm="1">
        <f t="array" ref="C213:G213">_xlfn.TEXTSPLIT('איחוד שאלות'!$B213,"_")</f>
        <v>perception</v>
      </c>
      <c r="D213" s="99" t="str">
        <v>party</v>
      </c>
      <c r="E213" s="99" t="str">
        <v>supporters</v>
      </c>
      <c r="F213" s="99" t="str">
        <v>Herut</v>
      </c>
      <c r="G213" s="100" t="str">
        <v>age</v>
      </c>
      <c r="H213" s="133" t="s">
        <v>3332</v>
      </c>
      <c r="I213" s="103" t="s">
        <v>5844</v>
      </c>
      <c r="J213" s="103" t="s">
        <v>5853</v>
      </c>
      <c r="K213" s="104" t="s">
        <v>5977</v>
      </c>
      <c r="L213" s="1" t="s">
        <v>5979</v>
      </c>
      <c r="M213" s="1" t="s">
        <v>1</v>
      </c>
      <c r="N213" s="1" t="s">
        <v>6882</v>
      </c>
      <c r="V213" s="1"/>
      <c r="W213" s="1"/>
    </row>
    <row r="214" spans="1:23" ht="87" x14ac:dyDescent="0.35">
      <c r="A214" s="113" t="s">
        <v>3039</v>
      </c>
      <c r="B214" s="102" t="s">
        <v>4287</v>
      </c>
      <c r="C214" s="123" t="str" cm="1">
        <f t="array" ref="C214:G214">_xlfn.TEXTSPLIT('איחוד שאלות'!$B214,"_")</f>
        <v>perception</v>
      </c>
      <c r="D214" s="102" t="str">
        <v>party</v>
      </c>
      <c r="E214" s="102" t="str">
        <v>supporters</v>
      </c>
      <c r="F214" s="102" t="str">
        <v>Herut</v>
      </c>
      <c r="G214" s="103" t="str">
        <v>jewishetnicity</v>
      </c>
      <c r="H214" s="132" t="s">
        <v>3332</v>
      </c>
      <c r="I214" s="100" t="s">
        <v>5844</v>
      </c>
      <c r="J214" s="100" t="s">
        <v>5853</v>
      </c>
      <c r="K214" s="101" t="s">
        <v>5977</v>
      </c>
      <c r="L214" s="1" t="s">
        <v>5979</v>
      </c>
      <c r="M214" s="1" t="s">
        <v>5768</v>
      </c>
      <c r="N214" s="1" t="s">
        <v>6883</v>
      </c>
      <c r="V214" s="1"/>
      <c r="W214" s="1"/>
    </row>
    <row r="215" spans="1:23" ht="87" x14ac:dyDescent="0.35">
      <c r="A215" s="121" t="s">
        <v>3040</v>
      </c>
      <c r="B215" s="99" t="s">
        <v>4288</v>
      </c>
      <c r="C215" s="121" t="str" cm="1">
        <f t="array" ref="C215:G215">_xlfn.TEXTSPLIT('איחוד שאלות'!$B215,"_")</f>
        <v>perception</v>
      </c>
      <c r="D215" s="99" t="str">
        <v>party</v>
      </c>
      <c r="E215" s="99" t="str">
        <v>supporters</v>
      </c>
      <c r="F215" s="99" t="str">
        <v>Herut</v>
      </c>
      <c r="G215" s="100" t="str">
        <v>occupation</v>
      </c>
      <c r="H215" s="133" t="s">
        <v>3332</v>
      </c>
      <c r="I215" s="103" t="s">
        <v>5844</v>
      </c>
      <c r="J215" s="103" t="s">
        <v>5853</v>
      </c>
      <c r="K215" s="104" t="s">
        <v>5977</v>
      </c>
      <c r="L215" s="1" t="s">
        <v>5979</v>
      </c>
      <c r="M215" s="1" t="s">
        <v>5810</v>
      </c>
      <c r="N215" s="1" t="s">
        <v>6884</v>
      </c>
      <c r="V215" s="1"/>
      <c r="W215" s="1"/>
    </row>
    <row r="216" spans="1:23" ht="101.5" x14ac:dyDescent="0.35">
      <c r="A216" s="113" t="s">
        <v>3041</v>
      </c>
      <c r="B216" s="102" t="s">
        <v>4289</v>
      </c>
      <c r="C216" s="123" t="str" cm="1">
        <f t="array" ref="C216:G216">_xlfn.TEXTSPLIT('איחוד שאלות'!$B216,"_")</f>
        <v>perception</v>
      </c>
      <c r="D216" s="102" t="str">
        <v>party</v>
      </c>
      <c r="E216" s="102" t="str">
        <v>supporters</v>
      </c>
      <c r="F216" s="102" t="str">
        <v>Haolamhazeh</v>
      </c>
      <c r="G216" s="103" t="str">
        <v>age</v>
      </c>
      <c r="H216" s="132" t="s">
        <v>3332</v>
      </c>
      <c r="I216" s="100" t="s">
        <v>5844</v>
      </c>
      <c r="J216" s="100" t="s">
        <v>5853</v>
      </c>
      <c r="K216" s="101" t="s">
        <v>5977</v>
      </c>
      <c r="L216" s="1" t="s">
        <v>5980</v>
      </c>
      <c r="M216" s="1" t="s">
        <v>1</v>
      </c>
      <c r="N216" s="1" t="s">
        <v>6885</v>
      </c>
      <c r="V216" s="1"/>
      <c r="W216" s="1"/>
    </row>
    <row r="217" spans="1:23" ht="101.5" x14ac:dyDescent="0.35">
      <c r="A217" s="121" t="s">
        <v>3042</v>
      </c>
      <c r="B217" s="99" t="s">
        <v>4290</v>
      </c>
      <c r="C217" s="121" t="str" cm="1">
        <f t="array" ref="C217:G217">_xlfn.TEXTSPLIT('איחוד שאלות'!$B217,"_")</f>
        <v>perception</v>
      </c>
      <c r="D217" s="99" t="str">
        <v>party</v>
      </c>
      <c r="E217" s="99" t="str">
        <v>supporters</v>
      </c>
      <c r="F217" s="99" t="str">
        <v>Haolamhazeh</v>
      </c>
      <c r="G217" s="100" t="str">
        <v>jewishetnicity</v>
      </c>
      <c r="H217" s="133" t="s">
        <v>3332</v>
      </c>
      <c r="I217" s="103" t="s">
        <v>5844</v>
      </c>
      <c r="J217" s="103" t="s">
        <v>5853</v>
      </c>
      <c r="K217" s="104" t="s">
        <v>5977</v>
      </c>
      <c r="L217" s="1" t="s">
        <v>5980</v>
      </c>
      <c r="M217" s="1" t="s">
        <v>5768</v>
      </c>
      <c r="N217" s="1" t="s">
        <v>6886</v>
      </c>
      <c r="V217" s="1"/>
      <c r="W217" s="1"/>
    </row>
    <row r="218" spans="1:23" ht="101.5" x14ac:dyDescent="0.35">
      <c r="A218" s="113" t="s">
        <v>3043</v>
      </c>
      <c r="B218" s="102" t="s">
        <v>4291</v>
      </c>
      <c r="C218" s="123" t="str" cm="1">
        <f t="array" ref="C218:G218">_xlfn.TEXTSPLIT('איחוד שאלות'!$B218,"_")</f>
        <v>perception</v>
      </c>
      <c r="D218" s="102" t="str">
        <v>party</v>
      </c>
      <c r="E218" s="102" t="str">
        <v>supporters</v>
      </c>
      <c r="F218" s="102" t="str">
        <v>Haolamhazeh</v>
      </c>
      <c r="G218" s="103" t="str">
        <v>occupation</v>
      </c>
      <c r="H218" s="132" t="s">
        <v>3332</v>
      </c>
      <c r="I218" s="100" t="s">
        <v>5844</v>
      </c>
      <c r="J218" s="100" t="s">
        <v>5853</v>
      </c>
      <c r="K218" s="101" t="s">
        <v>5977</v>
      </c>
      <c r="L218" s="1" t="s">
        <v>5980</v>
      </c>
      <c r="M218" s="1" t="s">
        <v>5810</v>
      </c>
      <c r="N218" s="1" t="s">
        <v>6887</v>
      </c>
      <c r="V218" s="1"/>
      <c r="W218" s="1"/>
    </row>
    <row r="219" spans="1:23" ht="87" x14ac:dyDescent="0.35">
      <c r="A219" s="121" t="s">
        <v>3046</v>
      </c>
      <c r="B219" s="99" t="s">
        <v>4250</v>
      </c>
      <c r="C219" s="121" t="str" cm="1">
        <f t="array" ref="C219:F219">_xlfn.TEXTSPLIT('איחוד שאלות'!$B219,"_")</f>
        <v>affect</v>
      </c>
      <c r="D219" s="99" t="str">
        <v>appreciation</v>
      </c>
      <c r="E219" s="99" t="str">
        <v>occupation</v>
      </c>
      <c r="F219" s="99" t="str">
        <v>1</v>
      </c>
      <c r="G219" s="100"/>
      <c r="H219" s="133" t="s">
        <v>3332</v>
      </c>
      <c r="I219" s="103" t="s">
        <v>5815</v>
      </c>
      <c r="J219" s="103" t="s">
        <v>5981</v>
      </c>
      <c r="K219" s="104" t="s">
        <v>5810</v>
      </c>
      <c r="L219" s="1" t="s">
        <v>5789</v>
      </c>
      <c r="M219" s="1"/>
      <c r="N219" s="1" t="s">
        <v>6888</v>
      </c>
      <c r="V219" s="1"/>
      <c r="W219" s="1"/>
    </row>
    <row r="220" spans="1:23" ht="72.5" x14ac:dyDescent="0.35">
      <c r="A220" s="113" t="s">
        <v>3047</v>
      </c>
      <c r="B220" s="102" t="s">
        <v>4251</v>
      </c>
      <c r="C220" s="123" t="str" cm="1">
        <f t="array" ref="C220:F220">_xlfn.TEXTSPLIT('איחוד שאלות'!$B220,"_")</f>
        <v>affect</v>
      </c>
      <c r="D220" s="102" t="str">
        <v>appreciation</v>
      </c>
      <c r="E220" s="102" t="str">
        <v>occupation</v>
      </c>
      <c r="F220" s="102" t="str">
        <v>2</v>
      </c>
      <c r="G220" s="103"/>
      <c r="H220" s="132" t="s">
        <v>3332</v>
      </c>
      <c r="I220" s="100" t="s">
        <v>5815</v>
      </c>
      <c r="J220" s="100" t="s">
        <v>5981</v>
      </c>
      <c r="K220" s="101" t="s">
        <v>5810</v>
      </c>
      <c r="L220" s="1" t="s">
        <v>5790</v>
      </c>
      <c r="M220" s="1"/>
      <c r="N220" s="1" t="s">
        <v>6889</v>
      </c>
      <c r="V220" s="1"/>
      <c r="W220" s="1"/>
    </row>
    <row r="221" spans="1:23" ht="87" x14ac:dyDescent="0.35">
      <c r="A221" s="121" t="s">
        <v>3048</v>
      </c>
      <c r="B221" s="99" t="s">
        <v>4292</v>
      </c>
      <c r="C221" s="121" t="str" cm="1">
        <f t="array" ref="C221:G221">_xlfn.TEXTSPLIT('איחוד שאלות'!$B221,"_")</f>
        <v>perception</v>
      </c>
      <c r="D221" s="99" t="str">
        <v>public</v>
      </c>
      <c r="E221" s="99" t="str">
        <v>influence</v>
      </c>
      <c r="F221" s="99" t="str">
        <v>occupation</v>
      </c>
      <c r="G221" s="100" t="str">
        <v>1</v>
      </c>
      <c r="H221" s="133" t="s">
        <v>3332</v>
      </c>
      <c r="I221" s="103" t="s">
        <v>5844</v>
      </c>
      <c r="J221" s="103" t="s">
        <v>5912</v>
      </c>
      <c r="K221" s="104" t="s">
        <v>5968</v>
      </c>
      <c r="L221" s="1" t="s">
        <v>5810</v>
      </c>
      <c r="M221" s="1" t="s">
        <v>5789</v>
      </c>
      <c r="N221" s="1" t="s">
        <v>6890</v>
      </c>
      <c r="V221" s="1"/>
      <c r="W221" s="1"/>
    </row>
    <row r="222" spans="1:23" ht="87" x14ac:dyDescent="0.35">
      <c r="A222" s="113" t="s">
        <v>3049</v>
      </c>
      <c r="B222" s="102" t="s">
        <v>4293</v>
      </c>
      <c r="C222" s="123" t="str" cm="1">
        <f t="array" ref="C222:G222">_xlfn.TEXTSPLIT('איחוד שאלות'!$B222,"_")</f>
        <v>perception</v>
      </c>
      <c r="D222" s="102" t="str">
        <v>public</v>
      </c>
      <c r="E222" s="102" t="str">
        <v>influence</v>
      </c>
      <c r="F222" s="102" t="str">
        <v>occupation</v>
      </c>
      <c r="G222" s="103" t="str">
        <v>2</v>
      </c>
      <c r="H222" s="132" t="s">
        <v>3332</v>
      </c>
      <c r="I222" s="100" t="s">
        <v>5844</v>
      </c>
      <c r="J222" s="100" t="s">
        <v>5912</v>
      </c>
      <c r="K222" s="101" t="s">
        <v>5968</v>
      </c>
      <c r="L222" s="1" t="s">
        <v>5810</v>
      </c>
      <c r="M222" s="1" t="s">
        <v>5790</v>
      </c>
      <c r="N222" s="1" t="s">
        <v>6891</v>
      </c>
      <c r="V222" s="1"/>
      <c r="W222" s="1"/>
    </row>
    <row r="223" spans="1:23" ht="101.5" x14ac:dyDescent="0.35">
      <c r="A223" s="121" t="s">
        <v>3050</v>
      </c>
      <c r="B223" s="99" t="s">
        <v>4294</v>
      </c>
      <c r="C223" s="121" t="str" cm="1">
        <f t="array" ref="C223:G223">_xlfn.TEXTSPLIT('איחוד שאלות'!$B223,"_")</f>
        <v>perception</v>
      </c>
      <c r="D223" s="99" t="str">
        <v>policy</v>
      </c>
      <c r="E223" s="99" t="str">
        <v>influence</v>
      </c>
      <c r="F223" s="99" t="str">
        <v>occupation</v>
      </c>
      <c r="G223" s="100" t="str">
        <v>1</v>
      </c>
      <c r="H223" s="133" t="s">
        <v>3332</v>
      </c>
      <c r="I223" s="103" t="s">
        <v>5844</v>
      </c>
      <c r="J223" s="103" t="s">
        <v>5882</v>
      </c>
      <c r="K223" s="104" t="s">
        <v>5968</v>
      </c>
      <c r="L223" s="1" t="s">
        <v>5810</v>
      </c>
      <c r="M223" s="1" t="s">
        <v>5789</v>
      </c>
      <c r="N223" s="1" t="s">
        <v>6892</v>
      </c>
      <c r="V223" s="1"/>
      <c r="W223" s="1"/>
    </row>
    <row r="224" spans="1:23" ht="101.5" x14ac:dyDescent="0.35">
      <c r="A224" s="113" t="s">
        <v>3051</v>
      </c>
      <c r="B224" s="102" t="s">
        <v>4295</v>
      </c>
      <c r="C224" s="123" t="str" cm="1">
        <f t="array" ref="C224:G224">_xlfn.TEXTSPLIT('איחוד שאלות'!$B224,"_")</f>
        <v>perception</v>
      </c>
      <c r="D224" s="102" t="str">
        <v>policy</v>
      </c>
      <c r="E224" s="102" t="str">
        <v>influence</v>
      </c>
      <c r="F224" s="102" t="str">
        <v>occupation</v>
      </c>
      <c r="G224" s="103" t="str">
        <v>2</v>
      </c>
      <c r="H224" s="132" t="s">
        <v>3332</v>
      </c>
      <c r="I224" s="100" t="s">
        <v>5844</v>
      </c>
      <c r="J224" s="100" t="s">
        <v>5882</v>
      </c>
      <c r="K224" s="101" t="s">
        <v>5968</v>
      </c>
      <c r="L224" s="1" t="s">
        <v>5810</v>
      </c>
      <c r="M224" s="1" t="s">
        <v>5790</v>
      </c>
      <c r="N224" s="1" t="s">
        <v>6893</v>
      </c>
      <c r="V224" s="1"/>
      <c r="W224" s="1"/>
    </row>
    <row r="225" spans="1:23" ht="116" x14ac:dyDescent="0.35">
      <c r="A225" s="121" t="s">
        <v>3052</v>
      </c>
      <c r="B225" s="99" t="s">
        <v>4296</v>
      </c>
      <c r="C225" s="121" t="str" cm="1">
        <f t="array" ref="C225:G225">_xlfn.TEXTSPLIT('איחוד שאלות'!$B225,"_")</f>
        <v>perception</v>
      </c>
      <c r="D225" s="99" t="str">
        <v>problem</v>
      </c>
      <c r="E225" s="99" t="str">
        <v>influence</v>
      </c>
      <c r="F225" s="99" t="str">
        <v>occupation</v>
      </c>
      <c r="G225" s="100" t="str">
        <v>1</v>
      </c>
      <c r="H225" s="133" t="s">
        <v>3332</v>
      </c>
      <c r="I225" s="103" t="s">
        <v>5844</v>
      </c>
      <c r="J225" s="103" t="s">
        <v>5849</v>
      </c>
      <c r="K225" s="104" t="s">
        <v>5968</v>
      </c>
      <c r="L225" s="1" t="s">
        <v>5810</v>
      </c>
      <c r="M225" s="1" t="s">
        <v>5789</v>
      </c>
      <c r="N225" s="1" t="s">
        <v>6894</v>
      </c>
      <c r="V225" s="1"/>
      <c r="W225" s="1"/>
    </row>
    <row r="226" spans="1:23" ht="116" x14ac:dyDescent="0.35">
      <c r="A226" s="113" t="s">
        <v>3053</v>
      </c>
      <c r="B226" s="102" t="s">
        <v>4297</v>
      </c>
      <c r="C226" s="123" t="str" cm="1">
        <f t="array" ref="C226:G226">_xlfn.TEXTSPLIT('איחוד שאלות'!$B226,"_")</f>
        <v>perception</v>
      </c>
      <c r="D226" s="102" t="str">
        <v>problem</v>
      </c>
      <c r="E226" s="102" t="str">
        <v>influence</v>
      </c>
      <c r="F226" s="102" t="str">
        <v>occupation</v>
      </c>
      <c r="G226" s="103" t="str">
        <v>2</v>
      </c>
      <c r="H226" s="132" t="s">
        <v>3332</v>
      </c>
      <c r="I226" s="100" t="s">
        <v>5844</v>
      </c>
      <c r="J226" s="100" t="s">
        <v>5849</v>
      </c>
      <c r="K226" s="101" t="s">
        <v>5968</v>
      </c>
      <c r="L226" s="1" t="s">
        <v>5810</v>
      </c>
      <c r="M226" s="1" t="s">
        <v>5790</v>
      </c>
      <c r="N226" s="1" t="s">
        <v>6895</v>
      </c>
      <c r="V226" s="1"/>
      <c r="W226" s="1"/>
    </row>
    <row r="227" spans="1:23" ht="130.5" x14ac:dyDescent="0.35">
      <c r="A227" s="121" t="s">
        <v>3054</v>
      </c>
      <c r="B227" s="99" t="s">
        <v>4298</v>
      </c>
      <c r="C227" s="121" t="str" cm="1">
        <f t="array" ref="C227:G227">_xlfn.TEXTSPLIT('איחוד שאלות'!$B227,"_")</f>
        <v>perception</v>
      </c>
      <c r="D227" s="99" t="str">
        <v>problem</v>
      </c>
      <c r="E227" s="99" t="str">
        <v>influence</v>
      </c>
      <c r="F227" s="99" t="str">
        <v>friends</v>
      </c>
      <c r="G227" s="100" t="str">
        <v>birthcountry1</v>
      </c>
      <c r="H227" s="133" t="s">
        <v>3332</v>
      </c>
      <c r="I227" s="103" t="s">
        <v>5844</v>
      </c>
      <c r="J227" s="103" t="s">
        <v>5849</v>
      </c>
      <c r="K227" s="104" t="s">
        <v>5968</v>
      </c>
      <c r="L227" s="1" t="s">
        <v>5787</v>
      </c>
      <c r="M227" s="1" t="s">
        <v>5982</v>
      </c>
      <c r="N227" s="1" t="s">
        <v>6896</v>
      </c>
      <c r="V227" s="1"/>
      <c r="W227" s="1"/>
    </row>
    <row r="228" spans="1:23" ht="116" x14ac:dyDescent="0.35">
      <c r="A228" s="113" t="s">
        <v>3055</v>
      </c>
      <c r="B228" s="102" t="s">
        <v>4299</v>
      </c>
      <c r="C228" s="123" t="str" cm="1">
        <f t="array" ref="C228:G228">_xlfn.TEXTSPLIT('איחוד שאלות'!$B228,"_")</f>
        <v>perception</v>
      </c>
      <c r="D228" s="102" t="str">
        <v>problem</v>
      </c>
      <c r="E228" s="102" t="str">
        <v>influence</v>
      </c>
      <c r="F228" s="102" t="str">
        <v>friends</v>
      </c>
      <c r="G228" s="103" t="str">
        <v>occupation1</v>
      </c>
      <c r="H228" s="132" t="s">
        <v>3332</v>
      </c>
      <c r="I228" s="100" t="s">
        <v>5844</v>
      </c>
      <c r="J228" s="100" t="s">
        <v>5849</v>
      </c>
      <c r="K228" s="101" t="s">
        <v>5968</v>
      </c>
      <c r="L228" s="1" t="s">
        <v>5787</v>
      </c>
      <c r="M228" s="1" t="s">
        <v>5983</v>
      </c>
      <c r="N228" s="1" t="s">
        <v>6897</v>
      </c>
      <c r="V228" s="1"/>
      <c r="W228" s="1"/>
    </row>
    <row r="229" spans="1:23" ht="116" x14ac:dyDescent="0.35">
      <c r="A229" s="121" t="s">
        <v>3056</v>
      </c>
      <c r="B229" s="99" t="s">
        <v>4300</v>
      </c>
      <c r="C229" s="121" t="str" cm="1">
        <f t="array" ref="C229:G229">_xlfn.TEXTSPLIT('איחוד שאלות'!$B229,"_")</f>
        <v>perception</v>
      </c>
      <c r="D229" s="99" t="str">
        <v>problem</v>
      </c>
      <c r="E229" s="99" t="str">
        <v>influence</v>
      </c>
      <c r="F229" s="99" t="str">
        <v>friends</v>
      </c>
      <c r="G229" s="100" t="str">
        <v>age1</v>
      </c>
      <c r="H229" s="133" t="s">
        <v>3332</v>
      </c>
      <c r="I229" s="103" t="s">
        <v>5844</v>
      </c>
      <c r="J229" s="103" t="s">
        <v>5849</v>
      </c>
      <c r="K229" s="104" t="s">
        <v>5968</v>
      </c>
      <c r="L229" s="1" t="s">
        <v>5787</v>
      </c>
      <c r="M229" s="1" t="s">
        <v>5984</v>
      </c>
      <c r="N229" s="1" t="s">
        <v>6898</v>
      </c>
      <c r="V229" s="1"/>
      <c r="W229" s="1"/>
    </row>
    <row r="230" spans="1:23" ht="130.5" x14ac:dyDescent="0.35">
      <c r="A230" s="113" t="s">
        <v>3057</v>
      </c>
      <c r="B230" s="102" t="s">
        <v>4301</v>
      </c>
      <c r="C230" s="123" t="str" cm="1">
        <f t="array" ref="C230:G230">_xlfn.TEXTSPLIT('איחוד שאלות'!$B230,"_")</f>
        <v>perception</v>
      </c>
      <c r="D230" s="102" t="str">
        <v>problem</v>
      </c>
      <c r="E230" s="102" t="str">
        <v>influence</v>
      </c>
      <c r="F230" s="102" t="str">
        <v>friends</v>
      </c>
      <c r="G230" s="103" t="str">
        <v>birthcountry2</v>
      </c>
      <c r="H230" s="132" t="s">
        <v>3332</v>
      </c>
      <c r="I230" s="100" t="s">
        <v>5844</v>
      </c>
      <c r="J230" s="100" t="s">
        <v>5849</v>
      </c>
      <c r="K230" s="101" t="s">
        <v>5968</v>
      </c>
      <c r="L230" s="1" t="s">
        <v>5787</v>
      </c>
      <c r="M230" s="1" t="s">
        <v>5985</v>
      </c>
      <c r="N230" s="1" t="s">
        <v>6899</v>
      </c>
      <c r="V230" s="1"/>
      <c r="W230" s="1"/>
    </row>
    <row r="231" spans="1:23" ht="116" x14ac:dyDescent="0.35">
      <c r="A231" s="121" t="s">
        <v>3058</v>
      </c>
      <c r="B231" s="99" t="s">
        <v>4302</v>
      </c>
      <c r="C231" s="121" t="str" cm="1">
        <f t="array" ref="C231:G231">_xlfn.TEXTSPLIT('איחוד שאלות'!$B231,"_")</f>
        <v>perception</v>
      </c>
      <c r="D231" s="99" t="str">
        <v>problem</v>
      </c>
      <c r="E231" s="99" t="str">
        <v>influence</v>
      </c>
      <c r="F231" s="99" t="str">
        <v>friends</v>
      </c>
      <c r="G231" s="100" t="str">
        <v>occupation2</v>
      </c>
      <c r="H231" s="133" t="s">
        <v>3332</v>
      </c>
      <c r="I231" s="103" t="s">
        <v>5844</v>
      </c>
      <c r="J231" s="103" t="s">
        <v>5849</v>
      </c>
      <c r="K231" s="104" t="s">
        <v>5968</v>
      </c>
      <c r="L231" s="1" t="s">
        <v>5787</v>
      </c>
      <c r="M231" s="1" t="s">
        <v>5986</v>
      </c>
      <c r="N231" s="1" t="s">
        <v>6900</v>
      </c>
      <c r="V231" s="1"/>
      <c r="W231" s="1"/>
    </row>
    <row r="232" spans="1:23" ht="116" x14ac:dyDescent="0.35">
      <c r="A232" s="113" t="s">
        <v>3059</v>
      </c>
      <c r="B232" s="102" t="s">
        <v>4303</v>
      </c>
      <c r="C232" s="123" t="str" cm="1">
        <f t="array" ref="C232:G232">_xlfn.TEXTSPLIT('איחוד שאלות'!$B232,"_")</f>
        <v>perception</v>
      </c>
      <c r="D232" s="102" t="str">
        <v>problem</v>
      </c>
      <c r="E232" s="102" t="str">
        <v>influence</v>
      </c>
      <c r="F232" s="102" t="str">
        <v>friends</v>
      </c>
      <c r="G232" s="103" t="str">
        <v>age2</v>
      </c>
      <c r="H232" s="132" t="s">
        <v>3332</v>
      </c>
      <c r="I232" s="100" t="s">
        <v>5844</v>
      </c>
      <c r="J232" s="100" t="s">
        <v>5849</v>
      </c>
      <c r="K232" s="101" t="s">
        <v>5968</v>
      </c>
      <c r="L232" s="1" t="s">
        <v>5787</v>
      </c>
      <c r="M232" s="1" t="s">
        <v>5987</v>
      </c>
      <c r="N232" s="1" t="s">
        <v>6901</v>
      </c>
      <c r="V232" s="1"/>
      <c r="W232" s="1"/>
    </row>
    <row r="233" spans="1:23" ht="58" x14ac:dyDescent="0.35">
      <c r="A233" s="121" t="s">
        <v>3096</v>
      </c>
      <c r="B233" s="99" t="s">
        <v>4256</v>
      </c>
      <c r="C233" s="121" t="str" cm="1">
        <f t="array" ref="C233:E233">_xlfn.TEXTSPLIT('איחוד שאלות'!$B233,"_")</f>
        <v>behavior</v>
      </c>
      <c r="D233" s="99" t="str">
        <v>political</v>
      </c>
      <c r="E233" s="99" t="str">
        <v>asked</v>
      </c>
      <c r="F233" s="99"/>
      <c r="G233" s="100"/>
      <c r="H233" s="133" t="s">
        <v>3332</v>
      </c>
      <c r="I233" s="103" t="s">
        <v>5806</v>
      </c>
      <c r="J233" s="103" t="s">
        <v>5918</v>
      </c>
      <c r="K233" s="104" t="s">
        <v>5988</v>
      </c>
      <c r="L233" s="1"/>
      <c r="M233" s="1"/>
      <c r="N233" s="1" t="s">
        <v>3096</v>
      </c>
      <c r="V233" s="1"/>
      <c r="W233" s="1"/>
    </row>
    <row r="234" spans="1:23" ht="58" x14ac:dyDescent="0.35">
      <c r="A234" s="113" t="s">
        <v>3095</v>
      </c>
      <c r="B234" s="102" t="s">
        <v>4257</v>
      </c>
      <c r="C234" s="123" t="str" cm="1">
        <f t="array" ref="C234:E234">_xlfn.TEXTSPLIT('איחוד שאלות'!$B234,"_")</f>
        <v>behavior</v>
      </c>
      <c r="D234" s="102" t="str">
        <v>political</v>
      </c>
      <c r="E234" s="102" t="str">
        <v>asking</v>
      </c>
      <c r="F234" s="102"/>
      <c r="G234" s="103"/>
      <c r="H234" s="132" t="s">
        <v>3332</v>
      </c>
      <c r="I234" s="100" t="s">
        <v>5806</v>
      </c>
      <c r="J234" s="100" t="s">
        <v>5918</v>
      </c>
      <c r="K234" s="101" t="s">
        <v>5989</v>
      </c>
      <c r="L234" s="1"/>
      <c r="M234" s="1"/>
      <c r="N234" s="1" t="s">
        <v>3095</v>
      </c>
      <c r="V234" s="1"/>
      <c r="W234" s="1"/>
    </row>
    <row r="235" spans="1:23" ht="72.5" x14ac:dyDescent="0.35">
      <c r="A235" s="121" t="s">
        <v>3103</v>
      </c>
      <c r="B235" s="99" t="s">
        <v>4253</v>
      </c>
      <c r="C235" s="121" t="str" cm="1">
        <f t="array" ref="C235:F235">_xlfn.TEXTSPLIT('איחוד שאלות'!$B235,"_")</f>
        <v>perception</v>
      </c>
      <c r="D235" s="99" t="str">
        <v>agreement</v>
      </c>
      <c r="E235" s="99" t="str">
        <v>rulingparty</v>
      </c>
      <c r="F235" s="99" t="str">
        <v>younge</v>
      </c>
      <c r="G235" s="100"/>
      <c r="H235" s="133" t="s">
        <v>3332</v>
      </c>
      <c r="I235" s="103" t="s">
        <v>5844</v>
      </c>
      <c r="J235" s="103" t="s">
        <v>5862</v>
      </c>
      <c r="K235" s="104" t="s">
        <v>5869</v>
      </c>
      <c r="L235" s="1" t="s">
        <v>5990</v>
      </c>
      <c r="M235" s="1"/>
      <c r="N235" s="1" t="s">
        <v>3103</v>
      </c>
      <c r="V235" s="1"/>
      <c r="W235" s="1"/>
    </row>
    <row r="236" spans="1:23" ht="72.5" x14ac:dyDescent="0.35">
      <c r="A236" s="113" t="s">
        <v>3147</v>
      </c>
      <c r="B236" s="102" t="s">
        <v>4254</v>
      </c>
      <c r="C236" s="123" t="str" cm="1">
        <f t="array" ref="C236:E236">_xlfn.TEXTSPLIT('איחוד שאלות'!$B236,"_")</f>
        <v>affect</v>
      </c>
      <c r="D236" s="102" t="str">
        <v>threat</v>
      </c>
      <c r="E236" s="102" t="str">
        <v>covid</v>
      </c>
      <c r="F236" s="102"/>
      <c r="G236" s="103"/>
      <c r="H236" s="132" t="s">
        <v>3332</v>
      </c>
      <c r="I236" s="100" t="s">
        <v>5815</v>
      </c>
      <c r="J236" s="100" t="s">
        <v>5816</v>
      </c>
      <c r="K236" s="101" t="s">
        <v>5991</v>
      </c>
      <c r="L236" s="1"/>
      <c r="M236" s="1"/>
      <c r="N236" s="1" t="s">
        <v>3147</v>
      </c>
      <c r="V236" s="1"/>
      <c r="W236" s="1"/>
    </row>
    <row r="237" spans="1:23" ht="43.5" x14ac:dyDescent="0.35">
      <c r="A237" s="121" t="s">
        <v>61</v>
      </c>
      <c r="B237" s="99" t="s">
        <v>4255</v>
      </c>
      <c r="C237" s="121" t="str" cm="1">
        <f t="array" ref="C237:E237">_xlfn.TEXTSPLIT('איחוד שאלות'!$B237,"_")</f>
        <v>perception</v>
      </c>
      <c r="D237" s="99" t="str">
        <v>policy</v>
      </c>
      <c r="E237" s="99" t="str">
        <v>influence</v>
      </c>
      <c r="F237" s="99"/>
      <c r="G237" s="100"/>
      <c r="H237" s="133" t="s">
        <v>3343</v>
      </c>
      <c r="I237" s="103" t="s">
        <v>5844</v>
      </c>
      <c r="J237" s="103" t="s">
        <v>5882</v>
      </c>
      <c r="K237" s="104" t="s">
        <v>5968</v>
      </c>
      <c r="L237" s="1"/>
      <c r="M237" s="1"/>
      <c r="N237" s="1" t="s">
        <v>61</v>
      </c>
      <c r="V237" s="1"/>
      <c r="W237" s="1"/>
    </row>
    <row r="238" spans="1:23" ht="58" x14ac:dyDescent="0.35">
      <c r="A238" s="113" t="s">
        <v>56</v>
      </c>
      <c r="B238" s="102" t="s">
        <v>4258</v>
      </c>
      <c r="C238" s="123" t="str" cm="1">
        <f t="array" ref="C238:E238">_xlfn.TEXTSPLIT('איחוד שאלות'!$B238,"_")</f>
        <v>behavior</v>
      </c>
      <c r="D238" s="102" t="str">
        <v>political</v>
      </c>
      <c r="E238" s="102" t="str">
        <v>discuss</v>
      </c>
      <c r="F238" s="102"/>
      <c r="G238" s="103"/>
      <c r="H238" s="132" t="s">
        <v>3343</v>
      </c>
      <c r="I238" s="100" t="s">
        <v>5806</v>
      </c>
      <c r="J238" s="100" t="s">
        <v>5918</v>
      </c>
      <c r="K238" s="101" t="s">
        <v>5992</v>
      </c>
      <c r="L238" s="1"/>
      <c r="M238" s="1"/>
      <c r="N238" s="1" t="s">
        <v>56</v>
      </c>
      <c r="V238" s="1"/>
      <c r="W238" s="1"/>
    </row>
    <row r="239" spans="1:23" ht="43.5" x14ac:dyDescent="0.35">
      <c r="A239" s="121" t="s">
        <v>1955</v>
      </c>
      <c r="B239" s="99" t="s">
        <v>4259</v>
      </c>
      <c r="C239" s="121" t="str" cm="1">
        <f t="array" ref="C239:F239">_xlfn.TEXTSPLIT('איחוד שאלות'!$B239,"_")</f>
        <v>behavior</v>
      </c>
      <c r="D239" s="99" t="str">
        <v>political</v>
      </c>
      <c r="E239" s="99" t="str">
        <v>discuss</v>
      </c>
      <c r="F239" s="99" t="str">
        <v>friends</v>
      </c>
      <c r="G239" s="100"/>
      <c r="H239" s="133" t="s">
        <v>3343</v>
      </c>
      <c r="I239" s="103" t="s">
        <v>5806</v>
      </c>
      <c r="J239" s="103" t="s">
        <v>5918</v>
      </c>
      <c r="K239" s="104" t="s">
        <v>5992</v>
      </c>
      <c r="L239" s="1" t="s">
        <v>5787</v>
      </c>
      <c r="M239" s="1"/>
      <c r="N239" s="1" t="s">
        <v>1955</v>
      </c>
      <c r="V239" s="1"/>
      <c r="W239" s="1"/>
    </row>
    <row r="240" spans="1:23" ht="130.5" x14ac:dyDescent="0.35">
      <c r="A240" s="113" t="s">
        <v>1892</v>
      </c>
      <c r="B240" s="102" t="s">
        <v>4260</v>
      </c>
      <c r="C240" s="123" t="str" cm="1">
        <f t="array" ref="C240:F240">_xlfn.TEXTSPLIT('איחוד שאלות'!$B240,"_")</f>
        <v>behavior</v>
      </c>
      <c r="D240" s="102" t="str">
        <v>political</v>
      </c>
      <c r="E240" s="102" t="str">
        <v>express</v>
      </c>
      <c r="F240" s="102" t="str">
        <v>security</v>
      </c>
      <c r="G240" s="103"/>
      <c r="H240" s="132" t="s">
        <v>3343</v>
      </c>
      <c r="I240" s="100" t="s">
        <v>5806</v>
      </c>
      <c r="J240" s="100" t="s">
        <v>5918</v>
      </c>
      <c r="K240" s="101" t="s">
        <v>5993</v>
      </c>
      <c r="L240" s="1" t="s">
        <v>5994</v>
      </c>
      <c r="M240" s="1"/>
      <c r="N240" s="1" t="s">
        <v>1892</v>
      </c>
      <c r="V240" s="1"/>
      <c r="W240" s="1"/>
    </row>
    <row r="241" spans="1:23" ht="43.5" x14ac:dyDescent="0.35">
      <c r="A241" s="121" t="s">
        <v>2855</v>
      </c>
      <c r="B241" s="99" t="s">
        <v>4261</v>
      </c>
      <c r="C241" s="121" t="str" cm="1">
        <f t="array" ref="C241:F241">_xlfn.TEXTSPLIT('איחוד שאלות'!$B241,"_")</f>
        <v>affect</v>
      </c>
      <c r="D241" s="99" t="str">
        <v>importance</v>
      </c>
      <c r="E241" s="99" t="str">
        <v>express</v>
      </c>
      <c r="F241" s="99" t="str">
        <v>political</v>
      </c>
      <c r="G241" s="100"/>
      <c r="H241" s="133" t="s">
        <v>3343</v>
      </c>
      <c r="I241" s="103" t="s">
        <v>5815</v>
      </c>
      <c r="J241" s="103" t="s">
        <v>5857</v>
      </c>
      <c r="K241" s="104" t="s">
        <v>5993</v>
      </c>
      <c r="L241" s="1" t="s">
        <v>5918</v>
      </c>
      <c r="M241" s="1"/>
      <c r="N241" s="1" t="s">
        <v>2855</v>
      </c>
      <c r="V241" s="1"/>
      <c r="W241" s="1"/>
    </row>
    <row r="242" spans="1:23" ht="58" x14ac:dyDescent="0.35">
      <c r="A242" s="113" t="s">
        <v>2874</v>
      </c>
      <c r="B242" s="102" t="s">
        <v>4262</v>
      </c>
      <c r="C242" s="123" t="str" cm="1">
        <f t="array" ref="C242:F242">_xlfn.TEXTSPLIT('איחוד שאלות'!$B242,"_")</f>
        <v>affect</v>
      </c>
      <c r="D242" s="102" t="str">
        <v>voting</v>
      </c>
      <c r="E242" s="102" t="str">
        <v>express</v>
      </c>
      <c r="F242" s="102" t="str">
        <v>political</v>
      </c>
      <c r="G242" s="103"/>
      <c r="H242" s="132" t="s">
        <v>3343</v>
      </c>
      <c r="I242" s="100" t="s">
        <v>5815</v>
      </c>
      <c r="J242" s="100" t="s">
        <v>5967</v>
      </c>
      <c r="K242" s="101" t="s">
        <v>5993</v>
      </c>
      <c r="L242" s="1" t="s">
        <v>5918</v>
      </c>
      <c r="M242" s="1"/>
      <c r="N242" s="1" t="s">
        <v>2874</v>
      </c>
      <c r="V242" s="1"/>
      <c r="W242" s="1"/>
    </row>
    <row r="243" spans="1:23" ht="72.5" x14ac:dyDescent="0.35">
      <c r="A243" s="121" t="s">
        <v>2027</v>
      </c>
      <c r="B243" s="99" t="s">
        <v>4264</v>
      </c>
      <c r="C243" s="121" t="str" cm="1">
        <f t="array" ref="C243:F243">_xlfn.TEXTSPLIT('איחוד שאלות'!$B243,"_")</f>
        <v>perception</v>
      </c>
      <c r="D243" s="99" t="str">
        <v>similarity</v>
      </c>
      <c r="E243" s="99" t="str">
        <v>family</v>
      </c>
      <c r="F243" s="99" t="str">
        <v>security</v>
      </c>
      <c r="G243" s="100"/>
      <c r="H243" s="133" t="s">
        <v>3343</v>
      </c>
      <c r="I243" s="103" t="s">
        <v>5844</v>
      </c>
      <c r="J243" s="103" t="s">
        <v>5927</v>
      </c>
      <c r="K243" s="104" t="s">
        <v>5939</v>
      </c>
      <c r="L243" s="1" t="s">
        <v>5994</v>
      </c>
      <c r="M243" s="1"/>
      <c r="N243" s="1" t="s">
        <v>2027</v>
      </c>
      <c r="V243" s="1"/>
      <c r="W243" s="1"/>
    </row>
    <row r="244" spans="1:23" ht="58" x14ac:dyDescent="0.35">
      <c r="A244" s="113" t="s">
        <v>1933</v>
      </c>
      <c r="B244" s="102" t="s">
        <v>4263</v>
      </c>
      <c r="C244" s="123" t="str" cm="1">
        <f t="array" ref="C244:F244">_xlfn.TEXTSPLIT('איחוד שאלות'!$B244,"_")</f>
        <v>behavior</v>
      </c>
      <c r="D244" s="102" t="str">
        <v>political</v>
      </c>
      <c r="E244" s="102" t="str">
        <v>discuss</v>
      </c>
      <c r="F244" s="102" t="str">
        <v>family</v>
      </c>
      <c r="G244" s="103"/>
      <c r="H244" s="132" t="s">
        <v>3343</v>
      </c>
      <c r="I244" s="100" t="s">
        <v>5806</v>
      </c>
      <c r="J244" s="100" t="s">
        <v>5918</v>
      </c>
      <c r="K244" s="101" t="s">
        <v>5992</v>
      </c>
      <c r="L244" s="1" t="s">
        <v>5939</v>
      </c>
      <c r="M244" s="1"/>
      <c r="N244" s="1" t="s">
        <v>1933</v>
      </c>
      <c r="V244" s="1"/>
      <c r="W244" s="1"/>
    </row>
    <row r="245" spans="1:23" ht="72.5" x14ac:dyDescent="0.35">
      <c r="A245" s="121" t="s">
        <v>1934</v>
      </c>
      <c r="B245" s="99" t="s">
        <v>4265</v>
      </c>
      <c r="C245" s="121" t="str" cm="1">
        <f t="array" ref="C245:F245">_xlfn.TEXTSPLIT('איחוד שאלות'!$B245,"_")</f>
        <v>behavior</v>
      </c>
      <c r="D245" s="99" t="str">
        <v>political</v>
      </c>
      <c r="E245" s="99" t="str">
        <v>discuss</v>
      </c>
      <c r="F245" s="99" t="str">
        <v>household</v>
      </c>
      <c r="G245" s="100"/>
      <c r="H245" s="133" t="s">
        <v>3343</v>
      </c>
      <c r="I245" s="103" t="s">
        <v>5806</v>
      </c>
      <c r="J245" s="103" t="s">
        <v>5918</v>
      </c>
      <c r="K245" s="104" t="s">
        <v>5992</v>
      </c>
      <c r="L245" s="1" t="s">
        <v>5795</v>
      </c>
      <c r="M245" s="1"/>
      <c r="N245" s="1" t="s">
        <v>1934</v>
      </c>
      <c r="V245" s="1"/>
      <c r="W245" s="1"/>
    </row>
    <row r="246" spans="1:23" ht="29" x14ac:dyDescent="0.35">
      <c r="A246" s="113" t="s">
        <v>2963</v>
      </c>
      <c r="B246" s="102" t="s">
        <v>4266</v>
      </c>
      <c r="C246" s="123" t="str" cm="1">
        <f t="array" ref="C246:F246">_xlfn.TEXTSPLIT('איחוד שאלות'!$B246,"_")</f>
        <v>behavior</v>
      </c>
      <c r="D246" s="102" t="str">
        <v>political</v>
      </c>
      <c r="E246" s="102" t="str">
        <v>discuss</v>
      </c>
      <c r="F246" s="102" t="str">
        <v>father</v>
      </c>
      <c r="G246" s="103"/>
      <c r="H246" s="132" t="s">
        <v>3343</v>
      </c>
      <c r="I246" s="100" t="s">
        <v>5806</v>
      </c>
      <c r="J246" s="100" t="s">
        <v>5918</v>
      </c>
      <c r="K246" s="101" t="s">
        <v>5992</v>
      </c>
      <c r="L246" s="1" t="s">
        <v>5779</v>
      </c>
      <c r="M246" s="1"/>
      <c r="N246" s="1" t="s">
        <v>2963</v>
      </c>
      <c r="V246" s="1"/>
      <c r="W246" s="1"/>
    </row>
    <row r="247" spans="1:23" ht="43.5" x14ac:dyDescent="0.35">
      <c r="A247" s="121" t="s">
        <v>507</v>
      </c>
      <c r="B247" s="99" t="s">
        <v>4267</v>
      </c>
      <c r="C247" s="121" t="str" cm="1">
        <f t="array" ref="C247:E247">_xlfn.TEXTSPLIT('איחוד שאלות'!$B247,"_")</f>
        <v>behavior</v>
      </c>
      <c r="D247" s="99" t="str">
        <v>association</v>
      </c>
      <c r="E247" s="99" t="str">
        <v>party</v>
      </c>
      <c r="F247" s="99"/>
      <c r="G247" s="100"/>
      <c r="H247" s="133" t="s">
        <v>3343</v>
      </c>
      <c r="I247" s="103" t="s">
        <v>5806</v>
      </c>
      <c r="J247" s="103" t="s">
        <v>5834</v>
      </c>
      <c r="K247" s="104" t="s">
        <v>5853</v>
      </c>
      <c r="L247" s="1"/>
      <c r="M247" s="1"/>
      <c r="N247" s="1" t="s">
        <v>507</v>
      </c>
      <c r="V247" s="1"/>
      <c r="W247" s="1"/>
    </row>
    <row r="248" spans="1:23" ht="87" x14ac:dyDescent="0.35">
      <c r="A248" s="113" t="s">
        <v>2515</v>
      </c>
      <c r="B248" s="102" t="s">
        <v>4268</v>
      </c>
      <c r="C248" s="123" t="str" cm="1">
        <f t="array" ref="C248:G248">_xlfn.TEXTSPLIT('איחוד שאלות'!$B248,"_")</f>
        <v>behavior</v>
      </c>
      <c r="D248" s="102" t="str">
        <v>association</v>
      </c>
      <c r="E248" s="102" t="str">
        <v>party</v>
      </c>
      <c r="F248" s="102" t="str">
        <v>elections</v>
      </c>
      <c r="G248" s="103" t="str">
        <v>rally</v>
      </c>
      <c r="H248" s="132" t="s">
        <v>3343</v>
      </c>
      <c r="I248" s="100" t="s">
        <v>5806</v>
      </c>
      <c r="J248" s="100" t="s">
        <v>5834</v>
      </c>
      <c r="K248" s="101" t="s">
        <v>5853</v>
      </c>
      <c r="L248" s="1" t="s">
        <v>5954</v>
      </c>
      <c r="M248" s="1" t="s">
        <v>5995</v>
      </c>
      <c r="N248" s="1" t="s">
        <v>2515</v>
      </c>
      <c r="V248" s="1"/>
      <c r="W248" s="1"/>
    </row>
    <row r="249" spans="1:23" ht="58" x14ac:dyDescent="0.35">
      <c r="A249" s="121" t="s">
        <v>2516</v>
      </c>
      <c r="B249" s="99" t="s">
        <v>4269</v>
      </c>
      <c r="C249" s="121" t="str" cm="1">
        <f t="array" ref="C249:G249">_xlfn.TEXTSPLIT('איחוד שאלות'!$B249,"_")</f>
        <v>behavior</v>
      </c>
      <c r="D249" s="99" t="str">
        <v>association</v>
      </c>
      <c r="E249" s="99" t="str">
        <v>party</v>
      </c>
      <c r="F249" s="99" t="str">
        <v>elections</v>
      </c>
      <c r="G249" s="100" t="str">
        <v>houseclasses</v>
      </c>
      <c r="H249" s="133" t="s">
        <v>3343</v>
      </c>
      <c r="I249" s="103" t="s">
        <v>5806</v>
      </c>
      <c r="J249" s="103" t="s">
        <v>5834</v>
      </c>
      <c r="K249" s="104" t="s">
        <v>5853</v>
      </c>
      <c r="L249" s="1" t="s">
        <v>5954</v>
      </c>
      <c r="M249" s="1" t="s">
        <v>5996</v>
      </c>
      <c r="N249" s="1" t="s">
        <v>2516</v>
      </c>
      <c r="V249" s="1"/>
      <c r="W249" s="1"/>
    </row>
    <row r="250" spans="1:23" ht="43.5" x14ac:dyDescent="0.35">
      <c r="A250" s="113" t="s">
        <v>3064</v>
      </c>
      <c r="B250" s="102" t="s">
        <v>4270</v>
      </c>
      <c r="C250" s="123" t="str" cm="1">
        <f t="array" ref="C250:G250">_xlfn.TEXTSPLIT('איחוד שאלות'!$B250,"_")</f>
        <v>behavior</v>
      </c>
      <c r="D250" s="102" t="str">
        <v>association</v>
      </c>
      <c r="E250" s="102" t="str">
        <v>party</v>
      </c>
      <c r="F250" s="102" t="str">
        <v>elections</v>
      </c>
      <c r="G250" s="103" t="str">
        <v>hostinghouseclasses</v>
      </c>
      <c r="H250" s="132" t="s">
        <v>3343</v>
      </c>
      <c r="I250" s="100" t="s">
        <v>5806</v>
      </c>
      <c r="J250" s="100" t="s">
        <v>5834</v>
      </c>
      <c r="K250" s="101" t="s">
        <v>5853</v>
      </c>
      <c r="L250" s="1" t="s">
        <v>5954</v>
      </c>
      <c r="M250" s="1" t="s">
        <v>5997</v>
      </c>
      <c r="N250" s="1" t="s">
        <v>3064</v>
      </c>
      <c r="V250" s="1"/>
      <c r="W250" s="1"/>
    </row>
    <row r="251" spans="1:23" ht="87" x14ac:dyDescent="0.35">
      <c r="A251" s="121" t="s">
        <v>2754</v>
      </c>
      <c r="B251" s="99" t="s">
        <v>4271</v>
      </c>
      <c r="C251" s="121" t="str" cm="1">
        <f t="array" ref="C251:F251">_xlfn.TEXTSPLIT('איחוד שאלות'!$B251,"_")</f>
        <v>perception</v>
      </c>
      <c r="D251" s="99" t="str">
        <v>interest</v>
      </c>
      <c r="E251" s="99" t="str">
        <v>elections</v>
      </c>
      <c r="F251" s="99" t="str">
        <v>sportingevent</v>
      </c>
      <c r="G251" s="100"/>
      <c r="H251" s="133" t="s">
        <v>3343</v>
      </c>
      <c r="I251" s="103" t="s">
        <v>5844</v>
      </c>
      <c r="J251" s="103" t="s">
        <v>5998</v>
      </c>
      <c r="K251" s="104" t="s">
        <v>5954</v>
      </c>
      <c r="L251" s="1" t="s">
        <v>5999</v>
      </c>
      <c r="M251" s="1"/>
      <c r="N251" s="1" t="s">
        <v>2754</v>
      </c>
      <c r="V251" s="1"/>
      <c r="W251" s="1"/>
    </row>
    <row r="252" spans="1:23" ht="72.5" x14ac:dyDescent="0.35">
      <c r="A252" s="113" t="s">
        <v>2755</v>
      </c>
      <c r="B252" s="102" t="s">
        <v>4272</v>
      </c>
      <c r="C252" s="123" t="str" cm="1">
        <f t="array" ref="C252:F252">_xlfn.TEXTSPLIT('איחוד שאלות'!$B252,"_")</f>
        <v>behavior</v>
      </c>
      <c r="D252" s="102" t="str">
        <v>political</v>
      </c>
      <c r="E252" s="102" t="str">
        <v>work</v>
      </c>
      <c r="F252" s="102" t="str">
        <v>elections</v>
      </c>
      <c r="G252" s="103"/>
      <c r="H252" s="132" t="s">
        <v>3343</v>
      </c>
      <c r="I252" s="100" t="s">
        <v>5806</v>
      </c>
      <c r="J252" s="100" t="s">
        <v>5918</v>
      </c>
      <c r="K252" s="101" t="s">
        <v>6000</v>
      </c>
      <c r="L252" s="1" t="s">
        <v>5954</v>
      </c>
      <c r="M252" s="1"/>
      <c r="N252" s="1" t="s">
        <v>2755</v>
      </c>
      <c r="V252" s="1"/>
      <c r="W252" s="1"/>
    </row>
    <row r="253" spans="1:23" ht="58" x14ac:dyDescent="0.35">
      <c r="A253" s="121" t="s">
        <v>2828</v>
      </c>
      <c r="B253" s="99" t="s">
        <v>4278</v>
      </c>
      <c r="C253" s="121" t="str" cm="1">
        <f t="array" ref="C253:F253">_xlfn.TEXTSPLIT('איחוד שאלות'!$B253,"_")</f>
        <v>perception</v>
      </c>
      <c r="D253" s="99" t="str">
        <v>interest</v>
      </c>
      <c r="E253" s="99" t="str">
        <v>politics</v>
      </c>
      <c r="F253" s="99" t="str">
        <v>elections</v>
      </c>
      <c r="G253" s="100"/>
      <c r="H253" s="133" t="s">
        <v>3343</v>
      </c>
      <c r="I253" s="103" t="s">
        <v>5844</v>
      </c>
      <c r="J253" s="103" t="s">
        <v>5998</v>
      </c>
      <c r="K253" s="104" t="s">
        <v>6001</v>
      </c>
      <c r="L253" s="1" t="s">
        <v>5954</v>
      </c>
      <c r="M253" s="1"/>
      <c r="N253" s="1" t="s">
        <v>2828</v>
      </c>
      <c r="V253" s="1"/>
      <c r="W253" s="1"/>
    </row>
    <row r="254" spans="1:23" ht="43.5" x14ac:dyDescent="0.35">
      <c r="A254" s="113" t="s">
        <v>2831</v>
      </c>
      <c r="B254" s="102" t="s">
        <v>4273</v>
      </c>
      <c r="C254" s="123" t="str" cm="1">
        <f t="array" ref="C254:F254">_xlfn.TEXTSPLIT('איחוד שאלות'!$B254,"_")</f>
        <v>perception</v>
      </c>
      <c r="D254" s="102" t="str">
        <v>interest</v>
      </c>
      <c r="E254" s="102" t="str">
        <v>elections</v>
      </c>
      <c r="F254" s="102" t="str">
        <v>histadrut</v>
      </c>
      <c r="G254" s="103"/>
      <c r="H254" s="132" t="s">
        <v>3343</v>
      </c>
      <c r="I254" s="100" t="s">
        <v>5844</v>
      </c>
      <c r="J254" s="100" t="s">
        <v>5998</v>
      </c>
      <c r="K254" s="101" t="s">
        <v>5954</v>
      </c>
      <c r="L254" s="1" t="s">
        <v>5835</v>
      </c>
      <c r="M254" s="1"/>
      <c r="N254" s="1" t="s">
        <v>6902</v>
      </c>
      <c r="V254" s="1"/>
      <c r="W254" s="1"/>
    </row>
    <row r="255" spans="1:23" ht="43.5" x14ac:dyDescent="0.35">
      <c r="A255" s="121" t="s">
        <v>2830</v>
      </c>
      <c r="B255" s="99" t="s">
        <v>4274</v>
      </c>
      <c r="C255" s="121" t="str" cm="1">
        <f t="array" ref="C255:F255">_xlfn.TEXTSPLIT('איחוד שאלות'!$B255,"_")</f>
        <v>perception</v>
      </c>
      <c r="D255" s="99" t="str">
        <v>interest</v>
      </c>
      <c r="E255" s="99" t="str">
        <v>elections</v>
      </c>
      <c r="F255" s="99" t="str">
        <v>municipality</v>
      </c>
      <c r="G255" s="100"/>
      <c r="H255" s="133" t="s">
        <v>3343</v>
      </c>
      <c r="I255" s="103" t="s">
        <v>5844</v>
      </c>
      <c r="J255" s="103" t="s">
        <v>5998</v>
      </c>
      <c r="K255" s="104" t="s">
        <v>5954</v>
      </c>
      <c r="L255" s="1" t="s">
        <v>5970</v>
      </c>
      <c r="M255" s="1"/>
      <c r="N255" s="1" t="s">
        <v>6903</v>
      </c>
      <c r="V255" s="1"/>
      <c r="W255" s="1"/>
    </row>
    <row r="256" spans="1:23" ht="43.5" x14ac:dyDescent="0.35">
      <c r="A256" s="113" t="s">
        <v>2829</v>
      </c>
      <c r="B256" s="102" t="s">
        <v>4275</v>
      </c>
      <c r="C256" s="123" t="str" cm="1">
        <f t="array" ref="C256:E256">_xlfn.TEXTSPLIT('איחוד שאלות'!$B256,"_")</f>
        <v>perception</v>
      </c>
      <c r="D256" s="102" t="str">
        <v>interest</v>
      </c>
      <c r="E256" s="102" t="str">
        <v>elections</v>
      </c>
      <c r="F256" s="102"/>
      <c r="G256" s="103"/>
      <c r="H256" s="132" t="s">
        <v>3343</v>
      </c>
      <c r="I256" s="100" t="s">
        <v>5844</v>
      </c>
      <c r="J256" s="100" t="s">
        <v>5998</v>
      </c>
      <c r="K256" s="101" t="s">
        <v>5954</v>
      </c>
      <c r="L256" s="1"/>
      <c r="M256" s="1"/>
      <c r="N256" s="1" t="s">
        <v>6904</v>
      </c>
      <c r="V256" s="1"/>
      <c r="W256" s="1"/>
    </row>
    <row r="257" spans="1:23" ht="29" x14ac:dyDescent="0.35">
      <c r="A257" s="121" t="s">
        <v>2833</v>
      </c>
      <c r="B257" s="99" t="s">
        <v>4276</v>
      </c>
      <c r="C257" s="121" t="str" cm="1">
        <f t="array" ref="C257:E257">_xlfn.TEXTSPLIT('איחוד שאלות'!$B257,"_")</f>
        <v>preference</v>
      </c>
      <c r="D257" s="99" t="str">
        <v>interest</v>
      </c>
      <c r="E257" s="99" t="str">
        <v>issues</v>
      </c>
      <c r="F257" s="99"/>
      <c r="G257" s="100"/>
      <c r="H257" s="133" t="s">
        <v>3343</v>
      </c>
      <c r="I257" s="103" t="s">
        <v>5856</v>
      </c>
      <c r="J257" s="103" t="s">
        <v>5998</v>
      </c>
      <c r="K257" s="104" t="s">
        <v>5976</v>
      </c>
      <c r="L257" s="1"/>
      <c r="M257" s="1"/>
      <c r="N257" s="1" t="s">
        <v>2833</v>
      </c>
      <c r="V257" s="1"/>
      <c r="W257" s="1"/>
    </row>
    <row r="258" spans="1:23" ht="43.5" x14ac:dyDescent="0.35">
      <c r="A258" s="113" t="s">
        <v>2839</v>
      </c>
      <c r="B258" s="102" t="s">
        <v>4277</v>
      </c>
      <c r="C258" s="123" t="str" cm="1">
        <f t="array" ref="C258:E258">_xlfn.TEXTSPLIT('איחוד שאלות'!$B258,"_")</f>
        <v>perception</v>
      </c>
      <c r="D258" s="102" t="str">
        <v>interest</v>
      </c>
      <c r="E258" s="102" t="str">
        <v>politics</v>
      </c>
      <c r="F258" s="102"/>
      <c r="G258" s="103"/>
      <c r="H258" s="132" t="s">
        <v>3343</v>
      </c>
      <c r="I258" s="100" t="s">
        <v>5844</v>
      </c>
      <c r="J258" s="100" t="s">
        <v>5998</v>
      </c>
      <c r="K258" s="101" t="s">
        <v>6001</v>
      </c>
      <c r="L258" s="1"/>
      <c r="M258" s="1"/>
      <c r="N258" s="1" t="s">
        <v>2839</v>
      </c>
      <c r="V258" s="1"/>
      <c r="W258" s="1"/>
    </row>
    <row r="259" spans="1:23" ht="43.5" x14ac:dyDescent="0.35">
      <c r="A259" s="121" t="s">
        <v>2956</v>
      </c>
      <c r="B259" s="99" t="s">
        <v>4279</v>
      </c>
      <c r="C259" s="121" t="str" cm="1">
        <f t="array" ref="C259:F259">_xlfn.TEXTSPLIT('איחוד שאלות'!$B259,"_")</f>
        <v>behavior</v>
      </c>
      <c r="D259" s="99" t="str">
        <v>political</v>
      </c>
      <c r="E259" s="99" t="str">
        <v>knowledge</v>
      </c>
      <c r="F259" s="99" t="str">
        <v>lectures</v>
      </c>
      <c r="G259" s="100"/>
      <c r="H259" s="133" t="s">
        <v>3343</v>
      </c>
      <c r="I259" s="103" t="s">
        <v>5806</v>
      </c>
      <c r="J259" s="103" t="s">
        <v>5918</v>
      </c>
      <c r="K259" s="104" t="s">
        <v>5942</v>
      </c>
      <c r="L259" s="1" t="s">
        <v>6002</v>
      </c>
      <c r="M259" s="1"/>
      <c r="N259" s="1" t="s">
        <v>2956</v>
      </c>
      <c r="V259" s="1"/>
      <c r="W259" s="1"/>
    </row>
    <row r="260" spans="1:23" ht="43.5" x14ac:dyDescent="0.35">
      <c r="A260" s="113" t="s">
        <v>2898</v>
      </c>
      <c r="B260" s="102" t="s">
        <v>4281</v>
      </c>
      <c r="C260" s="123" t="str" cm="1">
        <f t="array" ref="C260:F260">_xlfn.TEXTSPLIT('איחוד שאלות'!$B260,"_")</f>
        <v>behavior</v>
      </c>
      <c r="D260" s="102" t="str">
        <v>association</v>
      </c>
      <c r="E260" s="102" t="str">
        <v>civilsociety</v>
      </c>
      <c r="F260" s="102" t="str">
        <v>organization</v>
      </c>
      <c r="G260" s="103"/>
      <c r="H260" s="132" t="s">
        <v>3343</v>
      </c>
      <c r="I260" s="100" t="s">
        <v>5806</v>
      </c>
      <c r="J260" s="100" t="s">
        <v>5834</v>
      </c>
      <c r="K260" s="101" t="s">
        <v>6003</v>
      </c>
      <c r="L260" s="1" t="s">
        <v>5842</v>
      </c>
      <c r="M260" s="1"/>
      <c r="N260" s="1" t="s">
        <v>2898</v>
      </c>
      <c r="V260" s="1"/>
      <c r="W260" s="1"/>
    </row>
    <row r="261" spans="1:23" ht="72.5" x14ac:dyDescent="0.35">
      <c r="A261" s="121" t="s">
        <v>2738</v>
      </c>
      <c r="B261" s="99" t="s">
        <v>4282</v>
      </c>
      <c r="C261" s="121" t="str" cm="1">
        <f t="array" ref="C261:F261">_xlfn.TEXTSPLIT('איחוד שאלות'!$B261,"_")</f>
        <v>perception</v>
      </c>
      <c r="D261" s="99" t="str">
        <v>elections</v>
      </c>
      <c r="E261" s="99" t="str">
        <v>knowledge</v>
      </c>
      <c r="F261" s="99" t="str">
        <v>politicians</v>
      </c>
      <c r="G261" s="100"/>
      <c r="H261" s="133" t="s">
        <v>3343</v>
      </c>
      <c r="I261" s="103" t="s">
        <v>5844</v>
      </c>
      <c r="J261" s="103" t="s">
        <v>5954</v>
      </c>
      <c r="K261" s="104" t="s">
        <v>5942</v>
      </c>
      <c r="L261" s="1" t="s">
        <v>6004</v>
      </c>
      <c r="M261" s="1"/>
      <c r="N261" s="1" t="s">
        <v>2738</v>
      </c>
      <c r="V261" s="1"/>
      <c r="W261" s="1"/>
    </row>
    <row r="262" spans="1:23" ht="43.5" x14ac:dyDescent="0.35">
      <c r="A262" s="113" t="s">
        <v>2850</v>
      </c>
      <c r="B262" s="102" t="s">
        <v>4304</v>
      </c>
      <c r="C262" s="123" t="str" cm="1">
        <f t="array" ref="C262:F262">_xlfn.TEXTSPLIT('איחוד שאלות'!$B262,"_")</f>
        <v>affect</v>
      </c>
      <c r="D262" s="102" t="str">
        <v>importance</v>
      </c>
      <c r="E262" s="102" t="str">
        <v>knowledge</v>
      </c>
      <c r="F262" s="102" t="str">
        <v>politicians</v>
      </c>
      <c r="G262" s="103"/>
      <c r="H262" s="132" t="s">
        <v>3343</v>
      </c>
      <c r="I262" s="100" t="s">
        <v>5815</v>
      </c>
      <c r="J262" s="100" t="s">
        <v>5857</v>
      </c>
      <c r="K262" s="101" t="s">
        <v>5942</v>
      </c>
      <c r="L262" s="1" t="s">
        <v>6004</v>
      </c>
      <c r="M262" s="1"/>
      <c r="N262" s="1" t="s">
        <v>2850</v>
      </c>
      <c r="V262" s="1"/>
      <c r="W262" s="1"/>
    </row>
    <row r="263" spans="1:23" ht="58" x14ac:dyDescent="0.35">
      <c r="A263" s="121" t="s">
        <v>2736</v>
      </c>
      <c r="B263" s="99" t="s">
        <v>4306</v>
      </c>
      <c r="C263" s="121" t="str" cm="1">
        <f t="array" ref="C263:F263">_xlfn.TEXTSPLIT('איחוד שאלות'!$B263,"_")</f>
        <v>perception</v>
      </c>
      <c r="D263" s="99" t="str">
        <v>elections</v>
      </c>
      <c r="E263" s="99" t="str">
        <v>knowledge</v>
      </c>
      <c r="F263" s="99" t="str">
        <v>problem</v>
      </c>
      <c r="G263" s="100"/>
      <c r="H263" s="133" t="s">
        <v>3343</v>
      </c>
      <c r="I263" s="103" t="s">
        <v>5844</v>
      </c>
      <c r="J263" s="103" t="s">
        <v>5954</v>
      </c>
      <c r="K263" s="104" t="s">
        <v>5942</v>
      </c>
      <c r="L263" s="1" t="s">
        <v>5849</v>
      </c>
      <c r="M263" s="1"/>
      <c r="N263" s="1" t="s">
        <v>2736</v>
      </c>
      <c r="V263" s="1"/>
      <c r="W263" s="1"/>
    </row>
    <row r="264" spans="1:23" ht="58" x14ac:dyDescent="0.35">
      <c r="A264" s="113" t="s">
        <v>2848</v>
      </c>
      <c r="B264" s="102" t="s">
        <v>4305</v>
      </c>
      <c r="C264" s="123" t="str" cm="1">
        <f t="array" ref="C264:F264">_xlfn.TEXTSPLIT('איחוד שאלות'!$B264,"_")</f>
        <v>affect</v>
      </c>
      <c r="D264" s="102" t="str">
        <v>importance</v>
      </c>
      <c r="E264" s="102" t="str">
        <v>knowledge</v>
      </c>
      <c r="F264" s="102" t="str">
        <v>problem</v>
      </c>
      <c r="G264" s="103"/>
      <c r="H264" s="132" t="s">
        <v>3343</v>
      </c>
      <c r="I264" s="100" t="s">
        <v>5815</v>
      </c>
      <c r="J264" s="100" t="s">
        <v>5857</v>
      </c>
      <c r="K264" s="101" t="s">
        <v>5942</v>
      </c>
      <c r="L264" s="1" t="s">
        <v>5849</v>
      </c>
      <c r="M264" s="1"/>
      <c r="N264" s="1" t="s">
        <v>2848</v>
      </c>
      <c r="V264" s="1"/>
      <c r="W264" s="1"/>
    </row>
    <row r="265" spans="1:23" ht="29" x14ac:dyDescent="0.35">
      <c r="A265" s="121" t="s">
        <v>2962</v>
      </c>
      <c r="B265" s="99" t="s">
        <v>4307</v>
      </c>
      <c r="C265" s="121" t="str" cm="1">
        <f t="array" ref="C265:F265">_xlfn.TEXTSPLIT('איחוד שאלות'!$B265,"_")</f>
        <v>perception</v>
      </c>
      <c r="D265" s="99" t="str">
        <v>interest</v>
      </c>
      <c r="E265" s="99" t="str">
        <v>politics</v>
      </c>
      <c r="F265" s="99" t="str">
        <v>father</v>
      </c>
      <c r="G265" s="100"/>
      <c r="H265" s="133" t="s">
        <v>3343</v>
      </c>
      <c r="I265" s="103" t="s">
        <v>5844</v>
      </c>
      <c r="J265" s="103" t="s">
        <v>5998</v>
      </c>
      <c r="K265" s="104" t="s">
        <v>6001</v>
      </c>
      <c r="L265" s="1" t="s">
        <v>5779</v>
      </c>
      <c r="M265" s="1"/>
      <c r="N265" s="1" t="s">
        <v>2962</v>
      </c>
      <c r="V265" s="1"/>
      <c r="W265" s="1"/>
    </row>
    <row r="266" spans="1:23" ht="72.5" x14ac:dyDescent="0.35">
      <c r="A266" s="113" t="s">
        <v>2965</v>
      </c>
      <c r="B266" s="102" t="s">
        <v>4308</v>
      </c>
      <c r="C266" s="123" t="str" cm="1">
        <f t="array" ref="C266:F266">_xlfn.TEXTSPLIT('איחוד שאלות'!$B266,"_")</f>
        <v>perception</v>
      </c>
      <c r="D266" s="102" t="str">
        <v>interest</v>
      </c>
      <c r="E266" s="102" t="str">
        <v>inequality</v>
      </c>
      <c r="F266" s="102" t="str">
        <v>socioeconomic</v>
      </c>
      <c r="G266" s="103"/>
      <c r="H266" s="132" t="s">
        <v>3343</v>
      </c>
      <c r="I266" s="100" t="s">
        <v>5844</v>
      </c>
      <c r="J266" s="100" t="s">
        <v>5998</v>
      </c>
      <c r="K266" s="101" t="s">
        <v>6005</v>
      </c>
      <c r="L266" s="1" t="s">
        <v>6006</v>
      </c>
      <c r="M266" s="1"/>
      <c r="N266" s="1" t="s">
        <v>2965</v>
      </c>
      <c r="V266" s="1"/>
      <c r="W266" s="1"/>
    </row>
    <row r="267" spans="1:23" ht="58" x14ac:dyDescent="0.35">
      <c r="A267" s="121" t="s">
        <v>3021</v>
      </c>
      <c r="B267" s="99" t="s">
        <v>4309</v>
      </c>
      <c r="C267" s="121" t="str" cm="1">
        <f t="array" ref="C267:F267">_xlfn.TEXTSPLIT('איחוד שאלות'!$B267,"_")</f>
        <v>perception</v>
      </c>
      <c r="D267" s="99" t="str">
        <v>interest</v>
      </c>
      <c r="E267" s="99" t="str">
        <v>problem</v>
      </c>
      <c r="F267" s="99" t="str">
        <v>socioeconomic</v>
      </c>
      <c r="G267" s="100"/>
      <c r="H267" s="133" t="s">
        <v>3343</v>
      </c>
      <c r="I267" s="103" t="s">
        <v>5844</v>
      </c>
      <c r="J267" s="103" t="s">
        <v>5998</v>
      </c>
      <c r="K267" s="104" t="s">
        <v>5849</v>
      </c>
      <c r="L267" s="1" t="s">
        <v>6006</v>
      </c>
      <c r="M267" s="1"/>
      <c r="N267" s="1" t="s">
        <v>6905</v>
      </c>
      <c r="V267" s="1"/>
      <c r="W267" s="1"/>
    </row>
    <row r="268" spans="1:23" ht="43.5" x14ac:dyDescent="0.35">
      <c r="A268" s="113" t="s">
        <v>3085</v>
      </c>
      <c r="B268" s="102" t="s">
        <v>4310</v>
      </c>
      <c r="C268" s="123" t="str" cm="1">
        <f t="array" ref="C268:F268">_xlfn.TEXTSPLIT('איחוד שאלות'!$B268,"_")</f>
        <v>perception</v>
      </c>
      <c r="D268" s="102" t="str">
        <v>interest</v>
      </c>
      <c r="E268" s="102" t="str">
        <v>problem</v>
      </c>
      <c r="F268" s="102" t="str">
        <v>security</v>
      </c>
      <c r="G268" s="103"/>
      <c r="H268" s="132" t="s">
        <v>3343</v>
      </c>
      <c r="I268" s="100" t="s">
        <v>5844</v>
      </c>
      <c r="J268" s="100" t="s">
        <v>5998</v>
      </c>
      <c r="K268" s="101" t="s">
        <v>5849</v>
      </c>
      <c r="L268" s="1" t="s">
        <v>5994</v>
      </c>
      <c r="M268" s="1"/>
      <c r="N268" s="1" t="s">
        <v>6906</v>
      </c>
      <c r="V268" s="1"/>
      <c r="W268" s="1"/>
    </row>
    <row r="269" spans="1:23" ht="43.5" x14ac:dyDescent="0.35">
      <c r="A269" s="121" t="s">
        <v>3012</v>
      </c>
      <c r="B269" s="99" t="s">
        <v>4311</v>
      </c>
      <c r="C269" s="121" t="str" cm="1">
        <f t="array" ref="C269:F269">_xlfn.TEXTSPLIT('איחוד שאלות'!$B269,"_")</f>
        <v>perception</v>
      </c>
      <c r="D269" s="99" t="str">
        <v>interest</v>
      </c>
      <c r="E269" s="99" t="str">
        <v>elections</v>
      </c>
      <c r="F269" s="99" t="str">
        <v>results</v>
      </c>
      <c r="G269" s="100"/>
      <c r="H269" s="133" t="s">
        <v>3343</v>
      </c>
      <c r="I269" s="103" t="s">
        <v>5844</v>
      </c>
      <c r="J269" s="103" t="s">
        <v>5998</v>
      </c>
      <c r="K269" s="104" t="s">
        <v>5954</v>
      </c>
      <c r="L269" s="1" t="s">
        <v>6007</v>
      </c>
      <c r="M269" s="1"/>
      <c r="N269" s="1" t="s">
        <v>3012</v>
      </c>
      <c r="V269" s="1"/>
      <c r="W269" s="1"/>
    </row>
    <row r="270" spans="1:23" ht="72.5" x14ac:dyDescent="0.35">
      <c r="A270" s="113" t="s">
        <v>3086</v>
      </c>
      <c r="B270" s="102" t="s">
        <v>4312</v>
      </c>
      <c r="C270" s="123" t="str" cm="1">
        <f t="array" ref="C270:F270">_xlfn.TEXTSPLIT('איחוד שאלות'!$B270,"_")</f>
        <v>perception</v>
      </c>
      <c r="D270" s="102" t="str">
        <v>importance</v>
      </c>
      <c r="E270" s="102" t="str">
        <v>problem</v>
      </c>
      <c r="F270" s="102" t="str">
        <v>economic</v>
      </c>
      <c r="G270" s="103"/>
      <c r="H270" s="132" t="s">
        <v>3343</v>
      </c>
      <c r="I270" s="100" t="s">
        <v>5844</v>
      </c>
      <c r="J270" s="100" t="s">
        <v>5857</v>
      </c>
      <c r="K270" s="101" t="s">
        <v>5849</v>
      </c>
      <c r="L270" s="1" t="s">
        <v>6008</v>
      </c>
      <c r="M270" s="1"/>
      <c r="N270" s="1" t="s">
        <v>6907</v>
      </c>
      <c r="V270" s="1"/>
      <c r="W270" s="1"/>
    </row>
    <row r="271" spans="1:23" ht="72.5" x14ac:dyDescent="0.35">
      <c r="A271" s="121" t="s">
        <v>3087</v>
      </c>
      <c r="B271" s="99" t="s">
        <v>4315</v>
      </c>
      <c r="C271" s="121" t="str" cm="1">
        <f t="array" ref="C271:F271">_xlfn.TEXTSPLIT('איחוד שאלות'!$B271,"_")</f>
        <v>perception</v>
      </c>
      <c r="D271" s="99" t="str">
        <v>importance</v>
      </c>
      <c r="E271" s="99" t="str">
        <v>problem</v>
      </c>
      <c r="F271" s="99" t="str">
        <v>security</v>
      </c>
      <c r="G271" s="100"/>
      <c r="H271" s="133" t="s">
        <v>3343</v>
      </c>
      <c r="I271" s="103" t="s">
        <v>5844</v>
      </c>
      <c r="J271" s="103" t="s">
        <v>5857</v>
      </c>
      <c r="K271" s="104" t="s">
        <v>5849</v>
      </c>
      <c r="L271" s="1" t="s">
        <v>5994</v>
      </c>
      <c r="M271" s="1"/>
      <c r="N271" s="1" t="s">
        <v>6908</v>
      </c>
      <c r="V271" s="1"/>
      <c r="W271" s="1"/>
    </row>
    <row r="272" spans="1:23" ht="58" x14ac:dyDescent="0.35">
      <c r="A272" s="113" t="s">
        <v>3088</v>
      </c>
      <c r="B272" s="102" t="s">
        <v>4316</v>
      </c>
      <c r="C272" s="123" t="str" cm="1">
        <f t="array" ref="C272:F272">_xlfn.TEXTSPLIT('איחוד שאלות'!$B272,"_")</f>
        <v>perception</v>
      </c>
      <c r="D272" s="102" t="str">
        <v>interest</v>
      </c>
      <c r="E272" s="102" t="str">
        <v>problem</v>
      </c>
      <c r="F272" s="102" t="str">
        <v>socio</v>
      </c>
      <c r="G272" s="103"/>
      <c r="H272" s="132" t="s">
        <v>3343</v>
      </c>
      <c r="I272" s="100" t="s">
        <v>5844</v>
      </c>
      <c r="J272" s="100" t="s">
        <v>5998</v>
      </c>
      <c r="K272" s="101" t="s">
        <v>5849</v>
      </c>
      <c r="L272" s="1" t="s">
        <v>6009</v>
      </c>
      <c r="M272" s="1"/>
      <c r="N272" s="1" t="s">
        <v>6909</v>
      </c>
      <c r="V272" s="1"/>
      <c r="W272" s="1"/>
    </row>
    <row r="273" spans="1:23" ht="87" x14ac:dyDescent="0.35">
      <c r="A273" s="121" t="s">
        <v>3089</v>
      </c>
      <c r="B273" s="99" t="s">
        <v>4313</v>
      </c>
      <c r="C273" s="121" t="str" cm="1">
        <f t="array" ref="C273:G273">_xlfn.TEXTSPLIT('איחוד שאלות'!$B273,"_")</f>
        <v>preference</v>
      </c>
      <c r="D273" s="99" t="str">
        <v>importance</v>
      </c>
      <c r="E273" s="99" t="str">
        <v>citizen</v>
      </c>
      <c r="F273" s="99" t="str">
        <v>problem</v>
      </c>
      <c r="G273" s="100" t="str">
        <v>socio</v>
      </c>
      <c r="H273" s="133" t="s">
        <v>3343</v>
      </c>
      <c r="I273" s="103" t="s">
        <v>5856</v>
      </c>
      <c r="J273" s="103" t="s">
        <v>5857</v>
      </c>
      <c r="K273" s="104" t="s">
        <v>5776</v>
      </c>
      <c r="L273" s="1" t="s">
        <v>5849</v>
      </c>
      <c r="M273" s="1" t="s">
        <v>6009</v>
      </c>
      <c r="N273" s="1" t="s">
        <v>6910</v>
      </c>
      <c r="V273" s="1"/>
      <c r="W273" s="1"/>
    </row>
    <row r="274" spans="1:23" ht="58" x14ac:dyDescent="0.35">
      <c r="A274" s="113" t="s">
        <v>3090</v>
      </c>
      <c r="B274" s="102" t="s">
        <v>4314</v>
      </c>
      <c r="C274" s="123" t="str" cm="1">
        <f t="array" ref="C274:F274">_xlfn.TEXTSPLIT('איחוד שאלות'!$B274,"_")</f>
        <v>perception</v>
      </c>
      <c r="D274" s="102" t="str">
        <v>interest</v>
      </c>
      <c r="E274" s="102" t="str">
        <v>politics</v>
      </c>
      <c r="F274" s="102" t="str">
        <v>municipality</v>
      </c>
      <c r="G274" s="103"/>
      <c r="H274" s="132" t="s">
        <v>3343</v>
      </c>
      <c r="I274" s="100" t="s">
        <v>5844</v>
      </c>
      <c r="J274" s="100" t="s">
        <v>5998</v>
      </c>
      <c r="K274" s="101" t="s">
        <v>6001</v>
      </c>
      <c r="L274" s="1" t="s">
        <v>5970</v>
      </c>
      <c r="M274" s="1"/>
      <c r="N274" s="1" t="s">
        <v>6911</v>
      </c>
      <c r="V274" s="1"/>
      <c r="W274" s="1"/>
    </row>
    <row r="275" spans="1:23" ht="72.5" x14ac:dyDescent="0.35">
      <c r="A275" s="121" t="s">
        <v>3091</v>
      </c>
      <c r="B275" s="99" t="s">
        <v>4317</v>
      </c>
      <c r="C275" s="121" t="str" cm="1">
        <f t="array" ref="C275:G275">_xlfn.TEXTSPLIT('איחוד שאלות'!$B275,"_")</f>
        <v>preference</v>
      </c>
      <c r="D275" s="99" t="str">
        <v>importance</v>
      </c>
      <c r="E275" s="99" t="str">
        <v>citizen</v>
      </c>
      <c r="F275" s="99" t="str">
        <v>politics</v>
      </c>
      <c r="G275" s="100" t="str">
        <v>municipality</v>
      </c>
      <c r="H275" s="133" t="s">
        <v>3343</v>
      </c>
      <c r="I275" s="103" t="s">
        <v>5856</v>
      </c>
      <c r="J275" s="103" t="s">
        <v>5857</v>
      </c>
      <c r="K275" s="104" t="s">
        <v>5776</v>
      </c>
      <c r="L275" s="1" t="s">
        <v>6001</v>
      </c>
      <c r="M275" s="1" t="s">
        <v>5970</v>
      </c>
      <c r="N275" s="1" t="s">
        <v>6912</v>
      </c>
      <c r="V275" s="1"/>
      <c r="W275" s="1"/>
    </row>
    <row r="276" spans="1:23" ht="145" x14ac:dyDescent="0.35">
      <c r="A276" s="113" t="s">
        <v>3092</v>
      </c>
      <c r="B276" s="102" t="s">
        <v>4318</v>
      </c>
      <c r="C276" s="123" t="str" cm="1">
        <f t="array" ref="C276:F276">_xlfn.TEXTSPLIT('איחוד שאלות'!$B276,"_")</f>
        <v>behavior</v>
      </c>
      <c r="D276" s="102" t="str">
        <v>political</v>
      </c>
      <c r="E276" s="102" t="str">
        <v>discuss</v>
      </c>
      <c r="F276" s="102" t="str">
        <v>security</v>
      </c>
      <c r="G276" s="103"/>
      <c r="H276" s="132" t="s">
        <v>3343</v>
      </c>
      <c r="I276" s="100" t="s">
        <v>5806</v>
      </c>
      <c r="J276" s="100" t="s">
        <v>5918</v>
      </c>
      <c r="K276" s="101" t="s">
        <v>5992</v>
      </c>
      <c r="L276" s="1" t="s">
        <v>5994</v>
      </c>
      <c r="M276" s="1"/>
      <c r="N276" s="1" t="s">
        <v>6913</v>
      </c>
      <c r="V276" s="1"/>
      <c r="W276" s="1"/>
    </row>
    <row r="277" spans="1:23" ht="130.5" x14ac:dyDescent="0.35">
      <c r="A277" s="121" t="s">
        <v>3093</v>
      </c>
      <c r="B277" s="99" t="s">
        <v>4319</v>
      </c>
      <c r="C277" s="121" t="str" cm="1">
        <f t="array" ref="C277:F277">_xlfn.TEXTSPLIT('איחוד שאלות'!$B277,"_")</f>
        <v>behavior</v>
      </c>
      <c r="D277" s="99" t="str">
        <v>political</v>
      </c>
      <c r="E277" s="99" t="str">
        <v>discuss</v>
      </c>
      <c r="F277" s="99" t="str">
        <v>economic</v>
      </c>
      <c r="G277" s="100"/>
      <c r="H277" s="133" t="s">
        <v>3343</v>
      </c>
      <c r="I277" s="103" t="s">
        <v>5806</v>
      </c>
      <c r="J277" s="103" t="s">
        <v>5918</v>
      </c>
      <c r="K277" s="104" t="s">
        <v>5992</v>
      </c>
      <c r="L277" s="1" t="s">
        <v>6008</v>
      </c>
      <c r="M277" s="1"/>
      <c r="N277" s="1" t="s">
        <v>6914</v>
      </c>
      <c r="V277" s="1"/>
      <c r="W277" s="1"/>
    </row>
    <row r="278" spans="1:23" ht="130.5" x14ac:dyDescent="0.35">
      <c r="A278" s="113" t="s">
        <v>3094</v>
      </c>
      <c r="B278" s="102" t="s">
        <v>4320</v>
      </c>
      <c r="C278" s="123" t="str" cm="1">
        <f t="array" ref="C278:F278">_xlfn.TEXTSPLIT('איחוד שאלות'!$B278,"_")</f>
        <v>behavior</v>
      </c>
      <c r="D278" s="102" t="str">
        <v>political</v>
      </c>
      <c r="E278" s="102" t="str">
        <v>discuss</v>
      </c>
      <c r="F278" s="102" t="str">
        <v>socio</v>
      </c>
      <c r="G278" s="103"/>
      <c r="H278" s="132" t="s">
        <v>3343</v>
      </c>
      <c r="I278" s="100" t="s">
        <v>5806</v>
      </c>
      <c r="J278" s="100" t="s">
        <v>5918</v>
      </c>
      <c r="K278" s="101" t="s">
        <v>5992</v>
      </c>
      <c r="L278" s="1" t="s">
        <v>6009</v>
      </c>
      <c r="M278" s="1"/>
      <c r="N278" s="1" t="s">
        <v>6915</v>
      </c>
      <c r="V278" s="1"/>
      <c r="W278" s="1"/>
    </row>
    <row r="279" spans="1:23" ht="72.5" x14ac:dyDescent="0.35">
      <c r="A279" s="121" t="s">
        <v>3100</v>
      </c>
      <c r="B279" s="99" t="s">
        <v>4321</v>
      </c>
      <c r="C279" s="121" t="str" cm="1">
        <f t="array" ref="C279:F279">_xlfn.TEXTSPLIT('איחוד שאלות'!$B279,"_")</f>
        <v>affect</v>
      </c>
      <c r="D279" s="99" t="str">
        <v>trust</v>
      </c>
      <c r="E279" s="99" t="str">
        <v>information</v>
      </c>
      <c r="F279" s="99" t="str">
        <v>friends</v>
      </c>
      <c r="G279" s="100"/>
      <c r="H279" s="133" t="s">
        <v>3343</v>
      </c>
      <c r="I279" s="103" t="s">
        <v>5815</v>
      </c>
      <c r="J279" s="103" t="s">
        <v>5901</v>
      </c>
      <c r="K279" s="104" t="s">
        <v>6010</v>
      </c>
      <c r="L279" s="1" t="s">
        <v>5787</v>
      </c>
      <c r="M279" s="1"/>
      <c r="N279" s="1" t="s">
        <v>3100</v>
      </c>
      <c r="V279" s="1"/>
      <c r="W279" s="1"/>
    </row>
    <row r="280" spans="1:23" ht="58" x14ac:dyDescent="0.35">
      <c r="A280" s="113" t="s">
        <v>1606</v>
      </c>
      <c r="B280" s="102" t="s">
        <v>4322</v>
      </c>
      <c r="C280" s="123" t="str" cm="1">
        <f t="array" ref="C280:F280">_xlfn.TEXTSPLIT('איחוד שאלות'!$B280,"_")</f>
        <v>behavior</v>
      </c>
      <c r="D280" s="102" t="str">
        <v>political</v>
      </c>
      <c r="E280" s="102" t="str">
        <v>protest</v>
      </c>
      <c r="F280" s="102" t="str">
        <v>peaceprocess</v>
      </c>
      <c r="G280" s="103"/>
      <c r="H280" s="132" t="s">
        <v>3343</v>
      </c>
      <c r="I280" s="100" t="s">
        <v>5806</v>
      </c>
      <c r="J280" s="100" t="s">
        <v>5918</v>
      </c>
      <c r="K280" s="101" t="s">
        <v>6011</v>
      </c>
      <c r="L280" s="1" t="s">
        <v>5874</v>
      </c>
      <c r="M280" s="1"/>
      <c r="N280" s="1" t="s">
        <v>6916</v>
      </c>
      <c r="V280" s="1"/>
      <c r="W280" s="1"/>
    </row>
    <row r="281" spans="1:23" ht="58" x14ac:dyDescent="0.35">
      <c r="A281" s="121" t="s">
        <v>1607</v>
      </c>
      <c r="B281" s="99" t="s">
        <v>4323</v>
      </c>
      <c r="C281" s="121" t="str" cm="1">
        <f t="array" ref="C281:F281">_xlfn.TEXTSPLIT('איחוד שאלות'!$B281,"_")</f>
        <v>behavior</v>
      </c>
      <c r="D281" s="99" t="str">
        <v>political</v>
      </c>
      <c r="E281" s="99" t="str">
        <v>protest</v>
      </c>
      <c r="F281" s="99" t="str">
        <v>rabinassassination</v>
      </c>
      <c r="G281" s="100"/>
      <c r="H281" s="133" t="s">
        <v>3343</v>
      </c>
      <c r="I281" s="117" t="s">
        <v>5806</v>
      </c>
      <c r="J281" s="117" t="s">
        <v>5918</v>
      </c>
      <c r="K281" s="118" t="s">
        <v>6011</v>
      </c>
      <c r="L281" s="1" t="s">
        <v>6012</v>
      </c>
      <c r="M281" s="1"/>
      <c r="N281" s="1" t="s">
        <v>6917</v>
      </c>
      <c r="V281" s="1"/>
      <c r="W281" s="1"/>
    </row>
    <row r="282" spans="1:23" ht="43.5" x14ac:dyDescent="0.35">
      <c r="A282" s="113" t="s">
        <v>3154</v>
      </c>
      <c r="B282" s="102" t="s">
        <v>4324</v>
      </c>
      <c r="C282" s="123" t="str" cm="1">
        <f t="array" ref="C282:E282">_xlfn.TEXTSPLIT('איחוד שאלות'!$B282,"_")</f>
        <v>behavior</v>
      </c>
      <c r="D282" s="102" t="str">
        <v>political</v>
      </c>
      <c r="E282" s="102" t="str">
        <v>protest</v>
      </c>
      <c r="F282" s="102"/>
      <c r="G282" s="103"/>
      <c r="H282" s="132" t="s">
        <v>3343</v>
      </c>
      <c r="I282" s="1" t="s">
        <v>5806</v>
      </c>
      <c r="J282" s="1" t="s">
        <v>5918</v>
      </c>
      <c r="K282" s="1" t="s">
        <v>6011</v>
      </c>
      <c r="L282" s="1"/>
      <c r="M282" s="1"/>
      <c r="N282" s="1" t="s">
        <v>3154</v>
      </c>
      <c r="V282" s="1"/>
      <c r="W282" s="1"/>
    </row>
    <row r="283" spans="1:23" ht="58" x14ac:dyDescent="0.35">
      <c r="A283" s="144" t="s">
        <v>3350</v>
      </c>
      <c r="B283" s="114" t="s">
        <v>4325</v>
      </c>
      <c r="C283" s="121" t="str" cm="1">
        <f t="array" ref="C283:F283">_xlfn.TEXTSPLIT('איחוד שאלות'!$B283,"_")</f>
        <v>perception</v>
      </c>
      <c r="D283" s="99" t="str">
        <v>leftright</v>
      </c>
      <c r="E283" s="99" t="str">
        <v>explain</v>
      </c>
      <c r="F283" s="99" t="str">
        <v>right</v>
      </c>
      <c r="G283" s="100"/>
      <c r="H283" s="133" t="s">
        <v>3383</v>
      </c>
      <c r="I283" s="1" t="s">
        <v>5844</v>
      </c>
      <c r="J283" s="1" t="s">
        <v>6013</v>
      </c>
      <c r="K283" s="1" t="s">
        <v>6014</v>
      </c>
      <c r="L283" s="1" t="s">
        <v>6015</v>
      </c>
      <c r="M283" s="1"/>
      <c r="N283" s="1" t="s">
        <v>6918</v>
      </c>
      <c r="V283" s="1"/>
      <c r="W283" s="1"/>
    </row>
    <row r="284" spans="1:23" ht="58" x14ac:dyDescent="0.35">
      <c r="A284" s="113" t="s">
        <v>3351</v>
      </c>
      <c r="B284" s="102" t="s">
        <v>4326</v>
      </c>
      <c r="C284" s="123" t="str" cm="1">
        <f t="array" ref="C284:F284">_xlfn.TEXTSPLIT('איחוד שאלות'!$B284,"_")</f>
        <v>perception</v>
      </c>
      <c r="D284" s="102" t="str">
        <v>leftright</v>
      </c>
      <c r="E284" s="102" t="str">
        <v>explain</v>
      </c>
      <c r="F284" s="102" t="str">
        <v>left</v>
      </c>
      <c r="G284" s="103"/>
      <c r="H284" s="135" t="s">
        <v>3383</v>
      </c>
      <c r="I284" s="1" t="s">
        <v>5844</v>
      </c>
      <c r="J284" s="1" t="s">
        <v>6013</v>
      </c>
      <c r="K284" s="1" t="s">
        <v>6014</v>
      </c>
      <c r="L284" s="1" t="s">
        <v>6016</v>
      </c>
      <c r="M284" s="1"/>
      <c r="N284" s="1" t="s">
        <v>6919</v>
      </c>
      <c r="V284" s="1"/>
      <c r="W284" s="1"/>
    </row>
    <row r="285" spans="1:23" ht="29" x14ac:dyDescent="0.35">
      <c r="A285" s="121" t="s">
        <v>2218</v>
      </c>
      <c r="B285" s="99" t="s">
        <v>4327</v>
      </c>
      <c r="C285" s="121" t="str" cm="1">
        <f t="array" ref="C285:F285">_xlfn.TEXTSPLIT('איחוד שאלות'!$B285,"_")</f>
        <v>polidentity</v>
      </c>
      <c r="D285" s="99" t="str">
        <v>leftright</v>
      </c>
      <c r="E285" s="99" t="str">
        <v>affiliation</v>
      </c>
      <c r="F285" s="99" t="str">
        <v>5</v>
      </c>
      <c r="G285" s="100"/>
      <c r="H285" s="136" t="s">
        <v>3383</v>
      </c>
      <c r="I285" s="1" t="s">
        <v>6017</v>
      </c>
      <c r="J285" s="1" t="s">
        <v>6013</v>
      </c>
      <c r="K285" s="1" t="s">
        <v>6018</v>
      </c>
      <c r="L285" s="1" t="s">
        <v>5896</v>
      </c>
      <c r="M285" s="1"/>
      <c r="N285" s="1" t="s">
        <v>2218</v>
      </c>
      <c r="V285" s="1"/>
      <c r="W285" s="1"/>
    </row>
    <row r="286" spans="1:23" ht="101.5" x14ac:dyDescent="0.35">
      <c r="A286" s="113" t="s">
        <v>126</v>
      </c>
      <c r="B286" s="102" t="s">
        <v>4328</v>
      </c>
      <c r="C286" s="123" t="str" cm="1">
        <f t="array" ref="C286:F286">_xlfn.TEXTSPLIT('איחוד שאלות'!$B286,"_")</f>
        <v>polidentity</v>
      </c>
      <c r="D286" s="102" t="str">
        <v>leftright</v>
      </c>
      <c r="E286" s="102" t="str">
        <v>affiliation</v>
      </c>
      <c r="F286" s="102" t="str">
        <v>7</v>
      </c>
      <c r="G286" s="103"/>
      <c r="H286" s="135" t="s">
        <v>3383</v>
      </c>
      <c r="I286" s="1" t="s">
        <v>6017</v>
      </c>
      <c r="J286" s="1" t="s">
        <v>6013</v>
      </c>
      <c r="K286" s="1" t="s">
        <v>6018</v>
      </c>
      <c r="L286" s="1" t="s">
        <v>5898</v>
      </c>
      <c r="M286" s="1"/>
      <c r="N286" s="1" t="s">
        <v>126</v>
      </c>
      <c r="V286" s="1"/>
      <c r="W286" s="1"/>
    </row>
    <row r="287" spans="1:23" ht="72.5" x14ac:dyDescent="0.35">
      <c r="A287" s="121" t="s">
        <v>1327</v>
      </c>
      <c r="B287" s="99" t="s">
        <v>4329</v>
      </c>
      <c r="C287" s="121" t="str" cm="1">
        <f t="array" ref="C287:F287">_xlfn.TEXTSPLIT('איחוד שאלות'!$B287,"_")</f>
        <v>polidentity</v>
      </c>
      <c r="D287" s="99" t="str">
        <v>leftright</v>
      </c>
      <c r="E287" s="99" t="str">
        <v>affiliation</v>
      </c>
      <c r="F287" s="99" t="str">
        <v>neutral</v>
      </c>
      <c r="G287" s="100"/>
      <c r="H287" s="136" t="s">
        <v>3383</v>
      </c>
      <c r="I287" s="1" t="s">
        <v>6017</v>
      </c>
      <c r="J287" s="1" t="s">
        <v>6013</v>
      </c>
      <c r="K287" s="1" t="s">
        <v>6018</v>
      </c>
      <c r="L287" s="1" t="s">
        <v>5932</v>
      </c>
      <c r="M287" s="1"/>
      <c r="N287" s="1" t="s">
        <v>1327</v>
      </c>
      <c r="V287" s="1"/>
      <c r="W287" s="1"/>
    </row>
    <row r="288" spans="1:23" ht="101.5" x14ac:dyDescent="0.35">
      <c r="A288" s="113" t="s">
        <v>1326</v>
      </c>
      <c r="B288" s="102" t="s">
        <v>4330</v>
      </c>
      <c r="C288" s="123" t="str" cm="1">
        <f t="array" ref="C288:F288">_xlfn.TEXTSPLIT('איחוד שאלות'!$B288,"_")</f>
        <v>polidentity</v>
      </c>
      <c r="D288" s="102" t="str">
        <v>leftright</v>
      </c>
      <c r="E288" s="102" t="str">
        <v>affiliation</v>
      </c>
      <c r="F288" s="102" t="str">
        <v>conversion</v>
      </c>
      <c r="G288" s="103"/>
      <c r="H288" s="135" t="s">
        <v>3383</v>
      </c>
      <c r="I288" s="1" t="s">
        <v>6017</v>
      </c>
      <c r="J288" s="1" t="s">
        <v>6013</v>
      </c>
      <c r="K288" s="1" t="s">
        <v>6018</v>
      </c>
      <c r="L288" s="1" t="s">
        <v>6019</v>
      </c>
      <c r="M288" s="1"/>
      <c r="N288" s="1" t="s">
        <v>1326</v>
      </c>
      <c r="V288" s="1"/>
      <c r="W288" s="1"/>
    </row>
    <row r="289" spans="1:23" ht="116" x14ac:dyDescent="0.35">
      <c r="A289" s="121" t="s">
        <v>773</v>
      </c>
      <c r="B289" s="99" t="s">
        <v>4331</v>
      </c>
      <c r="C289" s="121" t="str" cm="1">
        <f t="array" ref="C289:F289">_xlfn.TEXTSPLIT('איחוד שאלות'!$B289,"_")</f>
        <v>polidentity</v>
      </c>
      <c r="D289" s="99" t="str">
        <v>leftright</v>
      </c>
      <c r="E289" s="99" t="str">
        <v>affiliation</v>
      </c>
      <c r="F289" s="99" t="str">
        <v>10</v>
      </c>
      <c r="G289" s="100"/>
      <c r="H289" s="136" t="s">
        <v>3383</v>
      </c>
      <c r="I289" s="1" t="s">
        <v>6017</v>
      </c>
      <c r="J289" s="1" t="s">
        <v>6013</v>
      </c>
      <c r="K289" s="1" t="s">
        <v>6018</v>
      </c>
      <c r="L289" s="1" t="s">
        <v>6020</v>
      </c>
      <c r="M289" s="1"/>
      <c r="N289" s="1" t="s">
        <v>773</v>
      </c>
      <c r="V289" s="1"/>
      <c r="W289" s="1"/>
    </row>
    <row r="290" spans="1:23" ht="72.5" x14ac:dyDescent="0.35">
      <c r="A290" s="113" t="s">
        <v>3352</v>
      </c>
      <c r="B290" s="102" t="s">
        <v>4332</v>
      </c>
      <c r="C290" s="123" t="str" cm="1">
        <f t="array" ref="C290:F290">_xlfn.TEXTSPLIT('איחוד שאלות'!$B290,"_")</f>
        <v>polidentity</v>
      </c>
      <c r="D290" s="102" t="str">
        <v>leftright</v>
      </c>
      <c r="E290" s="102" t="str">
        <v>affiliation</v>
      </c>
      <c r="F290" s="102" t="str">
        <v>security</v>
      </c>
      <c r="G290" s="103"/>
      <c r="H290" s="135" t="s">
        <v>3383</v>
      </c>
      <c r="I290" s="1" t="s">
        <v>6017</v>
      </c>
      <c r="J290" s="1" t="s">
        <v>6013</v>
      </c>
      <c r="K290" s="1" t="s">
        <v>6018</v>
      </c>
      <c r="L290" s="1" t="s">
        <v>5994</v>
      </c>
      <c r="M290" s="1"/>
      <c r="N290" s="1" t="s">
        <v>6920</v>
      </c>
      <c r="V290" s="1"/>
      <c r="W290" s="1"/>
    </row>
    <row r="291" spans="1:23" ht="72.5" x14ac:dyDescent="0.35">
      <c r="A291" s="121" t="s">
        <v>3353</v>
      </c>
      <c r="B291" s="99" t="s">
        <v>4333</v>
      </c>
      <c r="C291" s="121" t="str" cm="1">
        <f t="array" ref="C291:F291">_xlfn.TEXTSPLIT('איחוד שאלות'!$B291,"_")</f>
        <v>polidentity</v>
      </c>
      <c r="D291" s="99" t="str">
        <v>leftright</v>
      </c>
      <c r="E291" s="99" t="str">
        <v>affiliation</v>
      </c>
      <c r="F291" s="99" t="str">
        <v>economic</v>
      </c>
      <c r="G291" s="100"/>
      <c r="H291" s="136" t="s">
        <v>3383</v>
      </c>
      <c r="I291" s="1" t="s">
        <v>6017</v>
      </c>
      <c r="J291" s="1" t="s">
        <v>6013</v>
      </c>
      <c r="K291" s="1" t="s">
        <v>6018</v>
      </c>
      <c r="L291" s="1" t="s">
        <v>6008</v>
      </c>
      <c r="M291" s="1"/>
      <c r="N291" s="1" t="s">
        <v>6921</v>
      </c>
      <c r="V291" s="1"/>
      <c r="W291" s="1"/>
    </row>
    <row r="292" spans="1:23" ht="72.5" x14ac:dyDescent="0.35">
      <c r="A292" s="113" t="s">
        <v>3354</v>
      </c>
      <c r="B292" s="102" t="s">
        <v>4334</v>
      </c>
      <c r="C292" s="123" t="str" cm="1">
        <f t="array" ref="C292:F292">_xlfn.TEXTSPLIT('איחוד שאלות'!$B292,"_")</f>
        <v>polidentity</v>
      </c>
      <c r="D292" s="102" t="str">
        <v>leftright</v>
      </c>
      <c r="E292" s="102" t="str">
        <v>affiliation</v>
      </c>
      <c r="F292" s="102" t="str">
        <v>foreignaffairs</v>
      </c>
      <c r="G292" s="103"/>
      <c r="H292" s="135" t="s">
        <v>3383</v>
      </c>
      <c r="I292" s="1" t="s">
        <v>6017</v>
      </c>
      <c r="J292" s="1" t="s">
        <v>6013</v>
      </c>
      <c r="K292" s="1" t="s">
        <v>6018</v>
      </c>
      <c r="L292" s="1" t="s">
        <v>6021</v>
      </c>
      <c r="M292" s="1"/>
      <c r="N292" s="1" t="s">
        <v>6922</v>
      </c>
      <c r="V292" s="1"/>
      <c r="W292" s="1"/>
    </row>
    <row r="293" spans="1:23" ht="58" x14ac:dyDescent="0.35">
      <c r="A293" s="121" t="s">
        <v>223</v>
      </c>
      <c r="B293" s="99" t="s">
        <v>4335</v>
      </c>
      <c r="C293" s="121" t="str" cm="1">
        <f t="array" ref="C293:E293">_xlfn.TEXTSPLIT('איחוד שאלות'!$B293,"_")</f>
        <v>polidentity</v>
      </c>
      <c r="D293" s="99" t="str">
        <v>leftright</v>
      </c>
      <c r="E293" s="99" t="str">
        <v>importance</v>
      </c>
      <c r="F293" s="99"/>
      <c r="G293" s="100"/>
      <c r="H293" s="136" t="s">
        <v>3383</v>
      </c>
      <c r="I293" s="1" t="s">
        <v>6017</v>
      </c>
      <c r="J293" s="1" t="s">
        <v>6013</v>
      </c>
      <c r="K293" s="1" t="s">
        <v>5857</v>
      </c>
      <c r="L293" s="1"/>
      <c r="M293" s="1"/>
      <c r="N293" s="1" t="s">
        <v>223</v>
      </c>
      <c r="V293" s="1"/>
      <c r="W293" s="1"/>
    </row>
    <row r="294" spans="1:23" ht="145" x14ac:dyDescent="0.35">
      <c r="A294" s="113" t="s">
        <v>225</v>
      </c>
      <c r="B294" s="102" t="s">
        <v>4336</v>
      </c>
      <c r="C294" s="123" t="str" cm="1">
        <f t="array" ref="C294:G294">_xlfn.TEXTSPLIT('איחוד שאלות'!$B294,"_")</f>
        <v>polidentity</v>
      </c>
      <c r="D294" s="102" t="str">
        <v>leftright</v>
      </c>
      <c r="E294" s="102" t="str">
        <v>agreement</v>
      </c>
      <c r="F294" s="102" t="str">
        <v>personal</v>
      </c>
      <c r="G294" s="103" t="str">
        <v>criticism</v>
      </c>
      <c r="H294" s="135" t="s">
        <v>3383</v>
      </c>
      <c r="I294" s="1" t="s">
        <v>6017</v>
      </c>
      <c r="J294" s="1" t="s">
        <v>6013</v>
      </c>
      <c r="K294" s="1" t="s">
        <v>5862</v>
      </c>
      <c r="L294" s="1" t="s">
        <v>5866</v>
      </c>
      <c r="M294" s="1" t="s">
        <v>5907</v>
      </c>
      <c r="N294" s="1" t="s">
        <v>225</v>
      </c>
      <c r="V294" s="1"/>
      <c r="W294" s="1"/>
    </row>
    <row r="295" spans="1:23" ht="58" x14ac:dyDescent="0.35">
      <c r="A295" s="121" t="s">
        <v>227</v>
      </c>
      <c r="B295" s="99" t="s">
        <v>4337</v>
      </c>
      <c r="C295" s="121" t="str" cm="1">
        <f t="array" ref="C295:G295">_xlfn.TEXTSPLIT('איחוד שאלות'!$B295,"_")</f>
        <v>polidentity</v>
      </c>
      <c r="D295" s="99" t="str">
        <v>leftright</v>
      </c>
      <c r="E295" s="99" t="str">
        <v>agreement</v>
      </c>
      <c r="F295" s="99" t="str">
        <v>personal</v>
      </c>
      <c r="G295" s="100" t="str">
        <v>connection</v>
      </c>
      <c r="H295" s="136" t="s">
        <v>3383</v>
      </c>
      <c r="I295" s="1" t="s">
        <v>6017</v>
      </c>
      <c r="J295" s="1" t="s">
        <v>6013</v>
      </c>
      <c r="K295" s="1" t="s">
        <v>5862</v>
      </c>
      <c r="L295" s="1" t="s">
        <v>5866</v>
      </c>
      <c r="M295" s="1" t="s">
        <v>6022</v>
      </c>
      <c r="N295" s="1" t="s">
        <v>227</v>
      </c>
      <c r="V295" s="1"/>
      <c r="W295" s="1"/>
    </row>
    <row r="296" spans="1:23" ht="72.5" x14ac:dyDescent="0.35">
      <c r="A296" s="113" t="s">
        <v>229</v>
      </c>
      <c r="B296" s="102" t="s">
        <v>4338</v>
      </c>
      <c r="C296" s="123" t="str" cm="1">
        <f t="array" ref="C296:G296">_xlfn.TEXTSPLIT('איחוד שאלות'!$B296,"_")</f>
        <v>polidentity</v>
      </c>
      <c r="D296" s="102" t="str">
        <v>leftright</v>
      </c>
      <c r="E296" s="102" t="str">
        <v>agreement</v>
      </c>
      <c r="F296" s="102" t="str">
        <v>personal</v>
      </c>
      <c r="G296" s="103" t="str">
        <v>appraisal</v>
      </c>
      <c r="H296" s="135" t="s">
        <v>3383</v>
      </c>
      <c r="I296" s="1" t="s">
        <v>6017</v>
      </c>
      <c r="J296" s="1" t="s">
        <v>6013</v>
      </c>
      <c r="K296" s="1" t="s">
        <v>5862</v>
      </c>
      <c r="L296" s="1" t="s">
        <v>5866</v>
      </c>
      <c r="M296" s="1" t="s">
        <v>6023</v>
      </c>
      <c r="N296" s="1" t="s">
        <v>229</v>
      </c>
      <c r="V296" s="1"/>
      <c r="W296" s="1"/>
    </row>
    <row r="297" spans="1:23" ht="87" x14ac:dyDescent="0.35">
      <c r="A297" s="121" t="s">
        <v>604</v>
      </c>
      <c r="B297" s="99" t="s">
        <v>4339</v>
      </c>
      <c r="C297" s="121" t="str" cm="1">
        <f t="array" ref="C297:E297">_xlfn.TEXTSPLIT('איחוד שאלות'!$B297,"_")</f>
        <v>perception</v>
      </c>
      <c r="D297" s="99" t="str">
        <v>difference</v>
      </c>
      <c r="E297" s="99" t="str">
        <v>leftright</v>
      </c>
      <c r="F297" s="99"/>
      <c r="G297" s="100"/>
      <c r="H297" s="136" t="s">
        <v>3383</v>
      </c>
      <c r="I297" s="1" t="s">
        <v>5844</v>
      </c>
      <c r="J297" s="1" t="s">
        <v>6024</v>
      </c>
      <c r="K297" s="1" t="s">
        <v>6013</v>
      </c>
      <c r="L297" s="1"/>
      <c r="M297" s="1"/>
      <c r="N297" s="1" t="s">
        <v>604</v>
      </c>
      <c r="V297" s="1"/>
      <c r="W297" s="1"/>
    </row>
    <row r="298" spans="1:23" ht="58" x14ac:dyDescent="0.35">
      <c r="A298" s="113" t="s">
        <v>2236</v>
      </c>
      <c r="B298" s="102" t="s">
        <v>4369</v>
      </c>
      <c r="C298" s="123" t="str" cm="1">
        <f t="array" ref="C298:F298">_xlfn.TEXTSPLIT('איחוד שאלות'!$B298,"_")</f>
        <v>perception</v>
      </c>
      <c r="D298" s="102" t="str">
        <v>difference</v>
      </c>
      <c r="E298" s="102" t="str">
        <v>party</v>
      </c>
      <c r="F298" s="102" t="str">
        <v>problem</v>
      </c>
      <c r="G298" s="103"/>
      <c r="H298" s="135" t="s">
        <v>3383</v>
      </c>
      <c r="I298" s="1" t="s">
        <v>5844</v>
      </c>
      <c r="J298" s="1" t="s">
        <v>6024</v>
      </c>
      <c r="K298" s="1" t="s">
        <v>5853</v>
      </c>
      <c r="L298" s="1" t="s">
        <v>5849</v>
      </c>
      <c r="M298" s="1"/>
      <c r="N298" s="1" t="s">
        <v>2236</v>
      </c>
      <c r="V298" s="1"/>
      <c r="W298" s="1"/>
    </row>
    <row r="299" spans="1:23" ht="58" x14ac:dyDescent="0.35">
      <c r="A299" s="121" t="s">
        <v>2587</v>
      </c>
      <c r="B299" s="99" t="s">
        <v>5559</v>
      </c>
      <c r="C299" s="121" t="str" cm="1">
        <f t="array" ref="C299:G299">_xlfn.TEXTSPLIT('איחוד שאלות'!$B299,"_")</f>
        <v>perception</v>
      </c>
      <c r="D299" s="99" t="str">
        <v>difference</v>
      </c>
      <c r="E299" s="99" t="str">
        <v>party</v>
      </c>
      <c r="F299" s="99" t="str">
        <v>problem</v>
      </c>
      <c r="G299" s="100" t="str">
        <v>clarity</v>
      </c>
      <c r="H299" s="136" t="s">
        <v>3383</v>
      </c>
      <c r="I299" s="1" t="s">
        <v>5844</v>
      </c>
      <c r="J299" s="1" t="s">
        <v>6024</v>
      </c>
      <c r="K299" s="1" t="s">
        <v>5853</v>
      </c>
      <c r="L299" s="1" t="s">
        <v>5849</v>
      </c>
      <c r="M299" s="1" t="s">
        <v>5971</v>
      </c>
      <c r="N299" s="1" t="s">
        <v>2587</v>
      </c>
      <c r="V299" s="1"/>
      <c r="W299" s="1"/>
    </row>
    <row r="300" spans="1:23" ht="101.5" x14ac:dyDescent="0.35">
      <c r="A300" s="113" t="s">
        <v>3355</v>
      </c>
      <c r="B300" s="102" t="s">
        <v>4341</v>
      </c>
      <c r="C300" s="123" t="str" cm="1">
        <f t="array" ref="C300:F300">_xlfn.TEXTSPLIT('איחוד שאלות'!$B300,"_")</f>
        <v>perception</v>
      </c>
      <c r="D300" s="102" t="str">
        <v>difference</v>
      </c>
      <c r="E300" s="102" t="str">
        <v>party</v>
      </c>
      <c r="F300" s="102" t="str">
        <v>socioeconomic</v>
      </c>
      <c r="G300" s="103"/>
      <c r="H300" s="135" t="s">
        <v>3383</v>
      </c>
      <c r="I300" s="1" t="s">
        <v>5844</v>
      </c>
      <c r="J300" s="1" t="s">
        <v>6024</v>
      </c>
      <c r="K300" s="1" t="s">
        <v>5853</v>
      </c>
      <c r="L300" s="1" t="s">
        <v>6006</v>
      </c>
      <c r="M300" s="1"/>
      <c r="N300" s="1" t="s">
        <v>6923</v>
      </c>
      <c r="V300" s="1"/>
      <c r="W300" s="1"/>
    </row>
    <row r="301" spans="1:23" ht="87" x14ac:dyDescent="0.35">
      <c r="A301" s="121" t="s">
        <v>3356</v>
      </c>
      <c r="B301" s="99" t="s">
        <v>4341</v>
      </c>
      <c r="C301" s="121" t="str" cm="1">
        <f t="array" ref="C301:F301">_xlfn.TEXTSPLIT('איחוד שאלות'!$B301,"_")</f>
        <v>perception</v>
      </c>
      <c r="D301" s="99" t="str">
        <v>difference</v>
      </c>
      <c r="E301" s="99" t="str">
        <v>party</v>
      </c>
      <c r="F301" s="99" t="str">
        <v>socioeconomic</v>
      </c>
      <c r="G301" s="100"/>
      <c r="H301" s="136" t="s">
        <v>3383</v>
      </c>
      <c r="I301" s="1" t="s">
        <v>5844</v>
      </c>
      <c r="J301" s="1" t="s">
        <v>6024</v>
      </c>
      <c r="K301" s="1" t="s">
        <v>5853</v>
      </c>
      <c r="L301" s="1" t="s">
        <v>6006</v>
      </c>
      <c r="M301" s="1"/>
      <c r="N301" s="1" t="s">
        <v>6924</v>
      </c>
      <c r="V301" s="1"/>
      <c r="W301" s="1"/>
    </row>
    <row r="302" spans="1:23" ht="101.5" x14ac:dyDescent="0.35">
      <c r="A302" s="113" t="s">
        <v>3357</v>
      </c>
      <c r="B302" s="102" t="s">
        <v>4341</v>
      </c>
      <c r="C302" s="123" t="str" cm="1">
        <f t="array" ref="C302:F302">_xlfn.TEXTSPLIT('איחוד שאלות'!$B302,"_")</f>
        <v>perception</v>
      </c>
      <c r="D302" s="102" t="str">
        <v>difference</v>
      </c>
      <c r="E302" s="102" t="str">
        <v>party</v>
      </c>
      <c r="F302" s="102" t="str">
        <v>socioeconomic</v>
      </c>
      <c r="G302" s="103"/>
      <c r="H302" s="135" t="s">
        <v>3383</v>
      </c>
      <c r="I302" s="1" t="s">
        <v>5844</v>
      </c>
      <c r="J302" s="1" t="s">
        <v>6024</v>
      </c>
      <c r="K302" s="1" t="s">
        <v>5853</v>
      </c>
      <c r="L302" s="1" t="s">
        <v>6006</v>
      </c>
      <c r="M302" s="1"/>
      <c r="N302" s="1" t="s">
        <v>6925</v>
      </c>
      <c r="V302" s="1"/>
      <c r="W302" s="1"/>
    </row>
    <row r="303" spans="1:23" ht="87" x14ac:dyDescent="0.35">
      <c r="A303" s="121" t="s">
        <v>3358</v>
      </c>
      <c r="B303" s="99" t="s">
        <v>4342</v>
      </c>
      <c r="C303" s="121" t="str" cm="1">
        <f t="array" ref="C303:F303">_xlfn.TEXTSPLIT('איחוד שאלות'!$B303,"_")</f>
        <v>perception</v>
      </c>
      <c r="D303" s="99" t="str">
        <v>difference</v>
      </c>
      <c r="E303" s="99" t="str">
        <v>party</v>
      </c>
      <c r="F303" s="99" t="str">
        <v>statereligion</v>
      </c>
      <c r="G303" s="100"/>
      <c r="H303" s="136" t="s">
        <v>3383</v>
      </c>
      <c r="I303" s="1" t="s">
        <v>5844</v>
      </c>
      <c r="J303" s="1" t="s">
        <v>6024</v>
      </c>
      <c r="K303" s="1" t="s">
        <v>5853</v>
      </c>
      <c r="L303" s="1" t="s">
        <v>6025</v>
      </c>
      <c r="M303" s="1"/>
      <c r="N303" s="1" t="s">
        <v>6926</v>
      </c>
      <c r="V303" s="1"/>
      <c r="W303" s="1"/>
    </row>
    <row r="304" spans="1:23" ht="87" x14ac:dyDescent="0.35">
      <c r="A304" s="113" t="s">
        <v>3359</v>
      </c>
      <c r="B304" s="102" t="s">
        <v>4343</v>
      </c>
      <c r="C304" s="123" t="str" cm="1">
        <f t="array" ref="C304:F304">_xlfn.TEXTSPLIT('איחוד שאלות'!$B304,"_")</f>
        <v>perception</v>
      </c>
      <c r="D304" s="102" t="str">
        <v>difference</v>
      </c>
      <c r="E304" s="102" t="str">
        <v>party</v>
      </c>
      <c r="F304" s="102" t="str">
        <v>peaceprocess</v>
      </c>
      <c r="G304" s="103"/>
      <c r="H304" s="135" t="s">
        <v>3383</v>
      </c>
      <c r="I304" s="1" t="s">
        <v>5844</v>
      </c>
      <c r="J304" s="1" t="s">
        <v>6024</v>
      </c>
      <c r="K304" s="1" t="s">
        <v>5853</v>
      </c>
      <c r="L304" s="1" t="s">
        <v>5874</v>
      </c>
      <c r="M304" s="1"/>
      <c r="N304" s="1" t="s">
        <v>6927</v>
      </c>
      <c r="V304" s="1"/>
      <c r="W304" s="1"/>
    </row>
    <row r="305" spans="1:23" ht="87" x14ac:dyDescent="0.35">
      <c r="A305" s="121" t="s">
        <v>3360</v>
      </c>
      <c r="B305" s="99" t="s">
        <v>4344</v>
      </c>
      <c r="C305" s="121" t="str" cm="1">
        <f t="array" ref="C305:F305">_xlfn.TEXTSPLIT('איחוד שאלות'!$B305,"_")</f>
        <v>perception</v>
      </c>
      <c r="D305" s="99" t="str">
        <v>difference</v>
      </c>
      <c r="E305" s="99" t="str">
        <v>party</v>
      </c>
      <c r="F305" s="99" t="str">
        <v>security</v>
      </c>
      <c r="G305" s="100"/>
      <c r="H305" s="136" t="s">
        <v>3383</v>
      </c>
      <c r="I305" s="1" t="s">
        <v>5844</v>
      </c>
      <c r="J305" s="1" t="s">
        <v>6024</v>
      </c>
      <c r="K305" s="1" t="s">
        <v>5853</v>
      </c>
      <c r="L305" s="1" t="s">
        <v>5994</v>
      </c>
      <c r="M305" s="1"/>
      <c r="N305" s="1" t="s">
        <v>6928</v>
      </c>
      <c r="V305" s="1"/>
      <c r="W305" s="1"/>
    </row>
    <row r="306" spans="1:23" ht="101.5" x14ac:dyDescent="0.35">
      <c r="A306" s="113" t="s">
        <v>3361</v>
      </c>
      <c r="B306" s="102" t="s">
        <v>4345</v>
      </c>
      <c r="C306" s="123" t="str" cm="1">
        <f t="array" ref="C306:F306">_xlfn.TEXTSPLIT('איחוד שאלות'!$B306,"_")</f>
        <v>perception</v>
      </c>
      <c r="D306" s="102" t="str">
        <v>difference</v>
      </c>
      <c r="E306" s="102" t="str">
        <v>party</v>
      </c>
      <c r="F306" s="102" t="str">
        <v>democracy</v>
      </c>
      <c r="G306" s="103"/>
      <c r="H306" s="135" t="s">
        <v>3383</v>
      </c>
      <c r="I306" s="1" t="s">
        <v>5844</v>
      </c>
      <c r="J306" s="1" t="s">
        <v>6024</v>
      </c>
      <c r="K306" s="1" t="s">
        <v>5853</v>
      </c>
      <c r="L306" s="1" t="s">
        <v>5883</v>
      </c>
      <c r="M306" s="16"/>
      <c r="N306" s="1" t="s">
        <v>6929</v>
      </c>
    </row>
    <row r="307" spans="1:23" ht="87" x14ac:dyDescent="0.35">
      <c r="A307" s="121" t="s">
        <v>3362</v>
      </c>
      <c r="B307" s="99" t="s">
        <v>4346</v>
      </c>
      <c r="C307" s="121" t="str" cm="1">
        <f t="array" ref="C307:F307">_xlfn.TEXTSPLIT('איחוד שאלות'!$B307,"_")</f>
        <v>perception</v>
      </c>
      <c r="D307" s="99" t="str">
        <v>difference</v>
      </c>
      <c r="E307" s="99" t="str">
        <v>party</v>
      </c>
      <c r="F307" s="99" t="str">
        <v>iran</v>
      </c>
      <c r="G307" s="100"/>
      <c r="H307" s="136" t="s">
        <v>3383</v>
      </c>
      <c r="I307" s="1" t="s">
        <v>5844</v>
      </c>
      <c r="J307" s="1" t="s">
        <v>6024</v>
      </c>
      <c r="K307" s="1" t="s">
        <v>5853</v>
      </c>
      <c r="L307" s="1" t="s">
        <v>6026</v>
      </c>
      <c r="M307" s="16"/>
      <c r="N307" s="1" t="s">
        <v>6930</v>
      </c>
    </row>
    <row r="308" spans="1:23" ht="87" x14ac:dyDescent="0.35">
      <c r="A308" s="113" t="s">
        <v>3363</v>
      </c>
      <c r="B308" s="102" t="s">
        <v>4347</v>
      </c>
      <c r="C308" s="123" t="str" cm="1">
        <f t="array" ref="C308:F308">_xlfn.TEXTSPLIT('איחוד שאלות'!$B308,"_")</f>
        <v>perception</v>
      </c>
      <c r="D308" s="102" t="str">
        <v>difference</v>
      </c>
      <c r="E308" s="102" t="str">
        <v>party</v>
      </c>
      <c r="F308" s="102" t="str">
        <v>jerusalem</v>
      </c>
      <c r="G308" s="103"/>
      <c r="H308" s="135" t="s">
        <v>3383</v>
      </c>
      <c r="I308" s="1" t="s">
        <v>5844</v>
      </c>
      <c r="J308" s="1" t="s">
        <v>6024</v>
      </c>
      <c r="K308" s="1" t="s">
        <v>5853</v>
      </c>
      <c r="L308" s="1" t="s">
        <v>6027</v>
      </c>
      <c r="M308" s="16"/>
      <c r="N308" s="1" t="s">
        <v>6931</v>
      </c>
    </row>
    <row r="309" spans="1:23" ht="87" x14ac:dyDescent="0.35">
      <c r="A309" s="121" t="s">
        <v>3364</v>
      </c>
      <c r="B309" s="99" t="s">
        <v>4348</v>
      </c>
      <c r="C309" s="121" t="str" cm="1">
        <f t="array" ref="C309:F309">_xlfn.TEXTSPLIT('איחוד שאלות'!$B309,"_")</f>
        <v>perception</v>
      </c>
      <c r="D309" s="99" t="str">
        <v>difference</v>
      </c>
      <c r="E309" s="99" t="str">
        <v>party</v>
      </c>
      <c r="F309" s="99" t="str">
        <v>lebanon</v>
      </c>
      <c r="G309" s="100"/>
      <c r="H309" s="136" t="s">
        <v>3383</v>
      </c>
      <c r="I309" s="1" t="s">
        <v>5844</v>
      </c>
      <c r="J309" s="1" t="s">
        <v>6024</v>
      </c>
      <c r="K309" s="1" t="s">
        <v>5853</v>
      </c>
      <c r="L309" s="1" t="s">
        <v>6028</v>
      </c>
      <c r="M309" s="16"/>
      <c r="N309" s="1" t="s">
        <v>6932</v>
      </c>
    </row>
    <row r="310" spans="1:23" ht="87" x14ac:dyDescent="0.35">
      <c r="A310" s="113" t="s">
        <v>3365</v>
      </c>
      <c r="B310" s="102" t="s">
        <v>4349</v>
      </c>
      <c r="C310" s="123" t="str" cm="1">
        <f t="array" ref="C310:F310">_xlfn.TEXTSPLIT('איחוד שאלות'!$B310,"_")</f>
        <v>perception</v>
      </c>
      <c r="D310" s="102" t="str">
        <v>difference</v>
      </c>
      <c r="E310" s="102" t="str">
        <v>party</v>
      </c>
      <c r="F310" s="102" t="str">
        <v>corruption</v>
      </c>
      <c r="G310" s="103"/>
      <c r="H310" s="135" t="s">
        <v>3383</v>
      </c>
      <c r="I310" s="1" t="s">
        <v>5844</v>
      </c>
      <c r="J310" s="1" t="s">
        <v>6024</v>
      </c>
      <c r="K310" s="1" t="s">
        <v>5853</v>
      </c>
      <c r="L310" s="1" t="s">
        <v>6029</v>
      </c>
      <c r="M310" s="16"/>
      <c r="N310" s="1" t="s">
        <v>6933</v>
      </c>
    </row>
    <row r="311" spans="1:23" ht="101.5" x14ac:dyDescent="0.35">
      <c r="A311" s="121" t="s">
        <v>3366</v>
      </c>
      <c r="B311" s="99" t="s">
        <v>4350</v>
      </c>
      <c r="C311" s="121" t="str" cm="1">
        <f t="array" ref="C311:E311">_xlfn.TEXTSPLIT('איחוד שאלות'!$B311,"_")</f>
        <v>perception</v>
      </c>
      <c r="D311" s="99" t="str">
        <v>leftright</v>
      </c>
      <c r="E311" s="99" t="str">
        <v>likud</v>
      </c>
      <c r="F311" s="99"/>
      <c r="G311" s="100"/>
      <c r="H311" s="136" t="s">
        <v>3383</v>
      </c>
      <c r="I311" s="1" t="s">
        <v>5844</v>
      </c>
      <c r="J311" s="1" t="s">
        <v>6013</v>
      </c>
      <c r="K311" s="1" t="s">
        <v>6030</v>
      </c>
      <c r="L311" s="1"/>
      <c r="M311" s="16"/>
      <c r="N311" s="1" t="s">
        <v>6934</v>
      </c>
    </row>
    <row r="312" spans="1:23" ht="101.5" x14ac:dyDescent="0.35">
      <c r="A312" s="113" t="s">
        <v>3367</v>
      </c>
      <c r="B312" s="102" t="s">
        <v>4351</v>
      </c>
      <c r="C312" s="123" t="str" cm="1">
        <f t="array" ref="C312:E312">_xlfn.TEXTSPLIT('איחוד שאלות'!$B312,"_")</f>
        <v>perception</v>
      </c>
      <c r="D312" s="102" t="str">
        <v>leftright</v>
      </c>
      <c r="E312" s="102" t="str">
        <v>haavoda</v>
      </c>
      <c r="F312" s="102"/>
      <c r="G312" s="103"/>
      <c r="H312" s="135" t="s">
        <v>3383</v>
      </c>
      <c r="I312" s="1" t="s">
        <v>5844</v>
      </c>
      <c r="J312" s="1" t="s">
        <v>6013</v>
      </c>
      <c r="K312" s="1" t="s">
        <v>6031</v>
      </c>
      <c r="L312" s="1"/>
      <c r="M312" s="16"/>
      <c r="N312" s="1" t="s">
        <v>6935</v>
      </c>
    </row>
    <row r="313" spans="1:23" ht="101.5" x14ac:dyDescent="0.35">
      <c r="A313" s="121" t="s">
        <v>3368</v>
      </c>
      <c r="B313" s="99" t="s">
        <v>4352</v>
      </c>
      <c r="C313" s="121" t="str" cm="1">
        <f t="array" ref="C313:E313">_xlfn.TEXTSPLIT('איחוד שאלות'!$B313,"_")</f>
        <v>perception</v>
      </c>
      <c r="D313" s="99" t="str">
        <v>leftright</v>
      </c>
      <c r="E313" s="99" t="str">
        <v>kadima</v>
      </c>
      <c r="F313" s="99"/>
      <c r="G313" s="100"/>
      <c r="H313" s="136" t="s">
        <v>3383</v>
      </c>
      <c r="I313" s="1" t="s">
        <v>5844</v>
      </c>
      <c r="J313" s="1" t="s">
        <v>6013</v>
      </c>
      <c r="K313" s="1" t="s">
        <v>6032</v>
      </c>
      <c r="L313" s="1"/>
      <c r="M313" s="16"/>
      <c r="N313" s="1" t="s">
        <v>6936</v>
      </c>
    </row>
    <row r="314" spans="1:23" ht="101.5" x14ac:dyDescent="0.35">
      <c r="A314" s="113" t="s">
        <v>3369</v>
      </c>
      <c r="B314" s="102" t="s">
        <v>4353</v>
      </c>
      <c r="C314" s="123" t="str" cm="1">
        <f t="array" ref="C314:E314">_xlfn.TEXTSPLIT('איחוד שאלות'!$B314,"_")</f>
        <v>perception</v>
      </c>
      <c r="D314" s="102" t="str">
        <v>leftright</v>
      </c>
      <c r="E314" s="102" t="str">
        <v>shas</v>
      </c>
      <c r="F314" s="102"/>
      <c r="G314" s="103"/>
      <c r="H314" s="135" t="s">
        <v>3383</v>
      </c>
      <c r="I314" s="1" t="s">
        <v>5844</v>
      </c>
      <c r="J314" s="1" t="s">
        <v>6013</v>
      </c>
      <c r="K314" s="1" t="s">
        <v>6033</v>
      </c>
      <c r="L314" s="1"/>
      <c r="M314" s="16"/>
      <c r="N314" s="1" t="s">
        <v>6937</v>
      </c>
    </row>
    <row r="315" spans="1:23" ht="101.5" x14ac:dyDescent="0.35">
      <c r="A315" s="121" t="s">
        <v>3370</v>
      </c>
      <c r="B315" s="99" t="s">
        <v>4354</v>
      </c>
      <c r="C315" s="121" t="str" cm="1">
        <f t="array" ref="C315:E315">_xlfn.TEXTSPLIT('איחוד שאלות'!$B315,"_")</f>
        <v>perception</v>
      </c>
      <c r="D315" s="99" t="str">
        <v>leftright</v>
      </c>
      <c r="E315" s="99" t="str">
        <v>habayithayehudi</v>
      </c>
      <c r="F315" s="99"/>
      <c r="G315" s="100"/>
      <c r="H315" s="136" t="s">
        <v>3383</v>
      </c>
      <c r="I315" s="1" t="s">
        <v>5844</v>
      </c>
      <c r="J315" s="1" t="s">
        <v>6013</v>
      </c>
      <c r="K315" s="1" t="s">
        <v>6034</v>
      </c>
      <c r="L315" s="1"/>
      <c r="M315" s="16"/>
      <c r="N315" s="1" t="s">
        <v>6938</v>
      </c>
    </row>
    <row r="316" spans="1:23" ht="101.5" x14ac:dyDescent="0.35">
      <c r="A316" s="113" t="s">
        <v>3371</v>
      </c>
      <c r="B316" s="102" t="s">
        <v>4355</v>
      </c>
      <c r="C316" s="123" t="str" cm="1">
        <f t="array" ref="C316:E316">_xlfn.TEXTSPLIT('איחוד שאלות'!$B316,"_")</f>
        <v>perception</v>
      </c>
      <c r="D316" s="102" t="str">
        <v>leftright</v>
      </c>
      <c r="E316" s="102" t="str">
        <v>yisraelbeiteinu</v>
      </c>
      <c r="F316" s="102"/>
      <c r="G316" s="103"/>
      <c r="H316" s="135" t="s">
        <v>3383</v>
      </c>
      <c r="I316" s="1" t="s">
        <v>5844</v>
      </c>
      <c r="J316" s="1" t="s">
        <v>6013</v>
      </c>
      <c r="K316" s="1" t="s">
        <v>6035</v>
      </c>
      <c r="L316" s="1"/>
      <c r="M316" s="16"/>
      <c r="N316" s="1" t="s">
        <v>6939</v>
      </c>
    </row>
    <row r="317" spans="1:23" ht="87" x14ac:dyDescent="0.35">
      <c r="A317" s="121" t="s">
        <v>3372</v>
      </c>
      <c r="B317" s="99" t="s">
        <v>4356</v>
      </c>
      <c r="C317" s="121" t="str" cm="1">
        <f t="array" ref="C317:E317">_xlfn.TEXTSPLIT('איחוד שאלות'!$B317,"_")</f>
        <v>perception</v>
      </c>
      <c r="D317" s="99" t="str">
        <v>leftright</v>
      </c>
      <c r="E317" s="99" t="str">
        <v>meretz</v>
      </c>
      <c r="F317" s="99"/>
      <c r="G317" s="100"/>
      <c r="H317" s="136" t="s">
        <v>3383</v>
      </c>
      <c r="I317" s="1" t="s">
        <v>5844</v>
      </c>
      <c r="J317" s="1" t="s">
        <v>6013</v>
      </c>
      <c r="K317" s="1" t="s">
        <v>6036</v>
      </c>
      <c r="L317" s="1"/>
      <c r="M317" s="16"/>
      <c r="N317" s="1" t="s">
        <v>6940</v>
      </c>
    </row>
    <row r="318" spans="1:23" ht="101.5" x14ac:dyDescent="0.35">
      <c r="A318" s="113" t="s">
        <v>3373</v>
      </c>
      <c r="B318" s="102" t="s">
        <v>4357</v>
      </c>
      <c r="C318" s="123" t="str" cm="1">
        <f t="array" ref="C318:E318">_xlfn.TEXTSPLIT('איחוד שאלות'!$B318,"_")</f>
        <v>perception</v>
      </c>
      <c r="D318" s="102" t="str">
        <v>leftright</v>
      </c>
      <c r="E318" s="102" t="str">
        <v>kahollavan</v>
      </c>
      <c r="F318" s="102"/>
      <c r="G318" s="103"/>
      <c r="H318" s="135" t="s">
        <v>3383</v>
      </c>
      <c r="I318" s="2" t="s">
        <v>5844</v>
      </c>
      <c r="J318" s="2" t="s">
        <v>6013</v>
      </c>
      <c r="K318" s="2" t="s">
        <v>6037</v>
      </c>
      <c r="N318" s="1" t="s">
        <v>6941</v>
      </c>
    </row>
    <row r="319" spans="1:23" ht="101.5" x14ac:dyDescent="0.35">
      <c r="A319" s="121" t="s">
        <v>3374</v>
      </c>
      <c r="B319" s="99" t="s">
        <v>4358</v>
      </c>
      <c r="C319" s="121" t="str" cm="1">
        <f t="array" ref="C319:E319">_xlfn.TEXTSPLIT('איחוד שאלות'!$B319,"_")</f>
        <v>perception</v>
      </c>
      <c r="D319" s="99" t="str">
        <v>leftright</v>
      </c>
      <c r="E319" s="99" t="str">
        <v>yeshatid</v>
      </c>
      <c r="F319" s="99"/>
      <c r="G319" s="100"/>
      <c r="H319" s="136" t="s">
        <v>3383</v>
      </c>
      <c r="I319" s="2" t="s">
        <v>5844</v>
      </c>
      <c r="J319" s="2" t="s">
        <v>6013</v>
      </c>
      <c r="K319" s="2" t="s">
        <v>6038</v>
      </c>
      <c r="N319" s="1" t="s">
        <v>6942</v>
      </c>
    </row>
    <row r="320" spans="1:23" ht="101.5" x14ac:dyDescent="0.35">
      <c r="A320" s="113" t="s">
        <v>3375</v>
      </c>
      <c r="B320" s="102" t="s">
        <v>4359</v>
      </c>
      <c r="C320" s="123" t="str" cm="1">
        <f t="array" ref="C320:E320">_xlfn.TEXTSPLIT('איחוד שאלות'!$B320,"_")</f>
        <v>perception</v>
      </c>
      <c r="D320" s="102" t="str">
        <v>leftright</v>
      </c>
      <c r="E320" s="102" t="str">
        <v>tikvahadasha</v>
      </c>
      <c r="F320" s="102"/>
      <c r="G320" s="103"/>
      <c r="H320" s="135" t="s">
        <v>3383</v>
      </c>
      <c r="I320" s="2" t="s">
        <v>5844</v>
      </c>
      <c r="J320" s="2" t="s">
        <v>6013</v>
      </c>
      <c r="K320" s="2" t="s">
        <v>6039</v>
      </c>
      <c r="N320" s="1" t="s">
        <v>6943</v>
      </c>
    </row>
    <row r="321" spans="1:14" ht="101.5" x14ac:dyDescent="0.35">
      <c r="A321" s="121" t="s">
        <v>3376</v>
      </c>
      <c r="B321" s="99" t="s">
        <v>4360</v>
      </c>
      <c r="C321" s="121" t="str" cm="1">
        <f t="array" ref="C321:E321">_xlfn.TEXTSPLIT('איחוד שאלות'!$B321,"_")</f>
        <v>perception</v>
      </c>
      <c r="D321" s="99" t="str">
        <v>leftright</v>
      </c>
      <c r="E321" s="99" t="str">
        <v>yamina</v>
      </c>
      <c r="F321" s="99"/>
      <c r="G321" s="100"/>
      <c r="H321" s="136" t="s">
        <v>3383</v>
      </c>
      <c r="I321" s="2" t="s">
        <v>5844</v>
      </c>
      <c r="J321" s="2" t="s">
        <v>6013</v>
      </c>
      <c r="K321" s="2" t="s">
        <v>6040</v>
      </c>
      <c r="N321" s="1" t="s">
        <v>6944</v>
      </c>
    </row>
    <row r="322" spans="1:14" ht="101.5" x14ac:dyDescent="0.35">
      <c r="A322" s="113" t="s">
        <v>3377</v>
      </c>
      <c r="B322" s="102" t="s">
        <v>4361</v>
      </c>
      <c r="C322" s="123" t="str" cm="1">
        <f t="array" ref="C322:E322">_xlfn.TEXTSPLIT('איחוד שאלות'!$B322,"_")</f>
        <v>perception</v>
      </c>
      <c r="D322" s="102" t="str">
        <v>leftright</v>
      </c>
      <c r="E322" s="102" t="str">
        <v>yahaduthatora</v>
      </c>
      <c r="F322" s="102"/>
      <c r="G322" s="103"/>
      <c r="H322" s="135" t="s">
        <v>3383</v>
      </c>
      <c r="I322" s="2" t="s">
        <v>5844</v>
      </c>
      <c r="J322" s="2" t="s">
        <v>6013</v>
      </c>
      <c r="K322" s="2" t="s">
        <v>6041</v>
      </c>
      <c r="N322" s="1" t="s">
        <v>6945</v>
      </c>
    </row>
    <row r="323" spans="1:14" ht="101.5" x14ac:dyDescent="0.35">
      <c r="A323" s="121" t="s">
        <v>3378</v>
      </c>
      <c r="B323" s="99" t="s">
        <v>4362</v>
      </c>
      <c r="C323" s="121" t="str" cm="1">
        <f t="array" ref="C323:E323">_xlfn.TEXTSPLIT('איחוד שאלות'!$B323,"_")</f>
        <v>perception</v>
      </c>
      <c r="D323" s="99" t="str">
        <v>leftright</v>
      </c>
      <c r="E323" s="99" t="str">
        <v>hareshimahameshutefet</v>
      </c>
      <c r="F323" s="99"/>
      <c r="G323" s="100"/>
      <c r="H323" s="136" t="s">
        <v>3383</v>
      </c>
      <c r="I323" s="2" t="s">
        <v>5844</v>
      </c>
      <c r="J323" s="2" t="s">
        <v>6013</v>
      </c>
      <c r="K323" s="2" t="s">
        <v>6042</v>
      </c>
      <c r="N323" s="1" t="s">
        <v>6946</v>
      </c>
    </row>
    <row r="324" spans="1:14" ht="101.5" x14ac:dyDescent="0.35">
      <c r="A324" s="113" t="s">
        <v>3379</v>
      </c>
      <c r="B324" s="102" t="s">
        <v>4363</v>
      </c>
      <c r="C324" s="123" t="str" cm="1">
        <f t="array" ref="C324:E324">_xlfn.TEXTSPLIT('איחוד שאלות'!$B324,"_")</f>
        <v>perception</v>
      </c>
      <c r="D324" s="102" t="str">
        <v>leftright</v>
      </c>
      <c r="E324" s="102" t="str">
        <v>raam</v>
      </c>
      <c r="F324" s="102"/>
      <c r="G324" s="103"/>
      <c r="H324" s="135" t="s">
        <v>3383</v>
      </c>
      <c r="I324" s="2" t="s">
        <v>5844</v>
      </c>
      <c r="J324" s="2" t="s">
        <v>6013</v>
      </c>
      <c r="K324" s="2" t="s">
        <v>6043</v>
      </c>
      <c r="N324" s="1" t="s">
        <v>6947</v>
      </c>
    </row>
    <row r="325" spans="1:14" ht="72.5" x14ac:dyDescent="0.35">
      <c r="A325" s="121" t="s">
        <v>1329</v>
      </c>
      <c r="B325" s="99" t="s">
        <v>4364</v>
      </c>
      <c r="C325" s="121" t="str" cm="1">
        <f t="array" ref="C325:F325">_xlfn.TEXTSPLIT('איחוד שאלות'!$B325,"_")</f>
        <v>perception</v>
      </c>
      <c r="D325" s="99" t="str">
        <v>expectation</v>
      </c>
      <c r="E325" s="99" t="str">
        <v>belonging</v>
      </c>
      <c r="F325" s="99" t="str">
        <v>convertion</v>
      </c>
      <c r="G325" s="100"/>
      <c r="H325" s="136" t="s">
        <v>3383</v>
      </c>
      <c r="I325" s="2" t="s">
        <v>5844</v>
      </c>
      <c r="J325" s="2" t="s">
        <v>5850</v>
      </c>
      <c r="K325" s="2" t="s">
        <v>5965</v>
      </c>
      <c r="L325" s="2" t="s">
        <v>6044</v>
      </c>
      <c r="N325" s="1" t="s">
        <v>1329</v>
      </c>
    </row>
    <row r="326" spans="1:14" ht="101.5" x14ac:dyDescent="0.35">
      <c r="A326" s="113" t="s">
        <v>2847</v>
      </c>
      <c r="B326" s="102" t="s">
        <v>4365</v>
      </c>
      <c r="C326" s="123" t="str" cm="1">
        <f t="array" ref="C326:F326">_xlfn.TEXTSPLIT('איחוד שאלות'!$B326,"_")</f>
        <v>perception</v>
      </c>
      <c r="D326" s="102" t="str">
        <v>difference</v>
      </c>
      <c r="E326" s="102" t="str">
        <v>party</v>
      </c>
      <c r="F326" s="102" t="str">
        <v>talkvsact</v>
      </c>
      <c r="G326" s="103"/>
      <c r="H326" s="135" t="s">
        <v>3383</v>
      </c>
      <c r="I326" s="2" t="s">
        <v>5844</v>
      </c>
      <c r="J326" s="2" t="s">
        <v>6024</v>
      </c>
      <c r="K326" s="2" t="s">
        <v>5853</v>
      </c>
      <c r="L326" s="2" t="s">
        <v>6045</v>
      </c>
      <c r="N326" s="1" t="s">
        <v>2847</v>
      </c>
    </row>
    <row r="327" spans="1:14" ht="43.5" x14ac:dyDescent="0.35">
      <c r="A327" s="121" t="s">
        <v>2321</v>
      </c>
      <c r="B327" s="99" t="s">
        <v>4544</v>
      </c>
      <c r="C327" s="121" t="str" cm="1">
        <f t="array" ref="C327:F327">_xlfn.TEXTSPLIT('איחוד שאלות'!$B327,"_")</f>
        <v>perception</v>
      </c>
      <c r="D327" s="99" t="str">
        <v>party</v>
      </c>
      <c r="E327" s="99" t="str">
        <v>hawkvsdove</v>
      </c>
      <c r="F327" s="99" t="str">
        <v>likud</v>
      </c>
      <c r="G327" s="100"/>
      <c r="H327" s="136" t="s">
        <v>3383</v>
      </c>
      <c r="I327" s="2" t="s">
        <v>5844</v>
      </c>
      <c r="J327" s="2" t="s">
        <v>5853</v>
      </c>
      <c r="K327" s="2" t="s">
        <v>6046</v>
      </c>
      <c r="L327" s="2" t="s">
        <v>6030</v>
      </c>
      <c r="N327" s="1" t="s">
        <v>2321</v>
      </c>
    </row>
    <row r="328" spans="1:14" ht="43.5" x14ac:dyDescent="0.35">
      <c r="A328" s="113" t="s">
        <v>2322</v>
      </c>
      <c r="B328" s="102" t="s">
        <v>4545</v>
      </c>
      <c r="C328" s="123" t="str" cm="1">
        <f t="array" ref="C328:F328">_xlfn.TEXTSPLIT('איחוד שאלות'!$B328,"_")</f>
        <v>perception</v>
      </c>
      <c r="D328" s="102" t="str">
        <v>party</v>
      </c>
      <c r="E328" s="102" t="str">
        <v>hawkvsdove</v>
      </c>
      <c r="F328" s="102" t="str">
        <v>hamaarakh</v>
      </c>
      <c r="G328" s="103"/>
      <c r="H328" s="135" t="s">
        <v>3383</v>
      </c>
      <c r="I328" s="2" t="s">
        <v>5844</v>
      </c>
      <c r="J328" s="2" t="s">
        <v>5853</v>
      </c>
      <c r="K328" s="2" t="s">
        <v>6046</v>
      </c>
      <c r="L328" s="2" t="s">
        <v>6047</v>
      </c>
      <c r="N328" s="1" t="s">
        <v>2322</v>
      </c>
    </row>
    <row r="329" spans="1:14" ht="72.5" x14ac:dyDescent="0.35">
      <c r="A329" s="121" t="s">
        <v>2341</v>
      </c>
      <c r="B329" s="99" t="s">
        <v>4366</v>
      </c>
      <c r="C329" s="121" t="str" cm="1">
        <f t="array" ref="C329:E329">_xlfn.TEXTSPLIT('איחוד שאלות'!$B329,"_")</f>
        <v>perception</v>
      </c>
      <c r="D329" s="99" t="str">
        <v>importance</v>
      </c>
      <c r="E329" s="99" t="str">
        <v>leftright</v>
      </c>
      <c r="F329" s="99"/>
      <c r="G329" s="100"/>
      <c r="H329" s="136" t="s">
        <v>3383</v>
      </c>
      <c r="I329" s="2" t="s">
        <v>5844</v>
      </c>
      <c r="J329" s="2" t="s">
        <v>5857</v>
      </c>
      <c r="K329" s="2" t="s">
        <v>6013</v>
      </c>
      <c r="N329" s="1" t="s">
        <v>2341</v>
      </c>
    </row>
    <row r="330" spans="1:14" ht="87" x14ac:dyDescent="0.35">
      <c r="A330" s="113" t="s">
        <v>3380</v>
      </c>
      <c r="B330" s="102" t="s">
        <v>5560</v>
      </c>
      <c r="C330" s="123" t="str" cm="1">
        <f t="array" ref="C330:G330">_xlfn.TEXTSPLIT('איחוד שאלות'!$B330,"_")</f>
        <v>perception</v>
      </c>
      <c r="D330" s="102" t="str">
        <v>difference</v>
      </c>
      <c r="E330" s="102" t="str">
        <v>party</v>
      </c>
      <c r="F330" s="102" t="str">
        <v>clarity</v>
      </c>
      <c r="G330" s="103" t="str">
        <v>territories</v>
      </c>
      <c r="H330" s="135" t="s">
        <v>3383</v>
      </c>
      <c r="I330" s="2" t="s">
        <v>5844</v>
      </c>
      <c r="J330" s="2" t="s">
        <v>6024</v>
      </c>
      <c r="K330" s="2" t="s">
        <v>5853</v>
      </c>
      <c r="L330" s="2" t="s">
        <v>5971</v>
      </c>
      <c r="M330" s="2" t="s">
        <v>6048</v>
      </c>
      <c r="N330" s="1" t="s">
        <v>6948</v>
      </c>
    </row>
    <row r="331" spans="1:14" ht="58" x14ac:dyDescent="0.35">
      <c r="A331" s="121" t="s">
        <v>3381</v>
      </c>
      <c r="B331" s="99" t="s">
        <v>5561</v>
      </c>
      <c r="C331" s="121" t="str" cm="1">
        <f t="array" ref="C331:G331">_xlfn.TEXTSPLIT('איחוד שאלות'!$B331,"_")</f>
        <v>perception</v>
      </c>
      <c r="D331" s="99" t="str">
        <v>difference</v>
      </c>
      <c r="E331" s="99" t="str">
        <v>party</v>
      </c>
      <c r="F331" s="99" t="str">
        <v>clarity</v>
      </c>
      <c r="G331" s="100" t="str">
        <v>economic</v>
      </c>
      <c r="H331" s="136" t="s">
        <v>3383</v>
      </c>
      <c r="I331" s="2" t="s">
        <v>5844</v>
      </c>
      <c r="J331" s="2" t="s">
        <v>6024</v>
      </c>
      <c r="K331" s="2" t="s">
        <v>5853</v>
      </c>
      <c r="L331" s="2" t="s">
        <v>5971</v>
      </c>
      <c r="M331" s="2" t="s">
        <v>6008</v>
      </c>
      <c r="N331" s="1" t="s">
        <v>6949</v>
      </c>
    </row>
    <row r="332" spans="1:14" ht="58" x14ac:dyDescent="0.35">
      <c r="A332" s="113" t="s">
        <v>3382</v>
      </c>
      <c r="B332" s="102" t="s">
        <v>5562</v>
      </c>
      <c r="C332" s="123" t="str" cm="1">
        <f t="array" ref="C332:G332">_xlfn.TEXTSPLIT('איחוד שאלות'!$B332,"_")</f>
        <v>perception</v>
      </c>
      <c r="D332" s="102" t="str">
        <v>difference</v>
      </c>
      <c r="E332" s="102" t="str">
        <v>party</v>
      </c>
      <c r="F332" s="102" t="str">
        <v>clarity</v>
      </c>
      <c r="G332" s="103" t="str">
        <v>socio</v>
      </c>
      <c r="H332" s="135" t="s">
        <v>3383</v>
      </c>
      <c r="I332" s="2" t="s">
        <v>5844</v>
      </c>
      <c r="J332" s="2" t="s">
        <v>6024</v>
      </c>
      <c r="K332" s="2" t="s">
        <v>5853</v>
      </c>
      <c r="L332" s="2" t="s">
        <v>5971</v>
      </c>
      <c r="M332" s="2" t="s">
        <v>6009</v>
      </c>
      <c r="N332" s="1" t="s">
        <v>6950</v>
      </c>
    </row>
    <row r="333" spans="1:14" ht="87" x14ac:dyDescent="0.35">
      <c r="A333" s="121" t="s">
        <v>2737</v>
      </c>
      <c r="B333" s="99" t="s">
        <v>4367</v>
      </c>
      <c r="C333" s="121" t="str" cm="1">
        <f t="array" ref="C333:G333">_xlfn.TEXTSPLIT('איחוד שאלות'!$B333,"_")</f>
        <v>perception</v>
      </c>
      <c r="D333" s="99" t="str">
        <v>elections</v>
      </c>
      <c r="E333" s="99" t="str">
        <v>knowledge</v>
      </c>
      <c r="F333" s="99" t="str">
        <v>party</v>
      </c>
      <c r="G333" s="100" t="str">
        <v>problem</v>
      </c>
      <c r="H333" s="136" t="s">
        <v>3383</v>
      </c>
      <c r="I333" s="138" t="s">
        <v>5844</v>
      </c>
      <c r="J333" s="139" t="s">
        <v>5954</v>
      </c>
      <c r="K333" s="2" t="s">
        <v>5942</v>
      </c>
      <c r="L333" s="2" t="s">
        <v>5853</v>
      </c>
      <c r="M333" s="2" t="s">
        <v>5849</v>
      </c>
      <c r="N333" s="1" t="s">
        <v>2737</v>
      </c>
    </row>
    <row r="334" spans="1:14" ht="72.5" x14ac:dyDescent="0.35">
      <c r="A334" s="113" t="s">
        <v>2849</v>
      </c>
      <c r="B334" s="102" t="s">
        <v>4368</v>
      </c>
      <c r="C334" s="123" t="str" cm="1">
        <f t="array" ref="C334:G334">_xlfn.TEXTSPLIT('איחוד שאלות'!$B334,"_")</f>
        <v>affect</v>
      </c>
      <c r="D334" s="102" t="str">
        <v>importance</v>
      </c>
      <c r="E334" s="102" t="str">
        <v>knowledge</v>
      </c>
      <c r="F334" s="102" t="str">
        <v>party</v>
      </c>
      <c r="G334" s="103" t="str">
        <v>problem</v>
      </c>
      <c r="H334" s="135" t="s">
        <v>3383</v>
      </c>
      <c r="I334" s="140" t="s">
        <v>5815</v>
      </c>
      <c r="J334" s="141" t="s">
        <v>5857</v>
      </c>
      <c r="K334" s="2" t="s">
        <v>5942</v>
      </c>
      <c r="L334" s="2" t="s">
        <v>5853</v>
      </c>
      <c r="M334" s="2" t="s">
        <v>5849</v>
      </c>
      <c r="N334" s="1" t="s">
        <v>2849</v>
      </c>
    </row>
    <row r="335" spans="1:14" ht="43.5" x14ac:dyDescent="0.35">
      <c r="A335" s="121" t="s">
        <v>2846</v>
      </c>
      <c r="B335" s="99" t="s">
        <v>4340</v>
      </c>
      <c r="C335" s="121" t="str" cm="1">
        <f t="array" ref="C335:E335">_xlfn.TEXTSPLIT('איחוד שאלות'!$B335,"_")</f>
        <v>perception</v>
      </c>
      <c r="D335" s="99" t="str">
        <v>difference</v>
      </c>
      <c r="E335" s="99" t="str">
        <v>party</v>
      </c>
      <c r="F335" s="99"/>
      <c r="G335" s="100"/>
      <c r="H335" s="136" t="s">
        <v>3383</v>
      </c>
      <c r="I335" s="138" t="s">
        <v>5844</v>
      </c>
      <c r="J335" s="139" t="s">
        <v>6024</v>
      </c>
      <c r="K335" s="2" t="s">
        <v>5853</v>
      </c>
      <c r="N335" s="1" t="s">
        <v>2846</v>
      </c>
    </row>
    <row r="336" spans="1:14" ht="43.5" x14ac:dyDescent="0.35">
      <c r="A336" s="113" t="s">
        <v>2886</v>
      </c>
      <c r="B336" s="102" t="s">
        <v>4370</v>
      </c>
      <c r="C336" s="123" t="str" cm="1">
        <f t="array" ref="C336:F336">_xlfn.TEXTSPLIT('איחוד שאלות'!$B336,"_")</f>
        <v>perception</v>
      </c>
      <c r="D336" s="102" t="str">
        <v>leftright</v>
      </c>
      <c r="E336" s="102" t="str">
        <v>likud</v>
      </c>
      <c r="F336" s="102" t="str">
        <v>3</v>
      </c>
      <c r="G336" s="103"/>
      <c r="H336" s="135" t="s">
        <v>3383</v>
      </c>
      <c r="I336" s="140" t="s">
        <v>5844</v>
      </c>
      <c r="J336" s="141" t="s">
        <v>6013</v>
      </c>
      <c r="K336" s="2" t="s">
        <v>6030</v>
      </c>
      <c r="L336" s="2" t="s">
        <v>5791</v>
      </c>
      <c r="N336" s="1" t="s">
        <v>2886</v>
      </c>
    </row>
    <row r="337" spans="1:14" ht="43.5" x14ac:dyDescent="0.35">
      <c r="A337" s="121" t="s">
        <v>3384</v>
      </c>
      <c r="B337" s="99" t="s">
        <v>4371</v>
      </c>
      <c r="C337" s="121" t="str" cm="1">
        <f t="array" ref="C337:E337">_xlfn.TEXTSPLIT('איחוד שאלות'!$B337,"_")</f>
        <v>affect</v>
      </c>
      <c r="D337" s="99" t="str">
        <v>termo</v>
      </c>
      <c r="E337" s="99" t="str">
        <v>likud</v>
      </c>
      <c r="F337" s="99"/>
      <c r="G337" s="100"/>
      <c r="H337" s="136" t="s">
        <v>3533</v>
      </c>
      <c r="I337" s="138" t="s">
        <v>5815</v>
      </c>
      <c r="J337" s="139" t="s">
        <v>5930</v>
      </c>
      <c r="K337" s="2" t="s">
        <v>6030</v>
      </c>
      <c r="N337" s="1" t="s">
        <v>6951</v>
      </c>
    </row>
    <row r="338" spans="1:14" ht="43.5" x14ac:dyDescent="0.35">
      <c r="A338" s="113" t="s">
        <v>3385</v>
      </c>
      <c r="B338" s="102" t="s">
        <v>4372</v>
      </c>
      <c r="C338" s="123" t="str" cm="1">
        <f t="array" ref="C338:E338">_xlfn.TEXTSPLIT('איחוד שאלות'!$B338,"_")</f>
        <v>affect</v>
      </c>
      <c r="D338" s="102" t="str">
        <v>termo</v>
      </c>
      <c r="E338" s="102" t="str">
        <v>kahollavan</v>
      </c>
      <c r="F338" s="102"/>
      <c r="G338" s="103"/>
      <c r="H338" s="135" t="s">
        <v>3533</v>
      </c>
      <c r="I338" s="140" t="s">
        <v>5815</v>
      </c>
      <c r="J338" s="141" t="s">
        <v>5930</v>
      </c>
      <c r="K338" s="2" t="s">
        <v>6037</v>
      </c>
      <c r="N338" s="1" t="s">
        <v>6952</v>
      </c>
    </row>
    <row r="339" spans="1:14" ht="43.5" x14ac:dyDescent="0.35">
      <c r="A339" s="121" t="s">
        <v>3386</v>
      </c>
      <c r="B339" s="99" t="s">
        <v>4373</v>
      </c>
      <c r="C339" s="121" t="str" cm="1">
        <f t="array" ref="C339:E339">_xlfn.TEXTSPLIT('איחוד שאלות'!$B339,"_")</f>
        <v>affect</v>
      </c>
      <c r="D339" s="99" t="str">
        <v>termo</v>
      </c>
      <c r="E339" s="99" t="str">
        <v>yeshatid</v>
      </c>
      <c r="F339" s="99"/>
      <c r="G339" s="100"/>
      <c r="H339" s="136" t="s">
        <v>3533</v>
      </c>
      <c r="I339" s="138" t="s">
        <v>5815</v>
      </c>
      <c r="J339" s="139" t="s">
        <v>5930</v>
      </c>
      <c r="K339" s="2" t="s">
        <v>6038</v>
      </c>
      <c r="N339" s="1" t="s">
        <v>6953</v>
      </c>
    </row>
    <row r="340" spans="1:14" ht="29" x14ac:dyDescent="0.35">
      <c r="A340" s="113" t="s">
        <v>3387</v>
      </c>
      <c r="B340" s="102" t="s">
        <v>4374</v>
      </c>
      <c r="C340" s="123" t="str" cm="1">
        <f t="array" ref="C340:E340">_xlfn.TEXTSPLIT('איחוד שאלות'!$B340,"_")</f>
        <v>affect</v>
      </c>
      <c r="D340" s="102" t="str">
        <v>termo</v>
      </c>
      <c r="E340" s="102" t="str">
        <v>shinui</v>
      </c>
      <c r="F340" s="102"/>
      <c r="G340" s="103"/>
      <c r="H340" s="135" t="s">
        <v>3533</v>
      </c>
      <c r="I340" s="140" t="s">
        <v>5815</v>
      </c>
      <c r="J340" s="141" t="s">
        <v>5930</v>
      </c>
      <c r="K340" s="2" t="s">
        <v>6049</v>
      </c>
      <c r="N340" s="1" t="s">
        <v>6954</v>
      </c>
    </row>
    <row r="341" spans="1:14" ht="43.5" x14ac:dyDescent="0.35">
      <c r="A341" s="121" t="s">
        <v>3388</v>
      </c>
      <c r="B341" s="99" t="s">
        <v>4375</v>
      </c>
      <c r="C341" s="121" t="str" cm="1">
        <f t="array" ref="C341:E341">_xlfn.TEXTSPLIT('איחוד שאלות'!$B341,"_")</f>
        <v>affect</v>
      </c>
      <c r="D341" s="99" t="str">
        <v>termo</v>
      </c>
      <c r="E341" s="99" t="str">
        <v>miflegethamerkaz</v>
      </c>
      <c r="F341" s="99"/>
      <c r="G341" s="100"/>
      <c r="H341" s="136" t="s">
        <v>3533</v>
      </c>
      <c r="I341" s="138" t="s">
        <v>5815</v>
      </c>
      <c r="J341" s="139" t="s">
        <v>5930</v>
      </c>
      <c r="K341" s="2" t="s">
        <v>6050</v>
      </c>
      <c r="N341" s="1" t="s">
        <v>6955</v>
      </c>
    </row>
    <row r="342" spans="1:14" ht="43.5" x14ac:dyDescent="0.35">
      <c r="A342" s="113" t="s">
        <v>3389</v>
      </c>
      <c r="B342" s="102" t="s">
        <v>4376</v>
      </c>
      <c r="C342" s="123" t="str" cm="1">
        <f t="array" ref="C342:E342">_xlfn.TEXTSPLIT('איחוד שאלות'!$B342,"_")</f>
        <v>affect</v>
      </c>
      <c r="D342" s="102" t="str">
        <v>termo</v>
      </c>
      <c r="E342" s="102" t="str">
        <v>haavoda</v>
      </c>
      <c r="F342" s="102"/>
      <c r="G342" s="103"/>
      <c r="H342" s="135" t="s">
        <v>3533</v>
      </c>
      <c r="I342" s="140" t="s">
        <v>5815</v>
      </c>
      <c r="J342" s="141" t="s">
        <v>5930</v>
      </c>
      <c r="K342" s="2" t="s">
        <v>6031</v>
      </c>
      <c r="N342" s="1" t="s">
        <v>6956</v>
      </c>
    </row>
    <row r="343" spans="1:14" ht="43.5" x14ac:dyDescent="0.35">
      <c r="A343" s="121" t="s">
        <v>3390</v>
      </c>
      <c r="B343" s="99" t="s">
        <v>4377</v>
      </c>
      <c r="C343" s="121" t="str" cm="1">
        <f t="array" ref="C343:E343">_xlfn.TEXTSPLIT('איחוד שאלות'!$B343,"_")</f>
        <v>affect</v>
      </c>
      <c r="D343" s="99" t="str">
        <v>termo</v>
      </c>
      <c r="E343" s="99" t="str">
        <v>yisraelahat</v>
      </c>
      <c r="F343" s="99"/>
      <c r="G343" s="100"/>
      <c r="H343" s="136" t="s">
        <v>3533</v>
      </c>
      <c r="I343" s="138" t="s">
        <v>5815</v>
      </c>
      <c r="J343" s="139" t="s">
        <v>5930</v>
      </c>
      <c r="K343" s="2" t="s">
        <v>6051</v>
      </c>
      <c r="N343" s="1" t="s">
        <v>6957</v>
      </c>
    </row>
    <row r="344" spans="1:14" ht="43.5" x14ac:dyDescent="0.35">
      <c r="A344" s="113" t="s">
        <v>3391</v>
      </c>
      <c r="B344" s="102" t="s">
        <v>4378</v>
      </c>
      <c r="C344" s="123" t="str" cm="1">
        <f t="array" ref="C344:E344">_xlfn.TEXTSPLIT('איחוד שאלות'!$B344,"_")</f>
        <v>affect</v>
      </c>
      <c r="D344" s="102" t="str">
        <v>termo</v>
      </c>
      <c r="E344" s="102" t="str">
        <v>kadima</v>
      </c>
      <c r="F344" s="102"/>
      <c r="G344" s="103"/>
      <c r="H344" s="135" t="s">
        <v>3533</v>
      </c>
      <c r="I344" s="140" t="s">
        <v>5815</v>
      </c>
      <c r="J344" s="141" t="s">
        <v>5930</v>
      </c>
      <c r="K344" s="2" t="s">
        <v>6032</v>
      </c>
      <c r="N344" s="1" t="s">
        <v>6958</v>
      </c>
    </row>
    <row r="345" spans="1:14" ht="43.5" x14ac:dyDescent="0.35">
      <c r="A345" s="121" t="s">
        <v>3392</v>
      </c>
      <c r="B345" s="99" t="s">
        <v>4379</v>
      </c>
      <c r="C345" s="121" t="str" cm="1">
        <f t="array" ref="C345:E345">_xlfn.TEXTSPLIT('איחוד שאלות'!$B345,"_")</f>
        <v>affect</v>
      </c>
      <c r="D345" s="99" t="str">
        <v>termo</v>
      </c>
      <c r="E345" s="99" t="str">
        <v>hatnua</v>
      </c>
      <c r="F345" s="99"/>
      <c r="G345" s="100"/>
      <c r="H345" s="136" t="s">
        <v>3533</v>
      </c>
      <c r="I345" s="138" t="s">
        <v>5815</v>
      </c>
      <c r="J345" s="139" t="s">
        <v>5930</v>
      </c>
      <c r="K345" s="2" t="s">
        <v>6052</v>
      </c>
      <c r="N345" s="1" t="s">
        <v>6959</v>
      </c>
    </row>
    <row r="346" spans="1:14" ht="29" x14ac:dyDescent="0.35">
      <c r="A346" s="113" t="s">
        <v>3393</v>
      </c>
      <c r="B346" s="102" t="s">
        <v>4380</v>
      </c>
      <c r="C346" s="123" t="str" cm="1">
        <f t="array" ref="C346:E346">_xlfn.TEXTSPLIT('איחוד שאלות'!$B346,"_")</f>
        <v>affect</v>
      </c>
      <c r="D346" s="102" t="str">
        <v>termo</v>
      </c>
      <c r="E346" s="102" t="str">
        <v>meretz</v>
      </c>
      <c r="F346" s="102"/>
      <c r="G346" s="103"/>
      <c r="H346" s="135" t="s">
        <v>3533</v>
      </c>
      <c r="I346" s="140" t="s">
        <v>5815</v>
      </c>
      <c r="J346" s="141" t="s">
        <v>5930</v>
      </c>
      <c r="K346" s="2" t="s">
        <v>6036</v>
      </c>
      <c r="N346" s="1" t="s">
        <v>6960</v>
      </c>
    </row>
    <row r="347" spans="1:14" ht="43.5" x14ac:dyDescent="0.35">
      <c r="A347" s="121" t="s">
        <v>3394</v>
      </c>
      <c r="B347" s="99" t="s">
        <v>4381</v>
      </c>
      <c r="C347" s="121" t="str" cm="1">
        <f t="array" ref="C347:E347">_xlfn.TEXTSPLIT('איחוד שאלות'!$B347,"_")</f>
        <v>affect</v>
      </c>
      <c r="D347" s="99" t="str">
        <v>termo</v>
      </c>
      <c r="E347" s="99" t="str">
        <v>yamina</v>
      </c>
      <c r="F347" s="99"/>
      <c r="G347" s="100"/>
      <c r="H347" s="136" t="s">
        <v>3533</v>
      </c>
      <c r="I347" s="138" t="s">
        <v>5815</v>
      </c>
      <c r="J347" s="139" t="s">
        <v>5930</v>
      </c>
      <c r="K347" s="2" t="s">
        <v>6040</v>
      </c>
      <c r="N347" s="1" t="s">
        <v>6961</v>
      </c>
    </row>
    <row r="348" spans="1:14" ht="43.5" x14ac:dyDescent="0.35">
      <c r="A348" s="113" t="s">
        <v>3395</v>
      </c>
      <c r="B348" s="102" t="s">
        <v>4382</v>
      </c>
      <c r="C348" s="123" t="str" cm="1">
        <f t="array" ref="C348:E348">_xlfn.TEXTSPLIT('איחוד שאלות'!$B348,"_")</f>
        <v>affect</v>
      </c>
      <c r="D348" s="102" t="str">
        <v>termo</v>
      </c>
      <c r="E348" s="102" t="str">
        <v>tikvahadasha</v>
      </c>
      <c r="F348" s="102"/>
      <c r="G348" s="103"/>
      <c r="H348" s="135" t="s">
        <v>3533</v>
      </c>
      <c r="I348" s="140" t="s">
        <v>5815</v>
      </c>
      <c r="J348" s="141" t="s">
        <v>5930</v>
      </c>
      <c r="K348" s="2" t="s">
        <v>6039</v>
      </c>
      <c r="N348" s="1" t="s">
        <v>6962</v>
      </c>
    </row>
    <row r="349" spans="1:14" ht="43.5" x14ac:dyDescent="0.35">
      <c r="A349" s="121" t="s">
        <v>3396</v>
      </c>
      <c r="B349" s="99" t="s">
        <v>4383</v>
      </c>
      <c r="C349" s="121" t="str" cm="1">
        <f t="array" ref="C349:E349">_xlfn.TEXTSPLIT('איחוד שאלות'!$B349,"_")</f>
        <v>affect</v>
      </c>
      <c r="D349" s="99" t="str">
        <v>termo</v>
      </c>
      <c r="E349" s="99" t="str">
        <v>habayithayehudi</v>
      </c>
      <c r="F349" s="99"/>
      <c r="G349" s="100"/>
      <c r="H349" s="136" t="s">
        <v>3533</v>
      </c>
      <c r="I349" s="138" t="s">
        <v>5815</v>
      </c>
      <c r="J349" s="139" t="s">
        <v>5930</v>
      </c>
      <c r="K349" s="2" t="s">
        <v>6034</v>
      </c>
      <c r="N349" s="1" t="s">
        <v>6963</v>
      </c>
    </row>
    <row r="350" spans="1:14" ht="43.5" x14ac:dyDescent="0.35">
      <c r="A350" s="113" t="s">
        <v>3397</v>
      </c>
      <c r="B350" s="102" t="s">
        <v>4384</v>
      </c>
      <c r="C350" s="123" t="str" cm="1">
        <f t="array" ref="C350:E350">_xlfn.TEXTSPLIT('איחוד שאלות'!$B350,"_")</f>
        <v>affect</v>
      </c>
      <c r="D350" s="102" t="str">
        <v>termo</v>
      </c>
      <c r="E350" s="102" t="str">
        <v>yisraelbeiteinu</v>
      </c>
      <c r="F350" s="102"/>
      <c r="G350" s="103"/>
      <c r="H350" s="135" t="s">
        <v>3533</v>
      </c>
      <c r="I350" s="140" t="s">
        <v>5815</v>
      </c>
      <c r="J350" s="141" t="s">
        <v>5930</v>
      </c>
      <c r="K350" s="2" t="s">
        <v>6035</v>
      </c>
      <c r="N350" s="1" t="s">
        <v>6964</v>
      </c>
    </row>
    <row r="351" spans="1:14" ht="29" x14ac:dyDescent="0.35">
      <c r="A351" s="121" t="s">
        <v>3398</v>
      </c>
      <c r="B351" s="99" t="s">
        <v>4385</v>
      </c>
      <c r="C351" s="121" t="str" cm="1">
        <f t="array" ref="C351:E351">_xlfn.TEXTSPLIT('איחוד שאלות'!$B351,"_")</f>
        <v>affect</v>
      </c>
      <c r="D351" s="99" t="str">
        <v>termo</v>
      </c>
      <c r="E351" s="99" t="str">
        <v>shas</v>
      </c>
      <c r="F351" s="99"/>
      <c r="G351" s="100"/>
      <c r="H351" s="136" t="s">
        <v>3533</v>
      </c>
      <c r="I351" s="2" t="s">
        <v>5815</v>
      </c>
      <c r="J351" s="2" t="s">
        <v>5930</v>
      </c>
      <c r="K351" s="2" t="s">
        <v>6033</v>
      </c>
      <c r="N351" s="1" t="s">
        <v>6965</v>
      </c>
    </row>
    <row r="352" spans="1:14" ht="43.5" x14ac:dyDescent="0.35">
      <c r="A352" s="113" t="s">
        <v>3399</v>
      </c>
      <c r="B352" s="102" t="s">
        <v>4386</v>
      </c>
      <c r="C352" s="123" t="str" cm="1">
        <f t="array" ref="C352:E352">_xlfn.TEXTSPLIT('איחוד שאלות'!$B352,"_")</f>
        <v>affect</v>
      </c>
      <c r="D352" s="102" t="str">
        <v>termo</v>
      </c>
      <c r="E352" s="102" t="str">
        <v>yisraelbaaliyah</v>
      </c>
      <c r="F352" s="102"/>
      <c r="G352" s="103"/>
      <c r="H352" s="135" t="s">
        <v>3533</v>
      </c>
      <c r="I352" s="2" t="s">
        <v>5815</v>
      </c>
      <c r="J352" s="2" t="s">
        <v>5930</v>
      </c>
      <c r="K352" s="2" t="s">
        <v>6053</v>
      </c>
      <c r="N352" s="1" t="s">
        <v>6966</v>
      </c>
    </row>
    <row r="353" spans="1:14" ht="43.5" x14ac:dyDescent="0.35">
      <c r="A353" s="121" t="s">
        <v>3400</v>
      </c>
      <c r="B353" s="99" t="s">
        <v>4387</v>
      </c>
      <c r="C353" s="121" t="str" cm="1">
        <f t="array" ref="C353:E353">_xlfn.TEXTSPLIT('איחוד שאלות'!$B353,"_")</f>
        <v>affect</v>
      </c>
      <c r="D353" s="99" t="str">
        <v>termo</v>
      </c>
      <c r="E353" s="99" t="str">
        <v>otzmayehudit</v>
      </c>
      <c r="F353" s="99"/>
      <c r="G353" s="100"/>
      <c r="H353" s="136" t="s">
        <v>3533</v>
      </c>
      <c r="I353" s="2" t="s">
        <v>5815</v>
      </c>
      <c r="J353" s="2" t="s">
        <v>5930</v>
      </c>
      <c r="K353" s="2" t="s">
        <v>6054</v>
      </c>
      <c r="N353" s="1" t="s">
        <v>6967</v>
      </c>
    </row>
    <row r="354" spans="1:14" ht="43.5" x14ac:dyDescent="0.35">
      <c r="A354" s="113" t="s">
        <v>3401</v>
      </c>
      <c r="B354" s="102" t="s">
        <v>4388</v>
      </c>
      <c r="C354" s="123" t="str" cm="1">
        <f t="array" ref="C354:E354">_xlfn.TEXTSPLIT('איחוד שאלות'!$B354,"_")</f>
        <v>affect</v>
      </c>
      <c r="D354" s="102" t="str">
        <v>termo</v>
      </c>
      <c r="E354" s="102" t="str">
        <v>yahaduthatora</v>
      </c>
      <c r="F354" s="102"/>
      <c r="G354" s="103"/>
      <c r="H354" s="135" t="s">
        <v>3533</v>
      </c>
      <c r="I354" s="2" t="s">
        <v>5815</v>
      </c>
      <c r="J354" s="2" t="s">
        <v>5930</v>
      </c>
      <c r="K354" s="2" t="s">
        <v>6041</v>
      </c>
      <c r="N354" s="1" t="s">
        <v>6968</v>
      </c>
    </row>
    <row r="355" spans="1:14" ht="29" x14ac:dyDescent="0.35">
      <c r="A355" s="121" t="s">
        <v>3402</v>
      </c>
      <c r="B355" s="99" t="s">
        <v>4389</v>
      </c>
      <c r="C355" s="121" t="str" cm="1">
        <f t="array" ref="C355:E355">_xlfn.TEXTSPLIT('איחוד שאלות'!$B355,"_")</f>
        <v>affect</v>
      </c>
      <c r="D355" s="99" t="str">
        <v>termo</v>
      </c>
      <c r="E355" s="99" t="str">
        <v>kulanu</v>
      </c>
      <c r="F355" s="99"/>
      <c r="G355" s="100"/>
      <c r="H355" s="136" t="s">
        <v>3533</v>
      </c>
      <c r="I355" s="2" t="s">
        <v>5815</v>
      </c>
      <c r="J355" s="2" t="s">
        <v>5930</v>
      </c>
      <c r="K355" s="2" t="s">
        <v>6055</v>
      </c>
      <c r="N355" s="1" t="s">
        <v>6969</v>
      </c>
    </row>
    <row r="356" spans="1:14" ht="43.5" x14ac:dyDescent="0.35">
      <c r="A356" s="113" t="s">
        <v>3403</v>
      </c>
      <c r="B356" s="102" t="s">
        <v>4390</v>
      </c>
      <c r="C356" s="123" t="str" cm="1">
        <f t="array" ref="C356:E356">_xlfn.TEXTSPLIT('איחוד שאלות'!$B356,"_")</f>
        <v>affect</v>
      </c>
      <c r="D356" s="102" t="str">
        <v>termo</v>
      </c>
      <c r="E356" s="102" t="str">
        <v>hareshimahameshutefet</v>
      </c>
      <c r="F356" s="102"/>
      <c r="G356" s="103"/>
      <c r="H356" s="135" t="s">
        <v>3533</v>
      </c>
      <c r="I356" s="2" t="s">
        <v>5815</v>
      </c>
      <c r="J356" s="2" t="s">
        <v>5930</v>
      </c>
      <c r="K356" s="2" t="s">
        <v>6042</v>
      </c>
      <c r="N356" s="1" t="s">
        <v>6970</v>
      </c>
    </row>
    <row r="357" spans="1:14" ht="43.5" x14ac:dyDescent="0.35">
      <c r="A357" s="121" t="s">
        <v>3404</v>
      </c>
      <c r="B357" s="99" t="s">
        <v>4391</v>
      </c>
      <c r="C357" s="121" t="str" cm="1">
        <f t="array" ref="C357:E357">_xlfn.TEXTSPLIT('איחוד שאלות'!$B357,"_")</f>
        <v>affect</v>
      </c>
      <c r="D357" s="99" t="str">
        <v>termo</v>
      </c>
      <c r="E357" s="99" t="str">
        <v>raambalad</v>
      </c>
      <c r="F357" s="99"/>
      <c r="G357" s="100"/>
      <c r="H357" s="136" t="s">
        <v>3533</v>
      </c>
      <c r="I357" s="2" t="s">
        <v>5815</v>
      </c>
      <c r="J357" s="2" t="s">
        <v>5930</v>
      </c>
      <c r="K357" s="2" t="s">
        <v>6056</v>
      </c>
      <c r="N357" s="1" t="s">
        <v>6971</v>
      </c>
    </row>
    <row r="358" spans="1:14" ht="43.5" x14ac:dyDescent="0.35">
      <c r="A358" s="113" t="s">
        <v>3405</v>
      </c>
      <c r="B358" s="102" t="s">
        <v>4392</v>
      </c>
      <c r="C358" s="123" t="str" cm="1">
        <f t="array" ref="C358:E358">_xlfn.TEXTSPLIT('איחוד שאלות'!$B358,"_")</f>
        <v>affect</v>
      </c>
      <c r="D358" s="102" t="str">
        <v>termo</v>
      </c>
      <c r="E358" s="102" t="str">
        <v>raamtaal</v>
      </c>
      <c r="F358" s="102"/>
      <c r="G358" s="103"/>
      <c r="H358" s="135" t="s">
        <v>3533</v>
      </c>
      <c r="I358" s="2" t="s">
        <v>5815</v>
      </c>
      <c r="J358" s="2" t="s">
        <v>5930</v>
      </c>
      <c r="K358" s="2" t="s">
        <v>6057</v>
      </c>
      <c r="N358" s="1" t="s">
        <v>6972</v>
      </c>
    </row>
    <row r="359" spans="1:14" ht="43.5" x14ac:dyDescent="0.35">
      <c r="A359" s="121" t="s">
        <v>3406</v>
      </c>
      <c r="B359" s="99" t="s">
        <v>4393</v>
      </c>
      <c r="C359" s="121" t="str" cm="1">
        <f t="array" ref="C359:E359">_xlfn.TEXTSPLIT('איחוד שאלות'!$B359,"_")</f>
        <v>affect</v>
      </c>
      <c r="D359" s="99" t="str">
        <v>termo</v>
      </c>
      <c r="E359" s="99" t="str">
        <v>hadash</v>
      </c>
      <c r="F359" s="99"/>
      <c r="G359" s="100"/>
      <c r="H359" s="136" t="s">
        <v>3533</v>
      </c>
      <c r="I359" s="2" t="s">
        <v>5815</v>
      </c>
      <c r="J359" s="2" t="s">
        <v>5930</v>
      </c>
      <c r="K359" s="2" t="s">
        <v>6058</v>
      </c>
      <c r="N359" s="1" t="s">
        <v>6973</v>
      </c>
    </row>
    <row r="360" spans="1:14" ht="43.5" x14ac:dyDescent="0.35">
      <c r="A360" s="113" t="s">
        <v>3407</v>
      </c>
      <c r="B360" s="102" t="s">
        <v>4394</v>
      </c>
      <c r="C360" s="123" t="str" cm="1">
        <f t="array" ref="C360:E360">_xlfn.TEXTSPLIT('איחוד שאלות'!$B360,"_")</f>
        <v>affect</v>
      </c>
      <c r="D360" s="102" t="str">
        <v>termo</v>
      </c>
      <c r="E360" s="102" t="str">
        <v>taal</v>
      </c>
      <c r="F360" s="102"/>
      <c r="G360" s="103"/>
      <c r="H360" s="135" t="s">
        <v>3533</v>
      </c>
      <c r="I360" s="2" t="s">
        <v>5815</v>
      </c>
      <c r="J360" s="2" t="s">
        <v>5930</v>
      </c>
      <c r="K360" s="2" t="s">
        <v>6059</v>
      </c>
      <c r="N360" s="1" t="s">
        <v>6974</v>
      </c>
    </row>
    <row r="361" spans="1:14" ht="43.5" x14ac:dyDescent="0.35">
      <c r="A361" s="121" t="s">
        <v>3408</v>
      </c>
      <c r="B361" s="99" t="s">
        <v>4395</v>
      </c>
      <c r="C361" s="121" t="str" cm="1">
        <f t="array" ref="C361:E361">_xlfn.TEXTSPLIT('איחוד שאלות'!$B361,"_")</f>
        <v>affect</v>
      </c>
      <c r="D361" s="99" t="str">
        <v>termo</v>
      </c>
      <c r="E361" s="99" t="str">
        <v>raam</v>
      </c>
      <c r="F361" s="99"/>
      <c r="G361" s="100"/>
      <c r="H361" s="136" t="s">
        <v>3533</v>
      </c>
      <c r="I361" s="2" t="s">
        <v>5815</v>
      </c>
      <c r="J361" s="2" t="s">
        <v>5930</v>
      </c>
      <c r="K361" s="2" t="s">
        <v>6043</v>
      </c>
      <c r="N361" s="1" t="s">
        <v>6975</v>
      </c>
    </row>
    <row r="362" spans="1:14" ht="43.5" x14ac:dyDescent="0.35">
      <c r="A362" s="113" t="s">
        <v>3409</v>
      </c>
      <c r="B362" s="102" t="s">
        <v>4396</v>
      </c>
      <c r="C362" s="123" t="str" cm="1">
        <f t="array" ref="C362:E362">_xlfn.TEXTSPLIT('איחוד שאלות'!$B362,"_")</f>
        <v>affect</v>
      </c>
      <c r="D362" s="102" t="str">
        <v>termo</v>
      </c>
      <c r="E362" s="102" t="str">
        <v>balad</v>
      </c>
      <c r="F362" s="102"/>
      <c r="G362" s="103"/>
      <c r="H362" s="135" t="s">
        <v>3533</v>
      </c>
      <c r="I362" s="2" t="s">
        <v>5815</v>
      </c>
      <c r="J362" s="2" t="s">
        <v>5930</v>
      </c>
      <c r="K362" s="2" t="s">
        <v>6060</v>
      </c>
      <c r="N362" s="1" t="s">
        <v>6976</v>
      </c>
    </row>
    <row r="363" spans="1:14" ht="58" x14ac:dyDescent="0.35">
      <c r="A363" s="121" t="s">
        <v>3410</v>
      </c>
      <c r="B363" s="99" t="s">
        <v>4397</v>
      </c>
      <c r="C363" s="121" t="str" cm="1">
        <f t="array" ref="C363:F363">_xlfn.TEXTSPLIT('איחוד שאלות'!$B363,"_")</f>
        <v>post</v>
      </c>
      <c r="D363" s="99" t="str">
        <v>affect</v>
      </c>
      <c r="E363" s="99" t="str">
        <v>termo</v>
      </c>
      <c r="F363" s="99" t="str">
        <v>habayithayehudi</v>
      </c>
      <c r="G363" s="100"/>
      <c r="H363" s="136" t="s">
        <v>3533</v>
      </c>
      <c r="I363" s="2" t="s">
        <v>5763</v>
      </c>
      <c r="J363" s="2" t="s">
        <v>5815</v>
      </c>
      <c r="K363" s="2" t="s">
        <v>5930</v>
      </c>
      <c r="L363" s="2" t="s">
        <v>6034</v>
      </c>
      <c r="N363" s="1" t="s">
        <v>6977</v>
      </c>
    </row>
    <row r="364" spans="1:14" ht="43.5" x14ac:dyDescent="0.35">
      <c r="A364" s="113" t="s">
        <v>3411</v>
      </c>
      <c r="B364" s="102" t="s">
        <v>4398</v>
      </c>
      <c r="C364" s="123" t="str" cm="1">
        <f t="array" ref="C364:F364">_xlfn.TEXTSPLIT('איחוד שאלות'!$B364,"_")</f>
        <v>post</v>
      </c>
      <c r="D364" s="102" t="str">
        <v>affect</v>
      </c>
      <c r="E364" s="102" t="str">
        <v>termo</v>
      </c>
      <c r="F364" s="102" t="str">
        <v>yamina</v>
      </c>
      <c r="G364" s="103"/>
      <c r="H364" s="135" t="s">
        <v>3533</v>
      </c>
      <c r="I364" s="2" t="s">
        <v>5763</v>
      </c>
      <c r="J364" s="2" t="s">
        <v>5815</v>
      </c>
      <c r="K364" s="2" t="s">
        <v>5930</v>
      </c>
      <c r="L364" s="2" t="s">
        <v>6040</v>
      </c>
      <c r="N364" s="1" t="s">
        <v>6978</v>
      </c>
    </row>
    <row r="365" spans="1:14" ht="58" x14ac:dyDescent="0.35">
      <c r="A365" s="121" t="s">
        <v>3412</v>
      </c>
      <c r="B365" s="99" t="s">
        <v>4399</v>
      </c>
      <c r="C365" s="121" t="str" cm="1">
        <f t="array" ref="C365:F365">_xlfn.TEXTSPLIT('איחוד שאלות'!$B365,"_")</f>
        <v>post</v>
      </c>
      <c r="D365" s="99" t="str">
        <v>affect</v>
      </c>
      <c r="E365" s="99" t="str">
        <v>termo</v>
      </c>
      <c r="F365" s="99" t="str">
        <v>hareshimahameshutefet</v>
      </c>
      <c r="G365" s="100"/>
      <c r="H365" s="136" t="s">
        <v>3533</v>
      </c>
      <c r="I365" s="2" t="s">
        <v>5763</v>
      </c>
      <c r="J365" s="2" t="s">
        <v>5815</v>
      </c>
      <c r="K365" s="2" t="s">
        <v>5930</v>
      </c>
      <c r="L365" s="2" t="s">
        <v>6042</v>
      </c>
      <c r="N365" s="1" t="s">
        <v>6979</v>
      </c>
    </row>
    <row r="366" spans="1:14" ht="43.5" x14ac:dyDescent="0.35">
      <c r="A366" s="113" t="s">
        <v>3413</v>
      </c>
      <c r="B366" s="102" t="s">
        <v>4400</v>
      </c>
      <c r="C366" s="123" t="str" cm="1">
        <f t="array" ref="C366:F366">_xlfn.TEXTSPLIT('איחוד שאלות'!$B366,"_")</f>
        <v>post</v>
      </c>
      <c r="D366" s="102" t="str">
        <v>affect</v>
      </c>
      <c r="E366" s="102" t="str">
        <v>termo</v>
      </c>
      <c r="F366" s="102" t="str">
        <v>raam</v>
      </c>
      <c r="G366" s="103"/>
      <c r="H366" s="135" t="s">
        <v>3533</v>
      </c>
      <c r="I366" s="2" t="s">
        <v>5763</v>
      </c>
      <c r="J366" s="2" t="s">
        <v>5815</v>
      </c>
      <c r="K366" s="2" t="s">
        <v>5930</v>
      </c>
      <c r="L366" s="2" t="s">
        <v>6043</v>
      </c>
      <c r="N366" s="1" t="s">
        <v>6980</v>
      </c>
    </row>
    <row r="367" spans="1:14" ht="58" x14ac:dyDescent="0.35">
      <c r="A367" s="121" t="s">
        <v>3414</v>
      </c>
      <c r="B367" s="99" t="s">
        <v>4401</v>
      </c>
      <c r="C367" s="121" t="str" cm="1">
        <f t="array" ref="C367:F367">_xlfn.TEXTSPLIT('איחוד שאלות'!$B367,"_")</f>
        <v>post</v>
      </c>
      <c r="D367" s="99" t="str">
        <v>affect</v>
      </c>
      <c r="E367" s="99" t="str">
        <v>termo</v>
      </c>
      <c r="F367" s="99" t="str">
        <v>yahaduthatora</v>
      </c>
      <c r="G367" s="100"/>
      <c r="H367" s="136" t="s">
        <v>3533</v>
      </c>
      <c r="I367" s="2" t="s">
        <v>5763</v>
      </c>
      <c r="J367" s="2" t="s">
        <v>5815</v>
      </c>
      <c r="K367" s="2" t="s">
        <v>5930</v>
      </c>
      <c r="L367" s="2" t="s">
        <v>6041</v>
      </c>
      <c r="N367" s="1" t="s">
        <v>6981</v>
      </c>
    </row>
    <row r="368" spans="1:14" ht="87" x14ac:dyDescent="0.35">
      <c r="A368" s="113" t="s">
        <v>3415</v>
      </c>
      <c r="B368" s="102" t="s">
        <v>4402</v>
      </c>
      <c r="C368" s="123" t="str" cm="1">
        <f t="array" ref="C368:E368">_xlfn.TEXTSPLIT('איחוד שאלות'!$B368,"_")</f>
        <v>affect</v>
      </c>
      <c r="D368" s="102" t="str">
        <v>termo</v>
      </c>
      <c r="E368" s="102" t="str">
        <v>rightist</v>
      </c>
      <c r="F368" s="102"/>
      <c r="G368" s="103"/>
      <c r="H368" s="135" t="s">
        <v>3533</v>
      </c>
      <c r="I368" s="2" t="s">
        <v>5815</v>
      </c>
      <c r="J368" s="2" t="s">
        <v>5930</v>
      </c>
      <c r="K368" s="2" t="s">
        <v>6061</v>
      </c>
      <c r="N368" s="1" t="s">
        <v>6982</v>
      </c>
    </row>
    <row r="369" spans="1:14" ht="87" x14ac:dyDescent="0.35">
      <c r="A369" s="121" t="s">
        <v>3416</v>
      </c>
      <c r="B369" s="99" t="s">
        <v>4403</v>
      </c>
      <c r="C369" s="121" t="str" cm="1">
        <f t="array" ref="C369:E369">_xlfn.TEXTSPLIT('איחוד שאלות'!$B369,"_")</f>
        <v>affect</v>
      </c>
      <c r="D369" s="99" t="str">
        <v>termo</v>
      </c>
      <c r="E369" s="99" t="str">
        <v>leftist</v>
      </c>
      <c r="F369" s="99"/>
      <c r="G369" s="100"/>
      <c r="H369" s="136" t="s">
        <v>3533</v>
      </c>
      <c r="I369" s="2" t="s">
        <v>5815</v>
      </c>
      <c r="J369" s="2" t="s">
        <v>5930</v>
      </c>
      <c r="K369" s="2" t="s">
        <v>6062</v>
      </c>
      <c r="N369" s="1" t="s">
        <v>6983</v>
      </c>
    </row>
    <row r="370" spans="1:14" x14ac:dyDescent="0.35">
      <c r="A370" s="113" t="s">
        <v>3417</v>
      </c>
      <c r="B370" s="102" t="s">
        <v>4404</v>
      </c>
      <c r="C370" s="123" t="str" cm="1">
        <f t="array" ref="C370:E370">_xlfn.TEXTSPLIT('איחוד שאלות'!$B370,"_")</f>
        <v>affect</v>
      </c>
      <c r="D370" s="102" t="str">
        <v>termo</v>
      </c>
      <c r="E370" s="102" t="str">
        <v>arab</v>
      </c>
      <c r="F370" s="102"/>
      <c r="G370" s="103"/>
      <c r="H370" s="135" t="s">
        <v>3533</v>
      </c>
      <c r="I370" s="2" t="s">
        <v>5815</v>
      </c>
      <c r="J370" s="2" t="s">
        <v>5930</v>
      </c>
      <c r="K370" s="2" t="s">
        <v>6063</v>
      </c>
      <c r="N370" s="1" t="s">
        <v>6984</v>
      </c>
    </row>
    <row r="371" spans="1:14" ht="29" x14ac:dyDescent="0.35">
      <c r="A371" s="121" t="s">
        <v>3418</v>
      </c>
      <c r="B371" s="99" t="s">
        <v>4405</v>
      </c>
      <c r="C371" s="121" t="str" cm="1">
        <f t="array" ref="C371:E371">_xlfn.TEXTSPLIT('איחוד שאלות'!$B371,"_")</f>
        <v>affect</v>
      </c>
      <c r="D371" s="99" t="str">
        <v>termo</v>
      </c>
      <c r="E371" s="99" t="str">
        <v>religious</v>
      </c>
      <c r="F371" s="99"/>
      <c r="G371" s="100"/>
      <c r="H371" s="136" t="s">
        <v>3533</v>
      </c>
      <c r="I371" s="2" t="s">
        <v>5815</v>
      </c>
      <c r="J371" s="2" t="s">
        <v>5930</v>
      </c>
      <c r="K371" s="2" t="s">
        <v>5771</v>
      </c>
      <c r="N371" s="1" t="s">
        <v>6985</v>
      </c>
    </row>
    <row r="372" spans="1:14" ht="29" x14ac:dyDescent="0.35">
      <c r="A372" s="113" t="s">
        <v>3419</v>
      </c>
      <c r="B372" s="102" t="s">
        <v>4406</v>
      </c>
      <c r="C372" s="123" t="str" cm="1">
        <f t="array" ref="C372:E372">_xlfn.TEXTSPLIT('איחוד שאלות'!$B372,"_")</f>
        <v>affect</v>
      </c>
      <c r="D372" s="102" t="str">
        <v>termo</v>
      </c>
      <c r="E372" s="102" t="str">
        <v>ultraorthodox</v>
      </c>
      <c r="F372" s="102"/>
      <c r="G372" s="103"/>
      <c r="H372" s="135" t="s">
        <v>3533</v>
      </c>
      <c r="I372" s="2" t="s">
        <v>5815</v>
      </c>
      <c r="J372" s="2" t="s">
        <v>5930</v>
      </c>
      <c r="K372" s="2" t="s">
        <v>6064</v>
      </c>
      <c r="N372" s="1" t="s">
        <v>6986</v>
      </c>
    </row>
    <row r="373" spans="1:14" ht="29" x14ac:dyDescent="0.35">
      <c r="A373" s="121" t="s">
        <v>3420</v>
      </c>
      <c r="B373" s="99" t="s">
        <v>4407</v>
      </c>
      <c r="C373" s="121" t="str" cm="1">
        <f t="array" ref="C373:E373">_xlfn.TEXTSPLIT('איחוד שאלות'!$B373,"_")</f>
        <v>affect</v>
      </c>
      <c r="D373" s="99" t="str">
        <v>termo</v>
      </c>
      <c r="E373" s="99" t="str">
        <v>secular</v>
      </c>
      <c r="F373" s="99"/>
      <c r="G373" s="100"/>
      <c r="H373" s="136" t="s">
        <v>3533</v>
      </c>
      <c r="I373" s="2" t="s">
        <v>5815</v>
      </c>
      <c r="J373" s="2" t="s">
        <v>5930</v>
      </c>
      <c r="K373" s="2" t="s">
        <v>6065</v>
      </c>
      <c r="N373" s="1" t="s">
        <v>6987</v>
      </c>
    </row>
    <row r="374" spans="1:14" ht="29" x14ac:dyDescent="0.35">
      <c r="A374" s="113" t="s">
        <v>3421</v>
      </c>
      <c r="B374" s="102" t="s">
        <v>4408</v>
      </c>
      <c r="C374" s="123" t="str" cm="1">
        <f t="array" ref="C374:E374">_xlfn.TEXTSPLIT('איחוד שאלות'!$B374,"_")</f>
        <v>affect</v>
      </c>
      <c r="D374" s="102" t="str">
        <v>termo</v>
      </c>
      <c r="E374" s="102" t="str">
        <v>ashkenazi</v>
      </c>
      <c r="F374" s="102"/>
      <c r="G374" s="103"/>
      <c r="H374" s="135" t="s">
        <v>3533</v>
      </c>
      <c r="I374" s="2" t="s">
        <v>5815</v>
      </c>
      <c r="J374" s="2" t="s">
        <v>5930</v>
      </c>
      <c r="K374" s="2" t="s">
        <v>6066</v>
      </c>
      <c r="N374" s="1" t="s">
        <v>6988</v>
      </c>
    </row>
    <row r="375" spans="1:14" ht="29" x14ac:dyDescent="0.35">
      <c r="A375" s="121" t="s">
        <v>3422</v>
      </c>
      <c r="B375" s="99" t="s">
        <v>4483</v>
      </c>
      <c r="C375" s="121" t="str" cm="1">
        <f t="array" ref="C375:E375">_xlfn.TEXTSPLIT('איחוד שאלות'!$B375,"_")</f>
        <v>affect</v>
      </c>
      <c r="D375" s="99" t="str">
        <v>termo</v>
      </c>
      <c r="E375" s="99" t="str">
        <v>sephardic</v>
      </c>
      <c r="F375" s="99"/>
      <c r="G375" s="100"/>
      <c r="H375" s="136" t="s">
        <v>3533</v>
      </c>
      <c r="I375" s="2" t="s">
        <v>5815</v>
      </c>
      <c r="J375" s="2" t="s">
        <v>5930</v>
      </c>
      <c r="K375" s="2" t="s">
        <v>6067</v>
      </c>
      <c r="N375" s="1" t="s">
        <v>6989</v>
      </c>
    </row>
    <row r="376" spans="1:14" ht="29" x14ac:dyDescent="0.35">
      <c r="A376" s="113" t="s">
        <v>3423</v>
      </c>
      <c r="B376" s="102" t="s">
        <v>4409</v>
      </c>
      <c r="C376" s="123" t="str" cm="1">
        <f t="array" ref="C376:E376">_xlfn.TEXTSPLIT('איחוד שאלות'!$B376,"_")</f>
        <v>affect</v>
      </c>
      <c r="D376" s="102" t="str">
        <v>termo</v>
      </c>
      <c r="E376" s="102" t="str">
        <v>moetzetyesha</v>
      </c>
      <c r="F376" s="102"/>
      <c r="G376" s="103"/>
      <c r="H376" s="135" t="s">
        <v>3533</v>
      </c>
      <c r="I376" s="2" t="s">
        <v>5815</v>
      </c>
      <c r="J376" s="2" t="s">
        <v>5930</v>
      </c>
      <c r="K376" s="2" t="s">
        <v>6068</v>
      </c>
      <c r="N376" s="1" t="s">
        <v>6990</v>
      </c>
    </row>
    <row r="377" spans="1:14" ht="29" x14ac:dyDescent="0.35">
      <c r="A377" s="121" t="s">
        <v>3424</v>
      </c>
      <c r="B377" s="99" t="s">
        <v>4410</v>
      </c>
      <c r="C377" s="121" t="str" cm="1">
        <f t="array" ref="C377:E377">_xlfn.TEXTSPLIT('איחוד שאלות'!$B377,"_")</f>
        <v>affect</v>
      </c>
      <c r="D377" s="99" t="str">
        <v>termo</v>
      </c>
      <c r="E377" s="99" t="str">
        <v>hatnuahaislamit</v>
      </c>
      <c r="F377" s="99"/>
      <c r="G377" s="100"/>
      <c r="H377" s="136" t="s">
        <v>3533</v>
      </c>
      <c r="I377" s="2" t="s">
        <v>5815</v>
      </c>
      <c r="J377" s="2" t="s">
        <v>5930</v>
      </c>
      <c r="K377" s="2" t="s">
        <v>6069</v>
      </c>
      <c r="N377" s="1" t="s">
        <v>6991</v>
      </c>
    </row>
    <row r="378" spans="1:14" ht="29" x14ac:dyDescent="0.35">
      <c r="A378" s="113" t="s">
        <v>3425</v>
      </c>
      <c r="B378" s="102" t="s">
        <v>4411</v>
      </c>
      <c r="C378" s="123" t="str" cm="1">
        <f t="array" ref="C378:E378">_xlfn.TEXTSPLIT('איחוד שאלות'!$B378,"_")</f>
        <v>affect</v>
      </c>
      <c r="D378" s="102" t="str">
        <v>termo</v>
      </c>
      <c r="E378" s="102" t="str">
        <v>gushemunim</v>
      </c>
      <c r="F378" s="102"/>
      <c r="G378" s="103"/>
      <c r="H378" s="135" t="s">
        <v>3533</v>
      </c>
      <c r="I378" s="2" t="s">
        <v>5815</v>
      </c>
      <c r="J378" s="2" t="s">
        <v>5930</v>
      </c>
      <c r="K378" s="2" t="s">
        <v>6070</v>
      </c>
      <c r="N378" s="1" t="s">
        <v>6992</v>
      </c>
    </row>
    <row r="379" spans="1:14" ht="29" x14ac:dyDescent="0.35">
      <c r="A379" s="121" t="s">
        <v>3426</v>
      </c>
      <c r="B379" s="99" t="s">
        <v>4412</v>
      </c>
      <c r="C379" s="121" t="str" cm="1">
        <f t="array" ref="C379:E379">_xlfn.TEXTSPLIT('איחוד שאלות'!$B379,"_")</f>
        <v>affect</v>
      </c>
      <c r="D379" s="99" t="str">
        <v>termo</v>
      </c>
      <c r="E379" s="99" t="str">
        <v>shalomachshav</v>
      </c>
      <c r="F379" s="99"/>
      <c r="G379" s="100"/>
      <c r="H379" s="136" t="s">
        <v>3533</v>
      </c>
      <c r="I379" s="2" t="s">
        <v>5815</v>
      </c>
      <c r="J379" s="2" t="s">
        <v>5930</v>
      </c>
      <c r="K379" s="2" t="s">
        <v>6071</v>
      </c>
      <c r="N379" s="1" t="s">
        <v>6993</v>
      </c>
    </row>
    <row r="380" spans="1:14" ht="43.5" x14ac:dyDescent="0.35">
      <c r="A380" s="113" t="s">
        <v>3427</v>
      </c>
      <c r="B380" s="102" t="s">
        <v>4413</v>
      </c>
      <c r="C380" s="123" t="str" cm="1">
        <f t="array" ref="C380:E380">_xlfn.TEXTSPLIT('איחוד שאלות'!$B380,"_")</f>
        <v>affect</v>
      </c>
      <c r="D380" s="102" t="str">
        <v>termo</v>
      </c>
      <c r="E380" s="102" t="str">
        <v>netanyahu</v>
      </c>
      <c r="F380" s="102"/>
      <c r="G380" s="103"/>
      <c r="H380" s="135" t="s">
        <v>3533</v>
      </c>
      <c r="I380" s="2" t="s">
        <v>5815</v>
      </c>
      <c r="J380" s="2" t="s">
        <v>5930</v>
      </c>
      <c r="K380" s="2" t="s">
        <v>6072</v>
      </c>
      <c r="N380" s="1" t="s">
        <v>6994</v>
      </c>
    </row>
    <row r="381" spans="1:14" ht="43.5" x14ac:dyDescent="0.35">
      <c r="A381" s="121" t="s">
        <v>3428</v>
      </c>
      <c r="B381" s="99" t="s">
        <v>4414</v>
      </c>
      <c r="C381" s="121" t="str" cm="1">
        <f t="array" ref="C381:E381">_xlfn.TEXTSPLIT('איחוד שאלות'!$B381,"_")</f>
        <v>affect</v>
      </c>
      <c r="D381" s="99" t="str">
        <v>termo</v>
      </c>
      <c r="E381" s="99" t="str">
        <v>sharon</v>
      </c>
      <c r="F381" s="99"/>
      <c r="G381" s="100"/>
      <c r="H381" s="136" t="s">
        <v>3533</v>
      </c>
      <c r="I381" s="2" t="s">
        <v>5815</v>
      </c>
      <c r="J381" s="2" t="s">
        <v>5930</v>
      </c>
      <c r="K381" s="2" t="s">
        <v>6073</v>
      </c>
      <c r="N381" s="1" t="s">
        <v>6995</v>
      </c>
    </row>
    <row r="382" spans="1:14" ht="43.5" x14ac:dyDescent="0.35">
      <c r="A382" s="113" t="s">
        <v>3429</v>
      </c>
      <c r="B382" s="102" t="s">
        <v>4415</v>
      </c>
      <c r="C382" s="123" t="str" cm="1">
        <f t="array" ref="C382:E382">_xlfn.TEXTSPLIT('איחוד שאלות'!$B382,"_")</f>
        <v>affect</v>
      </c>
      <c r="D382" s="102" t="str">
        <v>termo</v>
      </c>
      <c r="E382" s="102" t="str">
        <v>shamir</v>
      </c>
      <c r="F382" s="102"/>
      <c r="G382" s="103"/>
      <c r="H382" s="135" t="s">
        <v>3533</v>
      </c>
      <c r="I382" s="2" t="s">
        <v>5815</v>
      </c>
      <c r="J382" s="2" t="s">
        <v>5930</v>
      </c>
      <c r="K382" s="2" t="s">
        <v>6074</v>
      </c>
      <c r="N382" s="1" t="s">
        <v>6996</v>
      </c>
    </row>
    <row r="383" spans="1:14" ht="43.5" x14ac:dyDescent="0.35">
      <c r="A383" s="121" t="s">
        <v>3430</v>
      </c>
      <c r="B383" s="99" t="s">
        <v>4416</v>
      </c>
      <c r="C383" s="121" t="str" cm="1">
        <f t="array" ref="C383:E383">_xlfn.TEXTSPLIT('איחוד שאלות'!$B383,"_")</f>
        <v>affect</v>
      </c>
      <c r="D383" s="99" t="str">
        <v>termo</v>
      </c>
      <c r="E383" s="99" t="str">
        <v>menachembegin</v>
      </c>
      <c r="F383" s="99"/>
      <c r="G383" s="100"/>
      <c r="H383" s="136" t="s">
        <v>3533</v>
      </c>
      <c r="I383" s="2" t="s">
        <v>5815</v>
      </c>
      <c r="J383" s="2" t="s">
        <v>5930</v>
      </c>
      <c r="K383" s="2" t="s">
        <v>6075</v>
      </c>
      <c r="N383" s="1" t="s">
        <v>6997</v>
      </c>
    </row>
    <row r="384" spans="1:14" ht="43.5" x14ac:dyDescent="0.35">
      <c r="A384" s="113" t="s">
        <v>3431</v>
      </c>
      <c r="B384" s="102" t="s">
        <v>4417</v>
      </c>
      <c r="C384" s="123" t="str" cm="1">
        <f t="array" ref="C384:E384">_xlfn.TEXTSPLIT('איחוד שאלות'!$B384,"_")</f>
        <v>affect</v>
      </c>
      <c r="D384" s="102" t="str">
        <v>termo</v>
      </c>
      <c r="E384" s="102" t="str">
        <v>olmert</v>
      </c>
      <c r="F384" s="102"/>
      <c r="G384" s="103"/>
      <c r="H384" s="135" t="s">
        <v>3533</v>
      </c>
      <c r="I384" s="2" t="s">
        <v>5815</v>
      </c>
      <c r="J384" s="2" t="s">
        <v>5930</v>
      </c>
      <c r="K384" s="2" t="s">
        <v>6076</v>
      </c>
      <c r="N384" s="1" t="s">
        <v>6998</v>
      </c>
    </row>
    <row r="385" spans="1:14" ht="43.5" x14ac:dyDescent="0.35">
      <c r="A385" s="121" t="s">
        <v>3432</v>
      </c>
      <c r="B385" s="99" t="s">
        <v>4418</v>
      </c>
      <c r="C385" s="121" t="str" cm="1">
        <f t="array" ref="C385:E385">_xlfn.TEXTSPLIT('איחוד שאלות'!$B385,"_")</f>
        <v>affect</v>
      </c>
      <c r="D385" s="99" t="str">
        <v>termo</v>
      </c>
      <c r="E385" s="99" t="str">
        <v>bennybegin</v>
      </c>
      <c r="F385" s="99"/>
      <c r="G385" s="100"/>
      <c r="H385" s="136" t="s">
        <v>3533</v>
      </c>
      <c r="I385" s="2" t="s">
        <v>5815</v>
      </c>
      <c r="J385" s="2" t="s">
        <v>5930</v>
      </c>
      <c r="K385" s="2" t="s">
        <v>6077</v>
      </c>
      <c r="N385" s="1" t="s">
        <v>6999</v>
      </c>
    </row>
    <row r="386" spans="1:14" ht="43.5" x14ac:dyDescent="0.35">
      <c r="A386" s="113" t="s">
        <v>3433</v>
      </c>
      <c r="B386" s="102" t="s">
        <v>4419</v>
      </c>
      <c r="C386" s="123" t="str" cm="1">
        <f t="array" ref="C386:E386">_xlfn.TEXTSPLIT('איחוד שאלות'!$B386,"_")</f>
        <v>affect</v>
      </c>
      <c r="D386" s="102" t="str">
        <v>termo</v>
      </c>
      <c r="E386" s="102" t="str">
        <v>yitzhakmordechai</v>
      </c>
      <c r="F386" s="102"/>
      <c r="G386" s="103"/>
      <c r="H386" s="135" t="s">
        <v>3533</v>
      </c>
      <c r="I386" s="2" t="s">
        <v>5815</v>
      </c>
      <c r="J386" s="2" t="s">
        <v>5930</v>
      </c>
      <c r="K386" s="2" t="s">
        <v>6078</v>
      </c>
      <c r="N386" s="1" t="s">
        <v>7000</v>
      </c>
    </row>
    <row r="387" spans="1:14" ht="43.5" x14ac:dyDescent="0.35">
      <c r="A387" s="121" t="s">
        <v>3434</v>
      </c>
      <c r="B387" s="99" t="s">
        <v>4420</v>
      </c>
      <c r="C387" s="121" t="str" cm="1">
        <f t="array" ref="C387:E387">_xlfn.TEXTSPLIT('איחוד שאלות'!$B387,"_")</f>
        <v>affect</v>
      </c>
      <c r="D387" s="99" t="str">
        <v>termo</v>
      </c>
      <c r="E387" s="99" t="str">
        <v>davidlevy</v>
      </c>
      <c r="F387" s="99"/>
      <c r="G387" s="100"/>
      <c r="H387" s="136" t="s">
        <v>3533</v>
      </c>
      <c r="I387" s="2" t="s">
        <v>5815</v>
      </c>
      <c r="J387" s="2" t="s">
        <v>5930</v>
      </c>
      <c r="K387" s="2" t="s">
        <v>6079</v>
      </c>
      <c r="N387" s="1" t="s">
        <v>7001</v>
      </c>
    </row>
    <row r="388" spans="1:14" ht="43.5" x14ac:dyDescent="0.35">
      <c r="A388" s="113" t="s">
        <v>3435</v>
      </c>
      <c r="B388" s="102" t="s">
        <v>4421</v>
      </c>
      <c r="C388" s="123" t="str" cm="1">
        <f t="array" ref="C388:E388">_xlfn.TEXTSPLIT('איחוד שאלות'!$B388,"_")</f>
        <v>affect</v>
      </c>
      <c r="D388" s="102" t="str">
        <v>termo</v>
      </c>
      <c r="E388" s="102" t="str">
        <v>yitzhaknavon</v>
      </c>
      <c r="F388" s="102"/>
      <c r="G388" s="103"/>
      <c r="H388" s="135" t="s">
        <v>3533</v>
      </c>
      <c r="I388" s="2" t="s">
        <v>5815</v>
      </c>
      <c r="J388" s="2" t="s">
        <v>5930</v>
      </c>
      <c r="K388" s="2" t="s">
        <v>6080</v>
      </c>
      <c r="N388" s="1" t="s">
        <v>7002</v>
      </c>
    </row>
    <row r="389" spans="1:14" ht="43.5" x14ac:dyDescent="0.35">
      <c r="A389" s="121" t="s">
        <v>3436</v>
      </c>
      <c r="B389" s="99" t="s">
        <v>4422</v>
      </c>
      <c r="C389" s="121" t="str" cm="1">
        <f t="array" ref="C389:E389">_xlfn.TEXTSPLIT('איחוד שאלות'!$B389,"_")</f>
        <v>affect</v>
      </c>
      <c r="D389" s="99" t="str">
        <v>termo</v>
      </c>
      <c r="E389" s="99" t="str">
        <v>gantz</v>
      </c>
      <c r="F389" s="99"/>
      <c r="G389" s="100"/>
      <c r="H389" s="136" t="s">
        <v>3533</v>
      </c>
      <c r="I389" s="2" t="s">
        <v>5815</v>
      </c>
      <c r="J389" s="2" t="s">
        <v>5930</v>
      </c>
      <c r="K389" s="2" t="s">
        <v>6081</v>
      </c>
      <c r="N389" s="1" t="s">
        <v>7003</v>
      </c>
    </row>
    <row r="390" spans="1:14" ht="43.5" x14ac:dyDescent="0.35">
      <c r="A390" s="113" t="s">
        <v>3437</v>
      </c>
      <c r="B390" s="102" t="s">
        <v>4423</v>
      </c>
      <c r="C390" s="123" t="str" cm="1">
        <f t="array" ref="C390:E390">_xlfn.TEXTSPLIT('איחוד שאלות'!$B390,"_")</f>
        <v>affect</v>
      </c>
      <c r="D390" s="102" t="str">
        <v>termo</v>
      </c>
      <c r="E390" s="102" t="str">
        <v>liberman</v>
      </c>
      <c r="F390" s="102"/>
      <c r="G390" s="103"/>
      <c r="H390" s="135" t="s">
        <v>3533</v>
      </c>
      <c r="I390" s="2" t="s">
        <v>5815</v>
      </c>
      <c r="J390" s="2" t="s">
        <v>5930</v>
      </c>
      <c r="K390" s="2" t="s">
        <v>6082</v>
      </c>
      <c r="N390" s="1" t="s">
        <v>7004</v>
      </c>
    </row>
    <row r="391" spans="1:14" ht="43.5" x14ac:dyDescent="0.35">
      <c r="A391" s="121" t="s">
        <v>3438</v>
      </c>
      <c r="B391" s="99" t="s">
        <v>4424</v>
      </c>
      <c r="C391" s="121" t="str" cm="1">
        <f t="array" ref="C391:E391">_xlfn.TEXTSPLIT('איחוד שאלות'!$B391,"_")</f>
        <v>affect</v>
      </c>
      <c r="D391" s="99" t="str">
        <v>termo</v>
      </c>
      <c r="E391" s="99" t="str">
        <v>lapid</v>
      </c>
      <c r="F391" s="99"/>
      <c r="G391" s="100"/>
      <c r="H391" s="136" t="s">
        <v>3533</v>
      </c>
      <c r="I391" s="2" t="s">
        <v>5815</v>
      </c>
      <c r="J391" s="2" t="s">
        <v>5930</v>
      </c>
      <c r="K391" s="2" t="s">
        <v>6083</v>
      </c>
      <c r="N391" s="1" t="s">
        <v>7005</v>
      </c>
    </row>
    <row r="392" spans="1:14" ht="43.5" x14ac:dyDescent="0.35">
      <c r="A392" s="113" t="s">
        <v>3439</v>
      </c>
      <c r="B392" s="102" t="s">
        <v>4425</v>
      </c>
      <c r="C392" s="123" t="str" cm="1">
        <f t="array" ref="C392:E392">_xlfn.TEXTSPLIT('איחוד שאלות'!$B392,"_")</f>
        <v>affect</v>
      </c>
      <c r="D392" s="102" t="str">
        <v>termo</v>
      </c>
      <c r="E392" s="102" t="str">
        <v>amrammitzna</v>
      </c>
      <c r="F392" s="102"/>
      <c r="G392" s="103"/>
      <c r="H392" s="135" t="s">
        <v>3533</v>
      </c>
      <c r="I392" s="2" t="s">
        <v>5815</v>
      </c>
      <c r="J392" s="2" t="s">
        <v>5930</v>
      </c>
      <c r="K392" s="2" t="s">
        <v>6084</v>
      </c>
      <c r="N392" s="1" t="s">
        <v>7006</v>
      </c>
    </row>
    <row r="393" spans="1:14" ht="43.5" x14ac:dyDescent="0.35">
      <c r="A393" s="121" t="s">
        <v>3440</v>
      </c>
      <c r="B393" s="99" t="s">
        <v>4426</v>
      </c>
      <c r="C393" s="121" t="str" cm="1">
        <f t="array" ref="C393:E393">_xlfn.TEXTSPLIT('איחוד שאלות'!$B393,"_")</f>
        <v>affect</v>
      </c>
      <c r="D393" s="99" t="str">
        <v>termo</v>
      </c>
      <c r="E393" s="99" t="str">
        <v>rabin</v>
      </c>
      <c r="F393" s="99"/>
      <c r="G393" s="100"/>
      <c r="H393" s="136" t="s">
        <v>3533</v>
      </c>
      <c r="I393" s="2" t="s">
        <v>5815</v>
      </c>
      <c r="J393" s="2" t="s">
        <v>5930</v>
      </c>
      <c r="K393" s="2" t="s">
        <v>6085</v>
      </c>
      <c r="N393" s="1" t="s">
        <v>7007</v>
      </c>
    </row>
    <row r="394" spans="1:14" ht="43.5" x14ac:dyDescent="0.35">
      <c r="A394" s="113" t="s">
        <v>3441</v>
      </c>
      <c r="B394" s="102" t="s">
        <v>4427</v>
      </c>
      <c r="C394" s="123" t="str" cm="1">
        <f t="array" ref="C394:E394">_xlfn.TEXTSPLIT('איחוד שאלות'!$B394,"_")</f>
        <v>affect</v>
      </c>
      <c r="D394" s="102" t="str">
        <v>termo</v>
      </c>
      <c r="E394" s="102" t="str">
        <v>peres</v>
      </c>
      <c r="F394" s="102"/>
      <c r="G394" s="103"/>
      <c r="H394" s="135" t="s">
        <v>3533</v>
      </c>
      <c r="I394" s="2" t="s">
        <v>5815</v>
      </c>
      <c r="J394" s="2" t="s">
        <v>5930</v>
      </c>
      <c r="K394" s="2" t="s">
        <v>6086</v>
      </c>
      <c r="N394" s="1" t="s">
        <v>7008</v>
      </c>
    </row>
    <row r="395" spans="1:14" ht="43.5" x14ac:dyDescent="0.35">
      <c r="A395" s="121" t="s">
        <v>3442</v>
      </c>
      <c r="B395" s="99" t="s">
        <v>4428</v>
      </c>
      <c r="C395" s="121" t="str" cm="1">
        <f t="array" ref="C395:E395">_xlfn.TEXTSPLIT('איחוד שאלות'!$B395,"_")</f>
        <v>affect</v>
      </c>
      <c r="D395" s="99" t="str">
        <v>termo</v>
      </c>
      <c r="E395" s="99" t="str">
        <v>barak</v>
      </c>
      <c r="F395" s="99"/>
      <c r="G395" s="100"/>
      <c r="H395" s="136" t="s">
        <v>3533</v>
      </c>
      <c r="I395" s="2" t="s">
        <v>5815</v>
      </c>
      <c r="J395" s="2" t="s">
        <v>5930</v>
      </c>
      <c r="K395" s="2" t="s">
        <v>6087</v>
      </c>
      <c r="N395" s="1" t="s">
        <v>7009</v>
      </c>
    </row>
    <row r="396" spans="1:14" ht="43.5" x14ac:dyDescent="0.35">
      <c r="A396" s="113" t="s">
        <v>3443</v>
      </c>
      <c r="B396" s="102" t="s">
        <v>4429</v>
      </c>
      <c r="C396" s="123" t="str" cm="1">
        <f t="array" ref="C396:E396">_xlfn.TEXTSPLIT('איחוד שאלות'!$B396,"_")</f>
        <v>affect</v>
      </c>
      <c r="D396" s="102" t="str">
        <v>termo</v>
      </c>
      <c r="E396" s="102" t="str">
        <v>yachimovich</v>
      </c>
      <c r="F396" s="102"/>
      <c r="G396" s="103"/>
      <c r="H396" s="135" t="s">
        <v>3533</v>
      </c>
      <c r="I396" s="2" t="s">
        <v>5815</v>
      </c>
      <c r="J396" s="2" t="s">
        <v>5930</v>
      </c>
      <c r="K396" s="2" t="s">
        <v>6088</v>
      </c>
      <c r="N396" s="1" t="s">
        <v>7010</v>
      </c>
    </row>
    <row r="397" spans="1:14" ht="43.5" x14ac:dyDescent="0.35">
      <c r="A397" s="121" t="s">
        <v>3444</v>
      </c>
      <c r="B397" s="99" t="s">
        <v>4430</v>
      </c>
      <c r="C397" s="121" t="str" cm="1">
        <f t="array" ref="C397:E397">_xlfn.TEXTSPLIT('איחוד שאלות'!$B397,"_")</f>
        <v>affect</v>
      </c>
      <c r="D397" s="99" t="str">
        <v>termo</v>
      </c>
      <c r="E397" s="99" t="str">
        <v>herzog</v>
      </c>
      <c r="F397" s="99"/>
      <c r="G397" s="100"/>
      <c r="H397" s="136" t="s">
        <v>3533</v>
      </c>
      <c r="I397" s="2" t="s">
        <v>5815</v>
      </c>
      <c r="J397" s="2" t="s">
        <v>5930</v>
      </c>
      <c r="K397" s="2" t="s">
        <v>6089</v>
      </c>
      <c r="N397" s="1" t="s">
        <v>7011</v>
      </c>
    </row>
    <row r="398" spans="1:14" ht="43.5" x14ac:dyDescent="0.35">
      <c r="A398" s="113" t="s">
        <v>3445</v>
      </c>
      <c r="B398" s="102" t="s">
        <v>4431</v>
      </c>
      <c r="C398" s="123" t="str" cm="1">
        <f t="array" ref="C398:E398">_xlfn.TEXTSPLIT('איחוד שאלות'!$B398,"_")</f>
        <v>affect</v>
      </c>
      <c r="D398" s="102" t="str">
        <v>termo</v>
      </c>
      <c r="E398" s="102" t="str">
        <v>livni</v>
      </c>
      <c r="F398" s="102"/>
      <c r="G398" s="103"/>
      <c r="H398" s="135" t="s">
        <v>3533</v>
      </c>
      <c r="I398" s="2" t="s">
        <v>5815</v>
      </c>
      <c r="J398" s="2" t="s">
        <v>5930</v>
      </c>
      <c r="K398" s="2" t="s">
        <v>6090</v>
      </c>
      <c r="N398" s="1" t="s">
        <v>7012</v>
      </c>
    </row>
    <row r="399" spans="1:14" ht="43.5" x14ac:dyDescent="0.35">
      <c r="A399" s="121" t="s">
        <v>3446</v>
      </c>
      <c r="B399" s="99" t="s">
        <v>4432</v>
      </c>
      <c r="C399" s="121" t="str" cm="1">
        <f t="array" ref="C399:E399">_xlfn.TEXTSPLIT('איחוד שאלות'!$B399,"_")</f>
        <v>affect</v>
      </c>
      <c r="D399" s="99" t="str">
        <v>termo</v>
      </c>
      <c r="E399" s="99" t="str">
        <v>gabay</v>
      </c>
      <c r="F399" s="99"/>
      <c r="G399" s="100"/>
      <c r="H399" s="136" t="s">
        <v>3533</v>
      </c>
      <c r="I399" s="2" t="s">
        <v>5815</v>
      </c>
      <c r="J399" s="2" t="s">
        <v>5930</v>
      </c>
      <c r="K399" s="2" t="s">
        <v>6091</v>
      </c>
      <c r="N399" s="1" t="s">
        <v>7013</v>
      </c>
    </row>
    <row r="400" spans="1:14" ht="43.5" x14ac:dyDescent="0.35">
      <c r="A400" s="113" t="s">
        <v>3447</v>
      </c>
      <c r="B400" s="102" t="s">
        <v>4433</v>
      </c>
      <c r="C400" s="123" t="str" cm="1">
        <f t="array" ref="C400:E400">_xlfn.TEXTSPLIT('איחוד שאלות'!$B400,"_")</f>
        <v>affect</v>
      </c>
      <c r="D400" s="102" t="str">
        <v>termo</v>
      </c>
      <c r="E400" s="102" t="str">
        <v>peretz</v>
      </c>
      <c r="F400" s="102"/>
      <c r="G400" s="103"/>
      <c r="H400" s="135" t="s">
        <v>3533</v>
      </c>
      <c r="I400" s="2" t="s">
        <v>5815</v>
      </c>
      <c r="J400" s="2" t="s">
        <v>5930</v>
      </c>
      <c r="K400" s="2" t="s">
        <v>6092</v>
      </c>
      <c r="N400" s="1" t="s">
        <v>7014</v>
      </c>
    </row>
    <row r="401" spans="1:14" ht="43.5" x14ac:dyDescent="0.35">
      <c r="A401" s="121" t="s">
        <v>3448</v>
      </c>
      <c r="B401" s="99" t="s">
        <v>4434</v>
      </c>
      <c r="C401" s="121" t="str" cm="1">
        <f t="array" ref="C401:E401">_xlfn.TEXTSPLIT('איחוד שאלות'!$B401,"_")</f>
        <v>affect</v>
      </c>
      <c r="D401" s="99" t="str">
        <v>termo</v>
      </c>
      <c r="E401" s="99" t="str">
        <v>michaeli</v>
      </c>
      <c r="F401" s="99"/>
      <c r="G401" s="100"/>
      <c r="H401" s="136" t="s">
        <v>3533</v>
      </c>
      <c r="I401" s="2" t="s">
        <v>5815</v>
      </c>
      <c r="J401" s="2" t="s">
        <v>5930</v>
      </c>
      <c r="K401" s="2" t="s">
        <v>6093</v>
      </c>
      <c r="N401" s="1" t="s">
        <v>7015</v>
      </c>
    </row>
    <row r="402" spans="1:14" ht="43.5" x14ac:dyDescent="0.35">
      <c r="A402" s="113" t="s">
        <v>3449</v>
      </c>
      <c r="B402" s="102" t="s">
        <v>4435</v>
      </c>
      <c r="C402" s="123" t="str" cm="1">
        <f t="array" ref="C402:E402">_xlfn.TEXTSPLIT('איחוד שאלות'!$B402,"_")</f>
        <v>affect</v>
      </c>
      <c r="D402" s="102" t="str">
        <v>termo</v>
      </c>
      <c r="E402" s="102" t="str">
        <v>saar</v>
      </c>
      <c r="F402" s="102"/>
      <c r="G402" s="103"/>
      <c r="H402" s="135" t="s">
        <v>3533</v>
      </c>
      <c r="I402" s="2" t="s">
        <v>5815</v>
      </c>
      <c r="J402" s="2" t="s">
        <v>5930</v>
      </c>
      <c r="K402" s="2" t="s">
        <v>6094</v>
      </c>
      <c r="N402" s="1" t="s">
        <v>7016</v>
      </c>
    </row>
    <row r="403" spans="1:14" ht="43.5" x14ac:dyDescent="0.35">
      <c r="A403" s="121" t="s">
        <v>3450</v>
      </c>
      <c r="B403" s="99" t="s">
        <v>4436</v>
      </c>
      <c r="C403" s="121" t="str" cm="1">
        <f t="array" ref="C403:E403">_xlfn.TEXTSPLIT('איחוד שאלות'!$B403,"_")</f>
        <v>affect</v>
      </c>
      <c r="D403" s="99" t="str">
        <v>termo</v>
      </c>
      <c r="E403" s="99" t="str">
        <v>bennett</v>
      </c>
      <c r="F403" s="99"/>
      <c r="G403" s="100"/>
      <c r="H403" s="136" t="s">
        <v>3533</v>
      </c>
      <c r="I403" s="2" t="s">
        <v>5815</v>
      </c>
      <c r="J403" s="2" t="s">
        <v>5930</v>
      </c>
      <c r="K403" s="2" t="s">
        <v>6095</v>
      </c>
      <c r="N403" s="1" t="s">
        <v>7017</v>
      </c>
    </row>
    <row r="404" spans="1:14" ht="43.5" x14ac:dyDescent="0.35">
      <c r="A404" s="113" t="s">
        <v>3451</v>
      </c>
      <c r="B404" s="102" t="s">
        <v>4437</v>
      </c>
      <c r="C404" s="123" t="str" cm="1">
        <f t="array" ref="C404:E404">_xlfn.TEXTSPLIT('איחוד שאלות'!$B404,"_")</f>
        <v>affect</v>
      </c>
      <c r="D404" s="102" t="str">
        <v>termo</v>
      </c>
      <c r="E404" s="102" t="str">
        <v>shaked</v>
      </c>
      <c r="F404" s="102"/>
      <c r="G404" s="103"/>
      <c r="H404" s="135" t="s">
        <v>3533</v>
      </c>
      <c r="I404" s="2" t="s">
        <v>5815</v>
      </c>
      <c r="J404" s="2" t="s">
        <v>5930</v>
      </c>
      <c r="K404" s="2" t="s">
        <v>6096</v>
      </c>
      <c r="N404" s="1" t="s">
        <v>7018</v>
      </c>
    </row>
    <row r="405" spans="1:14" ht="43.5" x14ac:dyDescent="0.35">
      <c r="A405" s="121" t="s">
        <v>3452</v>
      </c>
      <c r="B405" s="99" t="s">
        <v>4438</v>
      </c>
      <c r="C405" s="121" t="str" cm="1">
        <f t="array" ref="C405:E405">_xlfn.TEXTSPLIT('איחוד שאלות'!$B405,"_")</f>
        <v>affect</v>
      </c>
      <c r="D405" s="99" t="str">
        <v>termo</v>
      </c>
      <c r="E405" s="99" t="str">
        <v>binyaminelon</v>
      </c>
      <c r="F405" s="99"/>
      <c r="G405" s="100"/>
      <c r="H405" s="136" t="s">
        <v>3533</v>
      </c>
      <c r="I405" s="2" t="s">
        <v>5815</v>
      </c>
      <c r="J405" s="2" t="s">
        <v>5930</v>
      </c>
      <c r="K405" s="2" t="s">
        <v>6097</v>
      </c>
      <c r="N405" s="1" t="s">
        <v>7019</v>
      </c>
    </row>
    <row r="406" spans="1:14" ht="43.5" x14ac:dyDescent="0.35">
      <c r="A406" s="113" t="s">
        <v>3453</v>
      </c>
      <c r="B406" s="102" t="s">
        <v>4439</v>
      </c>
      <c r="C406" s="123" t="str" cm="1">
        <f t="array" ref="C406:E406">_xlfn.TEXTSPLIT('איחוד שאלות'!$B406,"_")</f>
        <v>affect</v>
      </c>
      <c r="D406" s="102" t="str">
        <v>termo</v>
      </c>
      <c r="E406" s="102" t="str">
        <v>smotrich</v>
      </c>
      <c r="F406" s="102"/>
      <c r="G406" s="103"/>
      <c r="H406" s="135" t="s">
        <v>3533</v>
      </c>
      <c r="I406" s="2" t="s">
        <v>5815</v>
      </c>
      <c r="J406" s="2" t="s">
        <v>5930</v>
      </c>
      <c r="K406" s="2" t="s">
        <v>6098</v>
      </c>
      <c r="N406" s="1" t="s">
        <v>7020</v>
      </c>
    </row>
    <row r="407" spans="1:14" ht="43.5" x14ac:dyDescent="0.35">
      <c r="A407" s="121" t="s">
        <v>3454</v>
      </c>
      <c r="B407" s="99" t="s">
        <v>4440</v>
      </c>
      <c r="C407" s="121" t="str" cm="1">
        <f t="array" ref="C407:E407">_xlfn.TEXTSPLIT('איחוד שאלות'!$B407,"_")</f>
        <v>affect</v>
      </c>
      <c r="D407" s="99" t="str">
        <v>termo</v>
      </c>
      <c r="E407" s="99" t="str">
        <v>kahane</v>
      </c>
      <c r="F407" s="99"/>
      <c r="G407" s="100"/>
      <c r="H407" s="136" t="s">
        <v>3533</v>
      </c>
      <c r="I407" s="2" t="s">
        <v>5815</v>
      </c>
      <c r="J407" s="2" t="s">
        <v>5930</v>
      </c>
      <c r="K407" s="2" t="s">
        <v>6099</v>
      </c>
      <c r="N407" s="1" t="s">
        <v>7021</v>
      </c>
    </row>
    <row r="408" spans="1:14" ht="43.5" x14ac:dyDescent="0.35">
      <c r="A408" s="113" t="s">
        <v>3455</v>
      </c>
      <c r="B408" s="102" t="s">
        <v>4441</v>
      </c>
      <c r="C408" s="123" t="str" cm="1">
        <f t="array" ref="C408:E408">_xlfn.TEXTSPLIT('איחוד שאלות'!$B408,"_")</f>
        <v>affect</v>
      </c>
      <c r="D408" s="102" t="str">
        <v>termo</v>
      </c>
      <c r="E408" s="102" t="str">
        <v>yossibeilin</v>
      </c>
      <c r="F408" s="102"/>
      <c r="G408" s="103"/>
      <c r="H408" s="135" t="s">
        <v>3533</v>
      </c>
      <c r="I408" s="2" t="s">
        <v>5815</v>
      </c>
      <c r="J408" s="2" t="s">
        <v>5930</v>
      </c>
      <c r="K408" s="2" t="s">
        <v>6100</v>
      </c>
      <c r="N408" s="1" t="s">
        <v>7022</v>
      </c>
    </row>
    <row r="409" spans="1:14" ht="43.5" x14ac:dyDescent="0.35">
      <c r="A409" s="121" t="s">
        <v>3456</v>
      </c>
      <c r="B409" s="99" t="s">
        <v>4442</v>
      </c>
      <c r="C409" s="121" t="str" cm="1">
        <f t="array" ref="C409:E409">_xlfn.TEXTSPLIT('איחוד שאלות'!$B409,"_")</f>
        <v>affect</v>
      </c>
      <c r="D409" s="99" t="str">
        <v>termo</v>
      </c>
      <c r="E409" s="99" t="str">
        <v>galon</v>
      </c>
      <c r="F409" s="99"/>
      <c r="G409" s="100"/>
      <c r="H409" s="136" t="s">
        <v>3533</v>
      </c>
      <c r="I409" s="2" t="s">
        <v>5815</v>
      </c>
      <c r="J409" s="2" t="s">
        <v>5930</v>
      </c>
      <c r="K409" s="2" t="s">
        <v>6101</v>
      </c>
      <c r="N409" s="1" t="s">
        <v>7023</v>
      </c>
    </row>
    <row r="410" spans="1:14" ht="43.5" x14ac:dyDescent="0.35">
      <c r="A410" s="113" t="s">
        <v>3457</v>
      </c>
      <c r="B410" s="102" t="s">
        <v>4443</v>
      </c>
      <c r="C410" s="123" t="str" cm="1">
        <f t="array" ref="C410:E410">_xlfn.TEXTSPLIT('איחוד שאלות'!$B410,"_")</f>
        <v>affect</v>
      </c>
      <c r="D410" s="102" t="str">
        <v>termo</v>
      </c>
      <c r="E410" s="102" t="str">
        <v>zandberg</v>
      </c>
      <c r="F410" s="102"/>
      <c r="G410" s="103"/>
      <c r="H410" s="135" t="s">
        <v>3533</v>
      </c>
      <c r="I410" s="2" t="s">
        <v>5815</v>
      </c>
      <c r="J410" s="2" t="s">
        <v>5930</v>
      </c>
      <c r="K410" s="2" t="s">
        <v>6102</v>
      </c>
      <c r="N410" s="1" t="s">
        <v>7024</v>
      </c>
    </row>
    <row r="411" spans="1:14" ht="43.5" x14ac:dyDescent="0.35">
      <c r="A411" s="121" t="s">
        <v>3458</v>
      </c>
      <c r="B411" s="99" t="s">
        <v>4444</v>
      </c>
      <c r="C411" s="121" t="str" cm="1">
        <f t="array" ref="C411:E411">_xlfn.TEXTSPLIT('איחוד שאלות'!$B411,"_")</f>
        <v>affect</v>
      </c>
      <c r="D411" s="99" t="str">
        <v>termo</v>
      </c>
      <c r="E411" s="99" t="str">
        <v>horowitz</v>
      </c>
      <c r="F411" s="99"/>
      <c r="G411" s="100"/>
      <c r="H411" s="136" t="s">
        <v>3533</v>
      </c>
      <c r="I411" s="2" t="s">
        <v>5815</v>
      </c>
      <c r="J411" s="2" t="s">
        <v>5930</v>
      </c>
      <c r="K411" s="2" t="s">
        <v>6103</v>
      </c>
      <c r="N411" s="1" t="s">
        <v>7025</v>
      </c>
    </row>
    <row r="412" spans="1:14" ht="43.5" x14ac:dyDescent="0.35">
      <c r="A412" s="113" t="s">
        <v>3459</v>
      </c>
      <c r="B412" s="102" t="s">
        <v>4445</v>
      </c>
      <c r="C412" s="123" t="str" cm="1">
        <f t="array" ref="C412:E412">_xlfn.TEXTSPLIT('איחוד שאלות'!$B412,"_")</f>
        <v>affect</v>
      </c>
      <c r="D412" s="102" t="str">
        <v>termo</v>
      </c>
      <c r="E412" s="102" t="str">
        <v>kahlon</v>
      </c>
      <c r="F412" s="102"/>
      <c r="G412" s="103"/>
      <c r="H412" s="135" t="s">
        <v>3533</v>
      </c>
      <c r="I412" s="2" t="s">
        <v>5815</v>
      </c>
      <c r="J412" s="2" t="s">
        <v>5930</v>
      </c>
      <c r="K412" s="2" t="s">
        <v>6104</v>
      </c>
      <c r="N412" s="1" t="s">
        <v>7026</v>
      </c>
    </row>
    <row r="413" spans="1:14" ht="43.5" x14ac:dyDescent="0.35">
      <c r="A413" s="121" t="s">
        <v>3460</v>
      </c>
      <c r="B413" s="99" t="s">
        <v>4446</v>
      </c>
      <c r="C413" s="121" t="str" cm="1">
        <f t="array" ref="C413:E413">_xlfn.TEXTSPLIT('איחוד שאלות'!$B413,"_")</f>
        <v>affect</v>
      </c>
      <c r="D413" s="99" t="str">
        <v>termo</v>
      </c>
      <c r="E413" s="99" t="str">
        <v>deri</v>
      </c>
      <c r="F413" s="99"/>
      <c r="G413" s="100"/>
      <c r="H413" s="136" t="s">
        <v>3533</v>
      </c>
      <c r="I413" s="2" t="s">
        <v>5815</v>
      </c>
      <c r="J413" s="2" t="s">
        <v>5930</v>
      </c>
      <c r="K413" s="2" t="s">
        <v>6105</v>
      </c>
      <c r="N413" s="1" t="s">
        <v>7027</v>
      </c>
    </row>
    <row r="414" spans="1:14" ht="43.5" x14ac:dyDescent="0.35">
      <c r="A414" s="113" t="s">
        <v>3461</v>
      </c>
      <c r="B414" s="102" t="s">
        <v>4447</v>
      </c>
      <c r="C414" s="123" t="str" cm="1">
        <f t="array" ref="C414:E414">_xlfn.TEXTSPLIT('איחוד שאלות'!$B414,"_")</f>
        <v>affect</v>
      </c>
      <c r="D414" s="102" t="str">
        <v>termo</v>
      </c>
      <c r="E414" s="102" t="str">
        <v>eliyishai</v>
      </c>
      <c r="F414" s="102"/>
      <c r="G414" s="103"/>
      <c r="H414" s="135" t="s">
        <v>3533</v>
      </c>
      <c r="I414" s="2" t="s">
        <v>5815</v>
      </c>
      <c r="J414" s="2" t="s">
        <v>5930</v>
      </c>
      <c r="K414" s="2" t="s">
        <v>6106</v>
      </c>
      <c r="N414" s="1" t="s">
        <v>7028</v>
      </c>
    </row>
    <row r="415" spans="1:14" ht="43.5" x14ac:dyDescent="0.35">
      <c r="A415" s="121" t="s">
        <v>3462</v>
      </c>
      <c r="B415" s="99" t="s">
        <v>4448</v>
      </c>
      <c r="C415" s="121" t="str" cm="1">
        <f t="array" ref="C415:E415">_xlfn.TEXTSPLIT('איחוד שאלות'!$B415,"_")</f>
        <v>affect</v>
      </c>
      <c r="D415" s="99" t="str">
        <v>termo</v>
      </c>
      <c r="E415" s="99" t="str">
        <v>natansharansky</v>
      </c>
      <c r="F415" s="99"/>
      <c r="G415" s="100"/>
      <c r="H415" s="136" t="s">
        <v>3533</v>
      </c>
      <c r="I415" s="2" t="s">
        <v>5815</v>
      </c>
      <c r="J415" s="2" t="s">
        <v>5930</v>
      </c>
      <c r="K415" s="2" t="s">
        <v>6107</v>
      </c>
      <c r="N415" s="1" t="s">
        <v>7029</v>
      </c>
    </row>
    <row r="416" spans="1:14" ht="43.5" x14ac:dyDescent="0.35">
      <c r="A416" s="113" t="s">
        <v>3463</v>
      </c>
      <c r="B416" s="102" t="s">
        <v>4449</v>
      </c>
      <c r="C416" s="123" t="str" cm="1">
        <f t="array" ref="C416:E416">_xlfn.TEXTSPLIT('איחוד שאלות'!$B416,"_")</f>
        <v>affect</v>
      </c>
      <c r="D416" s="102" t="str">
        <v>termo</v>
      </c>
      <c r="E416" s="102" t="str">
        <v>odeh</v>
      </c>
      <c r="F416" s="102"/>
      <c r="G416" s="103"/>
      <c r="H416" s="135" t="s">
        <v>3533</v>
      </c>
      <c r="I416" s="2" t="s">
        <v>5815</v>
      </c>
      <c r="J416" s="2" t="s">
        <v>5930</v>
      </c>
      <c r="K416" s="2" t="s">
        <v>6108</v>
      </c>
      <c r="N416" s="1" t="s">
        <v>7030</v>
      </c>
    </row>
    <row r="417" spans="1:14" ht="43.5" x14ac:dyDescent="0.35">
      <c r="A417" s="121" t="s">
        <v>3464</v>
      </c>
      <c r="B417" s="99" t="s">
        <v>4450</v>
      </c>
      <c r="C417" s="121" t="str" cm="1">
        <f t="array" ref="C417:E417">_xlfn.TEXTSPLIT('איחוד שאלות'!$B417,"_")</f>
        <v>affect</v>
      </c>
      <c r="D417" s="99" t="str">
        <v>termo</v>
      </c>
      <c r="E417" s="99" t="str">
        <v>tibi</v>
      </c>
      <c r="F417" s="99"/>
      <c r="G417" s="100"/>
      <c r="H417" s="136" t="s">
        <v>3533</v>
      </c>
      <c r="I417" s="2" t="s">
        <v>5815</v>
      </c>
      <c r="J417" s="2" t="s">
        <v>5930</v>
      </c>
      <c r="K417" s="2" t="s">
        <v>6109</v>
      </c>
      <c r="N417" s="1" t="s">
        <v>7031</v>
      </c>
    </row>
    <row r="418" spans="1:14" ht="43.5" x14ac:dyDescent="0.35">
      <c r="A418" s="113" t="s">
        <v>3465</v>
      </c>
      <c r="B418" s="102" t="s">
        <v>4451</v>
      </c>
      <c r="C418" s="123" t="str" cm="1">
        <f t="array" ref="C418:E418">_xlfn.TEXTSPLIT('איחוד שאלות'!$B418,"_")</f>
        <v>affect</v>
      </c>
      <c r="D418" s="102" t="str">
        <v>termo</v>
      </c>
      <c r="E418" s="102" t="str">
        <v>mansourabbas</v>
      </c>
      <c r="F418" s="102"/>
      <c r="G418" s="103"/>
      <c r="H418" s="135" t="s">
        <v>3533</v>
      </c>
      <c r="I418" s="2" t="s">
        <v>5815</v>
      </c>
      <c r="J418" s="2" t="s">
        <v>5930</v>
      </c>
      <c r="K418" s="2" t="s">
        <v>6110</v>
      </c>
      <c r="N418" s="1" t="s">
        <v>7032</v>
      </c>
    </row>
    <row r="419" spans="1:14" ht="43.5" x14ac:dyDescent="0.35">
      <c r="A419" s="121" t="s">
        <v>3466</v>
      </c>
      <c r="B419" s="99" t="s">
        <v>4452</v>
      </c>
      <c r="C419" s="121" t="str" cm="1">
        <f t="array" ref="C419:E419">_xlfn.TEXTSPLIT('איחוד שאלות'!$B419,"_")</f>
        <v>affect</v>
      </c>
      <c r="D419" s="99" t="str">
        <v>termo</v>
      </c>
      <c r="E419" s="99" t="str">
        <v>mtanesshehadeh</v>
      </c>
      <c r="F419" s="99"/>
      <c r="G419" s="100"/>
      <c r="H419" s="136" t="s">
        <v>3533</v>
      </c>
      <c r="I419" s="2" t="s">
        <v>5815</v>
      </c>
      <c r="J419" s="2" t="s">
        <v>5930</v>
      </c>
      <c r="K419" s="2" t="s">
        <v>6111</v>
      </c>
      <c r="N419" s="1" t="s">
        <v>7033</v>
      </c>
    </row>
    <row r="420" spans="1:14" ht="43.5" x14ac:dyDescent="0.35">
      <c r="A420" s="113" t="s">
        <v>3467</v>
      </c>
      <c r="B420" s="102" t="s">
        <v>4453</v>
      </c>
      <c r="C420" s="123" t="str" cm="1">
        <f t="array" ref="C420:E420">_xlfn.TEXTSPLIT('איחוד שאלות'!$B420,"_")</f>
        <v>affect</v>
      </c>
      <c r="D420" s="102" t="str">
        <v>termo</v>
      </c>
      <c r="E420" s="102" t="str">
        <v>toumasuleiman</v>
      </c>
      <c r="F420" s="102"/>
      <c r="G420" s="103"/>
      <c r="H420" s="135" t="s">
        <v>3533</v>
      </c>
      <c r="I420" s="2" t="s">
        <v>5815</v>
      </c>
      <c r="J420" s="2" t="s">
        <v>5930</v>
      </c>
      <c r="K420" s="2" t="s">
        <v>6112</v>
      </c>
      <c r="N420" s="1" t="s">
        <v>7034</v>
      </c>
    </row>
    <row r="421" spans="1:14" ht="43.5" x14ac:dyDescent="0.35">
      <c r="A421" s="121" t="s">
        <v>3468</v>
      </c>
      <c r="B421" s="99" t="s">
        <v>4454</v>
      </c>
      <c r="C421" s="121" t="str" cm="1">
        <f t="array" ref="C421:E421">_xlfn.TEXTSPLIT('איחוד שאלות'!$B421,"_")</f>
        <v>affect</v>
      </c>
      <c r="D421" s="99" t="str">
        <v>termo</v>
      </c>
      <c r="E421" s="99" t="str">
        <v>masudghnaim</v>
      </c>
      <c r="F421" s="99"/>
      <c r="G421" s="100"/>
      <c r="H421" s="136" t="s">
        <v>3533</v>
      </c>
      <c r="I421" s="2" t="s">
        <v>5815</v>
      </c>
      <c r="J421" s="2" t="s">
        <v>5930</v>
      </c>
      <c r="K421" s="2" t="s">
        <v>6113</v>
      </c>
      <c r="N421" s="1" t="s">
        <v>7035</v>
      </c>
    </row>
    <row r="422" spans="1:14" ht="43.5" x14ac:dyDescent="0.35">
      <c r="A422" s="113" t="s">
        <v>3469</v>
      </c>
      <c r="B422" s="102" t="s">
        <v>4455</v>
      </c>
      <c r="C422" s="123" t="str" cm="1">
        <f t="array" ref="C422:E422">_xlfn.TEXTSPLIT('איחוד שאלות'!$B422,"_")</f>
        <v>affect</v>
      </c>
      <c r="D422" s="102" t="str">
        <v>termo</v>
      </c>
      <c r="E422" s="102" t="str">
        <v>jamalzahalka</v>
      </c>
      <c r="F422" s="102"/>
      <c r="G422" s="103"/>
      <c r="H422" s="135" t="s">
        <v>3533</v>
      </c>
      <c r="I422" s="2" t="s">
        <v>5815</v>
      </c>
      <c r="J422" s="2" t="s">
        <v>5930</v>
      </c>
      <c r="K422" s="2" t="s">
        <v>6114</v>
      </c>
      <c r="N422" s="1" t="s">
        <v>7036</v>
      </c>
    </row>
    <row r="423" spans="1:14" ht="43.5" x14ac:dyDescent="0.35">
      <c r="A423" s="121" t="s">
        <v>3470</v>
      </c>
      <c r="B423" s="99" t="s">
        <v>4456</v>
      </c>
      <c r="C423" s="121" t="str" cm="1">
        <f t="array" ref="C423:E423">_xlfn.TEXTSPLIT('איחוד שאלות'!$B423,"_")</f>
        <v>affect</v>
      </c>
      <c r="D423" s="99" t="str">
        <v>termo</v>
      </c>
      <c r="E423" s="99" t="str">
        <v>haneenzoabi</v>
      </c>
      <c r="F423" s="99"/>
      <c r="G423" s="100"/>
      <c r="H423" s="136" t="s">
        <v>3533</v>
      </c>
      <c r="I423" s="2" t="s">
        <v>5815</v>
      </c>
      <c r="J423" s="2" t="s">
        <v>5930</v>
      </c>
      <c r="K423" s="2" t="s">
        <v>6115</v>
      </c>
      <c r="N423" s="1" t="s">
        <v>7037</v>
      </c>
    </row>
    <row r="424" spans="1:14" ht="43.5" x14ac:dyDescent="0.35">
      <c r="A424" s="113" t="s">
        <v>3471</v>
      </c>
      <c r="B424" s="102" t="s">
        <v>4457</v>
      </c>
      <c r="C424" s="123" t="str" cm="1">
        <f t="array" ref="C424:E424">_xlfn.TEXTSPLIT('איחוד שאלות'!$B424,"_")</f>
        <v>affect</v>
      </c>
      <c r="D424" s="102" t="str">
        <v>termo</v>
      </c>
      <c r="E424" s="102" t="str">
        <v>mohammadbarakeh</v>
      </c>
      <c r="F424" s="102"/>
      <c r="G424" s="103"/>
      <c r="H424" s="135" t="s">
        <v>3533</v>
      </c>
      <c r="I424" s="2" t="s">
        <v>5815</v>
      </c>
      <c r="J424" s="2" t="s">
        <v>5930</v>
      </c>
      <c r="K424" s="2" t="s">
        <v>6116</v>
      </c>
      <c r="N424" s="1" t="s">
        <v>7038</v>
      </c>
    </row>
    <row r="425" spans="1:14" ht="43.5" x14ac:dyDescent="0.35">
      <c r="A425" s="121" t="s">
        <v>3472</v>
      </c>
      <c r="B425" s="99" t="s">
        <v>4458</v>
      </c>
      <c r="C425" s="121" t="str" cm="1">
        <f t="array" ref="C425:E425">_xlfn.TEXTSPLIT('איחוד שאלות'!$B425,"_")</f>
        <v>affect</v>
      </c>
      <c r="D425" s="99" t="str">
        <v>termo</v>
      </c>
      <c r="E425" s="99" t="str">
        <v>ibrahimsarsur</v>
      </c>
      <c r="F425" s="99"/>
      <c r="G425" s="100"/>
      <c r="H425" s="136" t="s">
        <v>3533</v>
      </c>
      <c r="I425" s="2" t="s">
        <v>5815</v>
      </c>
      <c r="J425" s="2" t="s">
        <v>5930</v>
      </c>
      <c r="K425" s="2" t="s">
        <v>6117</v>
      </c>
      <c r="N425" s="1" t="s">
        <v>7039</v>
      </c>
    </row>
    <row r="426" spans="1:14" ht="43.5" x14ac:dyDescent="0.35">
      <c r="A426" s="113" t="s">
        <v>3473</v>
      </c>
      <c r="B426" s="102" t="s">
        <v>4459</v>
      </c>
      <c r="C426" s="123" t="str" cm="1">
        <f t="array" ref="C426:E426">_xlfn.TEXTSPLIT('איחוד שאלות'!$B426,"_")</f>
        <v>affect</v>
      </c>
      <c r="D426" s="102" t="str">
        <v>termo</v>
      </c>
      <c r="E426" s="102" t="str">
        <v>azmibishara</v>
      </c>
      <c r="F426" s="102"/>
      <c r="G426" s="103"/>
      <c r="H426" s="135" t="s">
        <v>3533</v>
      </c>
      <c r="I426" s="2" t="s">
        <v>5815</v>
      </c>
      <c r="J426" s="2" t="s">
        <v>5930</v>
      </c>
      <c r="K426" s="2" t="s">
        <v>6118</v>
      </c>
      <c r="N426" s="1" t="s">
        <v>7040</v>
      </c>
    </row>
    <row r="427" spans="1:14" ht="43.5" x14ac:dyDescent="0.35">
      <c r="A427" s="121" t="s">
        <v>3474</v>
      </c>
      <c r="B427" s="99" t="s">
        <v>4460</v>
      </c>
      <c r="C427" s="121" t="str" cm="1">
        <f t="array" ref="C427:E427">_xlfn.TEXTSPLIT('איחוד שאלות'!$B427,"_")</f>
        <v>affect</v>
      </c>
      <c r="D427" s="99" t="str">
        <v>termo</v>
      </c>
      <c r="E427" s="99" t="str">
        <v>arafat</v>
      </c>
      <c r="F427" s="99"/>
      <c r="G427" s="100"/>
      <c r="H427" s="136" t="s">
        <v>3533</v>
      </c>
      <c r="I427" s="2" t="s">
        <v>5815</v>
      </c>
      <c r="J427" s="2" t="s">
        <v>5930</v>
      </c>
      <c r="K427" s="2" t="s">
        <v>6119</v>
      </c>
      <c r="N427" s="1" t="s">
        <v>7041</v>
      </c>
    </row>
    <row r="428" spans="1:14" ht="29" x14ac:dyDescent="0.35">
      <c r="A428" s="113" t="s">
        <v>244</v>
      </c>
      <c r="B428" s="102" t="s">
        <v>4462</v>
      </c>
      <c r="C428" s="123" t="str" cm="1">
        <f t="array" ref="C428:D428">_xlfn.TEXTSPLIT('איחוד שאלות'!$B428,"_")</f>
        <v>polidentity</v>
      </c>
      <c r="D428" s="146" t="str">
        <v>party</v>
      </c>
      <c r="E428" s="146"/>
      <c r="F428" s="146"/>
      <c r="G428" s="147"/>
      <c r="H428" s="148"/>
      <c r="I428" s="2" t="s">
        <v>6017</v>
      </c>
      <c r="J428" s="2" t="s">
        <v>5853</v>
      </c>
      <c r="N428" s="1" t="s">
        <v>244</v>
      </c>
    </row>
    <row r="429" spans="1:14" ht="58" x14ac:dyDescent="0.35">
      <c r="A429" s="149" t="s">
        <v>246</v>
      </c>
      <c r="B429" s="150" t="s">
        <v>4461</v>
      </c>
      <c r="C429" s="151" t="str" cm="1">
        <f t="array" ref="C429:E429">_xlfn.TEXTSPLIT('איחוד שאלות'!$B429,"_")</f>
        <v>polidentity</v>
      </c>
      <c r="D429" s="150" t="str">
        <v>party</v>
      </c>
      <c r="E429" s="150" t="str">
        <v>importance</v>
      </c>
      <c r="F429" s="150"/>
      <c r="G429" s="152"/>
      <c r="H429" s="153" t="s">
        <v>3533</v>
      </c>
      <c r="I429" s="2" t="s">
        <v>6017</v>
      </c>
      <c r="J429" s="2" t="s">
        <v>5853</v>
      </c>
      <c r="K429" s="2" t="s">
        <v>5857</v>
      </c>
      <c r="N429" s="1" t="s">
        <v>246</v>
      </c>
    </row>
    <row r="430" spans="1:14" ht="130.5" x14ac:dyDescent="0.35">
      <c r="A430" s="113" t="s">
        <v>3475</v>
      </c>
      <c r="B430" s="102" t="s">
        <v>4463</v>
      </c>
      <c r="C430" s="123" t="str" cm="1">
        <f t="array" ref="C430:G430">_xlfn.TEXTSPLIT('איחוד שאלות'!$B430,"_")</f>
        <v>polidentity</v>
      </c>
      <c r="D430" s="146" t="str">
        <v>party</v>
      </c>
      <c r="E430" s="146" t="str">
        <v>agreement</v>
      </c>
      <c r="F430" s="146" t="str">
        <v>personal</v>
      </c>
      <c r="G430" s="147" t="str">
        <v>criticism</v>
      </c>
      <c r="H430" s="148" t="s">
        <v>3533</v>
      </c>
      <c r="I430" s="2" t="s">
        <v>6017</v>
      </c>
      <c r="J430" s="2" t="s">
        <v>5853</v>
      </c>
      <c r="K430" s="2" t="s">
        <v>5862</v>
      </c>
      <c r="L430" s="2" t="s">
        <v>5866</v>
      </c>
      <c r="M430" s="2" t="s">
        <v>5907</v>
      </c>
      <c r="N430" s="1" t="s">
        <v>7042</v>
      </c>
    </row>
    <row r="431" spans="1:14" ht="58" x14ac:dyDescent="0.35">
      <c r="A431" s="149" t="s">
        <v>250</v>
      </c>
      <c r="B431" s="150" t="s">
        <v>4464</v>
      </c>
      <c r="C431" s="151" t="str" cm="1">
        <f t="array" ref="C431:G431">_xlfn.TEXTSPLIT('איחוד שאלות'!$B431,"_")</f>
        <v>polidentity</v>
      </c>
      <c r="D431" s="150" t="str">
        <v>party</v>
      </c>
      <c r="E431" s="150" t="str">
        <v>agreement</v>
      </c>
      <c r="F431" s="150" t="str">
        <v>personal</v>
      </c>
      <c r="G431" s="152" t="str">
        <v>connection</v>
      </c>
      <c r="H431" s="153" t="s">
        <v>3533</v>
      </c>
      <c r="I431" s="2" t="s">
        <v>6017</v>
      </c>
      <c r="J431" s="2" t="s">
        <v>5853</v>
      </c>
      <c r="K431" s="2" t="s">
        <v>5862</v>
      </c>
      <c r="L431" s="2" t="s">
        <v>5866</v>
      </c>
      <c r="M431" s="2" t="s">
        <v>6022</v>
      </c>
      <c r="N431" s="1" t="s">
        <v>250</v>
      </c>
    </row>
    <row r="432" spans="1:14" ht="72.5" x14ac:dyDescent="0.35">
      <c r="A432" s="113" t="s">
        <v>252</v>
      </c>
      <c r="B432" s="102" t="s">
        <v>4465</v>
      </c>
      <c r="C432" s="123" t="str" cm="1">
        <f t="array" ref="C432:G432">_xlfn.TEXTSPLIT('איחוד שאלות'!$B432,"_")</f>
        <v>polidentity</v>
      </c>
      <c r="D432" s="146" t="str">
        <v>party</v>
      </c>
      <c r="E432" s="146" t="str">
        <v>agreement</v>
      </c>
      <c r="F432" s="146" t="str">
        <v>personal</v>
      </c>
      <c r="G432" s="147" t="str">
        <v>appraisal</v>
      </c>
      <c r="H432" s="148" t="s">
        <v>3533</v>
      </c>
      <c r="I432" s="2" t="s">
        <v>6017</v>
      </c>
      <c r="J432" s="2" t="s">
        <v>5853</v>
      </c>
      <c r="K432" s="2" t="s">
        <v>5862</v>
      </c>
      <c r="L432" s="2" t="s">
        <v>5866</v>
      </c>
      <c r="M432" s="2" t="s">
        <v>6023</v>
      </c>
      <c r="N432" s="1" t="s">
        <v>252</v>
      </c>
    </row>
    <row r="433" spans="1:14" ht="29" x14ac:dyDescent="0.35">
      <c r="A433" s="149" t="s">
        <v>334</v>
      </c>
      <c r="B433" s="150" t="s">
        <v>5653</v>
      </c>
      <c r="C433" s="151" t="str" cm="1">
        <f t="array" ref="C433:F433">_xlfn.TEXTSPLIT('איחוד שאלות'!$B433,"_")</f>
        <v>affect</v>
      </c>
      <c r="D433" s="150" t="str">
        <v>emotion</v>
      </c>
      <c r="E433" s="150" t="str">
        <v>pride</v>
      </c>
      <c r="F433" s="150" t="str">
        <v>israeli</v>
      </c>
      <c r="G433" s="152"/>
      <c r="H433" s="153" t="s">
        <v>3533</v>
      </c>
      <c r="I433" s="2" t="s">
        <v>5815</v>
      </c>
      <c r="J433" s="2" t="s">
        <v>5936</v>
      </c>
      <c r="K433" s="2" t="s">
        <v>6120</v>
      </c>
      <c r="L433" s="2" t="s">
        <v>6121</v>
      </c>
      <c r="N433" s="1" t="s">
        <v>334</v>
      </c>
    </row>
    <row r="434" spans="1:14" ht="29" x14ac:dyDescent="0.35">
      <c r="A434" s="113" t="s">
        <v>540</v>
      </c>
      <c r="B434" s="102" t="s">
        <v>4466</v>
      </c>
      <c r="C434" s="123" t="str" cm="1">
        <f t="array" ref="C434:E434">_xlfn.TEXTSPLIT('איחוד שאלות'!$B434,"_")</f>
        <v>affect</v>
      </c>
      <c r="D434" s="146" t="str">
        <v>importance</v>
      </c>
      <c r="E434" s="146" t="str">
        <v>jewishetnicity</v>
      </c>
      <c r="F434" s="146"/>
      <c r="G434" s="147"/>
      <c r="H434" s="148" t="s">
        <v>3533</v>
      </c>
      <c r="I434" s="2" t="s">
        <v>5815</v>
      </c>
      <c r="J434" s="2" t="s">
        <v>5857</v>
      </c>
      <c r="K434" s="2" t="s">
        <v>5768</v>
      </c>
      <c r="N434" s="1" t="s">
        <v>540</v>
      </c>
    </row>
    <row r="435" spans="1:14" ht="72.5" x14ac:dyDescent="0.35">
      <c r="A435" s="149" t="s">
        <v>3476</v>
      </c>
      <c r="B435" s="150" t="s">
        <v>4467</v>
      </c>
      <c r="C435" s="151" t="str" cm="1">
        <f t="array" ref="C435:F435">_xlfn.TEXTSPLIT('איחוד שאלות'!$B435,"_")</f>
        <v>perception</v>
      </c>
      <c r="D435" s="150" t="str">
        <v>agreement</v>
      </c>
      <c r="E435" s="150" t="str">
        <v>personality</v>
      </c>
      <c r="F435" s="150" t="str">
        <v>risktolerance</v>
      </c>
      <c r="G435" s="152"/>
      <c r="H435" s="153" t="s">
        <v>3533</v>
      </c>
      <c r="I435" s="2" t="s">
        <v>5844</v>
      </c>
      <c r="J435" s="2" t="s">
        <v>5862</v>
      </c>
      <c r="K435" s="2" t="s">
        <v>6122</v>
      </c>
      <c r="L435" s="2" t="s">
        <v>6123</v>
      </c>
      <c r="N435" s="1" t="s">
        <v>7043</v>
      </c>
    </row>
    <row r="436" spans="1:14" ht="43.5" x14ac:dyDescent="0.25">
      <c r="A436" s="113" t="s">
        <v>561</v>
      </c>
      <c r="B436" s="102" t="s">
        <v>4468</v>
      </c>
      <c r="C436" s="123" t="str" cm="1">
        <f t="array" ref="C436:F436">_xlfn.TEXTSPLIT('איחוד שאלות'!$B436,"_")</f>
        <v>perception</v>
      </c>
      <c r="D436" s="146" t="str">
        <v>agreement</v>
      </c>
      <c r="E436" s="146" t="str">
        <v>personality</v>
      </c>
      <c r="F436" s="146" t="str">
        <v>apathy</v>
      </c>
      <c r="G436" s="147"/>
      <c r="H436" s="148" t="s">
        <v>3533</v>
      </c>
      <c r="I436" s="2" t="s">
        <v>5844</v>
      </c>
      <c r="J436" s="142" t="s">
        <v>5862</v>
      </c>
      <c r="K436" s="2" t="s">
        <v>6122</v>
      </c>
      <c r="L436" s="2" t="s">
        <v>6124</v>
      </c>
      <c r="N436" s="1" t="s">
        <v>561</v>
      </c>
    </row>
    <row r="437" spans="1:14" ht="43.5" x14ac:dyDescent="0.35">
      <c r="A437" s="149" t="s">
        <v>562</v>
      </c>
      <c r="B437" s="150" t="s">
        <v>4469</v>
      </c>
      <c r="C437" s="151" t="str" cm="1">
        <f t="array" ref="C437:F437">_xlfn.TEXTSPLIT('איחוד שאלות'!$B437,"_")</f>
        <v>perception</v>
      </c>
      <c r="D437" s="150" t="str">
        <v>agreement</v>
      </c>
      <c r="E437" s="150" t="str">
        <v>personality</v>
      </c>
      <c r="F437" s="150" t="str">
        <v>riskaverse</v>
      </c>
      <c r="G437" s="152"/>
      <c r="H437" s="153" t="s">
        <v>3533</v>
      </c>
      <c r="I437" s="2" t="s">
        <v>5844</v>
      </c>
      <c r="J437" s="2" t="s">
        <v>5862</v>
      </c>
      <c r="K437" s="2" t="s">
        <v>6122</v>
      </c>
      <c r="L437" s="2" t="s">
        <v>6125</v>
      </c>
      <c r="N437" s="1" t="s">
        <v>562</v>
      </c>
    </row>
    <row r="438" spans="1:14" ht="58" x14ac:dyDescent="0.35">
      <c r="A438" s="113" t="s">
        <v>563</v>
      </c>
      <c r="B438" s="102" t="s">
        <v>4470</v>
      </c>
      <c r="C438" s="123" t="str" cm="1">
        <f t="array" ref="C438:F438">_xlfn.TEXTSPLIT('איחוד שאלות'!$B438,"_")</f>
        <v>perception</v>
      </c>
      <c r="D438" s="146" t="str">
        <v>agreement</v>
      </c>
      <c r="E438" s="146" t="str">
        <v>personality</v>
      </c>
      <c r="F438" s="146" t="str">
        <v>empathy</v>
      </c>
      <c r="G438" s="147"/>
      <c r="H438" s="148" t="s">
        <v>3533</v>
      </c>
      <c r="I438" s="2" t="s">
        <v>5844</v>
      </c>
      <c r="J438" s="2" t="s">
        <v>5862</v>
      </c>
      <c r="K438" s="2" t="s">
        <v>6122</v>
      </c>
      <c r="L438" s="2" t="s">
        <v>6126</v>
      </c>
      <c r="N438" s="1" t="s">
        <v>563</v>
      </c>
    </row>
    <row r="439" spans="1:14" ht="58" x14ac:dyDescent="0.35">
      <c r="A439" s="149" t="s">
        <v>564</v>
      </c>
      <c r="B439" s="150" t="s">
        <v>4481</v>
      </c>
      <c r="C439" s="151" t="str" cm="1">
        <f t="array" ref="C439:F439">_xlfn.TEXTSPLIT('איחוד שאלות'!$B439,"_")</f>
        <v>affect</v>
      </c>
      <c r="D439" s="150" t="str">
        <v>threat</v>
      </c>
      <c r="E439" s="150" t="str">
        <v>anxiety</v>
      </c>
      <c r="F439" s="150" t="str">
        <v>sirens</v>
      </c>
      <c r="G439" s="152"/>
      <c r="H439" s="153" t="s">
        <v>3533</v>
      </c>
      <c r="I439" s="2" t="s">
        <v>5815</v>
      </c>
      <c r="J439" s="2" t="s">
        <v>5816</v>
      </c>
      <c r="K439" s="2" t="s">
        <v>6127</v>
      </c>
      <c r="L439" s="2" t="s">
        <v>6128</v>
      </c>
      <c r="N439" s="1" t="s">
        <v>564</v>
      </c>
    </row>
    <row r="440" spans="1:14" ht="43.5" x14ac:dyDescent="0.35">
      <c r="A440" s="113" t="s">
        <v>565</v>
      </c>
      <c r="B440" s="102" t="s">
        <v>4482</v>
      </c>
      <c r="C440" s="123" t="str" cm="1">
        <f t="array" ref="C440:F440">_xlfn.TEXTSPLIT('איחוד שאלות'!$B440,"_")</f>
        <v>affect</v>
      </c>
      <c r="D440" s="146" t="str">
        <v>threat</v>
      </c>
      <c r="E440" s="146" t="str">
        <v>anxiety</v>
      </c>
      <c r="F440" s="146" t="str">
        <v>intifada</v>
      </c>
      <c r="G440" s="147"/>
      <c r="H440" s="148" t="s">
        <v>3533</v>
      </c>
      <c r="I440" s="2" t="s">
        <v>5815</v>
      </c>
      <c r="J440" s="2" t="s">
        <v>5816</v>
      </c>
      <c r="K440" s="2" t="s">
        <v>6127</v>
      </c>
      <c r="L440" s="2" t="s">
        <v>6129</v>
      </c>
      <c r="N440" s="1" t="s">
        <v>565</v>
      </c>
    </row>
    <row r="441" spans="1:14" ht="174" x14ac:dyDescent="0.35">
      <c r="A441" s="149" t="s">
        <v>3477</v>
      </c>
      <c r="B441" s="150" t="s">
        <v>4471</v>
      </c>
      <c r="C441" s="151" t="str" cm="1">
        <f t="array" ref="C441:G441">_xlfn.TEXTSPLIT('איחוד שאלות'!$B441,"_")</f>
        <v>perception</v>
      </c>
      <c r="D441" s="150" t="str">
        <v>satisfaction</v>
      </c>
      <c r="E441" s="150" t="str">
        <v>appropriate</v>
      </c>
      <c r="F441" s="150" t="str">
        <v>politicalcrisis</v>
      </c>
      <c r="G441" s="152" t="str">
        <v>1</v>
      </c>
      <c r="H441" s="153" t="s">
        <v>3533</v>
      </c>
      <c r="I441" s="2" t="s">
        <v>5844</v>
      </c>
      <c r="J441" s="2" t="s">
        <v>5847</v>
      </c>
      <c r="K441" s="2" t="s">
        <v>6130</v>
      </c>
      <c r="L441" s="2" t="s">
        <v>6131</v>
      </c>
      <c r="M441" s="2" t="s">
        <v>5789</v>
      </c>
      <c r="N441" s="1" t="s">
        <v>7044</v>
      </c>
    </row>
    <row r="442" spans="1:14" ht="58" x14ac:dyDescent="0.35">
      <c r="A442" s="113" t="s">
        <v>344</v>
      </c>
      <c r="B442" s="102" t="s">
        <v>4472</v>
      </c>
      <c r="C442" s="123" t="str" cm="1">
        <f t="array" ref="C442:G442">_xlfn.TEXTSPLIT('איחוד שאלות'!$B442,"_")</f>
        <v>perception</v>
      </c>
      <c r="D442" s="146" t="str">
        <v>satisfaction</v>
      </c>
      <c r="E442" s="146" t="str">
        <v>appropriate</v>
      </c>
      <c r="F442" s="146" t="str">
        <v>politicalcrisis</v>
      </c>
      <c r="G442" s="147" t="str">
        <v>2</v>
      </c>
      <c r="H442" s="148" t="s">
        <v>3533</v>
      </c>
      <c r="I442" s="2" t="s">
        <v>5844</v>
      </c>
      <c r="J442" s="2" t="s">
        <v>5847</v>
      </c>
      <c r="K442" s="2" t="s">
        <v>6130</v>
      </c>
      <c r="L442" s="2" t="s">
        <v>6131</v>
      </c>
      <c r="M442" s="2" t="s">
        <v>5790</v>
      </c>
      <c r="N442" s="1" t="s">
        <v>344</v>
      </c>
    </row>
    <row r="443" spans="1:14" ht="58" x14ac:dyDescent="0.35">
      <c r="A443" s="149" t="s">
        <v>346</v>
      </c>
      <c r="B443" s="150" t="s">
        <v>4473</v>
      </c>
      <c r="C443" s="151" t="str" cm="1">
        <f t="array" ref="C443:G443">_xlfn.TEXTSPLIT('איחוד שאלות'!$B443,"_")</f>
        <v>perception</v>
      </c>
      <c r="D443" s="150" t="str">
        <v>satisfaction</v>
      </c>
      <c r="E443" s="150" t="str">
        <v>appropriate</v>
      </c>
      <c r="F443" s="150" t="str">
        <v>politicalcrisis</v>
      </c>
      <c r="G443" s="152" t="str">
        <v>3</v>
      </c>
      <c r="H443" s="153" t="s">
        <v>3533</v>
      </c>
      <c r="I443" s="2" t="s">
        <v>5844</v>
      </c>
      <c r="J443" s="2" t="s">
        <v>5847</v>
      </c>
      <c r="K443" s="2" t="s">
        <v>6130</v>
      </c>
      <c r="L443" s="2" t="s">
        <v>6131</v>
      </c>
      <c r="M443" s="2" t="s">
        <v>5791</v>
      </c>
      <c r="N443" s="1" t="s">
        <v>346</v>
      </c>
    </row>
    <row r="444" spans="1:14" ht="72.5" x14ac:dyDescent="0.35">
      <c r="A444" s="113" t="s">
        <v>348</v>
      </c>
      <c r="B444" s="102" t="s">
        <v>4474</v>
      </c>
      <c r="C444" s="123" t="str" cm="1">
        <f t="array" ref="C444:G444">_xlfn.TEXTSPLIT('איחוד שאלות'!$B444,"_")</f>
        <v>perception</v>
      </c>
      <c r="D444" s="146" t="str">
        <v>satisfaction</v>
      </c>
      <c r="E444" s="146" t="str">
        <v>appropriate</v>
      </c>
      <c r="F444" s="146" t="str">
        <v>politicalcrisis</v>
      </c>
      <c r="G444" s="147" t="str">
        <v>4</v>
      </c>
      <c r="H444" s="148" t="s">
        <v>3533</v>
      </c>
      <c r="I444" s="2" t="s">
        <v>5844</v>
      </c>
      <c r="J444" s="2" t="s">
        <v>5847</v>
      </c>
      <c r="K444" s="2" t="s">
        <v>6130</v>
      </c>
      <c r="L444" s="2" t="s">
        <v>6131</v>
      </c>
      <c r="M444" s="2" t="s">
        <v>5792</v>
      </c>
      <c r="N444" s="1" t="s">
        <v>348</v>
      </c>
    </row>
    <row r="445" spans="1:14" ht="72.5" x14ac:dyDescent="0.35">
      <c r="A445" s="149" t="s">
        <v>350</v>
      </c>
      <c r="B445" s="150" t="s">
        <v>4475</v>
      </c>
      <c r="C445" s="151" t="str" cm="1">
        <f t="array" ref="C445:G445">_xlfn.TEXTSPLIT('איחוד שאלות'!$B445,"_")</f>
        <v>perception</v>
      </c>
      <c r="D445" s="150" t="str">
        <v>satisfaction</v>
      </c>
      <c r="E445" s="150" t="str">
        <v>appropriate</v>
      </c>
      <c r="F445" s="150" t="str">
        <v>politicalcrisis</v>
      </c>
      <c r="G445" s="152" t="str">
        <v>5</v>
      </c>
      <c r="H445" s="153" t="s">
        <v>3533</v>
      </c>
      <c r="I445" s="2" t="s">
        <v>5844</v>
      </c>
      <c r="J445" s="2" t="s">
        <v>5847</v>
      </c>
      <c r="K445" s="2" t="s">
        <v>6130</v>
      </c>
      <c r="L445" s="2" t="s">
        <v>6131</v>
      </c>
      <c r="M445" s="2" t="s">
        <v>5896</v>
      </c>
      <c r="N445" s="1" t="s">
        <v>350</v>
      </c>
    </row>
    <row r="446" spans="1:14" ht="72.5" x14ac:dyDescent="0.35">
      <c r="A446" s="113" t="s">
        <v>3478</v>
      </c>
      <c r="B446" s="102" t="s">
        <v>4476</v>
      </c>
      <c r="C446" s="123" t="str" cm="1">
        <f t="array" ref="C446:F446">_xlfn.TEXTSPLIT('איחוד שאלות'!$B446,"_")</f>
        <v>affect</v>
      </c>
      <c r="D446" s="146" t="str">
        <v>emotion</v>
      </c>
      <c r="E446" s="146" t="str">
        <v>anger</v>
      </c>
      <c r="F446" s="146" t="str">
        <v>politicalcrisis</v>
      </c>
      <c r="G446" s="147"/>
      <c r="H446" s="148" t="s">
        <v>3533</v>
      </c>
      <c r="I446" s="2" t="s">
        <v>5815</v>
      </c>
      <c r="J446" s="2" t="s">
        <v>5936</v>
      </c>
      <c r="K446" s="2" t="s">
        <v>6132</v>
      </c>
      <c r="L446" s="2" t="s">
        <v>6131</v>
      </c>
      <c r="N446" s="1" t="s">
        <v>7045</v>
      </c>
    </row>
    <row r="447" spans="1:14" ht="72.5" x14ac:dyDescent="0.35">
      <c r="A447" s="149" t="s">
        <v>3479</v>
      </c>
      <c r="B447" s="150" t="s">
        <v>4477</v>
      </c>
      <c r="C447" s="151" t="str" cm="1">
        <f t="array" ref="C447:F447">_xlfn.TEXTSPLIT('איחוד שאלות'!$B447,"_")</f>
        <v>affect</v>
      </c>
      <c r="D447" s="150" t="str">
        <v>emotion</v>
      </c>
      <c r="E447" s="150" t="str">
        <v>disgust</v>
      </c>
      <c r="F447" s="150" t="str">
        <v>politicalcrisis</v>
      </c>
      <c r="G447" s="152"/>
      <c r="H447" s="153" t="s">
        <v>3533</v>
      </c>
      <c r="I447" s="2" t="s">
        <v>5815</v>
      </c>
      <c r="J447" s="2" t="s">
        <v>5936</v>
      </c>
      <c r="K447" s="2" t="s">
        <v>6133</v>
      </c>
      <c r="L447" s="2" t="s">
        <v>6131</v>
      </c>
      <c r="N447" s="1" t="s">
        <v>7046</v>
      </c>
    </row>
    <row r="448" spans="1:14" ht="72.5" x14ac:dyDescent="0.35">
      <c r="A448" s="113" t="s">
        <v>3480</v>
      </c>
      <c r="B448" s="102" t="s">
        <v>4478</v>
      </c>
      <c r="C448" s="123" t="str" cm="1">
        <f t="array" ref="C448:F448">_xlfn.TEXTSPLIT('איחוד שאלות'!$B448,"_")</f>
        <v>affect</v>
      </c>
      <c r="D448" s="146" t="str">
        <v>emotion</v>
      </c>
      <c r="E448" s="146" t="str">
        <v>hope</v>
      </c>
      <c r="F448" s="146" t="str">
        <v>politicalcrisis</v>
      </c>
      <c r="G448" s="147"/>
      <c r="H448" s="148" t="s">
        <v>3533</v>
      </c>
      <c r="I448" s="2" t="s">
        <v>5815</v>
      </c>
      <c r="J448" s="2" t="s">
        <v>5936</v>
      </c>
      <c r="K448" s="2" t="s">
        <v>6134</v>
      </c>
      <c r="L448" s="2" t="s">
        <v>6131</v>
      </c>
      <c r="N448" s="1" t="s">
        <v>7047</v>
      </c>
    </row>
    <row r="449" spans="1:14" ht="72.5" x14ac:dyDescent="0.35">
      <c r="A449" s="149" t="s">
        <v>3481</v>
      </c>
      <c r="B449" s="150" t="s">
        <v>4479</v>
      </c>
      <c r="C449" s="151" t="str" cm="1">
        <f t="array" ref="C449:F449">_xlfn.TEXTSPLIT('איחוד שאלות'!$B449,"_")</f>
        <v>affect</v>
      </c>
      <c r="D449" s="150" t="str">
        <v>emotion</v>
      </c>
      <c r="E449" s="150" t="str">
        <v>despair</v>
      </c>
      <c r="F449" s="150" t="str">
        <v>politicalcrisis</v>
      </c>
      <c r="G449" s="152"/>
      <c r="H449" s="153" t="s">
        <v>3533</v>
      </c>
      <c r="I449" s="2" t="s">
        <v>5815</v>
      </c>
      <c r="J449" s="2" t="s">
        <v>5936</v>
      </c>
      <c r="K449" s="2" t="s">
        <v>6135</v>
      </c>
      <c r="L449" s="2" t="s">
        <v>6131</v>
      </c>
      <c r="N449" s="1" t="s">
        <v>7048</v>
      </c>
    </row>
    <row r="450" spans="1:14" ht="43.5" x14ac:dyDescent="0.35">
      <c r="A450" s="113" t="s">
        <v>3482</v>
      </c>
      <c r="B450" s="102" t="s">
        <v>4484</v>
      </c>
      <c r="C450" s="123" t="str" cm="1">
        <f t="array" ref="C450:F450">_xlfn.TEXTSPLIT('איחוד שאלות'!$B450,"_")</f>
        <v>affect</v>
      </c>
      <c r="D450" s="146" t="str">
        <v>emotion</v>
      </c>
      <c r="E450" s="146" t="str">
        <v>anger</v>
      </c>
      <c r="F450" s="146" t="str">
        <v>sharon</v>
      </c>
      <c r="G450" s="147"/>
      <c r="H450" s="148" t="s">
        <v>3533</v>
      </c>
      <c r="I450" s="2" t="s">
        <v>5815</v>
      </c>
      <c r="J450" s="2" t="s">
        <v>5936</v>
      </c>
      <c r="K450" s="2" t="s">
        <v>6132</v>
      </c>
      <c r="L450" s="2" t="s">
        <v>6073</v>
      </c>
      <c r="N450" s="1" t="s">
        <v>7049</v>
      </c>
    </row>
    <row r="451" spans="1:14" ht="29" x14ac:dyDescent="0.35">
      <c r="A451" s="149" t="s">
        <v>3483</v>
      </c>
      <c r="B451" s="150" t="s">
        <v>4485</v>
      </c>
      <c r="C451" s="151" t="str" cm="1">
        <f t="array" ref="C451:F451">_xlfn.TEXTSPLIT('איחוד שאלות'!$B451,"_")</f>
        <v>affect</v>
      </c>
      <c r="D451" s="150" t="str">
        <v>emotion</v>
      </c>
      <c r="E451" s="150" t="str">
        <v>fear</v>
      </c>
      <c r="F451" s="150" t="str">
        <v>sharon</v>
      </c>
      <c r="G451" s="152"/>
      <c r="H451" s="153" t="s">
        <v>3533</v>
      </c>
      <c r="I451" s="2" t="s">
        <v>5815</v>
      </c>
      <c r="J451" s="2" t="s">
        <v>5936</v>
      </c>
      <c r="K451" s="2" t="s">
        <v>6136</v>
      </c>
      <c r="L451" s="2" t="s">
        <v>6073</v>
      </c>
      <c r="N451" s="1" t="s">
        <v>7050</v>
      </c>
    </row>
    <row r="452" spans="1:14" ht="29" x14ac:dyDescent="0.35">
      <c r="A452" s="113" t="s">
        <v>3484</v>
      </c>
      <c r="B452" s="102" t="s">
        <v>4486</v>
      </c>
      <c r="C452" s="123" t="str" cm="1">
        <f t="array" ref="C452:F452">_xlfn.TEXTSPLIT('איחוד שאלות'!$B452,"_")</f>
        <v>affect</v>
      </c>
      <c r="D452" s="146" t="str">
        <v>emotion</v>
      </c>
      <c r="E452" s="146" t="str">
        <v>pride</v>
      </c>
      <c r="F452" s="146" t="str">
        <v>sharon</v>
      </c>
      <c r="G452" s="147"/>
      <c r="H452" s="148" t="s">
        <v>3533</v>
      </c>
      <c r="I452" s="2" t="s">
        <v>5815</v>
      </c>
      <c r="J452" s="2" t="s">
        <v>5936</v>
      </c>
      <c r="K452" s="2" t="s">
        <v>6120</v>
      </c>
      <c r="L452" s="2" t="s">
        <v>6073</v>
      </c>
      <c r="N452" s="1" t="s">
        <v>7051</v>
      </c>
    </row>
    <row r="453" spans="1:14" ht="29" x14ac:dyDescent="0.35">
      <c r="A453" s="149" t="s">
        <v>3485</v>
      </c>
      <c r="B453" s="150" t="s">
        <v>4487</v>
      </c>
      <c r="C453" s="151" t="str" cm="1">
        <f t="array" ref="C453:F453">_xlfn.TEXTSPLIT('איחוד שאלות'!$B453,"_")</f>
        <v>affect</v>
      </c>
      <c r="D453" s="150" t="str">
        <v>emotion</v>
      </c>
      <c r="E453" s="150" t="str">
        <v>hope</v>
      </c>
      <c r="F453" s="150" t="str">
        <v>sharon</v>
      </c>
      <c r="G453" s="152"/>
      <c r="H453" s="153" t="s">
        <v>3533</v>
      </c>
      <c r="I453" s="2" t="s">
        <v>5815</v>
      </c>
      <c r="J453" s="2" t="s">
        <v>5936</v>
      </c>
      <c r="K453" s="2" t="s">
        <v>6134</v>
      </c>
      <c r="L453" s="2" t="s">
        <v>6073</v>
      </c>
      <c r="N453" s="1" t="s">
        <v>7052</v>
      </c>
    </row>
    <row r="454" spans="1:14" ht="43.5" x14ac:dyDescent="0.35">
      <c r="A454" s="113" t="s">
        <v>3486</v>
      </c>
      <c r="B454" s="102" t="s">
        <v>4488</v>
      </c>
      <c r="C454" s="123" t="str" cm="1">
        <f t="array" ref="C454:F454">_xlfn.TEXTSPLIT('איחוד שאלות'!$B454,"_")</f>
        <v>affect</v>
      </c>
      <c r="D454" s="146" t="str">
        <v>emotion</v>
      </c>
      <c r="E454" s="146" t="str">
        <v>anger</v>
      </c>
      <c r="F454" s="146" t="str">
        <v>barak</v>
      </c>
      <c r="G454" s="147"/>
      <c r="H454" s="148" t="s">
        <v>3533</v>
      </c>
      <c r="I454" s="2" t="s">
        <v>5815</v>
      </c>
      <c r="J454" s="2" t="s">
        <v>5936</v>
      </c>
      <c r="K454" s="2" t="s">
        <v>6132</v>
      </c>
      <c r="L454" s="2" t="s">
        <v>6087</v>
      </c>
      <c r="N454" s="1" t="s">
        <v>7053</v>
      </c>
    </row>
    <row r="455" spans="1:14" ht="29" x14ac:dyDescent="0.35">
      <c r="A455" s="149" t="s">
        <v>3487</v>
      </c>
      <c r="B455" s="150" t="s">
        <v>4489</v>
      </c>
      <c r="C455" s="151" t="str" cm="1">
        <f t="array" ref="C455:F455">_xlfn.TEXTSPLIT('איחוד שאלות'!$B455,"_")</f>
        <v>affect</v>
      </c>
      <c r="D455" s="150" t="str">
        <v>emotion</v>
      </c>
      <c r="E455" s="150" t="str">
        <v>fear</v>
      </c>
      <c r="F455" s="150" t="str">
        <v>barak</v>
      </c>
      <c r="G455" s="152"/>
      <c r="H455" s="153" t="s">
        <v>3533</v>
      </c>
      <c r="I455" s="2" t="s">
        <v>5815</v>
      </c>
      <c r="J455" s="2" t="s">
        <v>5936</v>
      </c>
      <c r="K455" s="2" t="s">
        <v>6136</v>
      </c>
      <c r="L455" s="2" t="s">
        <v>6087</v>
      </c>
      <c r="N455" s="1" t="s">
        <v>7054</v>
      </c>
    </row>
    <row r="456" spans="1:14" ht="29" x14ac:dyDescent="0.35">
      <c r="A456" s="113" t="s">
        <v>3488</v>
      </c>
      <c r="B456" s="102" t="s">
        <v>4490</v>
      </c>
      <c r="C456" s="123" t="str" cm="1">
        <f t="array" ref="C456:F456">_xlfn.TEXTSPLIT('איחוד שאלות'!$B456,"_")</f>
        <v>affect</v>
      </c>
      <c r="D456" s="146" t="str">
        <v>emotion</v>
      </c>
      <c r="E456" s="146" t="str">
        <v>pride</v>
      </c>
      <c r="F456" s="146" t="str">
        <v>barak</v>
      </c>
      <c r="G456" s="147"/>
      <c r="H456" s="148" t="s">
        <v>3533</v>
      </c>
      <c r="I456" s="2" t="s">
        <v>5815</v>
      </c>
      <c r="J456" s="2" t="s">
        <v>5936</v>
      </c>
      <c r="K456" s="2" t="s">
        <v>6120</v>
      </c>
      <c r="L456" s="2" t="s">
        <v>6087</v>
      </c>
      <c r="N456" s="1" t="s">
        <v>7055</v>
      </c>
    </row>
    <row r="457" spans="1:14" ht="29" x14ac:dyDescent="0.35">
      <c r="A457" s="149" t="s">
        <v>3489</v>
      </c>
      <c r="B457" s="150" t="s">
        <v>4491</v>
      </c>
      <c r="C457" s="151" t="str" cm="1">
        <f t="array" ref="C457:F457">_xlfn.TEXTSPLIT('איחוד שאלות'!$B457,"_")</f>
        <v>affect</v>
      </c>
      <c r="D457" s="150" t="str">
        <v>emotion</v>
      </c>
      <c r="E457" s="150" t="str">
        <v>hope</v>
      </c>
      <c r="F457" s="150" t="str">
        <v>barak</v>
      </c>
      <c r="G457" s="152"/>
      <c r="H457" s="153" t="s">
        <v>3533</v>
      </c>
      <c r="I457" s="2" t="s">
        <v>5815</v>
      </c>
      <c r="J457" s="2" t="s">
        <v>5936</v>
      </c>
      <c r="K457" s="2" t="s">
        <v>6134</v>
      </c>
      <c r="L457" s="2" t="s">
        <v>6087</v>
      </c>
      <c r="N457" s="1" t="s">
        <v>7056</v>
      </c>
    </row>
    <row r="458" spans="1:14" ht="43.5" x14ac:dyDescent="0.35">
      <c r="A458" s="113" t="s">
        <v>3490</v>
      </c>
      <c r="B458" s="102" t="s">
        <v>4492</v>
      </c>
      <c r="C458" s="123" t="str" cm="1">
        <f t="array" ref="C458:F458">_xlfn.TEXTSPLIT('איחוד שאלות'!$B458,"_")</f>
        <v>affect</v>
      </c>
      <c r="D458" s="146" t="str">
        <v>emotion</v>
      </c>
      <c r="E458" s="146" t="str">
        <v>anger</v>
      </c>
      <c r="F458" s="146" t="str">
        <v>peres</v>
      </c>
      <c r="G458" s="147"/>
      <c r="H458" s="148" t="s">
        <v>3533</v>
      </c>
      <c r="I458" s="2" t="s">
        <v>5815</v>
      </c>
      <c r="J458" s="2" t="s">
        <v>5936</v>
      </c>
      <c r="K458" s="2" t="s">
        <v>6132</v>
      </c>
      <c r="L458" s="2" t="s">
        <v>6086</v>
      </c>
      <c r="N458" s="1" t="s">
        <v>7057</v>
      </c>
    </row>
    <row r="459" spans="1:14" ht="29" x14ac:dyDescent="0.35">
      <c r="A459" s="149" t="s">
        <v>3491</v>
      </c>
      <c r="B459" s="150" t="s">
        <v>4493</v>
      </c>
      <c r="C459" s="151" t="str" cm="1">
        <f t="array" ref="C459:F459">_xlfn.TEXTSPLIT('איחוד שאלות'!$B459,"_")</f>
        <v>affect</v>
      </c>
      <c r="D459" s="150" t="str">
        <v>emotion</v>
      </c>
      <c r="E459" s="150" t="str">
        <v>fear</v>
      </c>
      <c r="F459" s="150" t="str">
        <v>peres</v>
      </c>
      <c r="G459" s="152"/>
      <c r="H459" s="153" t="s">
        <v>3533</v>
      </c>
      <c r="I459" s="2" t="s">
        <v>5815</v>
      </c>
      <c r="J459" s="2" t="s">
        <v>5936</v>
      </c>
      <c r="K459" s="2" t="s">
        <v>6136</v>
      </c>
      <c r="L459" s="2" t="s">
        <v>6086</v>
      </c>
      <c r="N459" s="1" t="s">
        <v>7058</v>
      </c>
    </row>
    <row r="460" spans="1:14" ht="29" x14ac:dyDescent="0.35">
      <c r="A460" s="113" t="s">
        <v>3492</v>
      </c>
      <c r="B460" s="102" t="s">
        <v>4494</v>
      </c>
      <c r="C460" s="123" t="str" cm="1">
        <f t="array" ref="C460:F460">_xlfn.TEXTSPLIT('איחוד שאלות'!$B460,"_")</f>
        <v>affect</v>
      </c>
      <c r="D460" s="146" t="str">
        <v>emotion</v>
      </c>
      <c r="E460" s="146" t="str">
        <v>pride</v>
      </c>
      <c r="F460" s="146" t="str">
        <v>peres</v>
      </c>
      <c r="G460" s="147"/>
      <c r="H460" s="148" t="s">
        <v>3533</v>
      </c>
      <c r="I460" s="2" t="s">
        <v>5815</v>
      </c>
      <c r="J460" s="2" t="s">
        <v>5936</v>
      </c>
      <c r="K460" s="2" t="s">
        <v>6120</v>
      </c>
      <c r="L460" s="2" t="s">
        <v>6086</v>
      </c>
      <c r="N460" s="1" t="s">
        <v>7059</v>
      </c>
    </row>
    <row r="461" spans="1:14" ht="29" x14ac:dyDescent="0.35">
      <c r="A461" s="149" t="s">
        <v>3493</v>
      </c>
      <c r="B461" s="150" t="s">
        <v>4495</v>
      </c>
      <c r="C461" s="151" t="str" cm="1">
        <f t="array" ref="C461:F461">_xlfn.TEXTSPLIT('איחוד שאלות'!$B461,"_")</f>
        <v>affect</v>
      </c>
      <c r="D461" s="150" t="str">
        <v>emotion</v>
      </c>
      <c r="E461" s="150" t="str">
        <v>hope</v>
      </c>
      <c r="F461" s="150" t="str">
        <v>peres</v>
      </c>
      <c r="G461" s="152"/>
      <c r="H461" s="153" t="s">
        <v>3533</v>
      </c>
      <c r="I461" s="2" t="s">
        <v>5815</v>
      </c>
      <c r="J461" s="2" t="s">
        <v>5936</v>
      </c>
      <c r="K461" s="2" t="s">
        <v>6134</v>
      </c>
      <c r="L461" s="2" t="s">
        <v>6086</v>
      </c>
      <c r="N461" s="1" t="s">
        <v>7060</v>
      </c>
    </row>
    <row r="462" spans="1:14" ht="43.5" x14ac:dyDescent="0.35">
      <c r="A462" s="113" t="s">
        <v>3494</v>
      </c>
      <c r="B462" s="102" t="s">
        <v>4496</v>
      </c>
      <c r="C462" s="123" t="str" cm="1">
        <f t="array" ref="C462:F462">_xlfn.TEXTSPLIT('איחוד שאלות'!$B462,"_")</f>
        <v>affect</v>
      </c>
      <c r="D462" s="146" t="str">
        <v>emotion</v>
      </c>
      <c r="E462" s="146" t="str">
        <v>anger</v>
      </c>
      <c r="F462" s="146" t="str">
        <v>netanyahu</v>
      </c>
      <c r="G462" s="147"/>
      <c r="H462" s="148" t="s">
        <v>3533</v>
      </c>
      <c r="I462" s="2" t="s">
        <v>5815</v>
      </c>
      <c r="J462" s="2" t="s">
        <v>5936</v>
      </c>
      <c r="K462" s="2" t="s">
        <v>6132</v>
      </c>
      <c r="L462" s="2" t="s">
        <v>6072</v>
      </c>
      <c r="N462" s="1" t="s">
        <v>7061</v>
      </c>
    </row>
    <row r="463" spans="1:14" ht="29" x14ac:dyDescent="0.35">
      <c r="A463" s="149" t="s">
        <v>3495</v>
      </c>
      <c r="B463" s="150" t="s">
        <v>4497</v>
      </c>
      <c r="C463" s="151" t="str" cm="1">
        <f t="array" ref="C463:F463">_xlfn.TEXTSPLIT('איחוד שאלות'!$B463,"_")</f>
        <v>affect</v>
      </c>
      <c r="D463" s="150" t="str">
        <v>emotion</v>
      </c>
      <c r="E463" s="150" t="str">
        <v>fear</v>
      </c>
      <c r="F463" s="150" t="str">
        <v>netanyahu</v>
      </c>
      <c r="G463" s="152"/>
      <c r="H463" s="153" t="s">
        <v>3533</v>
      </c>
      <c r="I463" s="2" t="s">
        <v>5815</v>
      </c>
      <c r="J463" s="2" t="s">
        <v>5936</v>
      </c>
      <c r="K463" s="2" t="s">
        <v>6136</v>
      </c>
      <c r="L463" s="2" t="s">
        <v>6072</v>
      </c>
      <c r="N463" s="1" t="s">
        <v>7062</v>
      </c>
    </row>
    <row r="464" spans="1:14" ht="29" x14ac:dyDescent="0.35">
      <c r="A464" s="113" t="s">
        <v>3496</v>
      </c>
      <c r="B464" s="102" t="s">
        <v>4498</v>
      </c>
      <c r="C464" s="123" t="str" cm="1">
        <f t="array" ref="C464:F464">_xlfn.TEXTSPLIT('איחוד שאלות'!$B464,"_")</f>
        <v>affect</v>
      </c>
      <c r="D464" s="146" t="str">
        <v>emotion</v>
      </c>
      <c r="E464" s="146" t="str">
        <v>pride</v>
      </c>
      <c r="F464" s="146" t="str">
        <v>netanyahu</v>
      </c>
      <c r="G464" s="147"/>
      <c r="H464" s="148" t="s">
        <v>3533</v>
      </c>
      <c r="I464" s="2" t="s">
        <v>5815</v>
      </c>
      <c r="J464" s="2" t="s">
        <v>5936</v>
      </c>
      <c r="K464" s="2" t="s">
        <v>6120</v>
      </c>
      <c r="L464" s="2" t="s">
        <v>6072</v>
      </c>
      <c r="N464" s="1" t="s">
        <v>7063</v>
      </c>
    </row>
    <row r="465" spans="1:14" ht="29" x14ac:dyDescent="0.35">
      <c r="A465" s="149" t="s">
        <v>3497</v>
      </c>
      <c r="B465" s="150" t="s">
        <v>4499</v>
      </c>
      <c r="C465" s="151" t="str" cm="1">
        <f t="array" ref="C465:F465">_xlfn.TEXTSPLIT('איחוד שאלות'!$B465,"_")</f>
        <v>affect</v>
      </c>
      <c r="D465" s="150" t="str">
        <v>emotion</v>
      </c>
      <c r="E465" s="150" t="str">
        <v>hope</v>
      </c>
      <c r="F465" s="150" t="str">
        <v>netanyahu</v>
      </c>
      <c r="G465" s="152"/>
      <c r="H465" s="153" t="s">
        <v>3533</v>
      </c>
      <c r="I465" s="2" t="s">
        <v>5815</v>
      </c>
      <c r="J465" s="2" t="s">
        <v>5936</v>
      </c>
      <c r="K465" s="2" t="s">
        <v>6134</v>
      </c>
      <c r="L465" s="2" t="s">
        <v>6072</v>
      </c>
      <c r="N465" s="1" t="s">
        <v>7064</v>
      </c>
    </row>
    <row r="466" spans="1:14" ht="43.5" x14ac:dyDescent="0.35">
      <c r="A466" s="113" t="s">
        <v>3498</v>
      </c>
      <c r="B466" s="102" t="s">
        <v>4500</v>
      </c>
      <c r="C466" s="123" t="str" cm="1">
        <f t="array" ref="C466:F466">_xlfn.TEXTSPLIT('איחוד שאלות'!$B466,"_")</f>
        <v>affect</v>
      </c>
      <c r="D466" s="146" t="str">
        <v>emotion</v>
      </c>
      <c r="E466" s="146" t="str">
        <v>anger</v>
      </c>
      <c r="F466" s="146" t="str">
        <v>yitzhakmordechai</v>
      </c>
      <c r="G466" s="147"/>
      <c r="H466" s="148" t="s">
        <v>3533</v>
      </c>
      <c r="I466" s="2" t="s">
        <v>5815</v>
      </c>
      <c r="J466" s="2" t="s">
        <v>5936</v>
      </c>
      <c r="K466" s="2" t="s">
        <v>6132</v>
      </c>
      <c r="L466" s="2" t="s">
        <v>6078</v>
      </c>
      <c r="N466" s="1" t="s">
        <v>7065</v>
      </c>
    </row>
    <row r="467" spans="1:14" ht="29" x14ac:dyDescent="0.35">
      <c r="A467" s="149" t="s">
        <v>3499</v>
      </c>
      <c r="B467" s="150" t="s">
        <v>4501</v>
      </c>
      <c r="C467" s="151" t="str" cm="1">
        <f t="array" ref="C467:F467">_xlfn.TEXTSPLIT('איחוד שאלות'!$B467,"_")</f>
        <v>affect</v>
      </c>
      <c r="D467" s="150" t="str">
        <v>emotion</v>
      </c>
      <c r="E467" s="150" t="str">
        <v>fear</v>
      </c>
      <c r="F467" s="150" t="str">
        <v>yitzhakmordechai</v>
      </c>
      <c r="G467" s="152"/>
      <c r="H467" s="153" t="s">
        <v>3533</v>
      </c>
      <c r="I467" s="2" t="s">
        <v>5815</v>
      </c>
      <c r="J467" s="2" t="s">
        <v>5936</v>
      </c>
      <c r="K467" s="2" t="s">
        <v>6136</v>
      </c>
      <c r="L467" s="2" t="s">
        <v>6078</v>
      </c>
      <c r="N467" s="1" t="s">
        <v>7066</v>
      </c>
    </row>
    <row r="468" spans="1:14" ht="43.5" x14ac:dyDescent="0.35">
      <c r="A468" s="113" t="s">
        <v>3500</v>
      </c>
      <c r="B468" s="102" t="s">
        <v>4502</v>
      </c>
      <c r="C468" s="123" t="str" cm="1">
        <f t="array" ref="C468:F468">_xlfn.TEXTSPLIT('איחוד שאלות'!$B468,"_")</f>
        <v>affect</v>
      </c>
      <c r="D468" s="146" t="str">
        <v>emotion</v>
      </c>
      <c r="E468" s="146" t="str">
        <v>pride</v>
      </c>
      <c r="F468" s="146" t="str">
        <v>yitzhakmordechai</v>
      </c>
      <c r="G468" s="147"/>
      <c r="H468" s="148" t="s">
        <v>3533</v>
      </c>
      <c r="I468" s="2" t="s">
        <v>5815</v>
      </c>
      <c r="J468" s="2" t="s">
        <v>5936</v>
      </c>
      <c r="K468" s="2" t="s">
        <v>6120</v>
      </c>
      <c r="L468" s="2" t="s">
        <v>6078</v>
      </c>
      <c r="N468" s="1" t="s">
        <v>7067</v>
      </c>
    </row>
    <row r="469" spans="1:14" ht="43.5" x14ac:dyDescent="0.35">
      <c r="A469" s="149" t="s">
        <v>3501</v>
      </c>
      <c r="B469" s="150" t="s">
        <v>4503</v>
      </c>
      <c r="C469" s="151" t="str" cm="1">
        <f t="array" ref="C469:F469">_xlfn.TEXTSPLIT('איחוד שאלות'!$B469,"_")</f>
        <v>affect</v>
      </c>
      <c r="D469" s="150" t="str">
        <v>emotion</v>
      </c>
      <c r="E469" s="150" t="str">
        <v>hope</v>
      </c>
      <c r="F469" s="150" t="str">
        <v>yitzhakmordechai</v>
      </c>
      <c r="G469" s="152"/>
      <c r="H469" s="153" t="s">
        <v>3533</v>
      </c>
      <c r="I469" s="2" t="s">
        <v>5815</v>
      </c>
      <c r="J469" s="2" t="s">
        <v>5936</v>
      </c>
      <c r="K469" s="2" t="s">
        <v>6134</v>
      </c>
      <c r="L469" s="2" t="s">
        <v>6078</v>
      </c>
      <c r="N469" s="1" t="s">
        <v>7068</v>
      </c>
    </row>
    <row r="470" spans="1:14" ht="29" x14ac:dyDescent="0.35">
      <c r="A470" s="113" t="s">
        <v>1659</v>
      </c>
      <c r="B470" s="102" t="s">
        <v>4049</v>
      </c>
      <c r="C470" s="123" t="str" cm="1">
        <f t="array" ref="C470:E470">_xlfn.TEXTSPLIT('איחוד שאלות'!$B470,"_")</f>
        <v>preference</v>
      </c>
      <c r="D470" s="146" t="str">
        <v>party</v>
      </c>
      <c r="E470" s="146" t="str">
        <v>1</v>
      </c>
      <c r="F470" s="146"/>
      <c r="G470" s="147"/>
      <c r="H470" s="148" t="s">
        <v>3533</v>
      </c>
      <c r="I470" s="2" t="s">
        <v>5856</v>
      </c>
      <c r="J470" s="2" t="s">
        <v>5853</v>
      </c>
      <c r="K470" s="2" t="s">
        <v>5789</v>
      </c>
      <c r="N470" s="1" t="s">
        <v>1659</v>
      </c>
    </row>
    <row r="471" spans="1:14" x14ac:dyDescent="0.35">
      <c r="A471" s="149" t="s">
        <v>1660</v>
      </c>
      <c r="B471" s="150" t="s">
        <v>4050</v>
      </c>
      <c r="C471" s="151" t="str" cm="1">
        <f t="array" ref="C471:E471">_xlfn.TEXTSPLIT('איחוד שאלות'!$B471,"_")</f>
        <v>preference</v>
      </c>
      <c r="D471" s="150" t="str">
        <v>party</v>
      </c>
      <c r="E471" s="150" t="str">
        <v>2</v>
      </c>
      <c r="F471" s="150"/>
      <c r="G471" s="152"/>
      <c r="H471" s="153" t="s">
        <v>3533</v>
      </c>
      <c r="I471" s="2" t="s">
        <v>5856</v>
      </c>
      <c r="J471" s="2" t="s">
        <v>5853</v>
      </c>
      <c r="K471" s="2" t="s">
        <v>5790</v>
      </c>
      <c r="N471" s="1" t="s">
        <v>1660</v>
      </c>
    </row>
    <row r="472" spans="1:14" x14ac:dyDescent="0.35">
      <c r="A472" s="113" t="s">
        <v>1661</v>
      </c>
      <c r="B472" s="102" t="s">
        <v>4051</v>
      </c>
      <c r="C472" s="123" t="str" cm="1">
        <f t="array" ref="C472:E472">_xlfn.TEXTSPLIT('איחוד שאלות'!$B472,"_")</f>
        <v>preference</v>
      </c>
      <c r="D472" s="146" t="str">
        <v>party</v>
      </c>
      <c r="E472" s="146" t="str">
        <v>3</v>
      </c>
      <c r="F472" s="146"/>
      <c r="G472" s="147"/>
      <c r="H472" s="148" t="s">
        <v>3533</v>
      </c>
      <c r="I472" s="2" t="s">
        <v>5856</v>
      </c>
      <c r="J472" s="2" t="s">
        <v>5853</v>
      </c>
      <c r="K472" s="2" t="s">
        <v>5791</v>
      </c>
      <c r="N472" s="1" t="s">
        <v>1661</v>
      </c>
    </row>
    <row r="473" spans="1:14" ht="29" x14ac:dyDescent="0.35">
      <c r="A473" s="149" t="s">
        <v>1662</v>
      </c>
      <c r="B473" s="150" t="s">
        <v>4052</v>
      </c>
      <c r="C473" s="151" t="str" cm="1">
        <f t="array" ref="C473:F473">_xlfn.TEXTSPLIT('איחוד שאלות'!$B473,"_")</f>
        <v>preference</v>
      </c>
      <c r="D473" s="150" t="str">
        <v>party</v>
      </c>
      <c r="E473" s="150" t="str">
        <v>least</v>
      </c>
      <c r="F473" s="150" t="str">
        <v>1</v>
      </c>
      <c r="G473" s="152"/>
      <c r="H473" s="153" t="s">
        <v>3533</v>
      </c>
      <c r="I473" s="2" t="s">
        <v>5856</v>
      </c>
      <c r="J473" s="2" t="s">
        <v>5853</v>
      </c>
      <c r="K473" s="2" t="s">
        <v>6137</v>
      </c>
      <c r="L473" s="2" t="s">
        <v>5789</v>
      </c>
      <c r="N473" s="1" t="s">
        <v>1662</v>
      </c>
    </row>
    <row r="474" spans="1:14" ht="29" x14ac:dyDescent="0.35">
      <c r="A474" s="113" t="s">
        <v>1660</v>
      </c>
      <c r="B474" s="102" t="s">
        <v>4053</v>
      </c>
      <c r="C474" s="123" t="str" cm="1">
        <f t="array" ref="C474:F474">_xlfn.TEXTSPLIT('איחוד שאלות'!$B474,"_")</f>
        <v>preference</v>
      </c>
      <c r="D474" s="146" t="str">
        <v>party</v>
      </c>
      <c r="E474" s="146" t="str">
        <v>least</v>
      </c>
      <c r="F474" s="146" t="str">
        <v>2</v>
      </c>
      <c r="G474" s="147"/>
      <c r="H474" s="148" t="s">
        <v>3533</v>
      </c>
      <c r="I474" s="2" t="s">
        <v>5856</v>
      </c>
      <c r="J474" s="2" t="s">
        <v>5853</v>
      </c>
      <c r="K474" s="2" t="s">
        <v>6137</v>
      </c>
      <c r="L474" s="2" t="s">
        <v>5790</v>
      </c>
      <c r="N474" s="1" t="s">
        <v>1660</v>
      </c>
    </row>
    <row r="475" spans="1:14" ht="29" x14ac:dyDescent="0.35">
      <c r="A475" s="149" t="s">
        <v>1661</v>
      </c>
      <c r="B475" s="150" t="s">
        <v>4054</v>
      </c>
      <c r="C475" s="151" t="str" cm="1">
        <f t="array" ref="C475:F475">_xlfn.TEXTSPLIT('איחוד שאלות'!$B475,"_")</f>
        <v>preference</v>
      </c>
      <c r="D475" s="150" t="str">
        <v>party</v>
      </c>
      <c r="E475" s="150" t="str">
        <v>least</v>
      </c>
      <c r="F475" s="150" t="str">
        <v>3</v>
      </c>
      <c r="G475" s="152"/>
      <c r="H475" s="153" t="s">
        <v>3533</v>
      </c>
      <c r="I475" s="2" t="s">
        <v>5856</v>
      </c>
      <c r="J475" s="2" t="s">
        <v>5853</v>
      </c>
      <c r="K475" s="2" t="s">
        <v>6137</v>
      </c>
      <c r="L475" s="2" t="s">
        <v>5791</v>
      </c>
      <c r="N475" s="1" t="s">
        <v>1661</v>
      </c>
    </row>
    <row r="476" spans="1:14" ht="116" x14ac:dyDescent="0.35">
      <c r="A476" s="113" t="s">
        <v>2045</v>
      </c>
      <c r="B476" s="102" t="s">
        <v>4055</v>
      </c>
      <c r="C476" s="123" t="str" cm="1">
        <f t="array" ref="C476:F476">_xlfn.TEXTSPLIT('איחוד שאלות'!$B476,"_")</f>
        <v>preference</v>
      </c>
      <c r="D476" s="146" t="str">
        <v>civilsociety</v>
      </c>
      <c r="E476" s="146" t="str">
        <v>organization</v>
      </c>
      <c r="F476" s="146" t="str">
        <v>least</v>
      </c>
      <c r="G476" s="147"/>
      <c r="H476" s="148" t="s">
        <v>3533</v>
      </c>
      <c r="I476" s="2" t="s">
        <v>5856</v>
      </c>
      <c r="J476" s="2" t="s">
        <v>6003</v>
      </c>
      <c r="K476" s="2" t="s">
        <v>5842</v>
      </c>
      <c r="L476" s="2" t="s">
        <v>6137</v>
      </c>
      <c r="N476" s="1" t="s">
        <v>2045</v>
      </c>
    </row>
    <row r="477" spans="1:14" ht="72.5" x14ac:dyDescent="0.35">
      <c r="A477" s="149" t="s">
        <v>2551</v>
      </c>
      <c r="B477" s="150" t="s">
        <v>4056</v>
      </c>
      <c r="C477" s="151" t="str" cm="1">
        <f t="array" ref="C477:E477">_xlfn.TEXTSPLIT('איחוד שאלות'!$B477,"_")</f>
        <v>preference</v>
      </c>
      <c r="D477" s="150" t="str">
        <v>party</v>
      </c>
      <c r="E477" s="150" t="str">
        <v>strongvscareful</v>
      </c>
      <c r="F477" s="150"/>
      <c r="G477" s="152"/>
      <c r="H477" s="153" t="s">
        <v>3533</v>
      </c>
      <c r="I477" s="2" t="s">
        <v>5856</v>
      </c>
      <c r="J477" s="2" t="s">
        <v>5853</v>
      </c>
      <c r="K477" s="2" t="s">
        <v>6138</v>
      </c>
      <c r="N477" s="1" t="s">
        <v>2551</v>
      </c>
    </row>
    <row r="478" spans="1:14" ht="87" x14ac:dyDescent="0.35">
      <c r="A478" s="113" t="s">
        <v>3502</v>
      </c>
      <c r="B478" s="102" t="s">
        <v>4504</v>
      </c>
      <c r="C478" s="123" t="str" cm="1">
        <f t="array" ref="C478:F478">_xlfn.TEXTSPLIT('איחוד שאלות'!$B478,"_")</f>
        <v>affect</v>
      </c>
      <c r="D478" s="146" t="str">
        <v>termo</v>
      </c>
      <c r="E478" s="146" t="str">
        <v>golda</v>
      </c>
      <c r="F478" s="146" t="str">
        <v>saliency</v>
      </c>
      <c r="G478" s="147"/>
      <c r="H478" s="148" t="s">
        <v>3533</v>
      </c>
      <c r="I478" s="2" t="s">
        <v>5815</v>
      </c>
      <c r="J478" s="2" t="s">
        <v>5930</v>
      </c>
      <c r="K478" s="2" t="s">
        <v>5964</v>
      </c>
      <c r="L478" s="2" t="s">
        <v>6139</v>
      </c>
      <c r="N478" s="1" t="s">
        <v>7069</v>
      </c>
    </row>
    <row r="479" spans="1:14" ht="87" x14ac:dyDescent="0.35">
      <c r="A479" s="149" t="s">
        <v>3503</v>
      </c>
      <c r="B479" s="150" t="s">
        <v>4505</v>
      </c>
      <c r="C479" s="151" t="str" cm="1">
        <f t="array" ref="C479:F479">_xlfn.TEXTSPLIT('איחוד שאלות'!$B479,"_")</f>
        <v>affect</v>
      </c>
      <c r="D479" s="150" t="str">
        <v>termo</v>
      </c>
      <c r="E479" s="150" t="str">
        <v>menachembegin</v>
      </c>
      <c r="F479" s="150" t="str">
        <v>saliency</v>
      </c>
      <c r="G479" s="152"/>
      <c r="H479" s="153" t="s">
        <v>3533</v>
      </c>
      <c r="I479" s="2" t="s">
        <v>5815</v>
      </c>
      <c r="J479" s="2" t="s">
        <v>5930</v>
      </c>
      <c r="K479" s="2" t="s">
        <v>6075</v>
      </c>
      <c r="L479" s="2" t="s">
        <v>6139</v>
      </c>
      <c r="N479" s="1" t="s">
        <v>7070</v>
      </c>
    </row>
    <row r="480" spans="1:14" ht="87" x14ac:dyDescent="0.35">
      <c r="A480" s="113" t="s">
        <v>3504</v>
      </c>
      <c r="B480" s="102" t="s">
        <v>4506</v>
      </c>
      <c r="C480" s="123" t="str" cm="1">
        <f t="array" ref="C480:F480">_xlfn.TEXTSPLIT('איחוד שאלות'!$B480,"_")</f>
        <v>affect</v>
      </c>
      <c r="D480" s="146" t="str">
        <v>termo</v>
      </c>
      <c r="E480" s="146" t="str">
        <v>dayan</v>
      </c>
      <c r="F480" s="146" t="str">
        <v>saliency</v>
      </c>
      <c r="G480" s="147"/>
      <c r="H480" s="148" t="s">
        <v>3533</v>
      </c>
      <c r="I480" s="2" t="s">
        <v>5815</v>
      </c>
      <c r="J480" s="2" t="s">
        <v>5930</v>
      </c>
      <c r="K480" s="2" t="s">
        <v>6140</v>
      </c>
      <c r="L480" s="2" t="s">
        <v>6139</v>
      </c>
      <c r="N480" s="1" t="s">
        <v>7071</v>
      </c>
    </row>
    <row r="481" spans="1:14" ht="87" x14ac:dyDescent="0.35">
      <c r="A481" s="149" t="s">
        <v>3505</v>
      </c>
      <c r="B481" s="150" t="s">
        <v>4507</v>
      </c>
      <c r="C481" s="151" t="str" cm="1">
        <f t="array" ref="C481:F481">_xlfn.TEXTSPLIT('איחוד שאלות'!$B481,"_")</f>
        <v>affect</v>
      </c>
      <c r="D481" s="150" t="str">
        <v>termo</v>
      </c>
      <c r="E481" s="150" t="str">
        <v>pinchassapir</v>
      </c>
      <c r="F481" s="150" t="str">
        <v>saliency</v>
      </c>
      <c r="G481" s="152"/>
      <c r="H481" s="153" t="s">
        <v>3533</v>
      </c>
      <c r="I481" s="2" t="s">
        <v>5815</v>
      </c>
      <c r="J481" s="2" t="s">
        <v>5930</v>
      </c>
      <c r="K481" s="2" t="s">
        <v>6141</v>
      </c>
      <c r="L481" s="2" t="s">
        <v>6139</v>
      </c>
      <c r="N481" s="1" t="s">
        <v>7072</v>
      </c>
    </row>
    <row r="482" spans="1:14" ht="87" x14ac:dyDescent="0.35">
      <c r="A482" s="113" t="s">
        <v>3506</v>
      </c>
      <c r="B482" s="102" t="s">
        <v>4508</v>
      </c>
      <c r="C482" s="123" t="str" cm="1">
        <f t="array" ref="C482:F482">_xlfn.TEXTSPLIT('איחוד שאלות'!$B482,"_")</f>
        <v>affect</v>
      </c>
      <c r="D482" s="146" t="str">
        <v>termo</v>
      </c>
      <c r="E482" s="146" t="str">
        <v>sharon</v>
      </c>
      <c r="F482" s="146" t="str">
        <v>saliency</v>
      </c>
      <c r="G482" s="147"/>
      <c r="H482" s="148" t="s">
        <v>3533</v>
      </c>
      <c r="I482" s="2" t="s">
        <v>5815</v>
      </c>
      <c r="J482" s="2" t="s">
        <v>5930</v>
      </c>
      <c r="K482" s="2" t="s">
        <v>6073</v>
      </c>
      <c r="L482" s="2" t="s">
        <v>6139</v>
      </c>
      <c r="N482" s="1" t="s">
        <v>7073</v>
      </c>
    </row>
    <row r="483" spans="1:14" ht="87" x14ac:dyDescent="0.35">
      <c r="A483" s="149" t="s">
        <v>3507</v>
      </c>
      <c r="B483" s="150" t="s">
        <v>4509</v>
      </c>
      <c r="C483" s="151" t="str" cm="1">
        <f t="array" ref="C483:F483">_xlfn.TEXTSPLIT('איחוד שאלות'!$B483,"_")</f>
        <v>affect</v>
      </c>
      <c r="D483" s="150" t="str">
        <v>termo</v>
      </c>
      <c r="E483" s="150" t="str">
        <v>yigalallon</v>
      </c>
      <c r="F483" s="150" t="str">
        <v>saliency</v>
      </c>
      <c r="G483" s="152"/>
      <c r="H483" s="153" t="s">
        <v>3533</v>
      </c>
      <c r="I483" s="2" t="s">
        <v>5815</v>
      </c>
      <c r="J483" s="2" t="s">
        <v>5930</v>
      </c>
      <c r="K483" s="2" t="s">
        <v>6142</v>
      </c>
      <c r="L483" s="2" t="s">
        <v>6139</v>
      </c>
      <c r="N483" s="1" t="s">
        <v>7074</v>
      </c>
    </row>
    <row r="484" spans="1:14" ht="72.5" x14ac:dyDescent="0.35">
      <c r="A484" s="113" t="s">
        <v>3508</v>
      </c>
      <c r="B484" s="102" t="s">
        <v>4510</v>
      </c>
      <c r="C484" s="123" t="str" cm="1">
        <f t="array" ref="C484:F484">_xlfn.TEXTSPLIT('איחוד שאלות'!$B484,"_")</f>
        <v>perception</v>
      </c>
      <c r="D484" s="146" t="str">
        <v>difference</v>
      </c>
      <c r="E484" s="146" t="str">
        <v>kippurwar</v>
      </c>
      <c r="F484" s="146" t="str">
        <v>golda</v>
      </c>
      <c r="G484" s="147"/>
      <c r="H484" s="148" t="s">
        <v>3533</v>
      </c>
      <c r="I484" s="2" t="s">
        <v>5844</v>
      </c>
      <c r="J484" s="2" t="s">
        <v>6024</v>
      </c>
      <c r="K484" s="2" t="s">
        <v>5960</v>
      </c>
      <c r="L484" s="2" t="s">
        <v>5964</v>
      </c>
      <c r="N484" s="1" t="s">
        <v>7075</v>
      </c>
    </row>
    <row r="485" spans="1:14" ht="72.5" x14ac:dyDescent="0.35">
      <c r="A485" s="149" t="s">
        <v>3509</v>
      </c>
      <c r="B485" s="150" t="s">
        <v>4511</v>
      </c>
      <c r="C485" s="151" t="str" cm="1">
        <f t="array" ref="C485:F485">_xlfn.TEXTSPLIT('איחוד שאלות'!$B485,"_")</f>
        <v>perception</v>
      </c>
      <c r="D485" s="150" t="str">
        <v>difference</v>
      </c>
      <c r="E485" s="150" t="str">
        <v>kippurwar</v>
      </c>
      <c r="F485" s="150" t="str">
        <v>dayan</v>
      </c>
      <c r="G485" s="152"/>
      <c r="H485" s="153" t="s">
        <v>3533</v>
      </c>
      <c r="I485" s="2" t="s">
        <v>5844</v>
      </c>
      <c r="J485" s="2" t="s">
        <v>6024</v>
      </c>
      <c r="K485" s="2" t="s">
        <v>5960</v>
      </c>
      <c r="L485" s="2" t="s">
        <v>6140</v>
      </c>
      <c r="N485" s="1" t="s">
        <v>7076</v>
      </c>
    </row>
    <row r="486" spans="1:14" ht="72.5" x14ac:dyDescent="0.35">
      <c r="A486" s="113" t="s">
        <v>3510</v>
      </c>
      <c r="B486" s="102" t="s">
        <v>4512</v>
      </c>
      <c r="C486" s="123" t="str" cm="1">
        <f t="array" ref="C486:F486">_xlfn.TEXTSPLIT('איחוד שאלות'!$B486,"_")</f>
        <v>perception</v>
      </c>
      <c r="D486" s="146" t="str">
        <v>difference</v>
      </c>
      <c r="E486" s="146" t="str">
        <v>kippurwar</v>
      </c>
      <c r="F486" s="146" t="str">
        <v>menachembegin</v>
      </c>
      <c r="G486" s="147"/>
      <c r="H486" s="148" t="s">
        <v>3533</v>
      </c>
      <c r="I486" s="2" t="s">
        <v>5844</v>
      </c>
      <c r="J486" s="2" t="s">
        <v>6024</v>
      </c>
      <c r="K486" s="2" t="s">
        <v>5960</v>
      </c>
      <c r="L486" s="2" t="s">
        <v>6075</v>
      </c>
      <c r="N486" s="1" t="s">
        <v>7077</v>
      </c>
    </row>
    <row r="487" spans="1:14" ht="72.5" x14ac:dyDescent="0.35">
      <c r="A487" s="149" t="s">
        <v>3511</v>
      </c>
      <c r="B487" s="150" t="s">
        <v>4513</v>
      </c>
      <c r="C487" s="151" t="str" cm="1">
        <f t="array" ref="C487:F487">_xlfn.TEXTSPLIT('איחוד שאלות'!$B487,"_")</f>
        <v>perception</v>
      </c>
      <c r="D487" s="150" t="str">
        <v>difference</v>
      </c>
      <c r="E487" s="150" t="str">
        <v>kippurwar</v>
      </c>
      <c r="F487" s="150" t="str">
        <v>pinchassapir</v>
      </c>
      <c r="G487" s="152"/>
      <c r="H487" s="153" t="s">
        <v>3533</v>
      </c>
      <c r="I487" s="2" t="s">
        <v>5844</v>
      </c>
      <c r="J487" s="2" t="s">
        <v>6024</v>
      </c>
      <c r="K487" s="2" t="s">
        <v>5960</v>
      </c>
      <c r="L487" s="2" t="s">
        <v>6141</v>
      </c>
      <c r="N487" s="1" t="s">
        <v>7078</v>
      </c>
    </row>
    <row r="488" spans="1:14" ht="72.5" x14ac:dyDescent="0.35">
      <c r="A488" s="113" t="s">
        <v>3512</v>
      </c>
      <c r="B488" s="102" t="s">
        <v>4514</v>
      </c>
      <c r="C488" s="123" t="str" cm="1">
        <f t="array" ref="C488:F488">_xlfn.TEXTSPLIT('איחוד שאלות'!$B488,"_")</f>
        <v>perception</v>
      </c>
      <c r="D488" s="146" t="str">
        <v>difference</v>
      </c>
      <c r="E488" s="146" t="str">
        <v>kippurwar</v>
      </c>
      <c r="F488" s="146" t="str">
        <v>sharon</v>
      </c>
      <c r="G488" s="147"/>
      <c r="H488" s="148" t="s">
        <v>3533</v>
      </c>
      <c r="I488" s="2" t="s">
        <v>5844</v>
      </c>
      <c r="J488" s="2" t="s">
        <v>6024</v>
      </c>
      <c r="K488" s="2" t="s">
        <v>5960</v>
      </c>
      <c r="L488" s="2" t="s">
        <v>6073</v>
      </c>
      <c r="N488" s="1" t="s">
        <v>7079</v>
      </c>
    </row>
    <row r="489" spans="1:14" ht="72.5" x14ac:dyDescent="0.35">
      <c r="A489" s="149" t="s">
        <v>3513</v>
      </c>
      <c r="B489" s="150" t="s">
        <v>4515</v>
      </c>
      <c r="C489" s="151" t="str" cm="1">
        <f t="array" ref="C489:F489">_xlfn.TEXTSPLIT('איחוד שאלות'!$B489,"_")</f>
        <v>perception</v>
      </c>
      <c r="D489" s="150" t="str">
        <v>difference</v>
      </c>
      <c r="E489" s="150" t="str">
        <v>kippurwar</v>
      </c>
      <c r="F489" s="150" t="str">
        <v>haimbarlev</v>
      </c>
      <c r="G489" s="152"/>
      <c r="H489" s="153" t="s">
        <v>3533</v>
      </c>
      <c r="I489" s="2" t="s">
        <v>5844</v>
      </c>
      <c r="J489" s="2" t="s">
        <v>6024</v>
      </c>
      <c r="K489" s="2" t="s">
        <v>5960</v>
      </c>
      <c r="L489" s="2" t="s">
        <v>6143</v>
      </c>
      <c r="N489" s="1" t="s">
        <v>7080</v>
      </c>
    </row>
    <row r="490" spans="1:14" ht="72.5" x14ac:dyDescent="0.35">
      <c r="A490" s="113" t="s">
        <v>3514</v>
      </c>
      <c r="B490" s="102" t="s">
        <v>4516</v>
      </c>
      <c r="C490" s="123" t="str" cm="1">
        <f t="array" ref="C490:F490">_xlfn.TEXTSPLIT('איחוד שאלות'!$B490,"_")</f>
        <v>perception</v>
      </c>
      <c r="D490" s="146" t="str">
        <v>difference</v>
      </c>
      <c r="E490" s="146" t="str">
        <v>kippurwar</v>
      </c>
      <c r="F490" s="146" t="str">
        <v>aryeheliav</v>
      </c>
      <c r="G490" s="147"/>
      <c r="H490" s="148" t="s">
        <v>3533</v>
      </c>
      <c r="I490" s="2" t="s">
        <v>5844</v>
      </c>
      <c r="J490" s="2" t="s">
        <v>6024</v>
      </c>
      <c r="K490" s="2" t="s">
        <v>5960</v>
      </c>
      <c r="L490" s="2" t="s">
        <v>6144</v>
      </c>
      <c r="N490" s="1" t="s">
        <v>7081</v>
      </c>
    </row>
    <row r="491" spans="1:14" ht="72.5" x14ac:dyDescent="0.35">
      <c r="A491" s="149" t="s">
        <v>3515</v>
      </c>
      <c r="B491" s="150" t="s">
        <v>4517</v>
      </c>
      <c r="C491" s="151" t="str" cm="1">
        <f t="array" ref="C491:F491">_xlfn.TEXTSPLIT('איחוד שאלות'!$B491,"_")</f>
        <v>perception</v>
      </c>
      <c r="D491" s="150" t="str">
        <v>difference</v>
      </c>
      <c r="E491" s="150" t="str">
        <v>kippurwar</v>
      </c>
      <c r="F491" s="150" t="str">
        <v>meirpail</v>
      </c>
      <c r="G491" s="152"/>
      <c r="H491" s="153" t="s">
        <v>3533</v>
      </c>
      <c r="I491" s="2" t="s">
        <v>5844</v>
      </c>
      <c r="J491" s="2" t="s">
        <v>6024</v>
      </c>
      <c r="K491" s="2" t="s">
        <v>5960</v>
      </c>
      <c r="L491" s="2" t="s">
        <v>6145</v>
      </c>
      <c r="N491" s="1" t="s">
        <v>7082</v>
      </c>
    </row>
    <row r="492" spans="1:14" ht="43.5" x14ac:dyDescent="0.35">
      <c r="A492" s="113" t="s">
        <v>2856</v>
      </c>
      <c r="B492" s="102" t="s">
        <v>4518</v>
      </c>
      <c r="C492" s="123" t="str" cm="1">
        <f t="array" ref="C492:F492">_xlfn.TEXTSPLIT('איחוד שאלות'!$B492,"_")</f>
        <v>affect</v>
      </c>
      <c r="D492" s="146" t="str">
        <v>importance</v>
      </c>
      <c r="E492" s="146" t="str">
        <v>polidentity</v>
      </c>
      <c r="F492" s="146" t="str">
        <v>politicians</v>
      </c>
      <c r="G492" s="147"/>
      <c r="H492" s="148" t="s">
        <v>3533</v>
      </c>
      <c r="I492" s="2" t="s">
        <v>5815</v>
      </c>
      <c r="J492" s="2" t="s">
        <v>5857</v>
      </c>
      <c r="K492" s="2" t="s">
        <v>6017</v>
      </c>
      <c r="L492" s="2" t="s">
        <v>6004</v>
      </c>
      <c r="N492" s="1" t="s">
        <v>2856</v>
      </c>
    </row>
    <row r="493" spans="1:14" ht="58" x14ac:dyDescent="0.35">
      <c r="A493" s="149" t="s">
        <v>2875</v>
      </c>
      <c r="B493" s="150" t="s">
        <v>4519</v>
      </c>
      <c r="C493" s="151" t="str" cm="1">
        <f t="array" ref="C493:F493">_xlfn.TEXTSPLIT('איחוד שאלות'!$B493,"_")</f>
        <v>affect</v>
      </c>
      <c r="D493" s="150" t="str">
        <v>voting</v>
      </c>
      <c r="E493" s="150" t="str">
        <v>polidentity</v>
      </c>
      <c r="F493" s="150" t="str">
        <v>politicians</v>
      </c>
      <c r="G493" s="152"/>
      <c r="H493" s="153" t="s">
        <v>3533</v>
      </c>
      <c r="I493" s="2" t="s">
        <v>5815</v>
      </c>
      <c r="J493" s="2" t="s">
        <v>5967</v>
      </c>
      <c r="K493" s="2" t="s">
        <v>6017</v>
      </c>
      <c r="L493" s="2" t="s">
        <v>6004</v>
      </c>
      <c r="N493" s="1" t="s">
        <v>2875</v>
      </c>
    </row>
    <row r="494" spans="1:14" ht="43.5" x14ac:dyDescent="0.35">
      <c r="A494" s="113" t="s">
        <v>2858</v>
      </c>
      <c r="B494" s="102" t="s">
        <v>4520</v>
      </c>
      <c r="C494" s="123" t="str" cm="1">
        <f t="array" ref="C494:F494">_xlfn.TEXTSPLIT('איחוד שאלות'!$B494,"_")</f>
        <v>affect</v>
      </c>
      <c r="D494" s="146" t="str">
        <v>importance</v>
      </c>
      <c r="E494" s="146" t="str">
        <v>polidentity</v>
      </c>
      <c r="F494" s="146" t="str">
        <v>party</v>
      </c>
      <c r="G494" s="147"/>
      <c r="H494" s="148" t="s">
        <v>3533</v>
      </c>
      <c r="I494" s="2" t="s">
        <v>5815</v>
      </c>
      <c r="J494" s="2" t="s">
        <v>5857</v>
      </c>
      <c r="K494" s="2" t="s">
        <v>6017</v>
      </c>
      <c r="L494" s="2" t="s">
        <v>5853</v>
      </c>
      <c r="N494" s="1" t="s">
        <v>2858</v>
      </c>
    </row>
    <row r="495" spans="1:14" ht="58" x14ac:dyDescent="0.35">
      <c r="A495" s="149" t="s">
        <v>2876</v>
      </c>
      <c r="B495" s="150" t="s">
        <v>4521</v>
      </c>
      <c r="C495" s="151" t="str" cm="1">
        <f t="array" ref="C495:F495">_xlfn.TEXTSPLIT('איחוד שאלות'!$B495,"_")</f>
        <v>affect</v>
      </c>
      <c r="D495" s="150" t="str">
        <v>voting</v>
      </c>
      <c r="E495" s="150" t="str">
        <v>polidentity</v>
      </c>
      <c r="F495" s="150" t="str">
        <v>party</v>
      </c>
      <c r="G495" s="152"/>
      <c r="H495" s="153" t="s">
        <v>3533</v>
      </c>
      <c r="I495" s="2" t="s">
        <v>5815</v>
      </c>
      <c r="J495" s="2" t="s">
        <v>5967</v>
      </c>
      <c r="K495" s="2" t="s">
        <v>6017</v>
      </c>
      <c r="L495" s="2" t="s">
        <v>5853</v>
      </c>
      <c r="N495" s="1" t="s">
        <v>2876</v>
      </c>
    </row>
    <row r="496" spans="1:14" ht="72.5" x14ac:dyDescent="0.35">
      <c r="A496" s="113" t="s">
        <v>2739</v>
      </c>
      <c r="B496" s="102" t="s">
        <v>4522</v>
      </c>
      <c r="C496" s="123" t="str" cm="1">
        <f t="array" ref="C496:G496">_xlfn.TEXTSPLIT('איחוד שאלות'!$B496,"_")</f>
        <v>perception</v>
      </c>
      <c r="D496" s="146" t="str">
        <v>elections</v>
      </c>
      <c r="E496" s="146" t="str">
        <v>knowledge</v>
      </c>
      <c r="F496" s="146" t="str">
        <v>party</v>
      </c>
      <c r="G496" s="147" t="str">
        <v>similar</v>
      </c>
      <c r="H496" s="148" t="s">
        <v>3533</v>
      </c>
      <c r="I496" s="2" t="s">
        <v>5844</v>
      </c>
      <c r="J496" s="2" t="s">
        <v>5954</v>
      </c>
      <c r="K496" s="2" t="s">
        <v>5942</v>
      </c>
      <c r="L496" s="2" t="s">
        <v>5853</v>
      </c>
      <c r="M496" s="2" t="s">
        <v>6146</v>
      </c>
      <c r="N496" s="1" t="s">
        <v>2739</v>
      </c>
    </row>
    <row r="497" spans="1:14" ht="58" x14ac:dyDescent="0.35">
      <c r="A497" s="149" t="s">
        <v>2853</v>
      </c>
      <c r="B497" s="150" t="s">
        <v>4523</v>
      </c>
      <c r="C497" s="151" t="str" cm="1">
        <f t="array" ref="C497:G497">_xlfn.TEXTSPLIT('איחוד שאלות'!$B497,"_")</f>
        <v>affect</v>
      </c>
      <c r="D497" s="150" t="str">
        <v>importance</v>
      </c>
      <c r="E497" s="150" t="str">
        <v>knowledge</v>
      </c>
      <c r="F497" s="150" t="str">
        <v>party</v>
      </c>
      <c r="G497" s="152" t="str">
        <v>similar</v>
      </c>
      <c r="H497" s="153" t="s">
        <v>3533</v>
      </c>
      <c r="I497" s="2" t="s">
        <v>5815</v>
      </c>
      <c r="J497" s="2" t="s">
        <v>5857</v>
      </c>
      <c r="K497" s="2" t="s">
        <v>5942</v>
      </c>
      <c r="L497" s="2" t="s">
        <v>5853</v>
      </c>
      <c r="M497" s="2" t="s">
        <v>6146</v>
      </c>
      <c r="N497" s="1" t="s">
        <v>2853</v>
      </c>
    </row>
    <row r="498" spans="1:14" ht="43.5" x14ac:dyDescent="0.35">
      <c r="A498" s="113" t="s">
        <v>598</v>
      </c>
      <c r="B498" s="102" t="s">
        <v>4524</v>
      </c>
      <c r="C498" s="123" t="str" cm="1">
        <f t="array" ref="C498:F498">_xlfn.TEXTSPLIT('איחוד שאלות'!$B498,"_")</f>
        <v>affect</v>
      </c>
      <c r="D498" s="146" t="str">
        <v>affinity</v>
      </c>
      <c r="E498" s="146" t="str">
        <v>party</v>
      </c>
      <c r="F498" s="146" t="str">
        <v>yesno</v>
      </c>
      <c r="G498" s="147"/>
      <c r="H498" s="148" t="s">
        <v>3533</v>
      </c>
      <c r="I498" s="2" t="s">
        <v>5815</v>
      </c>
      <c r="J498" s="2" t="s">
        <v>6147</v>
      </c>
      <c r="K498" s="2" t="s">
        <v>5853</v>
      </c>
      <c r="L498" s="2" t="s">
        <v>6148</v>
      </c>
      <c r="N498" s="1" t="s">
        <v>598</v>
      </c>
    </row>
    <row r="499" spans="1:14" ht="29" x14ac:dyDescent="0.35">
      <c r="A499" s="149" t="s">
        <v>600</v>
      </c>
      <c r="B499" s="150" t="s">
        <v>4525</v>
      </c>
      <c r="C499" s="151" t="str" cm="1">
        <f t="array" ref="C499:F499">_xlfn.TEXTSPLIT('איחוד שאלות'!$B499,"_")</f>
        <v>affect</v>
      </c>
      <c r="D499" s="150" t="str">
        <v>affinity</v>
      </c>
      <c r="E499" s="150" t="str">
        <v>party</v>
      </c>
      <c r="F499" s="150" t="str">
        <v>1</v>
      </c>
      <c r="G499" s="152"/>
      <c r="H499" s="153" t="s">
        <v>3533</v>
      </c>
      <c r="I499" s="2" t="s">
        <v>5815</v>
      </c>
      <c r="J499" s="2" t="s">
        <v>6147</v>
      </c>
      <c r="K499" s="2" t="s">
        <v>5853</v>
      </c>
      <c r="L499" s="2" t="s">
        <v>5789</v>
      </c>
      <c r="N499" s="1" t="s">
        <v>600</v>
      </c>
    </row>
    <row r="500" spans="1:14" ht="58" x14ac:dyDescent="0.35">
      <c r="A500" s="113" t="s">
        <v>602</v>
      </c>
      <c r="B500" s="102" t="s">
        <v>4526</v>
      </c>
      <c r="C500" s="123" t="str" cm="1">
        <f t="array" ref="C500:F500">_xlfn.TEXTSPLIT('איחוד שאלות'!$B500,"_")</f>
        <v>affect</v>
      </c>
      <c r="D500" s="146" t="str">
        <v>affinity</v>
      </c>
      <c r="E500" s="146" t="str">
        <v>party</v>
      </c>
      <c r="F500" s="146" t="str">
        <v>termo</v>
      </c>
      <c r="G500" s="147"/>
      <c r="H500" s="148" t="s">
        <v>3533</v>
      </c>
      <c r="I500" s="2" t="s">
        <v>5815</v>
      </c>
      <c r="J500" s="2" t="s">
        <v>6147</v>
      </c>
      <c r="K500" s="2" t="s">
        <v>5853</v>
      </c>
      <c r="L500" s="2" t="s">
        <v>5930</v>
      </c>
      <c r="N500" s="1" t="s">
        <v>602</v>
      </c>
    </row>
    <row r="501" spans="1:14" ht="29" x14ac:dyDescent="0.35">
      <c r="A501" s="149" t="s">
        <v>3516</v>
      </c>
      <c r="B501" s="150" t="s">
        <v>4527</v>
      </c>
      <c r="C501" s="151" t="str" cm="1">
        <f t="array" ref="C501:F501">_xlfn.TEXTSPLIT('איחוד שאלות'!$B501,"_")</f>
        <v>affect</v>
      </c>
      <c r="D501" s="150" t="str">
        <v>affinity</v>
      </c>
      <c r="E501" s="150" t="str">
        <v>party</v>
      </c>
      <c r="F501" s="150" t="str">
        <v>2</v>
      </c>
      <c r="G501" s="152"/>
      <c r="H501" s="153" t="s">
        <v>3533</v>
      </c>
      <c r="I501" s="2" t="s">
        <v>5815</v>
      </c>
      <c r="J501" s="2" t="s">
        <v>6147</v>
      </c>
      <c r="K501" s="2" t="s">
        <v>5853</v>
      </c>
      <c r="L501" s="2" t="s">
        <v>5790</v>
      </c>
      <c r="N501" s="1" t="s">
        <v>7083</v>
      </c>
    </row>
    <row r="502" spans="1:14" ht="43.5" x14ac:dyDescent="0.35">
      <c r="A502" s="113" t="s">
        <v>3517</v>
      </c>
      <c r="B502" s="102" t="s">
        <v>4528</v>
      </c>
      <c r="C502" s="123" t="str" cm="1">
        <f t="array" ref="C502:F502">_xlfn.TEXTSPLIT('איחוד שאלות'!$B502,"_")</f>
        <v>affect</v>
      </c>
      <c r="D502" s="146" t="str">
        <v>affinity</v>
      </c>
      <c r="E502" s="146" t="str">
        <v>party</v>
      </c>
      <c r="F502" s="146" t="str">
        <v>3</v>
      </c>
      <c r="G502" s="147"/>
      <c r="H502" s="148" t="s">
        <v>3533</v>
      </c>
      <c r="I502" s="2" t="s">
        <v>5815</v>
      </c>
      <c r="J502" s="2" t="s">
        <v>6147</v>
      </c>
      <c r="K502" s="2" t="s">
        <v>5853</v>
      </c>
      <c r="L502" s="2" t="s">
        <v>5791</v>
      </c>
      <c r="N502" s="1" t="s">
        <v>7084</v>
      </c>
    </row>
    <row r="503" spans="1:14" ht="29" x14ac:dyDescent="0.35">
      <c r="A503" s="149" t="s">
        <v>3518</v>
      </c>
      <c r="B503" s="150" t="s">
        <v>4529</v>
      </c>
      <c r="C503" s="151" t="str" cm="1">
        <f t="array" ref="C503:F503">_xlfn.TEXTSPLIT('איחוד שאלות'!$B503,"_")</f>
        <v>affect</v>
      </c>
      <c r="D503" s="150" t="str">
        <v>affinity</v>
      </c>
      <c r="E503" s="150" t="str">
        <v>party</v>
      </c>
      <c r="F503" s="150" t="str">
        <v>10</v>
      </c>
      <c r="G503" s="152"/>
      <c r="H503" s="153" t="s">
        <v>3533</v>
      </c>
      <c r="I503" s="2" t="s">
        <v>5815</v>
      </c>
      <c r="J503" s="2" t="s">
        <v>6147</v>
      </c>
      <c r="K503" s="2" t="s">
        <v>5853</v>
      </c>
      <c r="L503" s="2" t="s">
        <v>6020</v>
      </c>
      <c r="N503" s="1" t="s">
        <v>7085</v>
      </c>
    </row>
    <row r="504" spans="1:14" ht="29" x14ac:dyDescent="0.35">
      <c r="A504" s="113" t="s">
        <v>3519</v>
      </c>
      <c r="B504" s="102" t="s">
        <v>4530</v>
      </c>
      <c r="C504" s="123" t="str" cm="1">
        <f t="array" ref="C504:F504">_xlfn.TEXTSPLIT('איחוד שאלות'!$B504,"_")</f>
        <v>affect</v>
      </c>
      <c r="D504" s="146" t="str">
        <v>affinity</v>
      </c>
      <c r="E504" s="146" t="str">
        <v>party</v>
      </c>
      <c r="F504" s="146" t="str">
        <v>9</v>
      </c>
      <c r="G504" s="147"/>
      <c r="H504" s="148" t="s">
        <v>3533</v>
      </c>
      <c r="I504" s="2" t="s">
        <v>5815</v>
      </c>
      <c r="J504" s="2" t="s">
        <v>6147</v>
      </c>
      <c r="K504" s="2" t="s">
        <v>5853</v>
      </c>
      <c r="L504" s="2" t="s">
        <v>5900</v>
      </c>
      <c r="N504" s="1" t="s">
        <v>7086</v>
      </c>
    </row>
    <row r="505" spans="1:14" ht="43.5" x14ac:dyDescent="0.35">
      <c r="A505" s="149" t="s">
        <v>3520</v>
      </c>
      <c r="B505" s="150" t="s">
        <v>4531</v>
      </c>
      <c r="C505" s="151" t="str" cm="1">
        <f t="array" ref="C505:F505">_xlfn.TEXTSPLIT('איחוד שאלות'!$B505,"_")</f>
        <v>affect</v>
      </c>
      <c r="D505" s="150" t="str">
        <v>affinity</v>
      </c>
      <c r="E505" s="150" t="str">
        <v>party</v>
      </c>
      <c r="F505" s="150" t="str">
        <v>8</v>
      </c>
      <c r="G505" s="152"/>
      <c r="H505" s="153" t="s">
        <v>3533</v>
      </c>
      <c r="I505" s="2" t="s">
        <v>5815</v>
      </c>
      <c r="J505" s="2" t="s">
        <v>6147</v>
      </c>
      <c r="K505" s="2" t="s">
        <v>5853</v>
      </c>
      <c r="L505" s="2" t="s">
        <v>5899</v>
      </c>
      <c r="N505" s="1" t="s">
        <v>7087</v>
      </c>
    </row>
    <row r="506" spans="1:14" ht="58" x14ac:dyDescent="0.35">
      <c r="A506" s="113" t="s">
        <v>3521</v>
      </c>
      <c r="B506" s="102" t="s">
        <v>4532</v>
      </c>
      <c r="C506" s="123" t="str" cm="1">
        <f t="array" ref="C506:F506">_xlfn.TEXTSPLIT('איחוד שאלות'!$B506,"_")</f>
        <v>affect</v>
      </c>
      <c r="D506" s="146" t="str">
        <v>affinity</v>
      </c>
      <c r="E506" s="146" t="str">
        <v>party</v>
      </c>
      <c r="F506" s="146" t="str">
        <v>4</v>
      </c>
      <c r="G506" s="147"/>
      <c r="H506" s="148" t="s">
        <v>3533</v>
      </c>
      <c r="I506" s="2" t="s">
        <v>5815</v>
      </c>
      <c r="J506" s="2" t="s">
        <v>6147</v>
      </c>
      <c r="K506" s="2" t="s">
        <v>5853</v>
      </c>
      <c r="L506" s="2" t="s">
        <v>5792</v>
      </c>
      <c r="N506" s="1" t="s">
        <v>7088</v>
      </c>
    </row>
    <row r="507" spans="1:14" ht="58" x14ac:dyDescent="0.35">
      <c r="A507" s="149" t="s">
        <v>3522</v>
      </c>
      <c r="B507" s="150" t="s">
        <v>4533</v>
      </c>
      <c r="C507" s="151" t="str" cm="1">
        <f t="array" ref="C507:F507">_xlfn.TEXTSPLIT('איחוד שאלות'!$B507,"_")</f>
        <v>affect</v>
      </c>
      <c r="D507" s="150" t="str">
        <v>affinity</v>
      </c>
      <c r="E507" s="150" t="str">
        <v>party</v>
      </c>
      <c r="F507" s="150" t="str">
        <v>5</v>
      </c>
      <c r="G507" s="152"/>
      <c r="H507" s="153" t="s">
        <v>3533</v>
      </c>
      <c r="I507" s="2" t="s">
        <v>5815</v>
      </c>
      <c r="J507" s="2" t="s">
        <v>6147</v>
      </c>
      <c r="K507" s="2" t="s">
        <v>5853</v>
      </c>
      <c r="L507" s="2" t="s">
        <v>5896</v>
      </c>
      <c r="N507" s="1" t="s">
        <v>7089</v>
      </c>
    </row>
    <row r="508" spans="1:14" ht="58" x14ac:dyDescent="0.35">
      <c r="A508" s="113" t="s">
        <v>3523</v>
      </c>
      <c r="B508" s="102" t="s">
        <v>4534</v>
      </c>
      <c r="C508" s="123" t="str" cm="1">
        <f t="array" ref="C508:F508">_xlfn.TEXTSPLIT('איחוד שאלות'!$B508,"_")</f>
        <v>affect</v>
      </c>
      <c r="D508" s="146" t="str">
        <v>affinity</v>
      </c>
      <c r="E508" s="146" t="str">
        <v>party</v>
      </c>
      <c r="F508" s="146" t="str">
        <v>6</v>
      </c>
      <c r="G508" s="147"/>
      <c r="H508" s="148" t="s">
        <v>3533</v>
      </c>
      <c r="I508" s="2" t="s">
        <v>5815</v>
      </c>
      <c r="J508" s="2" t="s">
        <v>6147</v>
      </c>
      <c r="K508" s="2" t="s">
        <v>5853</v>
      </c>
      <c r="L508" s="2" t="s">
        <v>5897</v>
      </c>
      <c r="N508" s="1" t="s">
        <v>7090</v>
      </c>
    </row>
    <row r="509" spans="1:14" ht="58" x14ac:dyDescent="0.35">
      <c r="A509" s="149" t="s">
        <v>3524</v>
      </c>
      <c r="B509" s="150" t="s">
        <v>4535</v>
      </c>
      <c r="C509" s="151" t="str" cm="1">
        <f t="array" ref="C509:F509">_xlfn.TEXTSPLIT('איחוד שאלות'!$B509,"_")</f>
        <v>affect</v>
      </c>
      <c r="D509" s="150" t="str">
        <v>affinity</v>
      </c>
      <c r="E509" s="150" t="str">
        <v>party</v>
      </c>
      <c r="F509" s="150" t="str">
        <v>7</v>
      </c>
      <c r="G509" s="152"/>
      <c r="H509" s="153" t="s">
        <v>3533</v>
      </c>
      <c r="I509" s="2" t="s">
        <v>5815</v>
      </c>
      <c r="J509" s="2" t="s">
        <v>6147</v>
      </c>
      <c r="K509" s="2" t="s">
        <v>5853</v>
      </c>
      <c r="L509" s="2" t="s">
        <v>5898</v>
      </c>
      <c r="N509" s="1" t="s">
        <v>7091</v>
      </c>
    </row>
    <row r="510" spans="1:14" ht="101.5" x14ac:dyDescent="0.35">
      <c r="A510" s="113" t="s">
        <v>3525</v>
      </c>
      <c r="B510" s="102" t="s">
        <v>4536</v>
      </c>
      <c r="C510" s="123" t="str" cm="1">
        <f t="array" ref="C510:F510">_xlfn.TEXTSPLIT('איחוד שאלות'!$B510,"_")</f>
        <v>perception</v>
      </c>
      <c r="D510" s="146" t="str">
        <v>party</v>
      </c>
      <c r="E510" s="146" t="str">
        <v>mostsalient</v>
      </c>
      <c r="F510" s="146" t="str">
        <v>mafdal</v>
      </c>
      <c r="G510" s="147"/>
      <c r="H510" s="148" t="s">
        <v>3533</v>
      </c>
      <c r="I510" s="2" t="s">
        <v>5844</v>
      </c>
      <c r="J510" s="2" t="s">
        <v>5853</v>
      </c>
      <c r="K510" s="2" t="s">
        <v>6149</v>
      </c>
      <c r="L510" s="2" t="s">
        <v>6150</v>
      </c>
      <c r="N510" s="1" t="s">
        <v>7092</v>
      </c>
    </row>
    <row r="511" spans="1:14" ht="101.5" x14ac:dyDescent="0.35">
      <c r="A511" s="149" t="s">
        <v>3526</v>
      </c>
      <c r="B511" s="150" t="s">
        <v>4537</v>
      </c>
      <c r="C511" s="151" t="str" cm="1">
        <f t="array" ref="C511:F511">_xlfn.TEXTSPLIT('איחוד שאלות'!$B511,"_")</f>
        <v>perception</v>
      </c>
      <c r="D511" s="150" t="str">
        <v>party</v>
      </c>
      <c r="E511" s="150" t="str">
        <v>mostsalient</v>
      </c>
      <c r="F511" s="150" t="str">
        <v>likud</v>
      </c>
      <c r="G511" s="152"/>
      <c r="H511" s="153" t="s">
        <v>3533</v>
      </c>
      <c r="I511" s="2" t="s">
        <v>5844</v>
      </c>
      <c r="J511" s="2" t="s">
        <v>5853</v>
      </c>
      <c r="K511" s="2" t="s">
        <v>6149</v>
      </c>
      <c r="L511" s="2" t="s">
        <v>6030</v>
      </c>
      <c r="N511" s="1" t="s">
        <v>7093</v>
      </c>
    </row>
    <row r="512" spans="1:14" ht="101.5" x14ac:dyDescent="0.35">
      <c r="A512" s="113" t="s">
        <v>3527</v>
      </c>
      <c r="B512" s="102" t="s">
        <v>4538</v>
      </c>
      <c r="C512" s="123" t="str" cm="1">
        <f t="array" ref="C512:F512">_xlfn.TEXTSPLIT('איחוד שאלות'!$B512,"_")</f>
        <v>perception</v>
      </c>
      <c r="D512" s="146" t="str">
        <v>party</v>
      </c>
      <c r="E512" s="146" t="str">
        <v>mostsalient</v>
      </c>
      <c r="F512" s="146" t="str">
        <v>hamaarakh</v>
      </c>
      <c r="G512" s="147"/>
      <c r="H512" s="148" t="s">
        <v>3533</v>
      </c>
      <c r="I512" s="2" t="s">
        <v>5844</v>
      </c>
      <c r="J512" s="2" t="s">
        <v>5853</v>
      </c>
      <c r="K512" s="2" t="s">
        <v>6149</v>
      </c>
      <c r="L512" s="2" t="s">
        <v>6047</v>
      </c>
      <c r="N512" s="1" t="s">
        <v>7094</v>
      </c>
    </row>
    <row r="513" spans="1:14" ht="58" x14ac:dyDescent="0.35">
      <c r="A513" s="149" t="s">
        <v>3029</v>
      </c>
      <c r="B513" s="150" t="s">
        <v>4057</v>
      </c>
      <c r="C513" s="151" t="str" cm="1">
        <f t="array" ref="C513:E513">_xlfn.TEXTSPLIT('איחוד שאלות'!$B513,"_")</f>
        <v>preference</v>
      </c>
      <c r="D513" s="150" t="str">
        <v>party</v>
      </c>
      <c r="E513" s="150" t="str">
        <v>politician</v>
      </c>
      <c r="F513" s="150"/>
      <c r="G513" s="152"/>
      <c r="H513" s="153" t="s">
        <v>3533</v>
      </c>
      <c r="I513" s="2" t="s">
        <v>5856</v>
      </c>
      <c r="J513" s="2" t="s">
        <v>5853</v>
      </c>
      <c r="K513" s="2" t="s">
        <v>6151</v>
      </c>
      <c r="N513" s="1" t="s">
        <v>3029</v>
      </c>
    </row>
    <row r="514" spans="1:14" ht="29" x14ac:dyDescent="0.35">
      <c r="A514" s="113" t="s">
        <v>3030</v>
      </c>
      <c r="B514" s="102" t="s">
        <v>4049</v>
      </c>
      <c r="C514" s="123" t="str" cm="1">
        <f t="array" ref="C514:E514">_xlfn.TEXTSPLIT('איחוד שאלות'!$B514,"_")</f>
        <v>preference</v>
      </c>
      <c r="D514" s="146" t="str">
        <v>party</v>
      </c>
      <c r="E514" s="146" t="str">
        <v>1</v>
      </c>
      <c r="F514" s="146"/>
      <c r="G514" s="147"/>
      <c r="H514" s="148" t="s">
        <v>3533</v>
      </c>
      <c r="I514" s="2" t="s">
        <v>5856</v>
      </c>
      <c r="J514" s="2" t="s">
        <v>5853</v>
      </c>
      <c r="K514" s="2" t="s">
        <v>5789</v>
      </c>
      <c r="N514" s="1" t="s">
        <v>3030</v>
      </c>
    </row>
    <row r="515" spans="1:14" ht="29" x14ac:dyDescent="0.35">
      <c r="A515" s="149" t="s">
        <v>3528</v>
      </c>
      <c r="B515" s="150" t="s">
        <v>4539</v>
      </c>
      <c r="C515" s="151" t="str" cm="1">
        <f t="array" ref="C515:F515">_xlfn.TEXTSPLIT('איחוד שאלות'!$B515,"_")</f>
        <v>post</v>
      </c>
      <c r="D515" s="150" t="str">
        <v>affect</v>
      </c>
      <c r="E515" s="150" t="str">
        <v>termo</v>
      </c>
      <c r="F515" s="150" t="str">
        <v>rightist</v>
      </c>
      <c r="G515" s="152"/>
      <c r="H515" s="153" t="s">
        <v>3533</v>
      </c>
      <c r="I515" s="2" t="s">
        <v>5763</v>
      </c>
      <c r="J515" s="2" t="s">
        <v>5815</v>
      </c>
      <c r="K515" s="2" t="s">
        <v>5930</v>
      </c>
      <c r="L515" s="2" t="s">
        <v>6061</v>
      </c>
      <c r="N515" s="1" t="s">
        <v>7095</v>
      </c>
    </row>
    <row r="516" spans="1:14" ht="29" x14ac:dyDescent="0.35">
      <c r="A516" s="113" t="s">
        <v>3529</v>
      </c>
      <c r="B516" s="102" t="s">
        <v>4540</v>
      </c>
      <c r="C516" s="123" t="str" cm="1">
        <f t="array" ref="C516:F516">_xlfn.TEXTSPLIT('איחוד שאלות'!$B516,"_")</f>
        <v>post</v>
      </c>
      <c r="D516" s="146" t="str">
        <v>affect</v>
      </c>
      <c r="E516" s="146" t="str">
        <v>termo</v>
      </c>
      <c r="F516" s="146" t="str">
        <v>leftist</v>
      </c>
      <c r="G516" s="147"/>
      <c r="H516" s="148" t="s">
        <v>3533</v>
      </c>
      <c r="I516" s="2" t="s">
        <v>5763</v>
      </c>
      <c r="J516" s="2" t="s">
        <v>5815</v>
      </c>
      <c r="K516" s="2" t="s">
        <v>5930</v>
      </c>
      <c r="L516" s="2" t="s">
        <v>6062</v>
      </c>
      <c r="N516" s="1" t="s">
        <v>7096</v>
      </c>
    </row>
    <row r="517" spans="1:14" ht="29" x14ac:dyDescent="0.35">
      <c r="A517" s="149" t="s">
        <v>3530</v>
      </c>
      <c r="B517" s="150" t="s">
        <v>4541</v>
      </c>
      <c r="C517" s="151" t="str" cm="1">
        <f t="array" ref="C517:F517">_xlfn.TEXTSPLIT('איחוד שאלות'!$B517,"_")</f>
        <v>post</v>
      </c>
      <c r="D517" s="150" t="str">
        <v>affect</v>
      </c>
      <c r="E517" s="150" t="str">
        <v>termo</v>
      </c>
      <c r="F517" s="150" t="str">
        <v>ultraorthodox</v>
      </c>
      <c r="G517" s="152"/>
      <c r="H517" s="153" t="s">
        <v>3533</v>
      </c>
      <c r="I517" s="2" t="s">
        <v>5763</v>
      </c>
      <c r="J517" s="2" t="s">
        <v>5815</v>
      </c>
      <c r="K517" s="2" t="s">
        <v>5930</v>
      </c>
      <c r="L517" s="2" t="s">
        <v>6064</v>
      </c>
      <c r="N517" s="1" t="s">
        <v>7097</v>
      </c>
    </row>
    <row r="518" spans="1:14" ht="29" x14ac:dyDescent="0.35">
      <c r="A518" s="113" t="s">
        <v>3531</v>
      </c>
      <c r="B518" s="102" t="s">
        <v>4542</v>
      </c>
      <c r="C518" s="123" t="str" cm="1">
        <f t="array" ref="C518:F518">_xlfn.TEXTSPLIT('איחוד שאלות'!$B518,"_")</f>
        <v>post</v>
      </c>
      <c r="D518" s="146" t="str">
        <v>affect</v>
      </c>
      <c r="E518" s="146" t="str">
        <v>termo</v>
      </c>
      <c r="F518" s="146" t="str">
        <v>secular</v>
      </c>
      <c r="G518" s="147"/>
      <c r="H518" s="148" t="s">
        <v>3533</v>
      </c>
      <c r="I518" s="2" t="s">
        <v>5763</v>
      </c>
      <c r="J518" s="2" t="s">
        <v>5815</v>
      </c>
      <c r="K518" s="2" t="s">
        <v>5930</v>
      </c>
      <c r="L518" s="2" t="s">
        <v>6065</v>
      </c>
      <c r="N518" s="1" t="s">
        <v>7098</v>
      </c>
    </row>
    <row r="519" spans="1:14" ht="58" x14ac:dyDescent="0.35">
      <c r="A519" s="149" t="s">
        <v>3532</v>
      </c>
      <c r="B519" s="150" t="s">
        <v>4543</v>
      </c>
      <c r="C519" s="151" t="str" cm="1">
        <f t="array" ref="C519:F519">_xlfn.TEXTSPLIT('איחוד שאלות'!$B519,"_")</f>
        <v>post</v>
      </c>
      <c r="D519" s="150" t="str">
        <v>affect</v>
      </c>
      <c r="E519" s="150" t="str">
        <v>termo</v>
      </c>
      <c r="F519" s="150" t="str">
        <v>arab</v>
      </c>
      <c r="G519" s="152"/>
      <c r="H519" s="153" t="s">
        <v>3533</v>
      </c>
      <c r="I519" s="2" t="s">
        <v>5763</v>
      </c>
      <c r="J519" s="2" t="s">
        <v>5815</v>
      </c>
      <c r="K519" s="2" t="s">
        <v>5930</v>
      </c>
      <c r="L519" s="2" t="s">
        <v>6063</v>
      </c>
      <c r="N519" s="1" t="s">
        <v>7099</v>
      </c>
    </row>
    <row r="520" spans="1:14" ht="116" x14ac:dyDescent="0.35">
      <c r="A520" s="113" t="s">
        <v>3534</v>
      </c>
      <c r="B520" s="102" t="s">
        <v>4546</v>
      </c>
      <c r="C520" s="123" t="str" cm="1">
        <f t="array" ref="C520:E520">_xlfn.TEXTSPLIT('איחוד שאלות'!$B520,"_")</f>
        <v>perception</v>
      </c>
      <c r="D520" s="146" t="str">
        <v>party</v>
      </c>
      <c r="E520" s="146" t="str">
        <v>strongnegotiator</v>
      </c>
      <c r="F520" s="146"/>
      <c r="G520" s="147"/>
      <c r="H520" s="148" t="s">
        <v>3306</v>
      </c>
      <c r="I520" s="2" t="s">
        <v>5844</v>
      </c>
      <c r="J520" s="2" t="s">
        <v>5853</v>
      </c>
      <c r="K520" s="2" t="s">
        <v>6152</v>
      </c>
      <c r="N520" s="1" t="s">
        <v>7100</v>
      </c>
    </row>
    <row r="521" spans="1:14" ht="43.5" x14ac:dyDescent="0.35">
      <c r="A521" s="149" t="s">
        <v>754</v>
      </c>
      <c r="B521" s="150" t="s">
        <v>4547</v>
      </c>
      <c r="C521" s="151" t="str" cm="1">
        <f t="array" ref="C521:F521">_xlfn.TEXTSPLIT('איחוד שאלות'!$B521,"_")</f>
        <v>perception</v>
      </c>
      <c r="D521" s="150" t="str">
        <v>party</v>
      </c>
      <c r="E521" s="150" t="str">
        <v>strongnegotiator</v>
      </c>
      <c r="F521" s="150" t="str">
        <v>least</v>
      </c>
      <c r="G521" s="152"/>
      <c r="H521" s="153" t="s">
        <v>3306</v>
      </c>
      <c r="I521" s="2" t="s">
        <v>5844</v>
      </c>
      <c r="J521" s="2" t="s">
        <v>5853</v>
      </c>
      <c r="K521" s="2" t="s">
        <v>6152</v>
      </c>
      <c r="L521" s="2" t="s">
        <v>6137</v>
      </c>
      <c r="N521" s="1" t="s">
        <v>754</v>
      </c>
    </row>
    <row r="522" spans="1:14" ht="116" x14ac:dyDescent="0.35">
      <c r="A522" s="113" t="s">
        <v>3535</v>
      </c>
      <c r="B522" s="102" t="s">
        <v>4548</v>
      </c>
      <c r="C522" s="123" t="str" cm="1">
        <f t="array" ref="C522:E522">_xlfn.TEXTSPLIT('איחוד שאלות'!$B522,"_")</f>
        <v>perception</v>
      </c>
      <c r="D522" s="146" t="str">
        <v>party</v>
      </c>
      <c r="E522" s="146" t="str">
        <v>protectdemocracy</v>
      </c>
      <c r="F522" s="146"/>
      <c r="G522" s="147"/>
      <c r="H522" s="148" t="s">
        <v>3306</v>
      </c>
      <c r="I522" s="2" t="s">
        <v>5844</v>
      </c>
      <c r="J522" s="2" t="s">
        <v>5853</v>
      </c>
      <c r="K522" s="2" t="s">
        <v>6153</v>
      </c>
      <c r="N522" s="1" t="s">
        <v>7101</v>
      </c>
    </row>
    <row r="523" spans="1:14" ht="43.5" x14ac:dyDescent="0.35">
      <c r="A523" s="149" t="s">
        <v>754</v>
      </c>
      <c r="B523" s="150" t="s">
        <v>4547</v>
      </c>
      <c r="C523" s="151" t="str" cm="1">
        <f t="array" ref="C523:F523">_xlfn.TEXTSPLIT('איחוד שאלות'!$B523,"_")</f>
        <v>perception</v>
      </c>
      <c r="D523" s="150" t="str">
        <v>party</v>
      </c>
      <c r="E523" s="150" t="str">
        <v>strongnegotiator</v>
      </c>
      <c r="F523" s="150" t="str">
        <v>least</v>
      </c>
      <c r="G523" s="152"/>
      <c r="H523" s="153" t="s">
        <v>3306</v>
      </c>
      <c r="I523" s="2" t="s">
        <v>5844</v>
      </c>
      <c r="J523" s="2" t="s">
        <v>5853</v>
      </c>
      <c r="K523" s="2" t="s">
        <v>6152</v>
      </c>
      <c r="L523" s="2" t="s">
        <v>6137</v>
      </c>
      <c r="N523" s="1" t="s">
        <v>754</v>
      </c>
    </row>
    <row r="524" spans="1:14" ht="116" x14ac:dyDescent="0.35">
      <c r="A524" s="113" t="s">
        <v>3535</v>
      </c>
      <c r="B524" s="102" t="s">
        <v>4548</v>
      </c>
      <c r="C524" s="123" t="str" cm="1">
        <f t="array" ref="C524:E524">_xlfn.TEXTSPLIT('איחוד שאלות'!$B524,"_")</f>
        <v>perception</v>
      </c>
      <c r="D524" s="102" t="str">
        <v>party</v>
      </c>
      <c r="E524" s="102" t="str">
        <v>protectdemocracy</v>
      </c>
      <c r="F524" s="102"/>
      <c r="G524" s="103"/>
      <c r="H524" s="135" t="s">
        <v>3306</v>
      </c>
      <c r="I524" s="2" t="s">
        <v>5844</v>
      </c>
      <c r="J524" s="2" t="s">
        <v>5853</v>
      </c>
      <c r="K524" s="2" t="s">
        <v>6153</v>
      </c>
      <c r="N524" s="1" t="s">
        <v>7101</v>
      </c>
    </row>
    <row r="525" spans="1:14" ht="29" x14ac:dyDescent="0.35">
      <c r="A525" s="121" t="s">
        <v>754</v>
      </c>
      <c r="B525" s="99" t="s">
        <v>4549</v>
      </c>
      <c r="C525" s="121" t="str" cm="1">
        <f t="array" ref="C525:F525">_xlfn.TEXTSPLIT('איחוד שאלות'!$B525,"_")</f>
        <v>perception</v>
      </c>
      <c r="D525" s="99" t="str">
        <v>party</v>
      </c>
      <c r="E525" s="99" t="str">
        <v>peaceprocess</v>
      </c>
      <c r="F525" s="99" t="str">
        <v>least</v>
      </c>
      <c r="G525" s="100"/>
      <c r="H525" s="136" t="s">
        <v>3306</v>
      </c>
      <c r="I525" s="2" t="s">
        <v>5844</v>
      </c>
      <c r="J525" s="2" t="s">
        <v>5853</v>
      </c>
      <c r="K525" s="2" t="s">
        <v>5874</v>
      </c>
      <c r="L525" s="2" t="s">
        <v>6137</v>
      </c>
      <c r="N525" s="1" t="s">
        <v>754</v>
      </c>
    </row>
    <row r="526" spans="1:14" ht="101.5" x14ac:dyDescent="0.35">
      <c r="A526" s="113" t="s">
        <v>3536</v>
      </c>
      <c r="B526" s="102" t="s">
        <v>4550</v>
      </c>
      <c r="C526" s="123" t="str" cm="1">
        <f t="array" ref="C526:E526">_xlfn.TEXTSPLIT('איחוד שאלות'!$B526,"_")</f>
        <v>perception</v>
      </c>
      <c r="D526" s="102" t="str">
        <v>party</v>
      </c>
      <c r="E526" s="102" t="str">
        <v>dealwithterrorism</v>
      </c>
      <c r="F526" s="102"/>
      <c r="G526" s="103"/>
      <c r="H526" s="135" t="s">
        <v>3306</v>
      </c>
      <c r="I526" s="2" t="s">
        <v>5844</v>
      </c>
      <c r="J526" s="2" t="s">
        <v>5853</v>
      </c>
      <c r="K526" s="2" t="s">
        <v>6154</v>
      </c>
      <c r="N526" s="1" t="s">
        <v>7102</v>
      </c>
    </row>
    <row r="527" spans="1:14" ht="43.5" x14ac:dyDescent="0.35">
      <c r="A527" s="121" t="s">
        <v>754</v>
      </c>
      <c r="B527" s="99" t="s">
        <v>4551</v>
      </c>
      <c r="C527" s="121" t="str" cm="1">
        <f t="array" ref="C527:F527">_xlfn.TEXTSPLIT('איחוד שאלות'!$B527,"_")</f>
        <v>perception</v>
      </c>
      <c r="D527" s="99" t="str">
        <v>party</v>
      </c>
      <c r="E527" s="99" t="str">
        <v>dealwithterrorism</v>
      </c>
      <c r="F527" s="99" t="str">
        <v>least</v>
      </c>
      <c r="G527" s="100"/>
      <c r="H527" s="136" t="s">
        <v>3306</v>
      </c>
      <c r="I527" s="2" t="s">
        <v>5844</v>
      </c>
      <c r="J527" s="2" t="s">
        <v>5853</v>
      </c>
      <c r="K527" s="2" t="s">
        <v>6154</v>
      </c>
      <c r="L527" s="2" t="s">
        <v>6137</v>
      </c>
      <c r="N527" s="1" t="s">
        <v>754</v>
      </c>
    </row>
    <row r="528" spans="1:14" ht="101.5" x14ac:dyDescent="0.35">
      <c r="A528" s="113" t="s">
        <v>3537</v>
      </c>
      <c r="B528" s="102" t="s">
        <v>4552</v>
      </c>
      <c r="C528" s="123" t="str" cm="1">
        <f t="array" ref="C528:E528">_xlfn.TEXTSPLIT('איחוד שאלות'!$B528,"_")</f>
        <v>perception</v>
      </c>
      <c r="D528" s="102" t="str">
        <v>party</v>
      </c>
      <c r="E528" s="102" t="str">
        <v>jewishmajority</v>
      </c>
      <c r="F528" s="102"/>
      <c r="G528" s="103"/>
      <c r="H528" s="135" t="s">
        <v>3306</v>
      </c>
      <c r="I528" s="2" t="s">
        <v>5844</v>
      </c>
      <c r="J528" s="2" t="s">
        <v>5853</v>
      </c>
      <c r="K528" s="2" t="s">
        <v>6155</v>
      </c>
      <c r="N528" s="1" t="s">
        <v>7103</v>
      </c>
    </row>
    <row r="529" spans="1:14" ht="29" x14ac:dyDescent="0.35">
      <c r="A529" s="121" t="s">
        <v>754</v>
      </c>
      <c r="B529" s="99" t="s">
        <v>4553</v>
      </c>
      <c r="C529" s="121" t="str" cm="1">
        <f t="array" ref="C529:F529">_xlfn.TEXTSPLIT('איחוד שאלות'!$B529,"_")</f>
        <v>perception</v>
      </c>
      <c r="D529" s="99" t="str">
        <v>party</v>
      </c>
      <c r="E529" s="99" t="str">
        <v>jewishmajority</v>
      </c>
      <c r="F529" s="99" t="str">
        <v>least</v>
      </c>
      <c r="G529" s="100"/>
      <c r="H529" s="136" t="s">
        <v>3306</v>
      </c>
      <c r="I529" s="2" t="s">
        <v>5844</v>
      </c>
      <c r="J529" s="2" t="s">
        <v>5853</v>
      </c>
      <c r="K529" s="2" t="s">
        <v>6155</v>
      </c>
      <c r="L529" s="2" t="s">
        <v>6137</v>
      </c>
      <c r="N529" s="1" t="s">
        <v>754</v>
      </c>
    </row>
    <row r="530" spans="1:14" ht="101.5" x14ac:dyDescent="0.35">
      <c r="A530" s="113" t="s">
        <v>3538</v>
      </c>
      <c r="B530" s="102" t="s">
        <v>4554</v>
      </c>
      <c r="C530" s="123" t="str" cm="1">
        <f t="array" ref="C530:E530">_xlfn.TEXTSPLIT('איחוד שאלות'!$B530,"_")</f>
        <v>perception</v>
      </c>
      <c r="D530" s="102" t="str">
        <v>party</v>
      </c>
      <c r="E530" s="102" t="str">
        <v>corrupted</v>
      </c>
      <c r="F530" s="102"/>
      <c r="G530" s="103"/>
      <c r="H530" s="135" t="s">
        <v>3306</v>
      </c>
      <c r="I530" s="2" t="s">
        <v>5844</v>
      </c>
      <c r="J530" s="2" t="s">
        <v>5853</v>
      </c>
      <c r="K530" s="2" t="s">
        <v>6156</v>
      </c>
      <c r="N530" s="1" t="s">
        <v>7104</v>
      </c>
    </row>
    <row r="531" spans="1:14" ht="29" x14ac:dyDescent="0.35">
      <c r="A531" s="121" t="s">
        <v>754</v>
      </c>
      <c r="B531" s="99" t="s">
        <v>4555</v>
      </c>
      <c r="C531" s="121" t="str" cm="1">
        <f t="array" ref="C531:F531">_xlfn.TEXTSPLIT('איחוד שאלות'!$B531,"_")</f>
        <v>perception</v>
      </c>
      <c r="D531" s="99" t="str">
        <v>party</v>
      </c>
      <c r="E531" s="99" t="str">
        <v>corrupted</v>
      </c>
      <c r="F531" s="99" t="str">
        <v>least</v>
      </c>
      <c r="G531" s="100"/>
      <c r="H531" s="136" t="s">
        <v>3306</v>
      </c>
      <c r="I531" s="2" t="s">
        <v>5844</v>
      </c>
      <c r="J531" s="2" t="s">
        <v>5853</v>
      </c>
      <c r="K531" s="2" t="s">
        <v>6156</v>
      </c>
      <c r="L531" s="2" t="s">
        <v>6137</v>
      </c>
      <c r="N531" s="1" t="s">
        <v>754</v>
      </c>
    </row>
    <row r="532" spans="1:14" ht="101.5" x14ac:dyDescent="0.35">
      <c r="A532" s="113" t="s">
        <v>3539</v>
      </c>
      <c r="B532" s="102" t="s">
        <v>4556</v>
      </c>
      <c r="C532" s="123" t="str" cm="1">
        <f t="array" ref="C532:E532">_xlfn.TEXTSPLIT('איחוד שאלות'!$B532,"_")</f>
        <v>perception</v>
      </c>
      <c r="D532" s="102" t="str">
        <v>party</v>
      </c>
      <c r="E532" s="102" t="str">
        <v>reducesocioinequality</v>
      </c>
      <c r="F532" s="102"/>
      <c r="G532" s="103"/>
      <c r="H532" s="135" t="s">
        <v>3306</v>
      </c>
      <c r="I532" s="2" t="s">
        <v>5844</v>
      </c>
      <c r="J532" s="2" t="s">
        <v>5853</v>
      </c>
      <c r="K532" s="2" t="s">
        <v>6157</v>
      </c>
      <c r="N532" s="1" t="s">
        <v>7105</v>
      </c>
    </row>
    <row r="533" spans="1:14" ht="43.5" x14ac:dyDescent="0.35">
      <c r="A533" s="121" t="s">
        <v>754</v>
      </c>
      <c r="B533" s="99" t="s">
        <v>4557</v>
      </c>
      <c r="C533" s="121" t="str" cm="1">
        <f t="array" ref="C533:F533">_xlfn.TEXTSPLIT('איחוד שאלות'!$B533,"_")</f>
        <v>perception</v>
      </c>
      <c r="D533" s="99" t="str">
        <v>party</v>
      </c>
      <c r="E533" s="99" t="str">
        <v>reducesocioinequality</v>
      </c>
      <c r="F533" s="99" t="str">
        <v>least</v>
      </c>
      <c r="G533" s="100"/>
      <c r="H533" s="136" t="s">
        <v>3306</v>
      </c>
      <c r="I533" s="2" t="s">
        <v>5844</v>
      </c>
      <c r="J533" s="2" t="s">
        <v>5853</v>
      </c>
      <c r="K533" s="2" t="s">
        <v>6157</v>
      </c>
      <c r="L533" s="2" t="s">
        <v>6137</v>
      </c>
      <c r="N533" s="1" t="s">
        <v>754</v>
      </c>
    </row>
    <row r="534" spans="1:14" ht="116" x14ac:dyDescent="0.35">
      <c r="A534" s="113" t="s">
        <v>3540</v>
      </c>
      <c r="B534" s="102" t="s">
        <v>4558</v>
      </c>
      <c r="C534" s="123" t="str" cm="1">
        <f t="array" ref="C534:E534">_xlfn.TEXTSPLIT('איחוד שאלות'!$B534,"_")</f>
        <v>perception</v>
      </c>
      <c r="D534" s="102" t="str">
        <v>party</v>
      </c>
      <c r="E534" s="102" t="str">
        <v>separateisraelpalestinians</v>
      </c>
      <c r="F534" s="102"/>
      <c r="G534" s="103"/>
      <c r="H534" s="135" t="s">
        <v>3306</v>
      </c>
      <c r="I534" s="2" t="s">
        <v>5844</v>
      </c>
      <c r="J534" s="2" t="s">
        <v>5853</v>
      </c>
      <c r="K534" s="2" t="s">
        <v>6158</v>
      </c>
      <c r="N534" s="1" t="s">
        <v>7106</v>
      </c>
    </row>
    <row r="535" spans="1:14" ht="87" x14ac:dyDescent="0.35">
      <c r="A535" s="121" t="s">
        <v>3541</v>
      </c>
      <c r="B535" s="99" t="s">
        <v>4559</v>
      </c>
      <c r="C535" s="121" t="str" cm="1">
        <f t="array" ref="C535:E535">_xlfn.TEXTSPLIT('איחוד שאלות'!$B535,"_")</f>
        <v>perception</v>
      </c>
      <c r="D535" s="99" t="str">
        <v>party</v>
      </c>
      <c r="E535" s="99" t="str">
        <v>reducedividednation</v>
      </c>
      <c r="F535" s="99"/>
      <c r="G535" s="100"/>
      <c r="H535" s="136" t="s">
        <v>3306</v>
      </c>
      <c r="I535" s="2" t="s">
        <v>5844</v>
      </c>
      <c r="J535" s="2" t="s">
        <v>5853</v>
      </c>
      <c r="K535" s="2" t="s">
        <v>6159</v>
      </c>
      <c r="N535" s="1" t="s">
        <v>7107</v>
      </c>
    </row>
    <row r="536" spans="1:14" ht="101.5" x14ac:dyDescent="0.35">
      <c r="A536" s="113" t="s">
        <v>3542</v>
      </c>
      <c r="B536" s="102" t="s">
        <v>4560</v>
      </c>
      <c r="C536" s="123" t="str" cm="1">
        <f t="array" ref="C536:E536">_xlfn.TEXTSPLIT('איחוד שאלות'!$B536,"_")</f>
        <v>perception</v>
      </c>
      <c r="D536" s="102" t="str">
        <v>party</v>
      </c>
      <c r="E536" s="102" t="str">
        <v>reducejewishethniccleavage</v>
      </c>
      <c r="F536" s="102"/>
      <c r="G536" s="103"/>
      <c r="H536" s="135" t="s">
        <v>3306</v>
      </c>
      <c r="I536" s="2" t="s">
        <v>5844</v>
      </c>
      <c r="J536" s="2" t="s">
        <v>5853</v>
      </c>
      <c r="K536" s="2" t="s">
        <v>6160</v>
      </c>
      <c r="N536" s="1" t="s">
        <v>7108</v>
      </c>
    </row>
    <row r="537" spans="1:14" ht="116" x14ac:dyDescent="0.35">
      <c r="A537" s="121" t="s">
        <v>3543</v>
      </c>
      <c r="B537" s="99" t="s">
        <v>4561</v>
      </c>
      <c r="C537" s="121" t="str" cm="1">
        <f t="array" ref="C537:E537">_xlfn.TEXTSPLIT('איחוד שאלות'!$B537,"_")</f>
        <v>perception</v>
      </c>
      <c r="D537" s="99" t="str">
        <v>party</v>
      </c>
      <c r="E537" s="99" t="str">
        <v>fostermizrahidignity</v>
      </c>
      <c r="F537" s="99"/>
      <c r="G537" s="100"/>
      <c r="H537" s="136" t="s">
        <v>3306</v>
      </c>
      <c r="I537" s="2" t="s">
        <v>5844</v>
      </c>
      <c r="J537" s="2" t="s">
        <v>5853</v>
      </c>
      <c r="K537" s="2" t="s">
        <v>6161</v>
      </c>
      <c r="N537" s="1" t="s">
        <v>7109</v>
      </c>
    </row>
    <row r="538" spans="1:14" ht="101.5" x14ac:dyDescent="0.35">
      <c r="A538" s="113" t="s">
        <v>3544</v>
      </c>
      <c r="B538" s="102" t="s">
        <v>4562</v>
      </c>
      <c r="C538" s="123" t="str" cm="1">
        <f t="array" ref="C538:E538">_xlfn.TEXTSPLIT('איחוד שאלות'!$B538,"_")</f>
        <v>perception</v>
      </c>
      <c r="D538" s="102" t="str">
        <v>party</v>
      </c>
      <c r="E538" s="102" t="str">
        <v>goodrelationsusa</v>
      </c>
      <c r="F538" s="102"/>
      <c r="G538" s="103"/>
      <c r="H538" s="135" t="s">
        <v>3306</v>
      </c>
      <c r="I538" s="2" t="s">
        <v>5844</v>
      </c>
      <c r="J538" s="2" t="s">
        <v>5853</v>
      </c>
      <c r="K538" s="2" t="s">
        <v>6162</v>
      </c>
      <c r="N538" s="1" t="s">
        <v>7110</v>
      </c>
    </row>
    <row r="539" spans="1:14" ht="101.5" x14ac:dyDescent="0.35">
      <c r="A539" s="121" t="s">
        <v>3545</v>
      </c>
      <c r="B539" s="99" t="s">
        <v>4563</v>
      </c>
      <c r="C539" s="121" t="str" cm="1">
        <f t="array" ref="C539:E539">_xlfn.TEXTSPLIT('איחוד שאלות'!$B539,"_")</f>
        <v>perception</v>
      </c>
      <c r="D539" s="99" t="str">
        <v>party</v>
      </c>
      <c r="E539" s="99" t="str">
        <v>experiencedleaders</v>
      </c>
      <c r="F539" s="99"/>
      <c r="G539" s="100"/>
      <c r="H539" s="136" t="s">
        <v>3306</v>
      </c>
      <c r="I539" s="2" t="s">
        <v>5844</v>
      </c>
      <c r="J539" s="2" t="s">
        <v>5853</v>
      </c>
      <c r="K539" s="2" t="s">
        <v>6163</v>
      </c>
      <c r="N539" s="1" t="s">
        <v>7111</v>
      </c>
    </row>
    <row r="540" spans="1:14" ht="101.5" x14ac:dyDescent="0.35">
      <c r="A540" s="113" t="s">
        <v>3546</v>
      </c>
      <c r="B540" s="102" t="s">
        <v>4564</v>
      </c>
      <c r="C540" s="123" t="str" cm="1">
        <f t="array" ref="C540:E540">_xlfn.TEXTSPLIT('איחוד שאלות'!$B540,"_")</f>
        <v>perception</v>
      </c>
      <c r="D540" s="102" t="str">
        <v>party</v>
      </c>
      <c r="E540" s="102" t="str">
        <v>careforweak</v>
      </c>
      <c r="F540" s="102"/>
      <c r="G540" s="103"/>
      <c r="H540" s="135" t="s">
        <v>3306</v>
      </c>
      <c r="I540" s="2" t="s">
        <v>5844</v>
      </c>
      <c r="J540" s="2" t="s">
        <v>5853</v>
      </c>
      <c r="K540" s="2" t="s">
        <v>6164</v>
      </c>
      <c r="N540" s="1" t="s">
        <v>7112</v>
      </c>
    </row>
    <row r="541" spans="1:14" ht="101.5" x14ac:dyDescent="0.35">
      <c r="A541" s="121" t="s">
        <v>3547</v>
      </c>
      <c r="B541" s="99" t="s">
        <v>4565</v>
      </c>
      <c r="C541" s="121" t="str" cm="1">
        <f t="array" ref="C541:E541">_xlfn.TEXTSPLIT('איחוד שאלות'!$B541,"_")</f>
        <v>perception</v>
      </c>
      <c r="D541" s="99" t="str">
        <v>party</v>
      </c>
      <c r="E541" s="99" t="str">
        <v>developedthestate</v>
      </c>
      <c r="F541" s="99"/>
      <c r="G541" s="100"/>
      <c r="H541" s="136" t="s">
        <v>3306</v>
      </c>
      <c r="I541" s="2" t="s">
        <v>5844</v>
      </c>
      <c r="J541" s="2" t="s">
        <v>5853</v>
      </c>
      <c r="K541" s="2" t="s">
        <v>6165</v>
      </c>
      <c r="N541" s="1" t="s">
        <v>7113</v>
      </c>
    </row>
    <row r="542" spans="1:14" ht="101.5" x14ac:dyDescent="0.35">
      <c r="A542" s="113" t="s">
        <v>3548</v>
      </c>
      <c r="B542" s="102" t="s">
        <v>4566</v>
      </c>
      <c r="C542" s="123" t="str" cm="1">
        <f t="array" ref="C542:E542">_xlfn.TEXTSPLIT('איחוד שאלות'!$B542,"_")</f>
        <v>perception</v>
      </c>
      <c r="D542" s="102" t="str">
        <v>party</v>
      </c>
      <c r="E542" s="102" t="str">
        <v>integrateimmigrants</v>
      </c>
      <c r="F542" s="102"/>
      <c r="G542" s="103"/>
      <c r="H542" s="135" t="s">
        <v>3306</v>
      </c>
      <c r="I542" s="2" t="s">
        <v>5844</v>
      </c>
      <c r="J542" s="2" t="s">
        <v>5853</v>
      </c>
      <c r="K542" s="2" t="s">
        <v>6166</v>
      </c>
      <c r="N542" s="1" t="s">
        <v>7114</v>
      </c>
    </row>
    <row r="543" spans="1:14" ht="101.5" x14ac:dyDescent="0.35">
      <c r="A543" s="121" t="s">
        <v>3549</v>
      </c>
      <c r="B543" s="99" t="s">
        <v>4567</v>
      </c>
      <c r="C543" s="121" t="str" cm="1">
        <f t="array" ref="C543:E543">_xlfn.TEXTSPLIT('איחוד שאלות'!$B543,"_")</f>
        <v>perception</v>
      </c>
      <c r="D543" s="99" t="str">
        <v>party</v>
      </c>
      <c r="E543" s="99" t="str">
        <v>decreaseunemployment</v>
      </c>
      <c r="F543" s="99"/>
      <c r="G543" s="100"/>
      <c r="H543" s="136" t="s">
        <v>3306</v>
      </c>
      <c r="I543" s="2" t="s">
        <v>5844</v>
      </c>
      <c r="J543" s="2" t="s">
        <v>5853</v>
      </c>
      <c r="K543" s="2" t="s">
        <v>6167</v>
      </c>
      <c r="N543" s="1" t="s">
        <v>7115</v>
      </c>
    </row>
    <row r="544" spans="1:14" ht="101.5" x14ac:dyDescent="0.35">
      <c r="A544" s="113" t="s">
        <v>3550</v>
      </c>
      <c r="B544" s="102" t="s">
        <v>4568</v>
      </c>
      <c r="C544" s="123" t="str" cm="1">
        <f t="array" ref="C544:E544">_xlfn.TEXTSPLIT('איחוד שאלות'!$B544,"_")</f>
        <v>perception</v>
      </c>
      <c r="D544" s="102" t="str">
        <v>party</v>
      </c>
      <c r="E544" s="102" t="str">
        <v>representsmizrahi</v>
      </c>
      <c r="F544" s="102"/>
      <c r="G544" s="103"/>
      <c r="H544" s="135" t="s">
        <v>3306</v>
      </c>
      <c r="I544" s="2" t="s">
        <v>5844</v>
      </c>
      <c r="J544" s="2" t="s">
        <v>5853</v>
      </c>
      <c r="K544" s="2" t="s">
        <v>6168</v>
      </c>
      <c r="N544" s="1" t="s">
        <v>7116</v>
      </c>
    </row>
    <row r="545" spans="1:14" ht="101.5" x14ac:dyDescent="0.35">
      <c r="A545" s="121" t="s">
        <v>3551</v>
      </c>
      <c r="B545" s="99" t="s">
        <v>4569</v>
      </c>
      <c r="C545" s="121" t="str" cm="1">
        <f t="array" ref="C545:E545">_xlfn.TEXTSPLIT('איחוד שאלות'!$B545,"_")</f>
        <v>perception</v>
      </c>
      <c r="D545" s="99" t="str">
        <v>party</v>
      </c>
      <c r="E545" s="99" t="str">
        <v>securefuture</v>
      </c>
      <c r="F545" s="99"/>
      <c r="G545" s="100"/>
      <c r="H545" s="136" t="s">
        <v>3306</v>
      </c>
      <c r="I545" s="2" t="s">
        <v>5844</v>
      </c>
      <c r="J545" s="2" t="s">
        <v>5853</v>
      </c>
      <c r="K545" s="2" t="s">
        <v>6169</v>
      </c>
      <c r="N545" s="1" t="s">
        <v>7117</v>
      </c>
    </row>
    <row r="546" spans="1:14" ht="87" x14ac:dyDescent="0.35">
      <c r="A546" s="113" t="s">
        <v>3552</v>
      </c>
      <c r="B546" s="102" t="s">
        <v>4570</v>
      </c>
      <c r="C546" s="123" t="str" cm="1">
        <f t="array" ref="C546:E546">_xlfn.TEXTSPLIT('איחוד שאלות'!$B546,"_")</f>
        <v>perception</v>
      </c>
      <c r="D546" s="102" t="str">
        <v>party</v>
      </c>
      <c r="E546" s="102" t="str">
        <v>sectorial</v>
      </c>
      <c r="F546" s="102"/>
      <c r="G546" s="103"/>
      <c r="H546" s="135" t="s">
        <v>3306</v>
      </c>
      <c r="I546" s="2" t="s">
        <v>5844</v>
      </c>
      <c r="J546" s="2" t="s">
        <v>5853</v>
      </c>
      <c r="K546" s="2" t="s">
        <v>6170</v>
      </c>
      <c r="N546" s="1" t="s">
        <v>7118</v>
      </c>
    </row>
    <row r="547" spans="1:14" ht="116" x14ac:dyDescent="0.35">
      <c r="A547" s="121" t="s">
        <v>3553</v>
      </c>
      <c r="B547" s="99" t="s">
        <v>4571</v>
      </c>
      <c r="C547" s="121" t="str" cm="1">
        <f t="array" ref="C547:E547">_xlfn.TEXTSPLIT('איחוד שאלות'!$B547,"_")</f>
        <v>perception</v>
      </c>
      <c r="D547" s="99" t="str">
        <v>party</v>
      </c>
      <c r="E547" s="99" t="str">
        <v>territories</v>
      </c>
      <c r="F547" s="99"/>
      <c r="G547" s="100"/>
      <c r="H547" s="136" t="s">
        <v>3306</v>
      </c>
      <c r="I547" s="2" t="s">
        <v>5844</v>
      </c>
      <c r="J547" s="2" t="s">
        <v>5853</v>
      </c>
      <c r="K547" s="2" t="s">
        <v>6048</v>
      </c>
      <c r="N547" s="1" t="s">
        <v>7119</v>
      </c>
    </row>
    <row r="548" spans="1:14" ht="116" x14ac:dyDescent="0.35">
      <c r="A548" s="113" t="s">
        <v>3554</v>
      </c>
      <c r="B548" s="102" t="s">
        <v>4572</v>
      </c>
      <c r="C548" s="123" t="str" cm="1">
        <f t="array" ref="C548:E548">_xlfn.TEXTSPLIT('איחוד שאלות'!$B548,"_")</f>
        <v>perception</v>
      </c>
      <c r="D548" s="102" t="str">
        <v>party</v>
      </c>
      <c r="E548" s="102" t="str">
        <v>winwars</v>
      </c>
      <c r="F548" s="102"/>
      <c r="G548" s="103"/>
      <c r="H548" s="135" t="s">
        <v>3306</v>
      </c>
      <c r="I548" s="2" t="s">
        <v>5844</v>
      </c>
      <c r="J548" s="2" t="s">
        <v>5853</v>
      </c>
      <c r="K548" s="2" t="s">
        <v>6171</v>
      </c>
      <c r="N548" s="1" t="s">
        <v>7120</v>
      </c>
    </row>
    <row r="549" spans="1:14" ht="87" x14ac:dyDescent="0.35">
      <c r="A549" s="121" t="s">
        <v>3555</v>
      </c>
      <c r="B549" s="99" t="s">
        <v>4573</v>
      </c>
      <c r="C549" s="121" t="str" cm="1">
        <f t="array" ref="C549:E549">_xlfn.TEXTSPLIT('איחוד שאלות'!$B549,"_")</f>
        <v>perception</v>
      </c>
      <c r="D549" s="99" t="str">
        <v>party</v>
      </c>
      <c r="E549" s="99" t="str">
        <v>national</v>
      </c>
      <c r="F549" s="99"/>
      <c r="G549" s="100"/>
      <c r="H549" s="136" t="s">
        <v>3306</v>
      </c>
      <c r="I549" s="2" t="s">
        <v>5844</v>
      </c>
      <c r="J549" s="2" t="s">
        <v>5853</v>
      </c>
      <c r="K549" s="2" t="s">
        <v>6172</v>
      </c>
      <c r="N549" s="1" t="s">
        <v>7121</v>
      </c>
    </row>
    <row r="550" spans="1:14" ht="145" x14ac:dyDescent="0.35">
      <c r="A550" s="113" t="s">
        <v>3556</v>
      </c>
      <c r="B550" s="102" t="s">
        <v>4574</v>
      </c>
      <c r="C550" s="123" t="str" cm="1">
        <f t="array" ref="C550:E550">_xlfn.TEXTSPLIT('איחוד שאלות'!$B550,"_")</f>
        <v>perception</v>
      </c>
      <c r="D550" s="102" t="str">
        <v>party</v>
      </c>
      <c r="E550" s="102" t="str">
        <v>professionalassigning</v>
      </c>
      <c r="F550" s="102"/>
      <c r="G550" s="103"/>
      <c r="H550" s="135" t="s">
        <v>3306</v>
      </c>
      <c r="I550" s="2" t="s">
        <v>5844</v>
      </c>
      <c r="J550" s="2" t="s">
        <v>5853</v>
      </c>
      <c r="K550" s="2" t="s">
        <v>6173</v>
      </c>
      <c r="N550" s="1" t="s">
        <v>7122</v>
      </c>
    </row>
    <row r="551" spans="1:14" ht="116" x14ac:dyDescent="0.35">
      <c r="A551" s="121" t="s">
        <v>3557</v>
      </c>
      <c r="B551" s="99" t="s">
        <v>4575</v>
      </c>
      <c r="C551" s="121" t="str" cm="1">
        <f t="array" ref="C551:E551">_xlfn.TEXTSPLIT('איחוד שאלות'!$B551,"_")</f>
        <v>perception</v>
      </c>
      <c r="D551" s="99" t="str">
        <v>party</v>
      </c>
      <c r="E551" s="99" t="str">
        <v>withdrawallebanon</v>
      </c>
      <c r="F551" s="99"/>
      <c r="G551" s="100"/>
      <c r="H551" s="136" t="s">
        <v>3306</v>
      </c>
      <c r="I551" s="2" t="s">
        <v>5844</v>
      </c>
      <c r="J551" s="2" t="s">
        <v>5853</v>
      </c>
      <c r="K551" s="2" t="s">
        <v>6174</v>
      </c>
      <c r="N551" s="1" t="s">
        <v>7123</v>
      </c>
    </row>
    <row r="552" spans="1:14" ht="116" x14ac:dyDescent="0.35">
      <c r="A552" s="113" t="s">
        <v>3558</v>
      </c>
      <c r="B552" s="102" t="s">
        <v>4576</v>
      </c>
      <c r="C552" s="123" t="str" cm="1">
        <f t="array" ref="C552:E552">_xlfn.TEXTSPLIT('איחוד שאלות'!$B552,"_")</f>
        <v>perception</v>
      </c>
      <c r="D552" s="102" t="str">
        <v>party</v>
      </c>
      <c r="E552" s="102" t="str">
        <v>exploitingmizrahivoters</v>
      </c>
      <c r="F552" s="102"/>
      <c r="G552" s="103"/>
      <c r="H552" s="135" t="s">
        <v>3306</v>
      </c>
      <c r="I552" s="2" t="s">
        <v>5844</v>
      </c>
      <c r="J552" s="2" t="s">
        <v>5853</v>
      </c>
      <c r="K552" s="2" t="s">
        <v>6175</v>
      </c>
      <c r="N552" s="1" t="s">
        <v>7124</v>
      </c>
    </row>
    <row r="553" spans="1:14" ht="87" x14ac:dyDescent="0.35">
      <c r="A553" s="121" t="s">
        <v>3559</v>
      </c>
      <c r="B553" s="99" t="s">
        <v>4577</v>
      </c>
      <c r="C553" s="121" t="str" cm="1">
        <f t="array" ref="C553:E553">_xlfn.TEXTSPLIT('איחוד שאלות'!$B553,"_")</f>
        <v>perception</v>
      </c>
      <c r="D553" s="99" t="str">
        <v>party</v>
      </c>
      <c r="E553" s="99" t="str">
        <v>strong</v>
      </c>
      <c r="F553" s="99"/>
      <c r="G553" s="100"/>
      <c r="H553" s="136" t="s">
        <v>3306</v>
      </c>
      <c r="I553" s="2" t="s">
        <v>5844</v>
      </c>
      <c r="J553" s="2" t="s">
        <v>5853</v>
      </c>
      <c r="K553" s="2" t="s">
        <v>6176</v>
      </c>
      <c r="N553" s="1" t="s">
        <v>7125</v>
      </c>
    </row>
    <row r="554" spans="1:14" ht="87" x14ac:dyDescent="0.35">
      <c r="A554" s="113" t="s">
        <v>3560</v>
      </c>
      <c r="B554" s="102" t="s">
        <v>4578</v>
      </c>
      <c r="C554" s="123" t="str" cm="1">
        <f t="array" ref="C554:E554">_xlfn.TEXTSPLIT('איחוד שאלות'!$B554,"_")</f>
        <v>perception</v>
      </c>
      <c r="D554" s="102" t="str">
        <v>party</v>
      </c>
      <c r="E554" s="102" t="str">
        <v>experienced</v>
      </c>
      <c r="F554" s="102"/>
      <c r="G554" s="103"/>
      <c r="H554" s="135" t="s">
        <v>3306</v>
      </c>
      <c r="I554" s="2" t="s">
        <v>5844</v>
      </c>
      <c r="J554" s="2" t="s">
        <v>5853</v>
      </c>
      <c r="K554" s="2" t="s">
        <v>6177</v>
      </c>
      <c r="N554" s="1" t="s">
        <v>7126</v>
      </c>
    </row>
    <row r="555" spans="1:14" ht="87" x14ac:dyDescent="0.35">
      <c r="A555" s="121" t="s">
        <v>3561</v>
      </c>
      <c r="B555" s="99" t="s">
        <v>4579</v>
      </c>
      <c r="C555" s="121" t="str" cm="1">
        <f t="array" ref="C555:E555">_xlfn.TEXTSPLIT('איחוד שאלות'!$B555,"_")</f>
        <v>perception</v>
      </c>
      <c r="D555" s="99" t="str">
        <v>party</v>
      </c>
      <c r="E555" s="99" t="str">
        <v>innovative</v>
      </c>
      <c r="F555" s="99"/>
      <c r="G555" s="100"/>
      <c r="H555" s="136" t="s">
        <v>3306</v>
      </c>
      <c r="I555" s="2" t="s">
        <v>5844</v>
      </c>
      <c r="J555" s="2" t="s">
        <v>5853</v>
      </c>
      <c r="K555" s="2" t="s">
        <v>6178</v>
      </c>
      <c r="N555" s="1" t="s">
        <v>7127</v>
      </c>
    </row>
    <row r="556" spans="1:14" ht="87" x14ac:dyDescent="0.35">
      <c r="A556" s="113" t="s">
        <v>3562</v>
      </c>
      <c r="B556" s="102" t="s">
        <v>4580</v>
      </c>
      <c r="C556" s="123" t="str" cm="1">
        <f t="array" ref="C556:E556">_xlfn.TEXTSPLIT('איחוד שאלות'!$B556,"_")</f>
        <v>perception</v>
      </c>
      <c r="D556" s="102" t="str">
        <v>party</v>
      </c>
      <c r="E556" s="102" t="str">
        <v>young</v>
      </c>
      <c r="F556" s="102"/>
      <c r="G556" s="103"/>
      <c r="H556" s="135" t="s">
        <v>3306</v>
      </c>
      <c r="I556" s="2" t="s">
        <v>5844</v>
      </c>
      <c r="J556" s="2" t="s">
        <v>5853</v>
      </c>
      <c r="K556" s="2" t="s">
        <v>6179</v>
      </c>
      <c r="N556" s="1" t="s">
        <v>7128</v>
      </c>
    </row>
    <row r="557" spans="1:14" ht="101.5" x14ac:dyDescent="0.35">
      <c r="A557" s="121" t="s">
        <v>3563</v>
      </c>
      <c r="B557" s="99" t="s">
        <v>4581</v>
      </c>
      <c r="C557" s="121" t="str" cm="1">
        <f t="array" ref="C557:E557">_xlfn.TEXTSPLIT('איחוד שאלות'!$B557,"_")</f>
        <v>perception</v>
      </c>
      <c r="D557" s="99" t="str">
        <v>party</v>
      </c>
      <c r="E557" s="99" t="str">
        <v>representsjewishetnicity</v>
      </c>
      <c r="F557" s="99"/>
      <c r="G557" s="100"/>
      <c r="H557" s="136" t="s">
        <v>3306</v>
      </c>
      <c r="I557" s="2" t="s">
        <v>5844</v>
      </c>
      <c r="J557" s="2" t="s">
        <v>5853</v>
      </c>
      <c r="K557" s="2" t="s">
        <v>6180</v>
      </c>
      <c r="N557" s="1" t="s">
        <v>7129</v>
      </c>
    </row>
    <row r="558" spans="1:14" ht="101.5" x14ac:dyDescent="0.35">
      <c r="A558" s="113" t="s">
        <v>3564</v>
      </c>
      <c r="B558" s="102" t="s">
        <v>4582</v>
      </c>
      <c r="C558" s="123" t="str" cm="1">
        <f t="array" ref="C558:E558">_xlfn.TEXTSPLIT('איחוד שאלות'!$B558,"_")</f>
        <v>perception</v>
      </c>
      <c r="D558" s="102" t="str">
        <v>party</v>
      </c>
      <c r="E558" s="102" t="str">
        <v>careforcitizens</v>
      </c>
      <c r="F558" s="102"/>
      <c r="G558" s="103"/>
      <c r="H558" s="135" t="s">
        <v>3306</v>
      </c>
      <c r="I558" s="2" t="s">
        <v>5844</v>
      </c>
      <c r="J558" s="2" t="s">
        <v>5853</v>
      </c>
      <c r="K558" s="2" t="s">
        <v>6181</v>
      </c>
      <c r="N558" s="1" t="s">
        <v>7130</v>
      </c>
    </row>
    <row r="559" spans="1:14" ht="87" x14ac:dyDescent="0.35">
      <c r="A559" s="121" t="s">
        <v>3565</v>
      </c>
      <c r="B559" s="99" t="s">
        <v>4583</v>
      </c>
      <c r="C559" s="121" t="str" cm="1">
        <f t="array" ref="C559:E559">_xlfn.TEXTSPLIT('איחוד שאלות'!$B559,"_")</f>
        <v>perception</v>
      </c>
      <c r="D559" s="99" t="str">
        <v>party</v>
      </c>
      <c r="E559" s="99" t="str">
        <v>honest</v>
      </c>
      <c r="F559" s="99"/>
      <c r="G559" s="100"/>
      <c r="H559" s="136" t="s">
        <v>3306</v>
      </c>
      <c r="I559" s="2" t="s">
        <v>5844</v>
      </c>
      <c r="J559" s="2" t="s">
        <v>5853</v>
      </c>
      <c r="K559" s="2" t="s">
        <v>6182</v>
      </c>
      <c r="N559" s="1" t="s">
        <v>7131</v>
      </c>
    </row>
    <row r="560" spans="1:14" ht="87" x14ac:dyDescent="0.35">
      <c r="A560" s="113" t="s">
        <v>3566</v>
      </c>
      <c r="B560" s="102" t="s">
        <v>4584</v>
      </c>
      <c r="C560" s="123" t="str" cm="1">
        <f t="array" ref="C560:E560">_xlfn.TEXTSPLIT('איחוד שאלות'!$B560,"_")</f>
        <v>perception</v>
      </c>
      <c r="D560" s="102" t="str">
        <v>party</v>
      </c>
      <c r="E560" s="102" t="str">
        <v>reliable</v>
      </c>
      <c r="F560" s="102"/>
      <c r="G560" s="103"/>
      <c r="H560" s="135" t="s">
        <v>3306</v>
      </c>
      <c r="I560" s="2" t="s">
        <v>5844</v>
      </c>
      <c r="J560" s="2" t="s">
        <v>5853</v>
      </c>
      <c r="K560" s="2" t="s">
        <v>6183</v>
      </c>
      <c r="N560" s="1" t="s">
        <v>7132</v>
      </c>
    </row>
    <row r="561" spans="1:14" ht="101.5" x14ac:dyDescent="0.35">
      <c r="A561" s="121" t="s">
        <v>3567</v>
      </c>
      <c r="B561" s="99" t="s">
        <v>4585</v>
      </c>
      <c r="C561" s="121" t="str" cm="1">
        <f t="array" ref="C561:E561">_xlfn.TEXTSPLIT('איחוד שאלות'!$B561,"_")</f>
        <v>perception</v>
      </c>
      <c r="D561" s="99" t="str">
        <v>politician</v>
      </c>
      <c r="E561" s="99" t="str">
        <v>leadership</v>
      </c>
      <c r="F561" s="99"/>
      <c r="G561" s="100"/>
      <c r="H561" s="136" t="s">
        <v>3306</v>
      </c>
      <c r="I561" s="2" t="s">
        <v>5844</v>
      </c>
      <c r="J561" s="2" t="s">
        <v>6151</v>
      </c>
      <c r="K561" s="2" t="s">
        <v>6184</v>
      </c>
      <c r="N561" s="1" t="s">
        <v>7133</v>
      </c>
    </row>
    <row r="562" spans="1:14" ht="29" x14ac:dyDescent="0.35">
      <c r="A562" s="113" t="s">
        <v>754</v>
      </c>
      <c r="B562" s="102" t="s">
        <v>4586</v>
      </c>
      <c r="C562" s="123" t="str" cm="1">
        <f t="array" ref="C562:F562">_xlfn.TEXTSPLIT('איחוד שאלות'!$B562,"_")</f>
        <v>perception</v>
      </c>
      <c r="D562" s="102" t="str">
        <v>politician</v>
      </c>
      <c r="E562" s="102" t="str">
        <v>leadership</v>
      </c>
      <c r="F562" s="102" t="str">
        <v>least</v>
      </c>
      <c r="G562" s="103"/>
      <c r="H562" s="135" t="s">
        <v>3306</v>
      </c>
      <c r="I562" s="2" t="s">
        <v>5844</v>
      </c>
      <c r="J562" s="2" t="s">
        <v>6151</v>
      </c>
      <c r="K562" s="2" t="s">
        <v>6184</v>
      </c>
      <c r="L562" s="2" t="s">
        <v>6137</v>
      </c>
      <c r="N562" s="1" t="s">
        <v>754</v>
      </c>
    </row>
    <row r="563" spans="1:14" ht="43.5" x14ac:dyDescent="0.35">
      <c r="A563" s="121" t="s">
        <v>3568</v>
      </c>
      <c r="B563" s="99" t="s">
        <v>4587</v>
      </c>
      <c r="C563" s="121" t="str" cm="1">
        <f t="array" ref="C563:E563">_xlfn.TEXTSPLIT('איחוד שאלות'!$B563,"_")</f>
        <v>perception</v>
      </c>
      <c r="D563" s="99" t="str">
        <v>politician</v>
      </c>
      <c r="E563" s="99" t="str">
        <v>careforrespondentsimillars</v>
      </c>
      <c r="F563" s="99"/>
      <c r="G563" s="100"/>
      <c r="H563" s="136" t="s">
        <v>3306</v>
      </c>
      <c r="I563" s="2" t="s">
        <v>5844</v>
      </c>
      <c r="J563" s="2" t="s">
        <v>6151</v>
      </c>
      <c r="K563" s="2" t="s">
        <v>6185</v>
      </c>
      <c r="N563" s="1" t="s">
        <v>7134</v>
      </c>
    </row>
    <row r="564" spans="1:14" ht="29" x14ac:dyDescent="0.35">
      <c r="A564" s="113" t="s">
        <v>3569</v>
      </c>
      <c r="B564" s="102" t="s">
        <v>4588</v>
      </c>
      <c r="C564" s="123" t="str" cm="1">
        <f t="array" ref="C564:E564">_xlfn.TEXTSPLIT('איחוד שאלות'!$B564,"_")</f>
        <v>perception</v>
      </c>
      <c r="D564" s="102" t="str">
        <v>politician</v>
      </c>
      <c r="E564" s="102" t="str">
        <v>honest</v>
      </c>
      <c r="F564" s="102"/>
      <c r="G564" s="103"/>
      <c r="H564" s="135" t="s">
        <v>3306</v>
      </c>
      <c r="I564" s="2" t="s">
        <v>5844</v>
      </c>
      <c r="J564" s="2" t="s">
        <v>6151</v>
      </c>
      <c r="K564" s="2" t="s">
        <v>6182</v>
      </c>
      <c r="N564" s="1" t="s">
        <v>7135</v>
      </c>
    </row>
    <row r="565" spans="1:14" ht="29" x14ac:dyDescent="0.35">
      <c r="A565" s="121" t="s">
        <v>3570</v>
      </c>
      <c r="B565" s="99" t="s">
        <v>4589</v>
      </c>
      <c r="C565" s="121" t="str" cm="1">
        <f t="array" ref="C565:E565">_xlfn.TEXTSPLIT('איחוד שאלות'!$B565,"_")</f>
        <v>perception</v>
      </c>
      <c r="D565" s="99" t="str">
        <v>politician</v>
      </c>
      <c r="E565" s="99" t="str">
        <v>trustworthy</v>
      </c>
      <c r="F565" s="99"/>
      <c r="G565" s="100"/>
      <c r="H565" s="136" t="s">
        <v>3306</v>
      </c>
      <c r="I565" s="2" t="s">
        <v>5844</v>
      </c>
      <c r="J565" s="2" t="s">
        <v>6151</v>
      </c>
      <c r="K565" s="2" t="s">
        <v>6186</v>
      </c>
      <c r="N565" s="1" t="s">
        <v>7136</v>
      </c>
    </row>
    <row r="566" spans="1:14" ht="29" x14ac:dyDescent="0.35">
      <c r="A566" s="113" t="s">
        <v>754</v>
      </c>
      <c r="B566" s="102" t="s">
        <v>4590</v>
      </c>
      <c r="C566" s="123" t="str" cm="1">
        <f t="array" ref="C566:F566">_xlfn.TEXTSPLIT('איחוד שאלות'!$B566,"_")</f>
        <v>perception</v>
      </c>
      <c r="D566" s="102" t="str">
        <v>politician</v>
      </c>
      <c r="E566" s="102" t="str">
        <v>trustworthy</v>
      </c>
      <c r="F566" s="102" t="str">
        <v>least</v>
      </c>
      <c r="G566" s="103"/>
      <c r="H566" s="135" t="s">
        <v>3306</v>
      </c>
      <c r="I566" s="2" t="s">
        <v>5844</v>
      </c>
      <c r="J566" s="2" t="s">
        <v>6151</v>
      </c>
      <c r="K566" s="2" t="s">
        <v>6186</v>
      </c>
      <c r="L566" s="2" t="s">
        <v>6137</v>
      </c>
      <c r="N566" s="1" t="s">
        <v>754</v>
      </c>
    </row>
    <row r="567" spans="1:14" ht="58" x14ac:dyDescent="0.35">
      <c r="A567" s="121" t="s">
        <v>3571</v>
      </c>
      <c r="B567" s="99" t="s">
        <v>4591</v>
      </c>
      <c r="C567" s="121" t="str" cm="1">
        <f t="array" ref="C567:E567">_xlfn.TEXTSPLIT('איחוד שאלות'!$B567,"_")</f>
        <v>perception</v>
      </c>
      <c r="D567" s="99" t="str">
        <v>politician</v>
      </c>
      <c r="E567" s="99" t="str">
        <v>stateinterest</v>
      </c>
      <c r="F567" s="99"/>
      <c r="G567" s="100"/>
      <c r="H567" s="136" t="s">
        <v>3306</v>
      </c>
      <c r="I567" s="2" t="s">
        <v>5844</v>
      </c>
      <c r="J567" s="2" t="s">
        <v>6151</v>
      </c>
      <c r="K567" s="2" t="s">
        <v>6187</v>
      </c>
      <c r="N567" s="1" t="s">
        <v>7137</v>
      </c>
    </row>
    <row r="568" spans="1:14" ht="43.5" x14ac:dyDescent="0.35">
      <c r="A568" s="113" t="s">
        <v>754</v>
      </c>
      <c r="B568" s="102" t="s">
        <v>4592</v>
      </c>
      <c r="C568" s="123" t="str" cm="1">
        <f t="array" ref="C568:F568">_xlfn.TEXTSPLIT('איחוד שאלות'!$B568,"_")</f>
        <v>perception</v>
      </c>
      <c r="D568" s="102" t="str">
        <v>politician</v>
      </c>
      <c r="E568" s="102" t="str">
        <v>stateinterest</v>
      </c>
      <c r="F568" s="102" t="str">
        <v>least</v>
      </c>
      <c r="G568" s="103"/>
      <c r="H568" s="135" t="s">
        <v>3306</v>
      </c>
      <c r="I568" s="2" t="s">
        <v>5844</v>
      </c>
      <c r="J568" s="2" t="s">
        <v>6151</v>
      </c>
      <c r="K568" s="2" t="s">
        <v>6187</v>
      </c>
      <c r="L568" s="2" t="s">
        <v>6137</v>
      </c>
      <c r="N568" s="1" t="s">
        <v>754</v>
      </c>
    </row>
    <row r="569" spans="1:14" ht="43.5" x14ac:dyDescent="0.35">
      <c r="A569" s="121" t="s">
        <v>3572</v>
      </c>
      <c r="B569" s="99" t="s">
        <v>4593</v>
      </c>
      <c r="C569" s="121" t="str" cm="1">
        <f t="array" ref="C569:E569">_xlfn.TEXTSPLIT('איחוד שאלות'!$B569,"_")</f>
        <v>perception</v>
      </c>
      <c r="D569" s="99" t="str">
        <v>politician</v>
      </c>
      <c r="E569" s="99" t="str">
        <v>negotiator</v>
      </c>
      <c r="F569" s="99"/>
      <c r="G569" s="100"/>
      <c r="H569" s="136" t="s">
        <v>3306</v>
      </c>
      <c r="I569" s="2" t="s">
        <v>5844</v>
      </c>
      <c r="J569" s="2" t="s">
        <v>6151</v>
      </c>
      <c r="K569" s="2" t="s">
        <v>6188</v>
      </c>
      <c r="N569" s="1" t="s">
        <v>7138</v>
      </c>
    </row>
    <row r="570" spans="1:14" ht="29" x14ac:dyDescent="0.35">
      <c r="A570" s="113" t="s">
        <v>754</v>
      </c>
      <c r="B570" s="102" t="s">
        <v>4594</v>
      </c>
      <c r="C570" s="123" t="str" cm="1">
        <f t="array" ref="C570:F570">_xlfn.TEXTSPLIT('איחוד שאלות'!$B570,"_")</f>
        <v>perception</v>
      </c>
      <c r="D570" s="102" t="str">
        <v>politician</v>
      </c>
      <c r="E570" s="102" t="str">
        <v>negotiator</v>
      </c>
      <c r="F570" s="102" t="str">
        <v>least</v>
      </c>
      <c r="G570" s="103"/>
      <c r="H570" s="135" t="s">
        <v>3306</v>
      </c>
      <c r="I570" s="2" t="s">
        <v>5844</v>
      </c>
      <c r="J570" s="2" t="s">
        <v>6151</v>
      </c>
      <c r="K570" s="2" t="s">
        <v>6188</v>
      </c>
      <c r="L570" s="2" t="s">
        <v>6137</v>
      </c>
      <c r="N570" s="1" t="s">
        <v>754</v>
      </c>
    </row>
    <row r="571" spans="1:14" ht="43.5" x14ac:dyDescent="0.35">
      <c r="A571" s="121" t="s">
        <v>3573</v>
      </c>
      <c r="B571" s="99" t="s">
        <v>4595</v>
      </c>
      <c r="C571" s="121" t="str" cm="1">
        <f t="array" ref="C571:E571">_xlfn.TEXTSPLIT('איחוד שאלות'!$B571,"_")</f>
        <v>perception</v>
      </c>
      <c r="D571" s="99" t="str">
        <v>politician</v>
      </c>
      <c r="E571" s="99" t="str">
        <v>ruleoflaw</v>
      </c>
      <c r="F571" s="99"/>
      <c r="G571" s="100"/>
      <c r="H571" s="136" t="s">
        <v>3306</v>
      </c>
      <c r="I571" s="2" t="s">
        <v>5844</v>
      </c>
      <c r="J571" s="2" t="s">
        <v>6151</v>
      </c>
      <c r="K571" s="2" t="s">
        <v>6189</v>
      </c>
      <c r="N571" s="1" t="s">
        <v>7139</v>
      </c>
    </row>
    <row r="572" spans="1:14" ht="29" x14ac:dyDescent="0.35">
      <c r="A572" s="113" t="s">
        <v>754</v>
      </c>
      <c r="B572" s="102" t="s">
        <v>4596</v>
      </c>
      <c r="C572" s="123" t="str" cm="1">
        <f t="array" ref="C572:F572">_xlfn.TEXTSPLIT('איחוד שאלות'!$B572,"_")</f>
        <v>perception</v>
      </c>
      <c r="D572" s="102" t="str">
        <v>politician</v>
      </c>
      <c r="E572" s="102" t="str">
        <v>ruleoflaw</v>
      </c>
      <c r="F572" s="102" t="str">
        <v>least</v>
      </c>
      <c r="G572" s="103"/>
      <c r="H572" s="135" t="s">
        <v>3306</v>
      </c>
      <c r="I572" s="2" t="s">
        <v>5844</v>
      </c>
      <c r="J572" s="2" t="s">
        <v>6151</v>
      </c>
      <c r="K572" s="2" t="s">
        <v>6189</v>
      </c>
      <c r="L572" s="2" t="s">
        <v>6137</v>
      </c>
      <c r="N572" s="1" t="s">
        <v>754</v>
      </c>
    </row>
    <row r="573" spans="1:14" ht="29" x14ac:dyDescent="0.35">
      <c r="A573" s="121" t="s">
        <v>3574</v>
      </c>
      <c r="B573" s="99" t="s">
        <v>4597</v>
      </c>
      <c r="C573" s="121" t="str" cm="1">
        <f t="array" ref="C573:E573">_xlfn.TEXTSPLIT('איחוד שאלות'!$B573,"_")</f>
        <v>perception</v>
      </c>
      <c r="D573" s="99" t="str">
        <v>politician</v>
      </c>
      <c r="E573" s="99" t="str">
        <v>pressure</v>
      </c>
      <c r="F573" s="99"/>
      <c r="G573" s="100"/>
      <c r="H573" s="136" t="s">
        <v>3306</v>
      </c>
      <c r="I573" s="2" t="s">
        <v>5844</v>
      </c>
      <c r="J573" s="2" t="s">
        <v>6151</v>
      </c>
      <c r="K573" s="2" t="s">
        <v>6190</v>
      </c>
      <c r="N573" s="1" t="s">
        <v>7140</v>
      </c>
    </row>
    <row r="574" spans="1:14" ht="29" x14ac:dyDescent="0.35">
      <c r="A574" s="113" t="s">
        <v>754</v>
      </c>
      <c r="B574" s="102" t="s">
        <v>4598</v>
      </c>
      <c r="C574" s="123" t="str" cm="1">
        <f t="array" ref="C574:F574">_xlfn.TEXTSPLIT('איחוד שאלות'!$B574,"_")</f>
        <v>perception</v>
      </c>
      <c r="D574" s="102" t="str">
        <v>politician</v>
      </c>
      <c r="E574" s="102" t="str">
        <v>pressure</v>
      </c>
      <c r="F574" s="102" t="str">
        <v>least</v>
      </c>
      <c r="G574" s="103"/>
      <c r="H574" s="135" t="s">
        <v>3306</v>
      </c>
      <c r="I574" s="2" t="s">
        <v>5844</v>
      </c>
      <c r="J574" s="2" t="s">
        <v>6151</v>
      </c>
      <c r="K574" s="2" t="s">
        <v>6190</v>
      </c>
      <c r="L574" s="2" t="s">
        <v>6137</v>
      </c>
      <c r="N574" s="1" t="s">
        <v>754</v>
      </c>
    </row>
    <row r="575" spans="1:14" ht="29" x14ac:dyDescent="0.35">
      <c r="A575" s="121" t="s">
        <v>3575</v>
      </c>
      <c r="B575" s="99" t="s">
        <v>4599</v>
      </c>
      <c r="C575" s="121" t="str" cm="1">
        <f t="array" ref="C575:E575">_xlfn.TEXTSPLIT('איחוד שאלות'!$B575,"_")</f>
        <v>perception</v>
      </c>
      <c r="D575" s="99" t="str">
        <v>politician</v>
      </c>
      <c r="E575" s="99" t="str">
        <v>experienced</v>
      </c>
      <c r="F575" s="99"/>
      <c r="G575" s="100"/>
      <c r="H575" s="136" t="s">
        <v>3306</v>
      </c>
      <c r="I575" s="2" t="s">
        <v>5844</v>
      </c>
      <c r="J575" s="2" t="s">
        <v>6151</v>
      </c>
      <c r="K575" s="2" t="s">
        <v>6177</v>
      </c>
      <c r="N575" s="1" t="s">
        <v>7141</v>
      </c>
    </row>
    <row r="576" spans="1:14" ht="43.5" x14ac:dyDescent="0.35">
      <c r="A576" s="113" t="s">
        <v>754</v>
      </c>
      <c r="B576" s="102" t="s">
        <v>4600</v>
      </c>
      <c r="C576" s="123" t="str" cm="1">
        <f t="array" ref="C576:F576">_xlfn.TEXTSPLIT('איחוד שאלות'!$B576,"_")</f>
        <v>perception</v>
      </c>
      <c r="D576" s="102" t="str">
        <v>politician</v>
      </c>
      <c r="E576" s="102" t="str">
        <v>experienced</v>
      </c>
      <c r="F576" s="102" t="str">
        <v>least</v>
      </c>
      <c r="G576" s="103"/>
      <c r="H576" s="135" t="s">
        <v>3306</v>
      </c>
      <c r="I576" s="2" t="s">
        <v>5844</v>
      </c>
      <c r="J576" s="2" t="s">
        <v>6151</v>
      </c>
      <c r="K576" s="2" t="s">
        <v>6177</v>
      </c>
      <c r="L576" s="2" t="s">
        <v>6137</v>
      </c>
      <c r="N576" s="1" t="s">
        <v>754</v>
      </c>
    </row>
    <row r="577" spans="1:14" ht="43.5" x14ac:dyDescent="0.35">
      <c r="A577" s="121" t="s">
        <v>3576</v>
      </c>
      <c r="B577" s="99" t="s">
        <v>4601</v>
      </c>
      <c r="C577" s="121" t="str" cm="1">
        <f t="array" ref="C577:E577">_xlfn.TEXTSPLIT('איחוד שאלות'!$B577,"_")</f>
        <v>perception</v>
      </c>
      <c r="D577" s="99" t="str">
        <v>politician</v>
      </c>
      <c r="E577" s="99" t="str">
        <v>religioncleavage</v>
      </c>
      <c r="F577" s="99"/>
      <c r="G577" s="100"/>
      <c r="H577" s="136" t="s">
        <v>3306</v>
      </c>
      <c r="I577" s="2" t="s">
        <v>5844</v>
      </c>
      <c r="J577" s="2" t="s">
        <v>6151</v>
      </c>
      <c r="K577" s="2" t="s">
        <v>6191</v>
      </c>
      <c r="N577" s="1" t="s">
        <v>7142</v>
      </c>
    </row>
    <row r="578" spans="1:14" ht="43.5" x14ac:dyDescent="0.35">
      <c r="A578" s="113" t="s">
        <v>754</v>
      </c>
      <c r="B578" s="102" t="s">
        <v>4602</v>
      </c>
      <c r="C578" s="123" t="str" cm="1">
        <f t="array" ref="C578:F578">_xlfn.TEXTSPLIT('איחוד שאלות'!$B578,"_")</f>
        <v>perception</v>
      </c>
      <c r="D578" s="102" t="str">
        <v>politician</v>
      </c>
      <c r="E578" s="102" t="str">
        <v>religioncleavage</v>
      </c>
      <c r="F578" s="102" t="str">
        <v>least</v>
      </c>
      <c r="G578" s="103"/>
      <c r="H578" s="135" t="s">
        <v>3306</v>
      </c>
      <c r="I578" s="2" t="s">
        <v>5844</v>
      </c>
      <c r="J578" s="2" t="s">
        <v>6151</v>
      </c>
      <c r="K578" s="2" t="s">
        <v>6191</v>
      </c>
      <c r="L578" s="2" t="s">
        <v>6137</v>
      </c>
      <c r="N578" s="1" t="s">
        <v>754</v>
      </c>
    </row>
    <row r="579" spans="1:14" ht="43.5" x14ac:dyDescent="0.35">
      <c r="A579" s="121" t="s">
        <v>3577</v>
      </c>
      <c r="B579" s="99" t="s">
        <v>4603</v>
      </c>
      <c r="C579" s="121" t="str" cm="1">
        <f t="array" ref="C579:E579">_xlfn.TEXTSPLIT('איחוד שאלות'!$B579,"_")</f>
        <v>perception</v>
      </c>
      <c r="D579" s="99" t="str">
        <v>politician</v>
      </c>
      <c r="E579" s="99" t="str">
        <v>decisionmaking</v>
      </c>
      <c r="F579" s="99"/>
      <c r="G579" s="100"/>
      <c r="H579" s="136" t="s">
        <v>3306</v>
      </c>
      <c r="I579" s="2" t="s">
        <v>5844</v>
      </c>
      <c r="J579" s="2" t="s">
        <v>6151</v>
      </c>
      <c r="K579" s="2" t="s">
        <v>6192</v>
      </c>
      <c r="N579" s="1" t="s">
        <v>7143</v>
      </c>
    </row>
    <row r="580" spans="1:14" ht="43.5" x14ac:dyDescent="0.35">
      <c r="A580" s="113" t="s">
        <v>754</v>
      </c>
      <c r="B580" s="102" t="s">
        <v>4604</v>
      </c>
      <c r="C580" s="123" t="str" cm="1">
        <f t="array" ref="C580:F580">_xlfn.TEXTSPLIT('איחוד שאלות'!$B580,"_")</f>
        <v>perception</v>
      </c>
      <c r="D580" s="102" t="str">
        <v>politician</v>
      </c>
      <c r="E580" s="102" t="str">
        <v>decisionmaking</v>
      </c>
      <c r="F580" s="102" t="str">
        <v>least</v>
      </c>
      <c r="G580" s="103"/>
      <c r="H580" s="135" t="s">
        <v>3306</v>
      </c>
      <c r="I580" s="2" t="s">
        <v>5844</v>
      </c>
      <c r="J580" s="2" t="s">
        <v>6151</v>
      </c>
      <c r="K580" s="2" t="s">
        <v>6192</v>
      </c>
      <c r="L580" s="2" t="s">
        <v>6137</v>
      </c>
      <c r="N580" s="1" t="s">
        <v>754</v>
      </c>
    </row>
    <row r="581" spans="1:14" ht="29" x14ac:dyDescent="0.35">
      <c r="A581" s="121" t="s">
        <v>3578</v>
      </c>
      <c r="B581" s="99" t="s">
        <v>4605</v>
      </c>
      <c r="C581" s="121" t="str" cm="1">
        <f t="array" ref="C581:E581">_xlfn.TEXTSPLIT('איחוד שאלות'!$B581,"_")</f>
        <v>perception</v>
      </c>
      <c r="D581" s="99" t="str">
        <v>politician</v>
      </c>
      <c r="E581" s="99" t="str">
        <v>initiative</v>
      </c>
      <c r="F581" s="99"/>
      <c r="G581" s="100"/>
      <c r="H581" s="136" t="s">
        <v>3306</v>
      </c>
      <c r="I581" s="2" t="s">
        <v>5844</v>
      </c>
      <c r="J581" s="2" t="s">
        <v>6151</v>
      </c>
      <c r="K581" s="2" t="s">
        <v>6193</v>
      </c>
      <c r="N581" s="1" t="s">
        <v>7144</v>
      </c>
    </row>
    <row r="582" spans="1:14" ht="29" x14ac:dyDescent="0.35">
      <c r="A582" s="113" t="s">
        <v>754</v>
      </c>
      <c r="B582" s="102" t="s">
        <v>4606</v>
      </c>
      <c r="C582" s="123" t="str" cm="1">
        <f t="array" ref="C582:F582">_xlfn.TEXTSPLIT('איחוד שאלות'!$B582,"_")</f>
        <v>perception</v>
      </c>
      <c r="D582" s="102" t="str">
        <v>politician</v>
      </c>
      <c r="E582" s="102" t="str">
        <v>initiative</v>
      </c>
      <c r="F582" s="102" t="str">
        <v>least</v>
      </c>
      <c r="G582" s="103"/>
      <c r="H582" s="135" t="s">
        <v>3306</v>
      </c>
      <c r="I582" s="2" t="s">
        <v>5844</v>
      </c>
      <c r="J582" s="2" t="s">
        <v>6151</v>
      </c>
      <c r="K582" s="2" t="s">
        <v>6193</v>
      </c>
      <c r="L582" s="2" t="s">
        <v>6137</v>
      </c>
      <c r="N582" s="1" t="s">
        <v>754</v>
      </c>
    </row>
    <row r="583" spans="1:14" ht="43.5" x14ac:dyDescent="0.35">
      <c r="A583" s="121" t="s">
        <v>3579</v>
      </c>
      <c r="B583" s="99" t="s">
        <v>4607</v>
      </c>
      <c r="C583" s="121" t="str" cm="1">
        <f t="array" ref="C583:E583">_xlfn.TEXTSPLIT('איחוד שאלות'!$B583,"_")</f>
        <v>perception</v>
      </c>
      <c r="D583" s="99" t="str">
        <v>politician</v>
      </c>
      <c r="E583" s="99" t="str">
        <v>reducesocioinequality</v>
      </c>
      <c r="F583" s="99"/>
      <c r="G583" s="100"/>
      <c r="H583" s="136" t="s">
        <v>3306</v>
      </c>
      <c r="I583" s="2" t="s">
        <v>5844</v>
      </c>
      <c r="J583" s="2" t="s">
        <v>6151</v>
      </c>
      <c r="K583" s="2" t="s">
        <v>6157</v>
      </c>
      <c r="N583" s="1" t="s">
        <v>7145</v>
      </c>
    </row>
    <row r="584" spans="1:14" ht="43.5" x14ac:dyDescent="0.35">
      <c r="A584" s="113" t="s">
        <v>754</v>
      </c>
      <c r="B584" s="102" t="s">
        <v>4608</v>
      </c>
      <c r="C584" s="123" t="str" cm="1">
        <f t="array" ref="C584:F584">_xlfn.TEXTSPLIT('איחוד שאלות'!$B584,"_")</f>
        <v>perception</v>
      </c>
      <c r="D584" s="102" t="str">
        <v>politician</v>
      </c>
      <c r="E584" s="102" t="str">
        <v>reducesocioinequality</v>
      </c>
      <c r="F584" s="102" t="str">
        <v>least</v>
      </c>
      <c r="G584" s="103"/>
      <c r="H584" s="135" t="s">
        <v>3306</v>
      </c>
      <c r="I584" s="2" t="s">
        <v>5844</v>
      </c>
      <c r="J584" s="2" t="s">
        <v>6151</v>
      </c>
      <c r="K584" s="2" t="s">
        <v>6157</v>
      </c>
      <c r="L584" s="2" t="s">
        <v>6137</v>
      </c>
      <c r="N584" s="1" t="s">
        <v>754</v>
      </c>
    </row>
    <row r="585" spans="1:14" ht="29" x14ac:dyDescent="0.35">
      <c r="A585" s="121" t="s">
        <v>3580</v>
      </c>
      <c r="B585" s="99" t="s">
        <v>4609</v>
      </c>
      <c r="C585" s="121" t="str" cm="1">
        <f t="array" ref="C585:E585">_xlfn.TEXTSPLIT('איחוד שאלות'!$B585,"_")</f>
        <v>perception</v>
      </c>
      <c r="D585" s="99" t="str">
        <v>politician</v>
      </c>
      <c r="E585" s="99" t="str">
        <v>strong</v>
      </c>
      <c r="F585" s="99"/>
      <c r="G585" s="100"/>
      <c r="H585" s="136" t="s">
        <v>3306</v>
      </c>
      <c r="I585" s="2" t="s">
        <v>5844</v>
      </c>
      <c r="J585" s="2" t="s">
        <v>6151</v>
      </c>
      <c r="K585" s="2" t="s">
        <v>6176</v>
      </c>
      <c r="N585" s="1" t="s">
        <v>7146</v>
      </c>
    </row>
    <row r="586" spans="1:14" ht="130.5" x14ac:dyDescent="0.35">
      <c r="A586" s="113" t="s">
        <v>3581</v>
      </c>
      <c r="B586" s="102" t="s">
        <v>4610</v>
      </c>
      <c r="C586" s="123" t="str" cm="1">
        <f t="array" ref="C586:F586">_xlfn.TEXTSPLIT('איחוד שאלות'!$B586,"_")</f>
        <v>preference</v>
      </c>
      <c r="D586" s="102" t="str">
        <v>party</v>
      </c>
      <c r="E586" s="102" t="str">
        <v>ideal</v>
      </c>
      <c r="F586" s="102" t="str">
        <v>youngold</v>
      </c>
      <c r="G586" s="103"/>
      <c r="H586" s="135" t="s">
        <v>3306</v>
      </c>
      <c r="I586" s="2" t="s">
        <v>5856</v>
      </c>
      <c r="J586" s="2" t="s">
        <v>5853</v>
      </c>
      <c r="K586" s="2" t="s">
        <v>6194</v>
      </c>
      <c r="L586" s="2" t="s">
        <v>6195</v>
      </c>
      <c r="N586" s="1" t="s">
        <v>7147</v>
      </c>
    </row>
    <row r="587" spans="1:14" ht="130.5" x14ac:dyDescent="0.35">
      <c r="A587" s="121" t="s">
        <v>3582</v>
      </c>
      <c r="B587" s="99" t="s">
        <v>4611</v>
      </c>
      <c r="C587" s="121" t="str" cm="1">
        <f t="array" ref="C587:F587">_xlfn.TEXTSPLIT('איחוד שאלות'!$B587,"_")</f>
        <v>preference</v>
      </c>
      <c r="D587" s="99" t="str">
        <v>party</v>
      </c>
      <c r="E587" s="99" t="str">
        <v>ideal</v>
      </c>
      <c r="F587" s="99" t="str">
        <v>strongweak</v>
      </c>
      <c r="G587" s="100"/>
      <c r="H587" s="136" t="s">
        <v>3306</v>
      </c>
      <c r="I587" s="2" t="s">
        <v>5856</v>
      </c>
      <c r="J587" s="2" t="s">
        <v>5853</v>
      </c>
      <c r="K587" s="2" t="s">
        <v>6194</v>
      </c>
      <c r="L587" s="2" t="s">
        <v>6196</v>
      </c>
      <c r="N587" s="1" t="s">
        <v>7148</v>
      </c>
    </row>
    <row r="588" spans="1:14" ht="130.5" x14ac:dyDescent="0.35">
      <c r="A588" s="113" t="s">
        <v>3583</v>
      </c>
      <c r="B588" s="102" t="s">
        <v>4612</v>
      </c>
      <c r="C588" s="123" t="str" cm="1">
        <f t="array" ref="C588:F588">_xlfn.TEXTSPLIT('איחוד שאלות'!$B588,"_")</f>
        <v>preference</v>
      </c>
      <c r="D588" s="102" t="str">
        <v>party</v>
      </c>
      <c r="E588" s="102" t="str">
        <v>ideal</v>
      </c>
      <c r="F588" s="102" t="str">
        <v>rightleft</v>
      </c>
      <c r="G588" s="103"/>
      <c r="H588" s="135" t="s">
        <v>3306</v>
      </c>
      <c r="I588" s="2" t="s">
        <v>5856</v>
      </c>
      <c r="J588" s="2" t="s">
        <v>5853</v>
      </c>
      <c r="K588" s="2" t="s">
        <v>6194</v>
      </c>
      <c r="L588" s="2" t="s">
        <v>6197</v>
      </c>
      <c r="N588" s="1" t="s">
        <v>7149</v>
      </c>
    </row>
    <row r="589" spans="1:14" ht="130.5" x14ac:dyDescent="0.35">
      <c r="A589" s="121" t="s">
        <v>3584</v>
      </c>
      <c r="B589" s="99" t="s">
        <v>4613</v>
      </c>
      <c r="C589" s="121" t="str" cm="1">
        <f t="array" ref="C589:F589">_xlfn.TEXTSPLIT('איחוד שאלות'!$B589,"_")</f>
        <v>preference</v>
      </c>
      <c r="D589" s="99" t="str">
        <v>party</v>
      </c>
      <c r="E589" s="99" t="str">
        <v>ideal</v>
      </c>
      <c r="F589" s="99" t="str">
        <v>conservativeinnovative</v>
      </c>
      <c r="G589" s="100"/>
      <c r="H589" s="136" t="s">
        <v>3306</v>
      </c>
      <c r="I589" s="2" t="s">
        <v>5856</v>
      </c>
      <c r="J589" s="2" t="s">
        <v>5853</v>
      </c>
      <c r="K589" s="2" t="s">
        <v>6194</v>
      </c>
      <c r="L589" s="2" t="s">
        <v>6198</v>
      </c>
      <c r="N589" s="1" t="s">
        <v>7150</v>
      </c>
    </row>
    <row r="590" spans="1:14" ht="145" x14ac:dyDescent="0.35">
      <c r="A590" s="113" t="s">
        <v>3585</v>
      </c>
      <c r="B590" s="102" t="s">
        <v>4614</v>
      </c>
      <c r="C590" s="123" t="str" cm="1">
        <f t="array" ref="C590:F590">_xlfn.TEXTSPLIT('איחוד שאלות'!$B590,"_")</f>
        <v>preference</v>
      </c>
      <c r="D590" s="102" t="str">
        <v>party</v>
      </c>
      <c r="E590" s="102" t="str">
        <v>ideal</v>
      </c>
      <c r="F590" s="102" t="str">
        <v>middleclassworkingclass</v>
      </c>
      <c r="G590" s="103"/>
      <c r="H590" s="135" t="s">
        <v>3306</v>
      </c>
      <c r="I590" s="2" t="s">
        <v>5856</v>
      </c>
      <c r="J590" s="2" t="s">
        <v>5853</v>
      </c>
      <c r="K590" s="2" t="s">
        <v>6194</v>
      </c>
      <c r="L590" s="2" t="s">
        <v>6199</v>
      </c>
      <c r="N590" s="1" t="s">
        <v>7151</v>
      </c>
    </row>
    <row r="591" spans="1:14" ht="130.5" x14ac:dyDescent="0.35">
      <c r="A591" s="121" t="s">
        <v>3586</v>
      </c>
      <c r="B591" s="99" t="s">
        <v>4615</v>
      </c>
      <c r="C591" s="121" t="str" cm="1">
        <f t="array" ref="C591:F591">_xlfn.TEXTSPLIT('איחוד שאלות'!$B591,"_")</f>
        <v>preference</v>
      </c>
      <c r="D591" s="99" t="str">
        <v>party</v>
      </c>
      <c r="E591" s="99" t="str">
        <v>ideal</v>
      </c>
      <c r="F591" s="99" t="str">
        <v>sephardicashkenazi</v>
      </c>
      <c r="G591" s="100"/>
      <c r="H591" s="136" t="s">
        <v>3306</v>
      </c>
      <c r="I591" s="2" t="s">
        <v>5856</v>
      </c>
      <c r="J591" s="2" t="s">
        <v>5853</v>
      </c>
      <c r="K591" s="2" t="s">
        <v>6194</v>
      </c>
      <c r="L591" s="2" t="s">
        <v>6200</v>
      </c>
      <c r="N591" s="1" t="s">
        <v>7152</v>
      </c>
    </row>
    <row r="592" spans="1:14" ht="159.5" x14ac:dyDescent="0.35">
      <c r="A592" s="113" t="s">
        <v>3587</v>
      </c>
      <c r="B592" s="102" t="s">
        <v>4616</v>
      </c>
      <c r="C592" s="123" t="str" cm="1">
        <f t="array" ref="C592:F592">_xlfn.TEXTSPLIT('איחוד שאלות'!$B592,"_")</f>
        <v>preference</v>
      </c>
      <c r="D592" s="102" t="str">
        <v>party</v>
      </c>
      <c r="E592" s="102" t="str">
        <v>ideal</v>
      </c>
      <c r="F592" s="102" t="str">
        <v>selfinterestcitizeninterest</v>
      </c>
      <c r="G592" s="103"/>
      <c r="H592" s="135" t="s">
        <v>3306</v>
      </c>
      <c r="I592" s="2" t="s">
        <v>5856</v>
      </c>
      <c r="J592" s="2" t="s">
        <v>5853</v>
      </c>
      <c r="K592" s="2" t="s">
        <v>6194</v>
      </c>
      <c r="L592" s="2" t="s">
        <v>6201</v>
      </c>
      <c r="N592" s="1" t="s">
        <v>7153</v>
      </c>
    </row>
    <row r="593" spans="1:14" ht="145" x14ac:dyDescent="0.35">
      <c r="A593" s="121" t="s">
        <v>3588</v>
      </c>
      <c r="B593" s="99" t="s">
        <v>4617</v>
      </c>
      <c r="C593" s="121" t="str" cm="1">
        <f t="array" ref="C593:F593">_xlfn.TEXTSPLIT('איחוד שאלות'!$B593,"_")</f>
        <v>preference</v>
      </c>
      <c r="D593" s="99" t="str">
        <v>party</v>
      </c>
      <c r="E593" s="99" t="str">
        <v>ideal</v>
      </c>
      <c r="F593" s="99" t="str">
        <v>experience</v>
      </c>
      <c r="G593" s="100"/>
      <c r="H593" s="136" t="s">
        <v>3306</v>
      </c>
      <c r="I593" s="2" t="s">
        <v>5856</v>
      </c>
      <c r="J593" s="2" t="s">
        <v>5853</v>
      </c>
      <c r="K593" s="2" t="s">
        <v>6194</v>
      </c>
      <c r="L593" s="2" t="s">
        <v>6202</v>
      </c>
      <c r="N593" s="1" t="s">
        <v>7154</v>
      </c>
    </row>
    <row r="594" spans="1:14" ht="130.5" x14ac:dyDescent="0.35">
      <c r="A594" s="113" t="s">
        <v>3589</v>
      </c>
      <c r="B594" s="102" t="s">
        <v>4618</v>
      </c>
      <c r="C594" s="123" t="str" cm="1">
        <f t="array" ref="C594:F594">_xlfn.TEXTSPLIT('איחוד שאלות'!$B594,"_")</f>
        <v>preference</v>
      </c>
      <c r="D594" s="102" t="str">
        <v>party</v>
      </c>
      <c r="E594" s="102" t="str">
        <v>ideal</v>
      </c>
      <c r="F594" s="102" t="str">
        <v>dovishhawkish</v>
      </c>
      <c r="G594" s="103"/>
      <c r="H594" s="135" t="s">
        <v>3306</v>
      </c>
      <c r="I594" s="2" t="s">
        <v>5856</v>
      </c>
      <c r="J594" s="2" t="s">
        <v>5853</v>
      </c>
      <c r="K594" s="2" t="s">
        <v>6194</v>
      </c>
      <c r="L594" s="2" t="s">
        <v>6203</v>
      </c>
      <c r="N594" s="1" t="s">
        <v>7155</v>
      </c>
    </row>
    <row r="595" spans="1:14" ht="58" x14ac:dyDescent="0.35">
      <c r="A595" s="121" t="s">
        <v>3590</v>
      </c>
      <c r="B595" s="99" t="s">
        <v>4620</v>
      </c>
      <c r="C595" s="121" t="str" cm="1">
        <f t="array" ref="C595:F595">_xlfn.TEXTSPLIT('איחוד שאלות'!$B595,"_")</f>
        <v>perception</v>
      </c>
      <c r="D595" s="99" t="str">
        <v>party</v>
      </c>
      <c r="E595" s="99" t="str">
        <v>youngold</v>
      </c>
      <c r="F595" s="99" t="str">
        <v>hamaarakh</v>
      </c>
      <c r="G595" s="100"/>
      <c r="H595" s="136" t="s">
        <v>3306</v>
      </c>
      <c r="I595" s="2" t="s">
        <v>5844</v>
      </c>
      <c r="J595" s="2" t="s">
        <v>5853</v>
      </c>
      <c r="K595" s="2" t="s">
        <v>6195</v>
      </c>
      <c r="L595" s="2" t="s">
        <v>6047</v>
      </c>
      <c r="N595" s="1" t="s">
        <v>7156</v>
      </c>
    </row>
    <row r="596" spans="1:14" ht="58" x14ac:dyDescent="0.35">
      <c r="A596" s="113" t="s">
        <v>3591</v>
      </c>
      <c r="B596" s="102" t="s">
        <v>4621</v>
      </c>
      <c r="C596" s="123" t="str" cm="1">
        <f t="array" ref="C596:F596">_xlfn.TEXTSPLIT('איחוד שאלות'!$B596,"_")</f>
        <v>perception</v>
      </c>
      <c r="D596" s="102" t="str">
        <v>party</v>
      </c>
      <c r="E596" s="102" t="str">
        <v>strongweak</v>
      </c>
      <c r="F596" s="102" t="str">
        <v>hamaarakh</v>
      </c>
      <c r="G596" s="103"/>
      <c r="H596" s="135" t="s">
        <v>3306</v>
      </c>
      <c r="I596" s="2" t="s">
        <v>5844</v>
      </c>
      <c r="J596" s="2" t="s">
        <v>5853</v>
      </c>
      <c r="K596" s="2" t="s">
        <v>6196</v>
      </c>
      <c r="L596" s="2" t="s">
        <v>6047</v>
      </c>
      <c r="N596" s="1" t="s">
        <v>7157</v>
      </c>
    </row>
    <row r="597" spans="1:14" ht="58" x14ac:dyDescent="0.35">
      <c r="A597" s="121" t="s">
        <v>3592</v>
      </c>
      <c r="B597" s="99" t="s">
        <v>4619</v>
      </c>
      <c r="C597" s="121" t="str" cm="1">
        <f t="array" ref="C597:F597">_xlfn.TEXTSPLIT('איחוד שאלות'!$B597,"_")</f>
        <v>preference</v>
      </c>
      <c r="D597" s="99" t="str">
        <v>party</v>
      </c>
      <c r="E597" s="99" t="str">
        <v>rightleft</v>
      </c>
      <c r="F597" s="99" t="str">
        <v>Hamaarakh</v>
      </c>
      <c r="G597" s="100"/>
      <c r="H597" s="136" t="s">
        <v>3306</v>
      </c>
      <c r="I597" s="2" t="s">
        <v>5856</v>
      </c>
      <c r="J597" s="2" t="s">
        <v>5853</v>
      </c>
      <c r="K597" s="2" t="s">
        <v>6197</v>
      </c>
      <c r="L597" s="2" t="s">
        <v>5978</v>
      </c>
      <c r="N597" s="1" t="s">
        <v>7158</v>
      </c>
    </row>
    <row r="598" spans="1:14" ht="58" x14ac:dyDescent="0.35">
      <c r="A598" s="113" t="s">
        <v>3593</v>
      </c>
      <c r="B598" s="102" t="s">
        <v>4622</v>
      </c>
      <c r="C598" s="123" t="str" cm="1">
        <f t="array" ref="C598:F598">_xlfn.TEXTSPLIT('איחוד שאלות'!$B598,"_")</f>
        <v>perception</v>
      </c>
      <c r="D598" s="102" t="str">
        <v>party</v>
      </c>
      <c r="E598" s="102" t="str">
        <v>conservativeinnovative</v>
      </c>
      <c r="F598" s="102" t="str">
        <v>Hamaarakh</v>
      </c>
      <c r="G598" s="103"/>
      <c r="H598" s="135" t="s">
        <v>3306</v>
      </c>
      <c r="I598" s="2" t="s">
        <v>5844</v>
      </c>
      <c r="J598" s="2" t="s">
        <v>5853</v>
      </c>
      <c r="K598" s="2" t="s">
        <v>6198</v>
      </c>
      <c r="L598" s="2" t="s">
        <v>5978</v>
      </c>
      <c r="N598" s="1" t="s">
        <v>7159</v>
      </c>
    </row>
    <row r="599" spans="1:14" ht="58" x14ac:dyDescent="0.35">
      <c r="A599" s="121" t="s">
        <v>3594</v>
      </c>
      <c r="B599" s="99" t="s">
        <v>4623</v>
      </c>
      <c r="C599" s="121" t="str" cm="1">
        <f t="array" ref="C599:F599">_xlfn.TEXTSPLIT('איחוד שאלות'!$B599,"_")</f>
        <v>perception</v>
      </c>
      <c r="D599" s="99" t="str">
        <v>party</v>
      </c>
      <c r="E599" s="99" t="str">
        <v>middleclassworkingclass</v>
      </c>
      <c r="F599" s="99" t="str">
        <v>Hamaarakh</v>
      </c>
      <c r="G599" s="100"/>
      <c r="H599" s="136" t="s">
        <v>3306</v>
      </c>
      <c r="I599" s="2" t="s">
        <v>5844</v>
      </c>
      <c r="J599" s="2" t="s">
        <v>5853</v>
      </c>
      <c r="K599" s="2" t="s">
        <v>6199</v>
      </c>
      <c r="L599" s="2" t="s">
        <v>5978</v>
      </c>
      <c r="N599" s="1" t="s">
        <v>7160</v>
      </c>
    </row>
    <row r="600" spans="1:14" ht="58" x14ac:dyDescent="0.35">
      <c r="A600" s="113" t="s">
        <v>3595</v>
      </c>
      <c r="B600" s="102" t="s">
        <v>4624</v>
      </c>
      <c r="C600" s="123" t="str" cm="1">
        <f t="array" ref="C600:F600">_xlfn.TEXTSPLIT('איחוד שאלות'!$B600,"_")</f>
        <v>perception</v>
      </c>
      <c r="D600" s="102" t="str">
        <v>party</v>
      </c>
      <c r="E600" s="102" t="str">
        <v>sephardicashkenazi</v>
      </c>
      <c r="F600" s="102" t="str">
        <v>Hamaarakh</v>
      </c>
      <c r="G600" s="103"/>
      <c r="H600" s="135" t="s">
        <v>3306</v>
      </c>
      <c r="I600" s="2" t="s">
        <v>5844</v>
      </c>
      <c r="J600" s="2" t="s">
        <v>5853</v>
      </c>
      <c r="K600" s="2" t="s">
        <v>6200</v>
      </c>
      <c r="L600" s="2" t="s">
        <v>5978</v>
      </c>
      <c r="N600" s="1" t="s">
        <v>7161</v>
      </c>
    </row>
    <row r="601" spans="1:14" ht="72.5" x14ac:dyDescent="0.35">
      <c r="A601" s="121" t="s">
        <v>3596</v>
      </c>
      <c r="B601" s="99" t="s">
        <v>4625</v>
      </c>
      <c r="C601" s="121" t="str" cm="1">
        <f t="array" ref="C601:F601">_xlfn.TEXTSPLIT('איחוד שאלות'!$B601,"_")</f>
        <v>perception</v>
      </c>
      <c r="D601" s="99" t="str">
        <v>party</v>
      </c>
      <c r="E601" s="99" t="str">
        <v>selfinterestcitizeninterest</v>
      </c>
      <c r="F601" s="99" t="str">
        <v>Hamaarakh</v>
      </c>
      <c r="G601" s="100"/>
      <c r="H601" s="136" t="s">
        <v>3306</v>
      </c>
      <c r="I601" s="2" t="s">
        <v>5844</v>
      </c>
      <c r="J601" s="2" t="s">
        <v>5853</v>
      </c>
      <c r="K601" s="2" t="s">
        <v>6201</v>
      </c>
      <c r="L601" s="2" t="s">
        <v>5978</v>
      </c>
      <c r="N601" s="1" t="s">
        <v>7162</v>
      </c>
    </row>
    <row r="602" spans="1:14" ht="58" x14ac:dyDescent="0.35">
      <c r="A602" s="113" t="s">
        <v>3597</v>
      </c>
      <c r="B602" s="102" t="s">
        <v>4626</v>
      </c>
      <c r="C602" s="123" t="str" cm="1">
        <f t="array" ref="C602:F602">_xlfn.TEXTSPLIT('איחוד שאלות'!$B602,"_")</f>
        <v>perception</v>
      </c>
      <c r="D602" s="102" t="str">
        <v>party</v>
      </c>
      <c r="E602" s="102" t="str">
        <v>honestcorrupted</v>
      </c>
      <c r="F602" s="102" t="str">
        <v>Hamaarakh</v>
      </c>
      <c r="G602" s="103"/>
      <c r="H602" s="135" t="s">
        <v>3306</v>
      </c>
      <c r="I602" s="2" t="s">
        <v>5844</v>
      </c>
      <c r="J602" s="2" t="s">
        <v>5853</v>
      </c>
      <c r="K602" s="2" t="s">
        <v>6204</v>
      </c>
      <c r="L602" s="2" t="s">
        <v>5978</v>
      </c>
      <c r="N602" s="1" t="s">
        <v>7163</v>
      </c>
    </row>
    <row r="603" spans="1:14" ht="58" x14ac:dyDescent="0.35">
      <c r="A603" s="121" t="s">
        <v>3598</v>
      </c>
      <c r="B603" s="99" t="s">
        <v>4627</v>
      </c>
      <c r="C603" s="121" t="str" cm="1">
        <f t="array" ref="C603:F603">_xlfn.TEXTSPLIT('איחוד שאלות'!$B603,"_")</f>
        <v>perception</v>
      </c>
      <c r="D603" s="99" t="str">
        <v>party</v>
      </c>
      <c r="E603" s="99" t="str">
        <v>experience</v>
      </c>
      <c r="F603" s="99" t="str">
        <v>Hamaarakh</v>
      </c>
      <c r="G603" s="100"/>
      <c r="H603" s="136" t="s">
        <v>3306</v>
      </c>
      <c r="I603" s="2" t="s">
        <v>5844</v>
      </c>
      <c r="J603" s="2" t="s">
        <v>5853</v>
      </c>
      <c r="K603" s="2" t="s">
        <v>6202</v>
      </c>
      <c r="L603" s="2" t="s">
        <v>5978</v>
      </c>
      <c r="N603" s="1" t="s">
        <v>7164</v>
      </c>
    </row>
    <row r="604" spans="1:14" ht="58" x14ac:dyDescent="0.35">
      <c r="A604" s="113" t="s">
        <v>3599</v>
      </c>
      <c r="B604" s="102" t="s">
        <v>4628</v>
      </c>
      <c r="C604" s="123" t="str" cm="1">
        <f t="array" ref="C604:F604">_xlfn.TEXTSPLIT('איחוד שאלות'!$B604,"_")</f>
        <v>perception</v>
      </c>
      <c r="D604" s="102" t="str">
        <v>party</v>
      </c>
      <c r="E604" s="102" t="str">
        <v>reliability</v>
      </c>
      <c r="F604" s="102" t="str">
        <v>Hamaarakh</v>
      </c>
      <c r="G604" s="103"/>
      <c r="H604" s="135" t="s">
        <v>3306</v>
      </c>
      <c r="I604" s="2" t="s">
        <v>5844</v>
      </c>
      <c r="J604" s="2" t="s">
        <v>5853</v>
      </c>
      <c r="K604" s="2" t="s">
        <v>6205</v>
      </c>
      <c r="L604" s="2" t="s">
        <v>5978</v>
      </c>
      <c r="N604" s="1" t="s">
        <v>7165</v>
      </c>
    </row>
    <row r="605" spans="1:14" ht="58" x14ac:dyDescent="0.35">
      <c r="A605" s="121" t="s">
        <v>3600</v>
      </c>
      <c r="B605" s="99" t="s">
        <v>4629</v>
      </c>
      <c r="C605" s="121" t="str" cm="1">
        <f t="array" ref="C605:F605">_xlfn.TEXTSPLIT('איחוד שאלות'!$B605,"_")</f>
        <v>perception</v>
      </c>
      <c r="D605" s="99" t="str">
        <v>party</v>
      </c>
      <c r="E605" s="99" t="str">
        <v>dovishhawkish</v>
      </c>
      <c r="F605" s="99" t="str">
        <v>Hamaarakh</v>
      </c>
      <c r="G605" s="100"/>
      <c r="H605" s="136" t="s">
        <v>3306</v>
      </c>
      <c r="I605" s="2" t="s">
        <v>5844</v>
      </c>
      <c r="J605" s="2" t="s">
        <v>5853</v>
      </c>
      <c r="K605" s="2" t="s">
        <v>6203</v>
      </c>
      <c r="L605" s="2" t="s">
        <v>5978</v>
      </c>
      <c r="N605" s="1" t="s">
        <v>7166</v>
      </c>
    </row>
    <row r="606" spans="1:14" ht="58" x14ac:dyDescent="0.35">
      <c r="A606" s="113" t="s">
        <v>3601</v>
      </c>
      <c r="B606" s="102" t="s">
        <v>4630</v>
      </c>
      <c r="C606" s="123" t="str" cm="1">
        <f t="array" ref="C606:F606">_xlfn.TEXTSPLIT('איחוד שאלות'!$B606,"_")</f>
        <v>perception</v>
      </c>
      <c r="D606" s="102" t="str">
        <v>party</v>
      </c>
      <c r="E606" s="102" t="str">
        <v>youngold</v>
      </c>
      <c r="F606" s="102" t="str">
        <v>likud</v>
      </c>
      <c r="G606" s="103"/>
      <c r="H606" s="135" t="s">
        <v>3306</v>
      </c>
      <c r="I606" s="2" t="s">
        <v>5844</v>
      </c>
      <c r="J606" s="2" t="s">
        <v>5853</v>
      </c>
      <c r="K606" s="2" t="s">
        <v>6195</v>
      </c>
      <c r="L606" s="2" t="s">
        <v>6030</v>
      </c>
      <c r="N606" s="1" t="s">
        <v>7167</v>
      </c>
    </row>
    <row r="607" spans="1:14" ht="58" x14ac:dyDescent="0.35">
      <c r="A607" s="121" t="s">
        <v>3602</v>
      </c>
      <c r="B607" s="99" t="s">
        <v>4631</v>
      </c>
      <c r="C607" s="121" t="str" cm="1">
        <f t="array" ref="C607:F607">_xlfn.TEXTSPLIT('איחוד שאלות'!$B607,"_")</f>
        <v>perception</v>
      </c>
      <c r="D607" s="99" t="str">
        <v>party</v>
      </c>
      <c r="E607" s="99" t="str">
        <v>strongweak</v>
      </c>
      <c r="F607" s="99" t="str">
        <v>likud</v>
      </c>
      <c r="G607" s="100"/>
      <c r="H607" s="136" t="s">
        <v>3306</v>
      </c>
      <c r="I607" s="2" t="s">
        <v>5844</v>
      </c>
      <c r="J607" s="2" t="s">
        <v>5853</v>
      </c>
      <c r="K607" s="2" t="s">
        <v>6196</v>
      </c>
      <c r="L607" s="2" t="s">
        <v>6030</v>
      </c>
      <c r="N607" s="1" t="s">
        <v>7168</v>
      </c>
    </row>
    <row r="608" spans="1:14" ht="58" x14ac:dyDescent="0.35">
      <c r="A608" s="113" t="s">
        <v>3603</v>
      </c>
      <c r="B608" s="102" t="s">
        <v>4632</v>
      </c>
      <c r="C608" s="123" t="str" cm="1">
        <f t="array" ref="C608:F608">_xlfn.TEXTSPLIT('איחוד שאלות'!$B608,"_")</f>
        <v>perception</v>
      </c>
      <c r="D608" s="102" t="str">
        <v>party</v>
      </c>
      <c r="E608" s="102" t="str">
        <v>rightleft</v>
      </c>
      <c r="F608" s="102" t="str">
        <v>likud</v>
      </c>
      <c r="G608" s="103"/>
      <c r="H608" s="135" t="s">
        <v>3306</v>
      </c>
      <c r="I608" s="2" t="s">
        <v>5844</v>
      </c>
      <c r="J608" s="2" t="s">
        <v>5853</v>
      </c>
      <c r="K608" s="2" t="s">
        <v>6197</v>
      </c>
      <c r="L608" s="2" t="s">
        <v>6030</v>
      </c>
      <c r="N608" s="1" t="s">
        <v>7169</v>
      </c>
    </row>
    <row r="609" spans="1:14" ht="58" x14ac:dyDescent="0.35">
      <c r="A609" s="121" t="s">
        <v>3604</v>
      </c>
      <c r="B609" s="99" t="s">
        <v>4633</v>
      </c>
      <c r="C609" s="121" t="str" cm="1">
        <f t="array" ref="C609:F609">_xlfn.TEXTSPLIT('איחוד שאלות'!$B609,"_")</f>
        <v>perception</v>
      </c>
      <c r="D609" s="99" t="str">
        <v>party</v>
      </c>
      <c r="E609" s="99" t="str">
        <v>conservativeinnovative</v>
      </c>
      <c r="F609" s="99" t="str">
        <v>likud</v>
      </c>
      <c r="G609" s="100"/>
      <c r="H609" s="136" t="s">
        <v>3306</v>
      </c>
      <c r="I609" s="2" t="s">
        <v>5844</v>
      </c>
      <c r="J609" s="2" t="s">
        <v>5853</v>
      </c>
      <c r="K609" s="2" t="s">
        <v>6198</v>
      </c>
      <c r="L609" s="2" t="s">
        <v>6030</v>
      </c>
      <c r="N609" s="1" t="s">
        <v>7170</v>
      </c>
    </row>
    <row r="610" spans="1:14" ht="58" x14ac:dyDescent="0.35">
      <c r="A610" s="113" t="s">
        <v>3605</v>
      </c>
      <c r="B610" s="102" t="s">
        <v>4634</v>
      </c>
      <c r="C610" s="123" t="str" cm="1">
        <f t="array" ref="C610:F610">_xlfn.TEXTSPLIT('איחוד שאלות'!$B610,"_")</f>
        <v>perception</v>
      </c>
      <c r="D610" s="102" t="str">
        <v>party</v>
      </c>
      <c r="E610" s="102" t="str">
        <v>middleclassworkingclass</v>
      </c>
      <c r="F610" s="102" t="str">
        <v>likud</v>
      </c>
      <c r="G610" s="103"/>
      <c r="H610" s="135" t="s">
        <v>3306</v>
      </c>
      <c r="I610" s="2" t="s">
        <v>5844</v>
      </c>
      <c r="J610" s="2" t="s">
        <v>5853</v>
      </c>
      <c r="K610" s="2" t="s">
        <v>6199</v>
      </c>
      <c r="L610" s="2" t="s">
        <v>6030</v>
      </c>
      <c r="N610" s="1" t="s">
        <v>7171</v>
      </c>
    </row>
    <row r="611" spans="1:14" ht="58" x14ac:dyDescent="0.35">
      <c r="A611" s="121" t="s">
        <v>3606</v>
      </c>
      <c r="B611" s="99" t="s">
        <v>4635</v>
      </c>
      <c r="C611" s="121" t="str" cm="1">
        <f t="array" ref="C611:F611">_xlfn.TEXTSPLIT('איחוד שאלות'!$B611,"_")</f>
        <v>perception</v>
      </c>
      <c r="D611" s="99" t="str">
        <v>party</v>
      </c>
      <c r="E611" s="99" t="str">
        <v>sephardicashkenazi</v>
      </c>
      <c r="F611" s="99" t="str">
        <v>likud</v>
      </c>
      <c r="G611" s="100"/>
      <c r="H611" s="136" t="s">
        <v>3306</v>
      </c>
      <c r="I611" s="2" t="s">
        <v>5844</v>
      </c>
      <c r="J611" s="2" t="s">
        <v>5853</v>
      </c>
      <c r="K611" s="2" t="s">
        <v>6200</v>
      </c>
      <c r="L611" s="2" t="s">
        <v>6030</v>
      </c>
      <c r="N611" s="1" t="s">
        <v>7172</v>
      </c>
    </row>
    <row r="612" spans="1:14" ht="72.5" x14ac:dyDescent="0.35">
      <c r="A612" s="113" t="s">
        <v>3607</v>
      </c>
      <c r="B612" s="102" t="s">
        <v>4636</v>
      </c>
      <c r="C612" s="123" t="str" cm="1">
        <f t="array" ref="C612:F612">_xlfn.TEXTSPLIT('איחוד שאלות'!$B612,"_")</f>
        <v>perception</v>
      </c>
      <c r="D612" s="102" t="str">
        <v>party</v>
      </c>
      <c r="E612" s="102" t="str">
        <v>selfinterestcitizeninterest</v>
      </c>
      <c r="F612" s="102" t="str">
        <v>likud</v>
      </c>
      <c r="G612" s="103"/>
      <c r="H612" s="135" t="s">
        <v>3306</v>
      </c>
      <c r="I612" s="2" t="s">
        <v>5844</v>
      </c>
      <c r="J612" s="2" t="s">
        <v>5853</v>
      </c>
      <c r="K612" s="2" t="s">
        <v>6201</v>
      </c>
      <c r="L612" s="2" t="s">
        <v>6030</v>
      </c>
      <c r="N612" s="1" t="s">
        <v>7173</v>
      </c>
    </row>
    <row r="613" spans="1:14" ht="58" x14ac:dyDescent="0.35">
      <c r="A613" s="121" t="s">
        <v>3608</v>
      </c>
      <c r="B613" s="99" t="s">
        <v>4637</v>
      </c>
      <c r="C613" s="121" t="str" cm="1">
        <f t="array" ref="C613:F613">_xlfn.TEXTSPLIT('איחוד שאלות'!$B613,"_")</f>
        <v>perception</v>
      </c>
      <c r="D613" s="99" t="str">
        <v>party</v>
      </c>
      <c r="E613" s="99" t="str">
        <v>honestcorrupted</v>
      </c>
      <c r="F613" s="99" t="str">
        <v>likud</v>
      </c>
      <c r="G613" s="100"/>
      <c r="H613" s="136" t="s">
        <v>3306</v>
      </c>
      <c r="I613" s="2" t="s">
        <v>5844</v>
      </c>
      <c r="J613" s="2" t="s">
        <v>5853</v>
      </c>
      <c r="K613" s="2" t="s">
        <v>6204</v>
      </c>
      <c r="L613" s="2" t="s">
        <v>6030</v>
      </c>
      <c r="N613" s="1" t="s">
        <v>7174</v>
      </c>
    </row>
    <row r="614" spans="1:14" ht="58" x14ac:dyDescent="0.35">
      <c r="A614" s="113" t="s">
        <v>3609</v>
      </c>
      <c r="B614" s="102" t="s">
        <v>4638</v>
      </c>
      <c r="C614" s="123" t="str" cm="1">
        <f t="array" ref="C614:F614">_xlfn.TEXTSPLIT('איחוד שאלות'!$B614,"_")</f>
        <v>perception</v>
      </c>
      <c r="D614" s="102" t="str">
        <v>party</v>
      </c>
      <c r="E614" s="102" t="str">
        <v>experience</v>
      </c>
      <c r="F614" s="102" t="str">
        <v>likud</v>
      </c>
      <c r="G614" s="103"/>
      <c r="H614" s="135" t="s">
        <v>3306</v>
      </c>
      <c r="I614" s="2" t="s">
        <v>5844</v>
      </c>
      <c r="J614" s="2" t="s">
        <v>5853</v>
      </c>
      <c r="K614" s="2" t="s">
        <v>6202</v>
      </c>
      <c r="L614" s="2" t="s">
        <v>6030</v>
      </c>
      <c r="N614" s="1" t="s">
        <v>7175</v>
      </c>
    </row>
    <row r="615" spans="1:14" ht="58" x14ac:dyDescent="0.35">
      <c r="A615" s="121" t="s">
        <v>3610</v>
      </c>
      <c r="B615" s="99" t="s">
        <v>4639</v>
      </c>
      <c r="C615" s="121" t="str" cm="1">
        <f t="array" ref="C615:F615">_xlfn.TEXTSPLIT('איחוד שאלות'!$B615,"_")</f>
        <v>perception</v>
      </c>
      <c r="D615" s="99" t="str">
        <v>party</v>
      </c>
      <c r="E615" s="99" t="str">
        <v>reliability</v>
      </c>
      <c r="F615" s="99" t="str">
        <v>likud</v>
      </c>
      <c r="G615" s="100"/>
      <c r="H615" s="136" t="s">
        <v>3306</v>
      </c>
      <c r="I615" s="2" t="s">
        <v>5844</v>
      </c>
      <c r="J615" s="2" t="s">
        <v>5853</v>
      </c>
      <c r="K615" s="2" t="s">
        <v>6205</v>
      </c>
      <c r="L615" s="2" t="s">
        <v>6030</v>
      </c>
      <c r="N615" s="1" t="s">
        <v>7176</v>
      </c>
    </row>
    <row r="616" spans="1:14" ht="58" x14ac:dyDescent="0.35">
      <c r="A616" s="113" t="s">
        <v>3611</v>
      </c>
      <c r="B616" s="102" t="s">
        <v>4640</v>
      </c>
      <c r="C616" s="123" t="str" cm="1">
        <f t="array" ref="C616:F616">_xlfn.TEXTSPLIT('איחוד שאלות'!$B616,"_")</f>
        <v>perception</v>
      </c>
      <c r="D616" s="102" t="str">
        <v>party</v>
      </c>
      <c r="E616" s="102" t="str">
        <v>dovishhawkish</v>
      </c>
      <c r="F616" s="102" t="str">
        <v>likud</v>
      </c>
      <c r="G616" s="103"/>
      <c r="H616" s="135" t="s">
        <v>3306</v>
      </c>
      <c r="I616" s="2" t="s">
        <v>5844</v>
      </c>
      <c r="J616" s="2" t="s">
        <v>5853</v>
      </c>
      <c r="K616" s="2" t="s">
        <v>6203</v>
      </c>
      <c r="L616" s="2" t="s">
        <v>6030</v>
      </c>
      <c r="N616" s="1" t="s">
        <v>7177</v>
      </c>
    </row>
    <row r="617" spans="1:14" ht="87" x14ac:dyDescent="0.35">
      <c r="A617" s="121" t="s">
        <v>3612</v>
      </c>
      <c r="B617" s="99" t="s">
        <v>4641</v>
      </c>
      <c r="C617" s="121" t="str" cm="1">
        <f t="array" ref="C617:E617">_xlfn.TEXTSPLIT('איחוד שאלות'!$B617,"_")</f>
        <v>perception</v>
      </c>
      <c r="D617" s="99" t="str">
        <v>elections</v>
      </c>
      <c r="E617" s="99" t="str">
        <v>positivenegative</v>
      </c>
      <c r="F617" s="99"/>
      <c r="G617" s="100"/>
      <c r="H617" s="136" t="s">
        <v>3306</v>
      </c>
      <c r="I617" s="2" t="s">
        <v>5844</v>
      </c>
      <c r="J617" s="2" t="s">
        <v>5954</v>
      </c>
      <c r="K617" s="2" t="s">
        <v>6206</v>
      </c>
      <c r="N617" s="1" t="s">
        <v>7178</v>
      </c>
    </row>
    <row r="618" spans="1:14" ht="87" x14ac:dyDescent="0.35">
      <c r="A618" s="113" t="s">
        <v>3613</v>
      </c>
      <c r="B618" s="102" t="s">
        <v>4642</v>
      </c>
      <c r="C618" s="123" t="str" cm="1">
        <f t="array" ref="C618:E618">_xlfn.TEXTSPLIT('איחוד שאלות'!$B618,"_")</f>
        <v>perception</v>
      </c>
      <c r="D618" s="102" t="str">
        <v>elections</v>
      </c>
      <c r="E618" s="102" t="str">
        <v>shortlong</v>
      </c>
      <c r="F618" s="102"/>
      <c r="G618" s="103"/>
      <c r="H618" s="135" t="s">
        <v>3306</v>
      </c>
      <c r="I618" s="2" t="s">
        <v>5844</v>
      </c>
      <c r="J618" s="2" t="s">
        <v>5954</v>
      </c>
      <c r="K618" s="2" t="s">
        <v>6207</v>
      </c>
      <c r="N618" s="1" t="s">
        <v>7179</v>
      </c>
    </row>
    <row r="619" spans="1:14" ht="87" x14ac:dyDescent="0.35">
      <c r="A619" s="121" t="s">
        <v>3614</v>
      </c>
      <c r="B619" s="99" t="s">
        <v>4643</v>
      </c>
      <c r="C619" s="121" t="str" cm="1">
        <f t="array" ref="C619:E619">_xlfn.TEXTSPLIT('איחוד שאלות'!$B619,"_")</f>
        <v>perception</v>
      </c>
      <c r="D619" s="99" t="str">
        <v>elections</v>
      </c>
      <c r="E619" s="99" t="str">
        <v>educational</v>
      </c>
      <c r="F619" s="99"/>
      <c r="G619" s="100"/>
      <c r="H619" s="136" t="s">
        <v>3306</v>
      </c>
      <c r="I619" s="2" t="s">
        <v>5844</v>
      </c>
      <c r="J619" s="2" t="s">
        <v>5954</v>
      </c>
      <c r="K619" s="2" t="s">
        <v>6208</v>
      </c>
      <c r="N619" s="1" t="s">
        <v>7180</v>
      </c>
    </row>
    <row r="620" spans="1:14" ht="116" x14ac:dyDescent="0.35">
      <c r="A620" s="113" t="s">
        <v>3615</v>
      </c>
      <c r="B620" s="102" t="s">
        <v>4644</v>
      </c>
      <c r="C620" s="123" t="str" cm="1">
        <f t="array" ref="C620:E620">_xlfn.TEXTSPLIT('איחוד שאלות'!$B620,"_")</f>
        <v>perception</v>
      </c>
      <c r="D620" s="102" t="str">
        <v>elections</v>
      </c>
      <c r="E620" s="102" t="str">
        <v>helpvoting</v>
      </c>
      <c r="F620" s="102"/>
      <c r="G620" s="103"/>
      <c r="H620" s="135" t="s">
        <v>3306</v>
      </c>
      <c r="I620" s="2" t="s">
        <v>5844</v>
      </c>
      <c r="J620" s="2" t="s">
        <v>5954</v>
      </c>
      <c r="K620" s="2" t="s">
        <v>6209</v>
      </c>
      <c r="N620" s="1" t="s">
        <v>7181</v>
      </c>
    </row>
    <row r="621" spans="1:14" ht="116" x14ac:dyDescent="0.35">
      <c r="A621" s="121" t="s">
        <v>3616</v>
      </c>
      <c r="B621" s="99" t="s">
        <v>4645</v>
      </c>
      <c r="C621" s="121" t="str" cm="1">
        <f t="array" ref="C621:E621">_xlfn.TEXTSPLIT('איחוד שאלות'!$B621,"_")</f>
        <v>perception</v>
      </c>
      <c r="D621" s="99" t="str">
        <v>elections</v>
      </c>
      <c r="E621" s="99" t="str">
        <v>knowproblem</v>
      </c>
      <c r="F621" s="99"/>
      <c r="G621" s="100"/>
      <c r="H621" s="136" t="s">
        <v>3306</v>
      </c>
      <c r="I621" s="2" t="s">
        <v>5844</v>
      </c>
      <c r="J621" s="2" t="s">
        <v>5954</v>
      </c>
      <c r="K621" s="2" t="s">
        <v>6210</v>
      </c>
      <c r="N621" s="1" t="s">
        <v>7182</v>
      </c>
    </row>
    <row r="622" spans="1:14" ht="130.5" x14ac:dyDescent="0.35">
      <c r="A622" s="113" t="s">
        <v>3617</v>
      </c>
      <c r="B622" s="102" t="s">
        <v>4646</v>
      </c>
      <c r="C622" s="123" t="str" cm="1">
        <f t="array" ref="C622:E622">_xlfn.TEXTSPLIT('איחוד שאלות'!$B622,"_")</f>
        <v>perception</v>
      </c>
      <c r="D622" s="102" t="str">
        <v>elections</v>
      </c>
      <c r="E622" s="102" t="str">
        <v>knowdifference</v>
      </c>
      <c r="F622" s="102"/>
      <c r="G622" s="103"/>
      <c r="H622" s="135" t="s">
        <v>3306</v>
      </c>
      <c r="I622" s="2" t="s">
        <v>5844</v>
      </c>
      <c r="J622" s="2" t="s">
        <v>5954</v>
      </c>
      <c r="K622" s="2" t="s">
        <v>6211</v>
      </c>
      <c r="N622" s="1" t="s">
        <v>7183</v>
      </c>
    </row>
    <row r="623" spans="1:14" ht="101.5" x14ac:dyDescent="0.35">
      <c r="A623" s="121" t="s">
        <v>3618</v>
      </c>
      <c r="B623" s="99" t="s">
        <v>4647</v>
      </c>
      <c r="C623" s="121" t="str" cm="1">
        <f t="array" ref="C623:E623">_xlfn.TEXTSPLIT('איחוד שאלות'!$B623,"_")</f>
        <v>perception</v>
      </c>
      <c r="D623" s="99" t="str">
        <v>elections</v>
      </c>
      <c r="E623" s="99" t="str">
        <v>unitingdividing</v>
      </c>
      <c r="F623" s="99"/>
      <c r="G623" s="100"/>
      <c r="H623" s="136" t="s">
        <v>3306</v>
      </c>
      <c r="I623" s="2" t="s">
        <v>5844</v>
      </c>
      <c r="J623" s="2" t="s">
        <v>5954</v>
      </c>
      <c r="K623" s="2" t="s">
        <v>6212</v>
      </c>
      <c r="N623" s="1" t="s">
        <v>7184</v>
      </c>
    </row>
    <row r="624" spans="1:14" ht="116" x14ac:dyDescent="0.35">
      <c r="A624" s="113" t="s">
        <v>3619</v>
      </c>
      <c r="B624" s="102" t="s">
        <v>4648</v>
      </c>
      <c r="C624" s="123" t="str" cm="1">
        <f t="array" ref="C624:E624">_xlfn.TEXTSPLIT('איחוד שאלות'!$B624,"_")</f>
        <v>perception</v>
      </c>
      <c r="D624" s="102" t="str">
        <v>elections</v>
      </c>
      <c r="E624" s="102" t="str">
        <v>knowpolitician</v>
      </c>
      <c r="F624" s="102"/>
      <c r="G624" s="103"/>
      <c r="H624" s="135" t="s">
        <v>3306</v>
      </c>
      <c r="I624" s="2" t="s">
        <v>5844</v>
      </c>
      <c r="J624" s="2" t="s">
        <v>5954</v>
      </c>
      <c r="K624" s="2" t="s">
        <v>6213</v>
      </c>
      <c r="N624" s="1" t="s">
        <v>7185</v>
      </c>
    </row>
    <row r="625" spans="1:14" ht="130.5" x14ac:dyDescent="0.35">
      <c r="A625" s="121" t="s">
        <v>3620</v>
      </c>
      <c r="B625" s="99" t="s">
        <v>4649</v>
      </c>
      <c r="C625" s="121" t="str" cm="1">
        <f t="array" ref="C625:E625">_xlfn.TEXTSPLIT('איחוד שאלות'!$B625,"_")</f>
        <v>perception</v>
      </c>
      <c r="D625" s="99" t="str">
        <v>elections</v>
      </c>
      <c r="E625" s="99" t="str">
        <v>belonging</v>
      </c>
      <c r="F625" s="99"/>
      <c r="G625" s="100"/>
      <c r="H625" s="136" t="s">
        <v>3306</v>
      </c>
      <c r="I625" s="2" t="s">
        <v>5844</v>
      </c>
      <c r="J625" s="2" t="s">
        <v>5954</v>
      </c>
      <c r="K625" s="2" t="s">
        <v>5965</v>
      </c>
      <c r="N625" s="1" t="s">
        <v>7186</v>
      </c>
    </row>
    <row r="626" spans="1:14" ht="101.5" x14ac:dyDescent="0.35">
      <c r="A626" s="113" t="s">
        <v>3621</v>
      </c>
      <c r="B626" s="102" t="s">
        <v>4650</v>
      </c>
      <c r="C626" s="123" t="str" cm="1">
        <f t="array" ref="C626:E626">_xlfn.TEXTSPLIT('איחוד שאלות'!$B626,"_")</f>
        <v>perception</v>
      </c>
      <c r="D626" s="102" t="str">
        <v>elections</v>
      </c>
      <c r="E626" s="102" t="str">
        <v>wasteful</v>
      </c>
      <c r="F626" s="102"/>
      <c r="G626" s="103"/>
      <c r="H626" s="135" t="s">
        <v>3306</v>
      </c>
      <c r="I626" s="2" t="s">
        <v>5844</v>
      </c>
      <c r="J626" s="2" t="s">
        <v>5954</v>
      </c>
      <c r="K626" s="2" t="s">
        <v>6214</v>
      </c>
      <c r="N626" s="1" t="s">
        <v>7187</v>
      </c>
    </row>
    <row r="627" spans="1:14" ht="101.5" x14ac:dyDescent="0.35">
      <c r="A627" s="121" t="s">
        <v>3622</v>
      </c>
      <c r="B627" s="99" t="s">
        <v>4651</v>
      </c>
      <c r="C627" s="121" t="str" cm="1">
        <f t="array" ref="C627:E627">_xlfn.TEXTSPLIT('איחוד שאלות'!$B627,"_")</f>
        <v>perception</v>
      </c>
      <c r="D627" s="99" t="str">
        <v>elections</v>
      </c>
      <c r="E627" s="99" t="str">
        <v>crucial</v>
      </c>
      <c r="F627" s="99"/>
      <c r="G627" s="100"/>
      <c r="H627" s="136" t="s">
        <v>3306</v>
      </c>
      <c r="I627" s="2" t="s">
        <v>5844</v>
      </c>
      <c r="J627" s="2" t="s">
        <v>5954</v>
      </c>
      <c r="K627" s="2" t="s">
        <v>6215</v>
      </c>
      <c r="N627" s="1" t="s">
        <v>7188</v>
      </c>
    </row>
    <row r="628" spans="1:14" ht="87" x14ac:dyDescent="0.35">
      <c r="A628" s="113" t="s">
        <v>3623</v>
      </c>
      <c r="B628" s="102" t="s">
        <v>4652</v>
      </c>
      <c r="C628" s="123" t="str" cm="1">
        <f t="array" ref="C628:E628">_xlfn.TEXTSPLIT('איחוד שאלות'!$B628,"_")</f>
        <v>perception</v>
      </c>
      <c r="D628" s="102" t="str">
        <v>elections</v>
      </c>
      <c r="E628" s="102" t="str">
        <v>importance</v>
      </c>
      <c r="F628" s="102"/>
      <c r="G628" s="103"/>
      <c r="H628" s="135" t="s">
        <v>3306</v>
      </c>
      <c r="I628" s="2" t="s">
        <v>5844</v>
      </c>
      <c r="J628" s="2" t="s">
        <v>5954</v>
      </c>
      <c r="K628" s="2" t="s">
        <v>5857</v>
      </c>
      <c r="N628" s="1" t="s">
        <v>7189</v>
      </c>
    </row>
    <row r="629" spans="1:14" ht="72.5" x14ac:dyDescent="0.35">
      <c r="A629" s="121" t="s">
        <v>3624</v>
      </c>
      <c r="B629" s="99" t="s">
        <v>4653</v>
      </c>
      <c r="C629" s="121" t="str" cm="1">
        <f t="array" ref="C629:E629">_xlfn.TEXTSPLIT('איחוד שאלות'!$B629,"_")</f>
        <v>perception</v>
      </c>
      <c r="D629" s="99" t="str">
        <v>israel</v>
      </c>
      <c r="E629" s="99" t="str">
        <v>strongweak</v>
      </c>
      <c r="F629" s="99"/>
      <c r="G629" s="100"/>
      <c r="H629" s="136" t="s">
        <v>3306</v>
      </c>
      <c r="I629" s="2" t="s">
        <v>5844</v>
      </c>
      <c r="J629" s="2" t="s">
        <v>5845</v>
      </c>
      <c r="K629" s="2" t="s">
        <v>6196</v>
      </c>
      <c r="N629" s="1" t="s">
        <v>7190</v>
      </c>
    </row>
    <row r="630" spans="1:14" ht="87" x14ac:dyDescent="0.35">
      <c r="A630" s="113" t="s">
        <v>3625</v>
      </c>
      <c r="B630" s="102" t="s">
        <v>4654</v>
      </c>
      <c r="C630" s="123" t="str" cm="1">
        <f t="array" ref="C630:E630">_xlfn.TEXTSPLIT('איחוד שאלות'!$B630,"_")</f>
        <v>perception</v>
      </c>
      <c r="D630" s="102" t="str">
        <v>israel</v>
      </c>
      <c r="E630" s="102" t="str">
        <v>hopefuldespair</v>
      </c>
      <c r="F630" s="102"/>
      <c r="G630" s="103"/>
      <c r="H630" s="135" t="s">
        <v>3306</v>
      </c>
      <c r="I630" s="2" t="s">
        <v>5844</v>
      </c>
      <c r="J630" s="2" t="s">
        <v>5845</v>
      </c>
      <c r="K630" s="2" t="s">
        <v>6216</v>
      </c>
      <c r="N630" s="1" t="s">
        <v>7191</v>
      </c>
    </row>
    <row r="631" spans="1:14" ht="87" x14ac:dyDescent="0.35">
      <c r="A631" s="121" t="s">
        <v>3626</v>
      </c>
      <c r="B631" s="99" t="s">
        <v>4655</v>
      </c>
      <c r="C631" s="121" t="str" cm="1">
        <f t="array" ref="C631:E631">_xlfn.TEXTSPLIT('איחוד שאלות'!$B631,"_")</f>
        <v>perception</v>
      </c>
      <c r="D631" s="99" t="str">
        <v>israel</v>
      </c>
      <c r="E631" s="99" t="str">
        <v>just</v>
      </c>
      <c r="F631" s="99"/>
      <c r="G631" s="100"/>
      <c r="H631" s="136" t="s">
        <v>3306</v>
      </c>
      <c r="I631" s="2" t="s">
        <v>5844</v>
      </c>
      <c r="J631" s="2" t="s">
        <v>5845</v>
      </c>
      <c r="K631" s="2" t="s">
        <v>6217</v>
      </c>
      <c r="N631" s="1" t="s">
        <v>7192</v>
      </c>
    </row>
    <row r="632" spans="1:14" ht="101.5" x14ac:dyDescent="0.35">
      <c r="A632" s="113" t="s">
        <v>3627</v>
      </c>
      <c r="B632" s="102" t="s">
        <v>4656</v>
      </c>
      <c r="C632" s="123" t="str" cm="1">
        <f t="array" ref="C632:E632">_xlfn.TEXTSPLIT('איחוד שאלות'!$B632,"_")</f>
        <v>perception</v>
      </c>
      <c r="D632" s="102" t="str">
        <v>israel</v>
      </c>
      <c r="E632" s="102" t="str">
        <v>wanttolive</v>
      </c>
      <c r="F632" s="102"/>
      <c r="G632" s="103"/>
      <c r="H632" s="135" t="s">
        <v>3306</v>
      </c>
      <c r="I632" s="2" t="s">
        <v>5844</v>
      </c>
      <c r="J632" s="2" t="s">
        <v>5845</v>
      </c>
      <c r="K632" s="2" t="s">
        <v>6218</v>
      </c>
      <c r="N632" s="1" t="s">
        <v>7193</v>
      </c>
    </row>
    <row r="633" spans="1:14" ht="130.5" x14ac:dyDescent="0.35">
      <c r="A633" s="121" t="s">
        <v>3628</v>
      </c>
      <c r="B633" s="99" t="s">
        <v>4657</v>
      </c>
      <c r="C633" s="121" t="str" cm="1">
        <f t="array" ref="C633:E633">_xlfn.TEXTSPLIT('איחוד שאלות'!$B633,"_")</f>
        <v>perception</v>
      </c>
      <c r="D633" s="99" t="str">
        <v>israel</v>
      </c>
      <c r="E633" s="99" t="str">
        <v>livablejews</v>
      </c>
      <c r="F633" s="99"/>
      <c r="G633" s="100"/>
      <c r="H633" s="136" t="s">
        <v>3306</v>
      </c>
      <c r="I633" s="2" t="s">
        <v>5844</v>
      </c>
      <c r="J633" s="2" t="s">
        <v>5845</v>
      </c>
      <c r="K633" s="2" t="s">
        <v>6219</v>
      </c>
      <c r="N633" s="1" t="s">
        <v>7194</v>
      </c>
    </row>
    <row r="634" spans="1:14" ht="87" x14ac:dyDescent="0.35">
      <c r="A634" s="113" t="s">
        <v>3629</v>
      </c>
      <c r="B634" s="102" t="s">
        <v>5480</v>
      </c>
      <c r="C634" s="123" t="str" cm="1">
        <f t="array" ref="C634:F634">_xlfn.TEXTSPLIT('איחוד שאלות'!$B634,"_")</f>
        <v>perception</v>
      </c>
      <c r="D634" s="102" t="str">
        <v>israel</v>
      </c>
      <c r="E634" s="102" t="str">
        <v>democratic</v>
      </c>
      <c r="F634" s="102" t="str">
        <v>7</v>
      </c>
      <c r="G634" s="103"/>
      <c r="H634" s="135" t="s">
        <v>3306</v>
      </c>
      <c r="I634" s="2" t="s">
        <v>5844</v>
      </c>
      <c r="J634" s="2" t="s">
        <v>5845</v>
      </c>
      <c r="K634" s="2" t="s">
        <v>6220</v>
      </c>
      <c r="L634" s="2" t="s">
        <v>5898</v>
      </c>
      <c r="N634" s="1" t="s">
        <v>7195</v>
      </c>
    </row>
    <row r="635" spans="1:14" ht="101.5" x14ac:dyDescent="0.35">
      <c r="A635" s="121" t="s">
        <v>3630</v>
      </c>
      <c r="B635" s="99" t="s">
        <v>4658</v>
      </c>
      <c r="C635" s="121" t="str" cm="1">
        <f t="array" ref="C635:E635">_xlfn.TEXTSPLIT('איחוד שאלות'!$B635,"_")</f>
        <v>perception</v>
      </c>
      <c r="D635" s="99" t="str">
        <v>israel</v>
      </c>
      <c r="E635" s="99" t="str">
        <v>socialjustice</v>
      </c>
      <c r="F635" s="99"/>
      <c r="G635" s="100"/>
      <c r="H635" s="136" t="s">
        <v>3306</v>
      </c>
      <c r="I635" s="2" t="s">
        <v>5844</v>
      </c>
      <c r="J635" s="2" t="s">
        <v>5845</v>
      </c>
      <c r="K635" s="2" t="s">
        <v>6221</v>
      </c>
      <c r="N635" s="1" t="s">
        <v>7196</v>
      </c>
    </row>
    <row r="636" spans="1:14" ht="130.5" x14ac:dyDescent="0.35">
      <c r="A636" s="113" t="s">
        <v>3631</v>
      </c>
      <c r="B636" s="102" t="s">
        <v>4659</v>
      </c>
      <c r="C636" s="123" t="str" cm="1">
        <f t="array" ref="C636:E636">_xlfn.TEXTSPLIT('איחוד שאלות'!$B636,"_")</f>
        <v>perception</v>
      </c>
      <c r="D636" s="102" t="str">
        <v>israel</v>
      </c>
      <c r="E636" s="102" t="str">
        <v>goodnighbour</v>
      </c>
      <c r="F636" s="102"/>
      <c r="G636" s="103"/>
      <c r="H636" s="135" t="s">
        <v>3306</v>
      </c>
      <c r="I636" s="2" t="s">
        <v>5844</v>
      </c>
      <c r="J636" s="2" t="s">
        <v>5845</v>
      </c>
      <c r="K636" s="2" t="s">
        <v>6222</v>
      </c>
      <c r="N636" s="1" t="s">
        <v>7197</v>
      </c>
    </row>
    <row r="637" spans="1:14" ht="87" x14ac:dyDescent="0.35">
      <c r="A637" s="121" t="s">
        <v>3632</v>
      </c>
      <c r="B637" s="99" t="s">
        <v>4660</v>
      </c>
      <c r="C637" s="121" t="str" cm="1">
        <f t="array" ref="C637:E637">_xlfn.TEXTSPLIT('איחוד שאלות'!$B637,"_")</f>
        <v>perception</v>
      </c>
      <c r="D637" s="99" t="str">
        <v>israel</v>
      </c>
      <c r="E637" s="99" t="str">
        <v>dovishhawkish</v>
      </c>
      <c r="F637" s="99"/>
      <c r="G637" s="100"/>
      <c r="H637" s="136" t="s">
        <v>3306</v>
      </c>
      <c r="I637" s="2" t="s">
        <v>5844</v>
      </c>
      <c r="J637" s="2" t="s">
        <v>5845</v>
      </c>
      <c r="K637" s="2" t="s">
        <v>6203</v>
      </c>
      <c r="N637" s="1" t="s">
        <v>7198</v>
      </c>
    </row>
    <row r="638" spans="1:14" ht="116" x14ac:dyDescent="0.35">
      <c r="A638" s="113" t="s">
        <v>3633</v>
      </c>
      <c r="B638" s="102" t="s">
        <v>4661</v>
      </c>
      <c r="C638" s="123" t="str" cm="1">
        <f t="array" ref="C638:E638">_xlfn.TEXTSPLIT('איחוד שאלות'!$B638,"_")</f>
        <v>perception</v>
      </c>
      <c r="D638" s="102" t="str">
        <v>israel</v>
      </c>
      <c r="E638" s="102" t="str">
        <v>zionistdream</v>
      </c>
      <c r="F638" s="102"/>
      <c r="G638" s="103"/>
      <c r="H638" s="135" t="s">
        <v>3306</v>
      </c>
      <c r="I638" s="2" t="s">
        <v>5844</v>
      </c>
      <c r="J638" s="2" t="s">
        <v>5845</v>
      </c>
      <c r="K638" s="2" t="s">
        <v>6223</v>
      </c>
      <c r="N638" s="1" t="s">
        <v>7199</v>
      </c>
    </row>
    <row r="639" spans="1:14" ht="87" x14ac:dyDescent="0.35">
      <c r="A639" s="121" t="s">
        <v>3634</v>
      </c>
      <c r="B639" s="99" t="s">
        <v>4662</v>
      </c>
      <c r="C639" s="121" t="str" cm="1">
        <f t="array" ref="C639:F639">_xlfn.TEXTSPLIT('איחוד שאלות'!$B639,"_")</f>
        <v>perception</v>
      </c>
      <c r="D639" s="99" t="str">
        <v>argument</v>
      </c>
      <c r="E639" s="99" t="str">
        <v>strongleaders</v>
      </c>
      <c r="F639" s="99" t="str">
        <v>likud</v>
      </c>
      <c r="G639" s="100"/>
      <c r="H639" s="136" t="s">
        <v>3306</v>
      </c>
      <c r="I639" s="2" t="s">
        <v>5844</v>
      </c>
      <c r="J639" s="2" t="s">
        <v>6224</v>
      </c>
      <c r="K639" s="2" t="s">
        <v>6225</v>
      </c>
      <c r="L639" s="2" t="s">
        <v>6030</v>
      </c>
      <c r="N639" s="1" t="s">
        <v>7200</v>
      </c>
    </row>
    <row r="640" spans="1:14" ht="101.5" x14ac:dyDescent="0.35">
      <c r="A640" s="113" t="s">
        <v>3635</v>
      </c>
      <c r="B640" s="102" t="s">
        <v>4663</v>
      </c>
      <c r="C640" s="123" t="str" cm="1">
        <f t="array" ref="C640:F640">_xlfn.TEXTSPLIT('איחוד שאלות'!$B640,"_")</f>
        <v>perception</v>
      </c>
      <c r="D640" s="102" t="str">
        <v>argument</v>
      </c>
      <c r="E640" s="102" t="str">
        <v>economiccare</v>
      </c>
      <c r="F640" s="102" t="str">
        <v>likud</v>
      </c>
      <c r="G640" s="103"/>
      <c r="H640" s="135" t="s">
        <v>3306</v>
      </c>
      <c r="I640" s="2" t="s">
        <v>5844</v>
      </c>
      <c r="J640" s="2" t="s">
        <v>6224</v>
      </c>
      <c r="K640" s="2" t="s">
        <v>6226</v>
      </c>
      <c r="L640" s="2" t="s">
        <v>6030</v>
      </c>
      <c r="N640" s="1" t="s">
        <v>7201</v>
      </c>
    </row>
    <row r="641" spans="1:14" ht="101.5" x14ac:dyDescent="0.35">
      <c r="A641" s="121" t="s">
        <v>3636</v>
      </c>
      <c r="B641" s="99" t="s">
        <v>4664</v>
      </c>
      <c r="C641" s="121" t="str" cm="1">
        <f t="array" ref="C641:F641">_xlfn.TEXTSPLIT('איחוד שאלות'!$B641,"_")</f>
        <v>perception</v>
      </c>
      <c r="D641" s="99" t="str">
        <v>argument</v>
      </c>
      <c r="E641" s="99" t="str">
        <v>securefuture</v>
      </c>
      <c r="F641" s="99" t="str">
        <v>likud</v>
      </c>
      <c r="G641" s="100"/>
      <c r="H641" s="136" t="s">
        <v>3306</v>
      </c>
      <c r="I641" s="2" t="s">
        <v>5844</v>
      </c>
      <c r="J641" s="2" t="s">
        <v>6224</v>
      </c>
      <c r="K641" s="2" t="s">
        <v>6169</v>
      </c>
      <c r="L641" s="2" t="s">
        <v>6030</v>
      </c>
      <c r="N641" s="1" t="s">
        <v>7202</v>
      </c>
    </row>
    <row r="642" spans="1:14" ht="101.5" x14ac:dyDescent="0.35">
      <c r="A642" s="113" t="s">
        <v>3637</v>
      </c>
      <c r="B642" s="102" t="s">
        <v>4665</v>
      </c>
      <c r="C642" s="123" t="str" cm="1">
        <f t="array" ref="C642:F642">_xlfn.TEXTSPLIT('איחוד שאלות'!$B642,"_")</f>
        <v>perception</v>
      </c>
      <c r="D642" s="102" t="str">
        <v>argument</v>
      </c>
      <c r="E642" s="102" t="str">
        <v>jewishstate</v>
      </c>
      <c r="F642" s="102" t="str">
        <v>likud</v>
      </c>
      <c r="G642" s="103"/>
      <c r="H642" s="135" t="s">
        <v>3306</v>
      </c>
      <c r="I642" s="2" t="s">
        <v>5844</v>
      </c>
      <c r="J642" s="2" t="s">
        <v>6224</v>
      </c>
      <c r="K642" s="2" t="s">
        <v>6227</v>
      </c>
      <c r="L642" s="2" t="s">
        <v>6030</v>
      </c>
      <c r="N642" s="1" t="s">
        <v>7203</v>
      </c>
    </row>
    <row r="643" spans="1:14" ht="101.5" x14ac:dyDescent="0.35">
      <c r="A643" s="121" t="s">
        <v>3638</v>
      </c>
      <c r="B643" s="99" t="s">
        <v>4666</v>
      </c>
      <c r="C643" s="121" t="str" cm="1">
        <f t="array" ref="C643:F643">_xlfn.TEXTSPLIT('איחוד שאלות'!$B643,"_")</f>
        <v>perception</v>
      </c>
      <c r="D643" s="99" t="str">
        <v>argument</v>
      </c>
      <c r="E643" s="99" t="str">
        <v>security</v>
      </c>
      <c r="F643" s="99" t="str">
        <v>likud</v>
      </c>
      <c r="G643" s="100"/>
      <c r="H643" s="136" t="s">
        <v>3306</v>
      </c>
      <c r="I643" s="2" t="s">
        <v>5844</v>
      </c>
      <c r="J643" s="2" t="s">
        <v>6224</v>
      </c>
      <c r="K643" s="2" t="s">
        <v>5994</v>
      </c>
      <c r="L643" s="2" t="s">
        <v>6030</v>
      </c>
      <c r="N643" s="1" t="s">
        <v>7204</v>
      </c>
    </row>
    <row r="644" spans="1:14" ht="116" x14ac:dyDescent="0.35">
      <c r="A644" s="113" t="s">
        <v>3639</v>
      </c>
      <c r="B644" s="102" t="s">
        <v>4667</v>
      </c>
      <c r="C644" s="123" t="str" cm="1">
        <f t="array" ref="C644:F644">_xlfn.TEXTSPLIT('איחוד שאלות'!$B644,"_")</f>
        <v>perception</v>
      </c>
      <c r="D644" s="102" t="str">
        <v>argument</v>
      </c>
      <c r="E644" s="102" t="str">
        <v>livablejews</v>
      </c>
      <c r="F644" s="102" t="str">
        <v>likud</v>
      </c>
      <c r="G644" s="103"/>
      <c r="H644" s="135" t="s">
        <v>3306</v>
      </c>
      <c r="I644" s="2" t="s">
        <v>5844</v>
      </c>
      <c r="J644" s="2" t="s">
        <v>6224</v>
      </c>
      <c r="K644" s="2" t="s">
        <v>6219</v>
      </c>
      <c r="L644" s="2" t="s">
        <v>6030</v>
      </c>
      <c r="N644" s="1" t="s">
        <v>7205</v>
      </c>
    </row>
    <row r="645" spans="1:14" ht="116" x14ac:dyDescent="0.35">
      <c r="A645" s="121" t="s">
        <v>3640</v>
      </c>
      <c r="B645" s="99" t="s">
        <v>4668</v>
      </c>
      <c r="C645" s="121" t="str" cm="1">
        <f t="array" ref="C645:F645">_xlfn.TEXTSPLIT('איחוד שאלות'!$B645,"_")</f>
        <v>perception</v>
      </c>
      <c r="D645" s="99" t="str">
        <v>argument</v>
      </c>
      <c r="E645" s="99" t="str">
        <v>strongnegotiator</v>
      </c>
      <c r="F645" s="99" t="str">
        <v>likud</v>
      </c>
      <c r="G645" s="100"/>
      <c r="H645" s="136" t="s">
        <v>3306</v>
      </c>
      <c r="I645" s="2" t="s">
        <v>5844</v>
      </c>
      <c r="J645" s="2" t="s">
        <v>6224</v>
      </c>
      <c r="K645" s="2" t="s">
        <v>6152</v>
      </c>
      <c r="L645" s="2" t="s">
        <v>6030</v>
      </c>
      <c r="N645" s="1" t="s">
        <v>7206</v>
      </c>
    </row>
    <row r="646" spans="1:14" ht="130.5" x14ac:dyDescent="0.35">
      <c r="A646" s="113" t="s">
        <v>3641</v>
      </c>
      <c r="B646" s="102" t="s">
        <v>4669</v>
      </c>
      <c r="C646" s="123" t="str" cm="1">
        <f t="array" ref="C646:F646">_xlfn.TEXTSPLIT('איחוד שאלות'!$B646,"_")</f>
        <v>perception</v>
      </c>
      <c r="D646" s="102" t="str">
        <v>argument</v>
      </c>
      <c r="E646" s="102" t="str">
        <v>Hamaarakhrebuild</v>
      </c>
      <c r="F646" s="102" t="str">
        <v>likud</v>
      </c>
      <c r="G646" s="103"/>
      <c r="H646" s="135" t="s">
        <v>3306</v>
      </c>
      <c r="I646" s="2" t="s">
        <v>5844</v>
      </c>
      <c r="J646" s="2" t="s">
        <v>6224</v>
      </c>
      <c r="K646" s="2" t="s">
        <v>6228</v>
      </c>
      <c r="L646" s="2" t="s">
        <v>6030</v>
      </c>
      <c r="N646" s="1" t="s">
        <v>7207</v>
      </c>
    </row>
    <row r="647" spans="1:14" ht="101.5" x14ac:dyDescent="0.35">
      <c r="A647" s="121" t="s">
        <v>3642</v>
      </c>
      <c r="B647" s="99" t="s">
        <v>4670</v>
      </c>
      <c r="C647" s="121" t="str" cm="1">
        <f t="array" ref="C647:F647">_xlfn.TEXTSPLIT('איחוד שאלות'!$B647,"_")</f>
        <v>perception</v>
      </c>
      <c r="D647" s="99" t="str">
        <v>argument</v>
      </c>
      <c r="E647" s="99" t="str">
        <v>peaceprocess</v>
      </c>
      <c r="F647" s="99" t="str">
        <v>likud</v>
      </c>
      <c r="G647" s="100"/>
      <c r="H647" s="136" t="s">
        <v>3306</v>
      </c>
      <c r="I647" s="2" t="s">
        <v>5844</v>
      </c>
      <c r="J647" s="2" t="s">
        <v>6224</v>
      </c>
      <c r="K647" s="2" t="s">
        <v>5874</v>
      </c>
      <c r="L647" s="2" t="s">
        <v>6030</v>
      </c>
      <c r="N647" s="1" t="s">
        <v>7208</v>
      </c>
    </row>
    <row r="648" spans="1:14" ht="116" x14ac:dyDescent="0.35">
      <c r="A648" s="113" t="s">
        <v>3643</v>
      </c>
      <c r="B648" s="102" t="s">
        <v>4671</v>
      </c>
      <c r="C648" s="123" t="str" cm="1">
        <f t="array" ref="C648:F648">_xlfn.TEXTSPLIT('איחוד שאלות'!$B648,"_")</f>
        <v>perception</v>
      </c>
      <c r="D648" s="102" t="str">
        <v>argument</v>
      </c>
      <c r="E648" s="102" t="str">
        <v>socioeconomic</v>
      </c>
      <c r="F648" s="102" t="str">
        <v>likud</v>
      </c>
      <c r="G648" s="103"/>
      <c r="H648" s="135" t="s">
        <v>3306</v>
      </c>
      <c r="I648" s="2" t="s">
        <v>5844</v>
      </c>
      <c r="J648" s="2" t="s">
        <v>6224</v>
      </c>
      <c r="K648" s="2" t="s">
        <v>6006</v>
      </c>
      <c r="L648" s="2" t="s">
        <v>6030</v>
      </c>
      <c r="N648" s="1" t="s">
        <v>7209</v>
      </c>
    </row>
    <row r="649" spans="1:14" ht="116" x14ac:dyDescent="0.35">
      <c r="A649" s="121" t="s">
        <v>3644</v>
      </c>
      <c r="B649" s="99" t="s">
        <v>4672</v>
      </c>
      <c r="C649" s="121" t="str" cm="1">
        <f t="array" ref="C649:F649">_xlfn.TEXTSPLIT('איחוד שאלות'!$B649,"_")</f>
        <v>perception</v>
      </c>
      <c r="D649" s="99" t="str">
        <v>argument</v>
      </c>
      <c r="E649" s="99" t="str">
        <v>Hamaarakhcanttrust</v>
      </c>
      <c r="F649" s="99" t="str">
        <v>likud</v>
      </c>
      <c r="G649" s="100"/>
      <c r="H649" s="136" t="s">
        <v>3306</v>
      </c>
      <c r="I649" s="2" t="s">
        <v>5844</v>
      </c>
      <c r="J649" s="2" t="s">
        <v>6224</v>
      </c>
      <c r="K649" s="2" t="s">
        <v>6229</v>
      </c>
      <c r="L649" s="2" t="s">
        <v>6030</v>
      </c>
      <c r="N649" s="1" t="s">
        <v>7210</v>
      </c>
    </row>
    <row r="650" spans="1:14" ht="101.5" x14ac:dyDescent="0.35">
      <c r="A650" s="113" t="s">
        <v>3645</v>
      </c>
      <c r="B650" s="102" t="s">
        <v>4673</v>
      </c>
      <c r="C650" s="123" t="str" cm="1">
        <f t="array" ref="C650:F650">_xlfn.TEXTSPLIT('איחוד שאלות'!$B650,"_")</f>
        <v>perception</v>
      </c>
      <c r="D650" s="102" t="str">
        <v>argument</v>
      </c>
      <c r="E650" s="102" t="str">
        <v>lesserevil</v>
      </c>
      <c r="F650" s="102" t="str">
        <v>likud</v>
      </c>
      <c r="G650" s="103"/>
      <c r="H650" s="135" t="s">
        <v>3306</v>
      </c>
      <c r="I650" s="2" t="s">
        <v>5844</v>
      </c>
      <c r="J650" s="2" t="s">
        <v>6224</v>
      </c>
      <c r="K650" s="2" t="s">
        <v>6230</v>
      </c>
      <c r="L650" s="2" t="s">
        <v>6030</v>
      </c>
      <c r="N650" s="1" t="s">
        <v>7211</v>
      </c>
    </row>
    <row r="651" spans="1:14" ht="145" x14ac:dyDescent="0.35">
      <c r="A651" s="121" t="s">
        <v>3646</v>
      </c>
      <c r="B651" s="99" t="s">
        <v>4674</v>
      </c>
      <c r="C651" s="121" t="str" cm="1">
        <f t="array" ref="C651:F651">_xlfn.TEXTSPLIT('איחוד שאלות'!$B651,"_")</f>
        <v>perception</v>
      </c>
      <c r="D651" s="99" t="str">
        <v>argument</v>
      </c>
      <c r="E651" s="99" t="str">
        <v>Hamaarakhbadleaders</v>
      </c>
      <c r="F651" s="99" t="str">
        <v>likud</v>
      </c>
      <c r="G651" s="100"/>
      <c r="H651" s="136" t="s">
        <v>3306</v>
      </c>
      <c r="I651" s="2" t="s">
        <v>5844</v>
      </c>
      <c r="J651" s="2" t="s">
        <v>6224</v>
      </c>
      <c r="K651" s="2" t="s">
        <v>6231</v>
      </c>
      <c r="L651" s="2" t="s">
        <v>6030</v>
      </c>
      <c r="N651" s="1" t="s">
        <v>7212</v>
      </c>
    </row>
    <row r="652" spans="1:14" ht="130.5" x14ac:dyDescent="0.35">
      <c r="A652" s="113" t="s">
        <v>3647</v>
      </c>
      <c r="B652" s="102" t="s">
        <v>4675</v>
      </c>
      <c r="C652" s="123" t="str" cm="1">
        <f t="array" ref="C652:F652">_xlfn.TEXTSPLIT('איחוד שאלות'!$B652,"_")</f>
        <v>perception</v>
      </c>
      <c r="D652" s="102" t="str">
        <v>argument</v>
      </c>
      <c r="E652" s="102" t="str">
        <v>Hamaarakhsecuritypolicy</v>
      </c>
      <c r="F652" s="102" t="str">
        <v>likud</v>
      </c>
      <c r="G652" s="103"/>
      <c r="H652" s="135" t="s">
        <v>3306</v>
      </c>
      <c r="I652" s="2" t="s">
        <v>5844</v>
      </c>
      <c r="J652" s="2" t="s">
        <v>6224</v>
      </c>
      <c r="K652" s="2" t="s">
        <v>6232</v>
      </c>
      <c r="L652" s="2" t="s">
        <v>6030</v>
      </c>
      <c r="N652" s="1" t="s">
        <v>7213</v>
      </c>
    </row>
    <row r="653" spans="1:14" ht="145" x14ac:dyDescent="0.35">
      <c r="A653" s="121" t="s">
        <v>3648</v>
      </c>
      <c r="B653" s="99" t="s">
        <v>4676</v>
      </c>
      <c r="C653" s="121" t="str" cm="1">
        <f t="array" ref="C653:F653">_xlfn.TEXTSPLIT('איחוד שאלות'!$B653,"_")</f>
        <v>perception</v>
      </c>
      <c r="D653" s="99" t="str">
        <v>argument</v>
      </c>
      <c r="E653" s="99" t="str">
        <v>Hamaarakhpalestinianstate</v>
      </c>
      <c r="F653" s="99" t="str">
        <v>likud</v>
      </c>
      <c r="G653" s="100"/>
      <c r="H653" s="136" t="s">
        <v>3306</v>
      </c>
      <c r="I653" s="2" t="s">
        <v>5844</v>
      </c>
      <c r="J653" s="2" t="s">
        <v>6224</v>
      </c>
      <c r="K653" s="2" t="s">
        <v>6233</v>
      </c>
      <c r="L653" s="2" t="s">
        <v>6030</v>
      </c>
      <c r="N653" s="1" t="s">
        <v>7214</v>
      </c>
    </row>
    <row r="654" spans="1:14" ht="101.5" x14ac:dyDescent="0.35">
      <c r="A654" s="113" t="s">
        <v>3649</v>
      </c>
      <c r="B654" s="102" t="s">
        <v>4677</v>
      </c>
      <c r="C654" s="123" t="str" cm="1">
        <f t="array" ref="C654:F654">_xlfn.TEXTSPLIT('איחוד שאלות'!$B654,"_")</f>
        <v>perception</v>
      </c>
      <c r="D654" s="102" t="str">
        <v>argument</v>
      </c>
      <c r="E654" s="102" t="str">
        <v>newleadership</v>
      </c>
      <c r="F654" s="102" t="str">
        <v>likud</v>
      </c>
      <c r="G654" s="103"/>
      <c r="H654" s="135" t="s">
        <v>3306</v>
      </c>
      <c r="I654" s="2" t="s">
        <v>5844</v>
      </c>
      <c r="J654" s="2" t="s">
        <v>6224</v>
      </c>
      <c r="K654" s="2" t="s">
        <v>6234</v>
      </c>
      <c r="L654" s="2" t="s">
        <v>6030</v>
      </c>
      <c r="N654" s="1" t="s">
        <v>7215</v>
      </c>
    </row>
    <row r="655" spans="1:14" ht="101.5" x14ac:dyDescent="0.35">
      <c r="A655" s="121" t="s">
        <v>3650</v>
      </c>
      <c r="B655" s="99" t="s">
        <v>4678</v>
      </c>
      <c r="C655" s="121" t="str" cm="1">
        <f t="array" ref="C655:F655">_xlfn.TEXTSPLIT('איחוד שאלות'!$B655,"_")</f>
        <v>perception</v>
      </c>
      <c r="D655" s="99" t="str">
        <v>argument</v>
      </c>
      <c r="E655" s="99" t="str">
        <v>freshleadership</v>
      </c>
      <c r="F655" s="99" t="str">
        <v>likud</v>
      </c>
      <c r="G655" s="100"/>
      <c r="H655" s="136" t="s">
        <v>3306</v>
      </c>
      <c r="I655" s="2" t="s">
        <v>5844</v>
      </c>
      <c r="J655" s="2" t="s">
        <v>6224</v>
      </c>
      <c r="K655" s="2" t="s">
        <v>6235</v>
      </c>
      <c r="L655" s="2" t="s">
        <v>6030</v>
      </c>
      <c r="N655" s="1" t="s">
        <v>7216</v>
      </c>
    </row>
    <row r="656" spans="1:14" ht="116" x14ac:dyDescent="0.35">
      <c r="A656" s="113" t="s">
        <v>3651</v>
      </c>
      <c r="B656" s="102" t="s">
        <v>4679</v>
      </c>
      <c r="C656" s="123" t="str" cm="1">
        <f t="array" ref="C656:F656">_xlfn.TEXTSPLIT('איחוד שאלות'!$B656,"_")</f>
        <v>perception</v>
      </c>
      <c r="D656" s="102" t="str">
        <v>argument</v>
      </c>
      <c r="E656" s="102" t="str">
        <v>stopcorruption</v>
      </c>
      <c r="F656" s="102" t="str">
        <v>likud</v>
      </c>
      <c r="G656" s="103"/>
      <c r="H656" s="135" t="s">
        <v>3306</v>
      </c>
      <c r="I656" s="2" t="s">
        <v>5844</v>
      </c>
      <c r="J656" s="2" t="s">
        <v>6224</v>
      </c>
      <c r="K656" s="2" t="s">
        <v>6236</v>
      </c>
      <c r="L656" s="2" t="s">
        <v>6030</v>
      </c>
      <c r="N656" s="1" t="s">
        <v>7217</v>
      </c>
    </row>
    <row r="657" spans="1:14" ht="101.5" x14ac:dyDescent="0.35">
      <c r="A657" s="121" t="s">
        <v>3652</v>
      </c>
      <c r="B657" s="99" t="s">
        <v>4680</v>
      </c>
      <c r="C657" s="121" t="str" cm="1">
        <f t="array" ref="C657:F657">_xlfn.TEXTSPLIT('איחוד שאלות'!$B657,"_")</f>
        <v>perception</v>
      </c>
      <c r="D657" s="99" t="str">
        <v>argument</v>
      </c>
      <c r="E657" s="99" t="str">
        <v>democraticparty</v>
      </c>
      <c r="F657" s="99" t="str">
        <v>likud</v>
      </c>
      <c r="G657" s="100"/>
      <c r="H657" s="136" t="s">
        <v>3306</v>
      </c>
      <c r="I657" s="2" t="s">
        <v>5844</v>
      </c>
      <c r="J657" s="2" t="s">
        <v>6224</v>
      </c>
      <c r="K657" s="2" t="s">
        <v>6237</v>
      </c>
      <c r="L657" s="2" t="s">
        <v>6030</v>
      </c>
      <c r="N657" s="1" t="s">
        <v>7218</v>
      </c>
    </row>
    <row r="658" spans="1:14" ht="116" x14ac:dyDescent="0.35">
      <c r="A658" s="113" t="s">
        <v>3653</v>
      </c>
      <c r="B658" s="102" t="s">
        <v>4681</v>
      </c>
      <c r="C658" s="123" t="str" cm="1">
        <f t="array" ref="C658:F658">_xlfn.TEXTSPLIT('איחוד שאלות'!$B658,"_")</f>
        <v>perception</v>
      </c>
      <c r="D658" s="102" t="str">
        <v>argument</v>
      </c>
      <c r="E658" s="102" t="str">
        <v>Hamaarakhcorruption</v>
      </c>
      <c r="F658" s="102" t="str">
        <v>likud</v>
      </c>
      <c r="G658" s="103"/>
      <c r="H658" s="135" t="s">
        <v>3306</v>
      </c>
      <c r="I658" s="2" t="s">
        <v>5844</v>
      </c>
      <c r="J658" s="2" t="s">
        <v>6224</v>
      </c>
      <c r="K658" s="2" t="s">
        <v>6238</v>
      </c>
      <c r="L658" s="2" t="s">
        <v>6030</v>
      </c>
      <c r="N658" s="1" t="s">
        <v>7219</v>
      </c>
    </row>
    <row r="659" spans="1:14" ht="116" x14ac:dyDescent="0.35">
      <c r="A659" s="121" t="s">
        <v>3654</v>
      </c>
      <c r="B659" s="99" t="s">
        <v>4682</v>
      </c>
      <c r="C659" s="121" t="str" cm="1">
        <f t="array" ref="C659:F659">_xlfn.TEXTSPLIT('איחוד שאלות'!$B659,"_")</f>
        <v>perception</v>
      </c>
      <c r="D659" s="99" t="str">
        <v>argument</v>
      </c>
      <c r="E659" s="99" t="str">
        <v>helpcareer</v>
      </c>
      <c r="F659" s="99" t="str">
        <v>likud</v>
      </c>
      <c r="G659" s="100"/>
      <c r="H659" s="136" t="s">
        <v>3306</v>
      </c>
      <c r="I659" s="2" t="s">
        <v>5844</v>
      </c>
      <c r="J659" s="2" t="s">
        <v>6224</v>
      </c>
      <c r="K659" s="2" t="s">
        <v>6239</v>
      </c>
      <c r="L659" s="2" t="s">
        <v>6030</v>
      </c>
      <c r="N659" s="1" t="s">
        <v>7220</v>
      </c>
    </row>
    <row r="660" spans="1:14" ht="116" x14ac:dyDescent="0.35">
      <c r="A660" s="113" t="s">
        <v>3655</v>
      </c>
      <c r="B660" s="102" t="s">
        <v>4683</v>
      </c>
      <c r="C660" s="123" t="str" cm="1">
        <f t="array" ref="C660:F660">_xlfn.TEXTSPLIT('איחוד שאלות'!$B660,"_")</f>
        <v>perception</v>
      </c>
      <c r="D660" s="102" t="str">
        <v>argument</v>
      </c>
      <c r="E660" s="102" t="str">
        <v>helppersonally</v>
      </c>
      <c r="F660" s="102" t="str">
        <v>likud</v>
      </c>
      <c r="G660" s="103"/>
      <c r="H660" s="135" t="s">
        <v>3306</v>
      </c>
      <c r="I660" s="2" t="s">
        <v>5844</v>
      </c>
      <c r="J660" s="2" t="s">
        <v>6224</v>
      </c>
      <c r="K660" s="2" t="s">
        <v>6240</v>
      </c>
      <c r="L660" s="2" t="s">
        <v>6030</v>
      </c>
      <c r="N660" s="1" t="s">
        <v>7221</v>
      </c>
    </row>
    <row r="661" spans="1:14" ht="101.5" x14ac:dyDescent="0.35">
      <c r="A661" s="121" t="s">
        <v>3656</v>
      </c>
      <c r="B661" s="99" t="s">
        <v>4684</v>
      </c>
      <c r="C661" s="121" t="str" cm="1">
        <f t="array" ref="C661:F661">_xlfn.TEXTSPLIT('איחוד שאלות'!$B661,"_")</f>
        <v>perception</v>
      </c>
      <c r="D661" s="99" t="str">
        <v>argument</v>
      </c>
      <c r="E661" s="99" t="str">
        <v>Hamaarakhsocioeconomic</v>
      </c>
      <c r="F661" s="99" t="str">
        <v>likud</v>
      </c>
      <c r="G661" s="100"/>
      <c r="H661" s="136" t="s">
        <v>3306</v>
      </c>
      <c r="I661" s="2" t="s">
        <v>5844</v>
      </c>
      <c r="J661" s="2" t="s">
        <v>6224</v>
      </c>
      <c r="K661" s="2" t="s">
        <v>6241</v>
      </c>
      <c r="L661" s="2" t="s">
        <v>6030</v>
      </c>
      <c r="N661" s="1" t="s">
        <v>7222</v>
      </c>
    </row>
    <row r="662" spans="1:14" ht="101.5" x14ac:dyDescent="0.35">
      <c r="A662" s="113" t="s">
        <v>3657</v>
      </c>
      <c r="B662" s="102" t="s">
        <v>4685</v>
      </c>
      <c r="C662" s="123" t="str" cm="1">
        <f t="array" ref="C662:F662">_xlfn.TEXTSPLIT('איחוד שאלות'!$B662,"_")</f>
        <v>perception</v>
      </c>
      <c r="D662" s="102" t="str">
        <v>argument</v>
      </c>
      <c r="E662" s="102" t="str">
        <v>noterritoriesrestitution</v>
      </c>
      <c r="F662" s="102" t="str">
        <v>likud</v>
      </c>
      <c r="G662" s="103"/>
      <c r="H662" s="135" t="s">
        <v>3306</v>
      </c>
      <c r="I662" s="2" t="s">
        <v>5844</v>
      </c>
      <c r="J662" s="2" t="s">
        <v>6224</v>
      </c>
      <c r="K662" s="2" t="s">
        <v>6242</v>
      </c>
      <c r="L662" s="2" t="s">
        <v>6030</v>
      </c>
      <c r="N662" s="1" t="s">
        <v>7223</v>
      </c>
    </row>
    <row r="663" spans="1:14" ht="101.5" x14ac:dyDescent="0.35">
      <c r="A663" s="121" t="s">
        <v>3658</v>
      </c>
      <c r="B663" s="99" t="s">
        <v>4686</v>
      </c>
      <c r="C663" s="121" t="str" cm="1">
        <f t="array" ref="C663:F663">_xlfn.TEXTSPLIT('איחוד שאלות'!$B663,"_")</f>
        <v>perception</v>
      </c>
      <c r="D663" s="99" t="str">
        <v>argument</v>
      </c>
      <c r="E663" s="99" t="str">
        <v>Hamaarakhresponsible73</v>
      </c>
      <c r="F663" s="99" t="str">
        <v>likud</v>
      </c>
      <c r="G663" s="100"/>
      <c r="H663" s="136" t="s">
        <v>3306</v>
      </c>
      <c r="I663" s="2" t="s">
        <v>5844</v>
      </c>
      <c r="J663" s="2" t="s">
        <v>6224</v>
      </c>
      <c r="K663" s="2" t="s">
        <v>6243</v>
      </c>
      <c r="L663" s="2" t="s">
        <v>6030</v>
      </c>
      <c r="N663" s="1" t="s">
        <v>7224</v>
      </c>
    </row>
    <row r="664" spans="1:14" ht="101.5" x14ac:dyDescent="0.35">
      <c r="A664" s="113" t="s">
        <v>3659</v>
      </c>
      <c r="B664" s="102" t="s">
        <v>4687</v>
      </c>
      <c r="C664" s="123" t="str" cm="1">
        <f t="array" ref="C664:F664">_xlfn.TEXTSPLIT('איחוד שאלות'!$B664,"_")</f>
        <v>perception</v>
      </c>
      <c r="D664" s="102" t="str">
        <v>argument</v>
      </c>
      <c r="E664" s="102" t="str">
        <v>betterleaders</v>
      </c>
      <c r="F664" s="102" t="str">
        <v>likud</v>
      </c>
      <c r="G664" s="103"/>
      <c r="H664" s="135" t="s">
        <v>3306</v>
      </c>
      <c r="I664" s="2" t="s">
        <v>5844</v>
      </c>
      <c r="J664" s="2" t="s">
        <v>6224</v>
      </c>
      <c r="K664" s="2" t="s">
        <v>6244</v>
      </c>
      <c r="L664" s="2" t="s">
        <v>6030</v>
      </c>
      <c r="N664" s="1" t="s">
        <v>7225</v>
      </c>
    </row>
    <row r="665" spans="1:14" ht="101.5" x14ac:dyDescent="0.35">
      <c r="A665" s="121" t="s">
        <v>3660</v>
      </c>
      <c r="B665" s="99" t="s">
        <v>4688</v>
      </c>
      <c r="C665" s="121" t="str" cm="1">
        <f t="array" ref="C665:F665">_xlfn.TEXTSPLIT('איחוד שאלות'!$B665,"_")</f>
        <v>perception</v>
      </c>
      <c r="D665" s="99" t="str">
        <v>argument</v>
      </c>
      <c r="E665" s="99" t="str">
        <v>offeredbigcoalition</v>
      </c>
      <c r="F665" s="99" t="str">
        <v>likud</v>
      </c>
      <c r="G665" s="100"/>
      <c r="H665" s="136" t="s">
        <v>3306</v>
      </c>
      <c r="I665" s="2" t="s">
        <v>5844</v>
      </c>
      <c r="J665" s="2" t="s">
        <v>6224</v>
      </c>
      <c r="K665" s="2" t="s">
        <v>6245</v>
      </c>
      <c r="L665" s="2" t="s">
        <v>6030</v>
      </c>
      <c r="N665" s="1" t="s">
        <v>7226</v>
      </c>
    </row>
    <row r="666" spans="1:14" ht="87" x14ac:dyDescent="0.35">
      <c r="A666" s="113" t="s">
        <v>3661</v>
      </c>
      <c r="B666" s="102" t="s">
        <v>4689</v>
      </c>
      <c r="C666" s="123" t="str" cm="1">
        <f t="array" ref="C666:F666">_xlfn.TEXTSPLIT('איחוד שאלות'!$B666,"_")</f>
        <v>perception</v>
      </c>
      <c r="D666" s="102" t="str">
        <v>argument</v>
      </c>
      <c r="E666" s="102" t="str">
        <v>strongleaders</v>
      </c>
      <c r="F666" s="102" t="str">
        <v>Hamaarakh</v>
      </c>
      <c r="G666" s="103"/>
      <c r="H666" s="135" t="s">
        <v>3306</v>
      </c>
      <c r="I666" s="2" t="s">
        <v>5844</v>
      </c>
      <c r="J666" s="2" t="s">
        <v>6224</v>
      </c>
      <c r="K666" s="2" t="s">
        <v>6225</v>
      </c>
      <c r="L666" s="2" t="s">
        <v>5978</v>
      </c>
      <c r="N666" s="1" t="s">
        <v>7227</v>
      </c>
    </row>
    <row r="667" spans="1:14" ht="101.5" x14ac:dyDescent="0.35">
      <c r="A667" s="121" t="s">
        <v>3662</v>
      </c>
      <c r="B667" s="99" t="s">
        <v>4690</v>
      </c>
      <c r="C667" s="121" t="str" cm="1">
        <f t="array" ref="C667:F667">_xlfn.TEXTSPLIT('איחוד שאלות'!$B667,"_")</f>
        <v>perception</v>
      </c>
      <c r="D667" s="99" t="str">
        <v>argument</v>
      </c>
      <c r="E667" s="99" t="str">
        <v>economiccare</v>
      </c>
      <c r="F667" s="99" t="str">
        <v>Hamaarakh</v>
      </c>
      <c r="G667" s="100"/>
      <c r="H667" s="136" t="s">
        <v>3306</v>
      </c>
      <c r="I667" s="2" t="s">
        <v>5844</v>
      </c>
      <c r="J667" s="2" t="s">
        <v>6224</v>
      </c>
      <c r="K667" s="2" t="s">
        <v>6226</v>
      </c>
      <c r="L667" s="2" t="s">
        <v>5978</v>
      </c>
      <c r="N667" s="1" t="s">
        <v>7228</v>
      </c>
    </row>
    <row r="668" spans="1:14" ht="101.5" x14ac:dyDescent="0.35">
      <c r="A668" s="113" t="s">
        <v>3663</v>
      </c>
      <c r="B668" s="102" t="s">
        <v>4691</v>
      </c>
      <c r="C668" s="123" t="str" cm="1">
        <f t="array" ref="C668:F668">_xlfn.TEXTSPLIT('איחוד שאלות'!$B668,"_")</f>
        <v>perception</v>
      </c>
      <c r="D668" s="102" t="str">
        <v>argument</v>
      </c>
      <c r="E668" s="102" t="str">
        <v>securefuture</v>
      </c>
      <c r="F668" s="102" t="str">
        <v>Hamaarakh</v>
      </c>
      <c r="G668" s="103"/>
      <c r="H668" s="135" t="s">
        <v>3306</v>
      </c>
      <c r="I668" s="2" t="s">
        <v>5844</v>
      </c>
      <c r="J668" s="2" t="s">
        <v>6224</v>
      </c>
      <c r="K668" s="2" t="s">
        <v>6169</v>
      </c>
      <c r="L668" s="2" t="s">
        <v>5978</v>
      </c>
      <c r="N668" s="1" t="s">
        <v>7229</v>
      </c>
    </row>
    <row r="669" spans="1:14" ht="101.5" x14ac:dyDescent="0.35">
      <c r="A669" s="121" t="s">
        <v>3664</v>
      </c>
      <c r="B669" s="99" t="s">
        <v>4692</v>
      </c>
      <c r="C669" s="121" t="str" cm="1">
        <f t="array" ref="C669:F669">_xlfn.TEXTSPLIT('איחוד שאלות'!$B669,"_")</f>
        <v>perception</v>
      </c>
      <c r="D669" s="99" t="str">
        <v>argument</v>
      </c>
      <c r="E669" s="99" t="str">
        <v>jewishstate</v>
      </c>
      <c r="F669" s="99" t="str">
        <v>Hamaarakh</v>
      </c>
      <c r="G669" s="100"/>
      <c r="H669" s="136" t="s">
        <v>3306</v>
      </c>
      <c r="I669" s="2" t="s">
        <v>5844</v>
      </c>
      <c r="J669" s="2" t="s">
        <v>6224</v>
      </c>
      <c r="K669" s="2" t="s">
        <v>6227</v>
      </c>
      <c r="L669" s="2" t="s">
        <v>5978</v>
      </c>
      <c r="N669" s="1" t="s">
        <v>7230</v>
      </c>
    </row>
    <row r="670" spans="1:14" ht="101.5" x14ac:dyDescent="0.35">
      <c r="A670" s="113" t="s">
        <v>3665</v>
      </c>
      <c r="B670" s="102" t="s">
        <v>4693</v>
      </c>
      <c r="C670" s="123" t="str" cm="1">
        <f t="array" ref="C670:F670">_xlfn.TEXTSPLIT('איחוד שאלות'!$B670,"_")</f>
        <v>perception</v>
      </c>
      <c r="D670" s="102" t="str">
        <v>argument</v>
      </c>
      <c r="E670" s="102" t="str">
        <v>security</v>
      </c>
      <c r="F670" s="102" t="str">
        <v>Hamaarakh</v>
      </c>
      <c r="G670" s="103"/>
      <c r="H670" s="135" t="s">
        <v>3306</v>
      </c>
      <c r="I670" s="2" t="s">
        <v>5844</v>
      </c>
      <c r="J670" s="2" t="s">
        <v>6224</v>
      </c>
      <c r="K670" s="2" t="s">
        <v>5994</v>
      </c>
      <c r="L670" s="2" t="s">
        <v>5978</v>
      </c>
      <c r="N670" s="1" t="s">
        <v>7231</v>
      </c>
    </row>
    <row r="671" spans="1:14" ht="116" x14ac:dyDescent="0.35">
      <c r="A671" s="121" t="s">
        <v>3666</v>
      </c>
      <c r="B671" s="99" t="s">
        <v>4694</v>
      </c>
      <c r="C671" s="121" t="str" cm="1">
        <f t="array" ref="C671:F671">_xlfn.TEXTSPLIT('איחוד שאלות'!$B671,"_")</f>
        <v>perception</v>
      </c>
      <c r="D671" s="99" t="str">
        <v>argument</v>
      </c>
      <c r="E671" s="99" t="str">
        <v>livablejews</v>
      </c>
      <c r="F671" s="99" t="str">
        <v>Hamaarakh</v>
      </c>
      <c r="G671" s="100"/>
      <c r="H671" s="136" t="s">
        <v>3306</v>
      </c>
      <c r="I671" s="2" t="s">
        <v>5844</v>
      </c>
      <c r="J671" s="2" t="s">
        <v>6224</v>
      </c>
      <c r="K671" s="2" t="s">
        <v>6219</v>
      </c>
      <c r="L671" s="2" t="s">
        <v>5978</v>
      </c>
      <c r="N671" s="1" t="s">
        <v>7232</v>
      </c>
    </row>
    <row r="672" spans="1:14" ht="116" x14ac:dyDescent="0.35">
      <c r="A672" s="113" t="s">
        <v>3667</v>
      </c>
      <c r="B672" s="102" t="s">
        <v>4695</v>
      </c>
      <c r="C672" s="123" t="str" cm="1">
        <f t="array" ref="C672:F672">_xlfn.TEXTSPLIT('איחוד שאלות'!$B672,"_")</f>
        <v>perception</v>
      </c>
      <c r="D672" s="102" t="str">
        <v>argument</v>
      </c>
      <c r="E672" s="102" t="str">
        <v>strongnegotiator</v>
      </c>
      <c r="F672" s="102" t="str">
        <v>Hamaarakh</v>
      </c>
      <c r="G672" s="103"/>
      <c r="H672" s="135" t="s">
        <v>3306</v>
      </c>
      <c r="I672" s="2" t="s">
        <v>5844</v>
      </c>
      <c r="J672" s="2" t="s">
        <v>6224</v>
      </c>
      <c r="K672" s="2" t="s">
        <v>6152</v>
      </c>
      <c r="L672" s="2" t="s">
        <v>5978</v>
      </c>
      <c r="N672" s="1" t="s">
        <v>7233</v>
      </c>
    </row>
    <row r="673" spans="1:14" ht="101.5" x14ac:dyDescent="0.35">
      <c r="A673" s="121" t="s">
        <v>3668</v>
      </c>
      <c r="B673" s="99" t="s">
        <v>5643</v>
      </c>
      <c r="C673" s="121" t="str" cm="1">
        <f t="array" ref="C673:F673">_xlfn.TEXTSPLIT('איחוד שאלות'!$B673,"_")</f>
        <v>perception</v>
      </c>
      <c r="D673" s="99" t="str">
        <v>argument</v>
      </c>
      <c r="E673" s="99" t="str">
        <v>expirenced</v>
      </c>
      <c r="F673" s="99" t="str">
        <v>Hamaarakh</v>
      </c>
      <c r="G673" s="100"/>
      <c r="H673" s="136" t="s">
        <v>3306</v>
      </c>
      <c r="I673" s="2" t="s">
        <v>5844</v>
      </c>
      <c r="J673" s="2" t="s">
        <v>6224</v>
      </c>
      <c r="K673" s="2" t="s">
        <v>6246</v>
      </c>
      <c r="L673" s="2" t="s">
        <v>5978</v>
      </c>
      <c r="N673" s="1" t="s">
        <v>7234</v>
      </c>
    </row>
    <row r="674" spans="1:14" ht="130.5" x14ac:dyDescent="0.35">
      <c r="A674" s="113" t="s">
        <v>3669</v>
      </c>
      <c r="B674" s="102" t="s">
        <v>4696</v>
      </c>
      <c r="C674" s="123" t="str" cm="1">
        <f t="array" ref="C674:F674">_xlfn.TEXTSPLIT('איחוד שאלות'!$B674,"_")</f>
        <v>perception</v>
      </c>
      <c r="D674" s="102" t="str">
        <v>argument</v>
      </c>
      <c r="E674" s="102" t="str">
        <v>problemsolving</v>
      </c>
      <c r="F674" s="102" t="str">
        <v>Hamaarakh</v>
      </c>
      <c r="G674" s="103"/>
      <c r="H674" s="135" t="s">
        <v>3306</v>
      </c>
      <c r="I674" s="2" t="s">
        <v>5844</v>
      </c>
      <c r="J674" s="2" t="s">
        <v>6224</v>
      </c>
      <c r="K674" s="2" t="s">
        <v>6247</v>
      </c>
      <c r="L674" s="2" t="s">
        <v>5978</v>
      </c>
      <c r="N674" s="1" t="s">
        <v>7235</v>
      </c>
    </row>
    <row r="675" spans="1:14" ht="101.5" x14ac:dyDescent="0.35">
      <c r="A675" s="121" t="s">
        <v>3670</v>
      </c>
      <c r="B675" s="99" t="s">
        <v>4697</v>
      </c>
      <c r="C675" s="121" t="str" cm="1">
        <f t="array" ref="C675:F675">_xlfn.TEXTSPLIT('איחוד שאלות'!$B675,"_")</f>
        <v>perception</v>
      </c>
      <c r="D675" s="99" t="str">
        <v>argument</v>
      </c>
      <c r="E675" s="99" t="str">
        <v>peaceprocess</v>
      </c>
      <c r="F675" s="99" t="str">
        <v>Hamaarakh</v>
      </c>
      <c r="G675" s="100"/>
      <c r="H675" s="136" t="s">
        <v>3306</v>
      </c>
      <c r="I675" s="2" t="s">
        <v>5844</v>
      </c>
      <c r="J675" s="2" t="s">
        <v>6224</v>
      </c>
      <c r="K675" s="2" t="s">
        <v>5874</v>
      </c>
      <c r="L675" s="2" t="s">
        <v>5978</v>
      </c>
      <c r="N675" s="1" t="s">
        <v>7236</v>
      </c>
    </row>
    <row r="676" spans="1:14" ht="116" x14ac:dyDescent="0.35">
      <c r="A676" s="113" t="s">
        <v>3671</v>
      </c>
      <c r="B676" s="102" t="s">
        <v>4698</v>
      </c>
      <c r="C676" s="123" t="str" cm="1">
        <f t="array" ref="C676:F676">_xlfn.TEXTSPLIT('איחוד שאלות'!$B676,"_")</f>
        <v>perception</v>
      </c>
      <c r="D676" s="102" t="str">
        <v>argument</v>
      </c>
      <c r="E676" s="102" t="str">
        <v>socioeconomic</v>
      </c>
      <c r="F676" s="102" t="str">
        <v>Hamaarakh</v>
      </c>
      <c r="G676" s="103"/>
      <c r="H676" s="135" t="s">
        <v>3306</v>
      </c>
      <c r="I676" s="2" t="s">
        <v>5844</v>
      </c>
      <c r="J676" s="2" t="s">
        <v>6224</v>
      </c>
      <c r="K676" s="2" t="s">
        <v>6006</v>
      </c>
      <c r="L676" s="2" t="s">
        <v>5978</v>
      </c>
      <c r="N676" s="1" t="s">
        <v>7237</v>
      </c>
    </row>
    <row r="677" spans="1:14" ht="101.5" x14ac:dyDescent="0.35">
      <c r="A677" s="121" t="s">
        <v>3672</v>
      </c>
      <c r="B677" s="99" t="s">
        <v>4699</v>
      </c>
      <c r="C677" s="121" t="str" cm="1">
        <f t="array" ref="C677:F677">_xlfn.TEXTSPLIT('איחוד שאלות'!$B677,"_")</f>
        <v>perception</v>
      </c>
      <c r="D677" s="99" t="str">
        <v>argument</v>
      </c>
      <c r="E677" s="99" t="str">
        <v>trustworthy</v>
      </c>
      <c r="F677" s="99" t="str">
        <v>Hamaarakh</v>
      </c>
      <c r="G677" s="100"/>
      <c r="H677" s="136" t="s">
        <v>3306</v>
      </c>
      <c r="I677" s="2" t="s">
        <v>5844</v>
      </c>
      <c r="J677" s="2" t="s">
        <v>6224</v>
      </c>
      <c r="K677" s="2" t="s">
        <v>6186</v>
      </c>
      <c r="L677" s="2" t="s">
        <v>5978</v>
      </c>
      <c r="N677" s="1" t="s">
        <v>7238</v>
      </c>
    </row>
    <row r="678" spans="1:14" ht="101.5" x14ac:dyDescent="0.35">
      <c r="A678" s="113" t="s">
        <v>3673</v>
      </c>
      <c r="B678" s="102" t="s">
        <v>4700</v>
      </c>
      <c r="C678" s="123" t="str" cm="1">
        <f t="array" ref="C678:F678">_xlfn.TEXTSPLIT('איחוד שאלות'!$B678,"_")</f>
        <v>perception</v>
      </c>
      <c r="D678" s="102" t="str">
        <v>argument</v>
      </c>
      <c r="E678" s="102" t="str">
        <v>lesserevil</v>
      </c>
      <c r="F678" s="102" t="str">
        <v>Hamaarakh</v>
      </c>
      <c r="G678" s="103"/>
      <c r="H678" s="135" t="s">
        <v>3306</v>
      </c>
      <c r="I678" s="2" t="s">
        <v>5844</v>
      </c>
      <c r="J678" s="2" t="s">
        <v>6224</v>
      </c>
      <c r="K678" s="2" t="s">
        <v>6230</v>
      </c>
      <c r="L678" s="2" t="s">
        <v>5978</v>
      </c>
      <c r="N678" s="1" t="s">
        <v>7239</v>
      </c>
    </row>
    <row r="679" spans="1:14" ht="130.5" x14ac:dyDescent="0.35">
      <c r="A679" s="121" t="s">
        <v>3674</v>
      </c>
      <c r="B679" s="99" t="s">
        <v>4701</v>
      </c>
      <c r="C679" s="121" t="str" cm="1">
        <f t="array" ref="C679:F679">_xlfn.TEXTSPLIT('איחוד שאלות'!$B679,"_")</f>
        <v>perception</v>
      </c>
      <c r="D679" s="99" t="str">
        <v>argument</v>
      </c>
      <c r="E679" s="99" t="str">
        <v>bloccohesion</v>
      </c>
      <c r="F679" s="99" t="str">
        <v>Hamaarakh</v>
      </c>
      <c r="G679" s="100"/>
      <c r="H679" s="136" t="s">
        <v>3306</v>
      </c>
      <c r="I679" s="2" t="s">
        <v>5844</v>
      </c>
      <c r="J679" s="2" t="s">
        <v>6224</v>
      </c>
      <c r="K679" s="2" t="s">
        <v>6248</v>
      </c>
      <c r="L679" s="2" t="s">
        <v>5978</v>
      </c>
      <c r="N679" s="1" t="s">
        <v>7240</v>
      </c>
    </row>
    <row r="680" spans="1:14" ht="116" x14ac:dyDescent="0.35">
      <c r="A680" s="113" t="s">
        <v>3675</v>
      </c>
      <c r="B680" s="102" t="s">
        <v>4702</v>
      </c>
      <c r="C680" s="123" t="str" cm="1">
        <f t="array" ref="C680:F680">_xlfn.TEXTSPLIT('איחוד שאלות'!$B680,"_")</f>
        <v>perception</v>
      </c>
      <c r="D680" s="102" t="str">
        <v>argument</v>
      </c>
      <c r="E680" s="102" t="str">
        <v>likudbadleaders</v>
      </c>
      <c r="F680" s="102" t="str">
        <v>Hamaarakh</v>
      </c>
      <c r="G680" s="103"/>
      <c r="H680" s="135" t="s">
        <v>3306</v>
      </c>
      <c r="I680" s="2" t="s">
        <v>5844</v>
      </c>
      <c r="J680" s="2" t="s">
        <v>6224</v>
      </c>
      <c r="K680" s="2" t="s">
        <v>6249</v>
      </c>
      <c r="L680" s="2" t="s">
        <v>5978</v>
      </c>
      <c r="N680" s="1" t="s">
        <v>7241</v>
      </c>
    </row>
    <row r="681" spans="1:14" ht="130.5" x14ac:dyDescent="0.35">
      <c r="A681" s="121" t="s">
        <v>3676</v>
      </c>
      <c r="B681" s="99" t="s">
        <v>4703</v>
      </c>
      <c r="C681" s="121" t="str" cm="1">
        <f t="array" ref="C681:F681">_xlfn.TEXTSPLIT('איחוד שאלות'!$B681,"_")</f>
        <v>perception</v>
      </c>
      <c r="D681" s="99" t="str">
        <v>argument</v>
      </c>
      <c r="E681" s="99" t="str">
        <v>palestinianstate</v>
      </c>
      <c r="F681" s="99" t="str">
        <v>Hamaarakh</v>
      </c>
      <c r="G681" s="100"/>
      <c r="H681" s="136" t="s">
        <v>3306</v>
      </c>
      <c r="I681" s="2" t="s">
        <v>5844</v>
      </c>
      <c r="J681" s="2" t="s">
        <v>6224</v>
      </c>
      <c r="K681" s="2" t="s">
        <v>6250</v>
      </c>
      <c r="L681" s="2" t="s">
        <v>5978</v>
      </c>
      <c r="N681" s="1" t="s">
        <v>7242</v>
      </c>
    </row>
    <row r="682" spans="1:14" ht="101.5" x14ac:dyDescent="0.35">
      <c r="A682" s="113" t="s">
        <v>3677</v>
      </c>
      <c r="B682" s="102" t="s">
        <v>4704</v>
      </c>
      <c r="C682" s="123" t="str" cm="1">
        <f t="array" ref="C682:F682">_xlfn.TEXTSPLIT('איחוד שאלות'!$B682,"_")</f>
        <v>perception</v>
      </c>
      <c r="D682" s="102" t="str">
        <v>argument</v>
      </c>
      <c r="E682" s="102" t="str">
        <v>freshleadership</v>
      </c>
      <c r="F682" s="102" t="str">
        <v>Hamaarakh</v>
      </c>
      <c r="G682" s="103"/>
      <c r="H682" s="135" t="s">
        <v>3306</v>
      </c>
      <c r="I682" s="2" t="s">
        <v>5844</v>
      </c>
      <c r="J682" s="2" t="s">
        <v>6224</v>
      </c>
      <c r="K682" s="2" t="s">
        <v>6235</v>
      </c>
      <c r="L682" s="2" t="s">
        <v>5978</v>
      </c>
      <c r="N682" s="1" t="s">
        <v>7243</v>
      </c>
    </row>
    <row r="683" spans="1:14" ht="116" x14ac:dyDescent="0.35">
      <c r="A683" s="121" t="s">
        <v>3678</v>
      </c>
      <c r="B683" s="99" t="s">
        <v>4705</v>
      </c>
      <c r="C683" s="121" t="str" cm="1">
        <f t="array" ref="C683:F683">_xlfn.TEXTSPLIT('איחוד שאלות'!$B683,"_")</f>
        <v>perception</v>
      </c>
      <c r="D683" s="99" t="str">
        <v>argument</v>
      </c>
      <c r="E683" s="99" t="str">
        <v>restitutionforpeace</v>
      </c>
      <c r="F683" s="99" t="str">
        <v>Hamaarakh</v>
      </c>
      <c r="G683" s="100"/>
      <c r="H683" s="136" t="s">
        <v>3306</v>
      </c>
      <c r="I683" s="2" t="s">
        <v>5844</v>
      </c>
      <c r="J683" s="2" t="s">
        <v>6224</v>
      </c>
      <c r="K683" s="2" t="s">
        <v>6251</v>
      </c>
      <c r="L683" s="2" t="s">
        <v>5978</v>
      </c>
      <c r="N683" s="1" t="s">
        <v>7244</v>
      </c>
    </row>
    <row r="684" spans="1:14" ht="116" x14ac:dyDescent="0.35">
      <c r="A684" s="113" t="s">
        <v>3679</v>
      </c>
      <c r="B684" s="102" t="s">
        <v>4706</v>
      </c>
      <c r="C684" s="123" t="str" cm="1">
        <f t="array" ref="C684:F684">_xlfn.TEXTSPLIT('איחוד שאלות'!$B684,"_")</f>
        <v>perception</v>
      </c>
      <c r="D684" s="102" t="str">
        <v>argument</v>
      </c>
      <c r="E684" s="102" t="str">
        <v>corruption</v>
      </c>
      <c r="F684" s="102" t="str">
        <v>Hamaarakh</v>
      </c>
      <c r="G684" s="103"/>
      <c r="H684" s="135" t="s">
        <v>3306</v>
      </c>
      <c r="I684" s="2" t="s">
        <v>5844</v>
      </c>
      <c r="J684" s="2" t="s">
        <v>6224</v>
      </c>
      <c r="K684" s="2" t="s">
        <v>6029</v>
      </c>
      <c r="L684" s="2" t="s">
        <v>5978</v>
      </c>
      <c r="N684" s="1" t="s">
        <v>7245</v>
      </c>
    </row>
    <row r="685" spans="1:14" ht="101.5" x14ac:dyDescent="0.35">
      <c r="A685" s="121" t="s">
        <v>3680</v>
      </c>
      <c r="B685" s="99" t="s">
        <v>4707</v>
      </c>
      <c r="C685" s="121" t="str" cm="1">
        <f t="array" ref="C685:F685">_xlfn.TEXTSPLIT('איחוד שאלות'!$B685,"_")</f>
        <v>perception</v>
      </c>
      <c r="D685" s="99" t="str">
        <v>argument</v>
      </c>
      <c r="E685" s="99" t="str">
        <v>changeelectionsystem</v>
      </c>
      <c r="F685" s="99" t="str">
        <v>Hamaarakh</v>
      </c>
      <c r="G685" s="100"/>
      <c r="H685" s="136" t="s">
        <v>3306</v>
      </c>
      <c r="I685" s="2" t="s">
        <v>5844</v>
      </c>
      <c r="J685" s="2" t="s">
        <v>6224</v>
      </c>
      <c r="K685" s="2" t="s">
        <v>6252</v>
      </c>
      <c r="L685" s="2" t="s">
        <v>5978</v>
      </c>
      <c r="N685" s="1" t="s">
        <v>7246</v>
      </c>
    </row>
    <row r="686" spans="1:14" ht="101.5" x14ac:dyDescent="0.35">
      <c r="A686" s="113" t="s">
        <v>3681</v>
      </c>
      <c r="B686" s="102" t="s">
        <v>4708</v>
      </c>
      <c r="C686" s="123" t="str" cm="1">
        <f t="array" ref="C686:F686">_xlfn.TEXTSPLIT('איחוד שאלות'!$B686,"_")</f>
        <v>perception</v>
      </c>
      <c r="D686" s="102" t="str">
        <v>argument</v>
      </c>
      <c r="E686" s="102" t="str">
        <v>likudextremist</v>
      </c>
      <c r="F686" s="102" t="str">
        <v>Hamaarakh</v>
      </c>
      <c r="G686" s="103"/>
      <c r="H686" s="135" t="s">
        <v>3306</v>
      </c>
      <c r="I686" s="2" t="s">
        <v>5844</v>
      </c>
      <c r="J686" s="2" t="s">
        <v>6224</v>
      </c>
      <c r="K686" s="2" t="s">
        <v>6253</v>
      </c>
      <c r="L686" s="2" t="s">
        <v>5978</v>
      </c>
      <c r="N686" s="1" t="s">
        <v>7247</v>
      </c>
    </row>
    <row r="687" spans="1:14" ht="116" x14ac:dyDescent="0.35">
      <c r="A687" s="121" t="s">
        <v>3682</v>
      </c>
      <c r="B687" s="99" t="s">
        <v>4709</v>
      </c>
      <c r="C687" s="121" t="str" cm="1">
        <f t="array" ref="C687:F687">_xlfn.TEXTSPLIT('איחוד שאלות'!$B687,"_")</f>
        <v>perception</v>
      </c>
      <c r="D687" s="99" t="str">
        <v>argument</v>
      </c>
      <c r="E687" s="99" t="str">
        <v>dashsimilar</v>
      </c>
      <c r="F687" s="99" t="str">
        <v>Hamaarakh</v>
      </c>
      <c r="G687" s="100"/>
      <c r="H687" s="136" t="s">
        <v>3306</v>
      </c>
      <c r="I687" s="2" t="s">
        <v>5844</v>
      </c>
      <c r="J687" s="2" t="s">
        <v>6224</v>
      </c>
      <c r="K687" s="2" t="s">
        <v>6254</v>
      </c>
      <c r="L687" s="2" t="s">
        <v>5978</v>
      </c>
      <c r="N687" s="1" t="s">
        <v>7248</v>
      </c>
    </row>
    <row r="688" spans="1:14" ht="101.5" x14ac:dyDescent="0.35">
      <c r="A688" s="113" t="s">
        <v>3683</v>
      </c>
      <c r="B688" s="102" t="s">
        <v>4710</v>
      </c>
      <c r="C688" s="123" t="str" cm="1">
        <f t="array" ref="C688:F688">_xlfn.TEXTSPLIT('איחוד שאלות'!$B688,"_")</f>
        <v>perception</v>
      </c>
      <c r="D688" s="102" t="str">
        <v>argument</v>
      </c>
      <c r="E688" s="102" t="str">
        <v>likuddashinexperiencedleaders</v>
      </c>
      <c r="F688" s="102" t="str">
        <v>Hamaarakh</v>
      </c>
      <c r="G688" s="103"/>
      <c r="H688" s="135" t="s">
        <v>3306</v>
      </c>
      <c r="I688" s="2" t="s">
        <v>5844</v>
      </c>
      <c r="J688" s="2" t="s">
        <v>6224</v>
      </c>
      <c r="K688" s="2" t="s">
        <v>6255</v>
      </c>
      <c r="L688" s="2" t="s">
        <v>5978</v>
      </c>
      <c r="N688" s="1" t="s">
        <v>7249</v>
      </c>
    </row>
    <row r="689" spans="1:14" ht="116" x14ac:dyDescent="0.35">
      <c r="A689" s="121" t="s">
        <v>3684</v>
      </c>
      <c r="B689" s="99" t="s">
        <v>4711</v>
      </c>
      <c r="C689" s="121" t="str" cm="1">
        <f t="array" ref="C689:F689">_xlfn.TEXTSPLIT('איחוד שאלות'!$B689,"_")</f>
        <v>perception</v>
      </c>
      <c r="D689" s="99" t="str">
        <v>argument</v>
      </c>
      <c r="E689" s="99" t="str">
        <v>helpcareer</v>
      </c>
      <c r="F689" s="99" t="str">
        <v>Hamaarakh</v>
      </c>
      <c r="G689" s="100"/>
      <c r="H689" s="136" t="s">
        <v>3306</v>
      </c>
      <c r="I689" s="2" t="s">
        <v>5844</v>
      </c>
      <c r="J689" s="2" t="s">
        <v>6224</v>
      </c>
      <c r="K689" s="2" t="s">
        <v>6239</v>
      </c>
      <c r="L689" s="2" t="s">
        <v>5978</v>
      </c>
      <c r="N689" s="1" t="s">
        <v>7250</v>
      </c>
    </row>
    <row r="690" spans="1:14" ht="130.5" x14ac:dyDescent="0.35">
      <c r="A690" s="113" t="s">
        <v>3685</v>
      </c>
      <c r="B690" s="102" t="s">
        <v>4712</v>
      </c>
      <c r="C690" s="123" t="str" cm="1">
        <f t="array" ref="C690:F690">_xlfn.TEXTSPLIT('איחוד שאלות'!$B690,"_")</f>
        <v>perception</v>
      </c>
      <c r="D690" s="102" t="str">
        <v>argument</v>
      </c>
      <c r="E690" s="102" t="str">
        <v>helppersonally</v>
      </c>
      <c r="F690" s="102" t="str">
        <v>Hamaarakh</v>
      </c>
      <c r="G690" s="103"/>
      <c r="H690" s="135" t="s">
        <v>3306</v>
      </c>
      <c r="I690" s="2" t="s">
        <v>5844</v>
      </c>
      <c r="J690" s="2" t="s">
        <v>6224</v>
      </c>
      <c r="K690" s="2" t="s">
        <v>6240</v>
      </c>
      <c r="L690" s="2" t="s">
        <v>5978</v>
      </c>
      <c r="N690" s="1" t="s">
        <v>7251</v>
      </c>
    </row>
    <row r="691" spans="1:14" ht="101.5" x14ac:dyDescent="0.35">
      <c r="A691" s="121" t="s">
        <v>3686</v>
      </c>
      <c r="B691" s="99" t="s">
        <v>4713</v>
      </c>
      <c r="C691" s="121" t="str" cm="1">
        <f t="array" ref="C691:F691">_xlfn.TEXTSPLIT('איחוד שאלות'!$B691,"_")</f>
        <v>perception</v>
      </c>
      <c r="D691" s="99" t="str">
        <v>argument</v>
      </c>
      <c r="E691" s="99" t="str">
        <v>betterleaders</v>
      </c>
      <c r="F691" s="99" t="str">
        <v>Hamaarakh</v>
      </c>
      <c r="G691" s="100"/>
      <c r="H691" s="136" t="s">
        <v>3306</v>
      </c>
      <c r="I691" s="2" t="s">
        <v>5844</v>
      </c>
      <c r="J691" s="2" t="s">
        <v>6224</v>
      </c>
      <c r="K691" s="2" t="s">
        <v>6244</v>
      </c>
      <c r="L691" s="2" t="s">
        <v>5978</v>
      </c>
      <c r="N691" s="1" t="s">
        <v>7252</v>
      </c>
    </row>
    <row r="692" spans="1:14" ht="101.5" x14ac:dyDescent="0.35">
      <c r="A692" s="113" t="s">
        <v>3687</v>
      </c>
      <c r="B692" s="102" t="s">
        <v>4714</v>
      </c>
      <c r="C692" s="123" t="str" cm="1">
        <f t="array" ref="C692:F692">_xlfn.TEXTSPLIT('איחוד שאלות'!$B692,"_")</f>
        <v>perception</v>
      </c>
      <c r="D692" s="102" t="str">
        <v>argument</v>
      </c>
      <c r="E692" s="102" t="str">
        <v>fearofinstability</v>
      </c>
      <c r="F692" s="102" t="str">
        <v>Hamaarakh</v>
      </c>
      <c r="G692" s="103"/>
      <c r="H692" s="135" t="s">
        <v>3306</v>
      </c>
      <c r="I692" s="2" t="s">
        <v>5844</v>
      </c>
      <c r="J692" s="2" t="s">
        <v>6224</v>
      </c>
      <c r="K692" s="2" t="s">
        <v>6256</v>
      </c>
      <c r="L692" s="2" t="s">
        <v>5978</v>
      </c>
      <c r="N692" s="1" t="s">
        <v>7253</v>
      </c>
    </row>
    <row r="693" spans="1:14" ht="101.5" x14ac:dyDescent="0.35">
      <c r="A693" s="121" t="s">
        <v>3688</v>
      </c>
      <c r="B693" s="99" t="s">
        <v>4715</v>
      </c>
      <c r="C693" s="121" t="str" cm="1">
        <f t="array" ref="C693:F693">_xlfn.TEXTSPLIT('איחוד שאלות'!$B693,"_")</f>
        <v>perception</v>
      </c>
      <c r="D693" s="99" t="str">
        <v>argument</v>
      </c>
      <c r="E693" s="99" t="str">
        <v>strongleaders</v>
      </c>
      <c r="F693" s="99" t="str">
        <v>telem</v>
      </c>
      <c r="G693" s="100"/>
      <c r="H693" s="136" t="s">
        <v>3306</v>
      </c>
      <c r="I693" s="2" t="s">
        <v>5844</v>
      </c>
      <c r="J693" s="2" t="s">
        <v>6224</v>
      </c>
      <c r="K693" s="2" t="s">
        <v>6225</v>
      </c>
      <c r="L693" s="2" t="s">
        <v>6257</v>
      </c>
      <c r="N693" s="1" t="s">
        <v>7254</v>
      </c>
    </row>
    <row r="694" spans="1:14" ht="116" x14ac:dyDescent="0.35">
      <c r="A694" s="113" t="s">
        <v>3689</v>
      </c>
      <c r="B694" s="102" t="s">
        <v>4716</v>
      </c>
      <c r="C694" s="123" t="str" cm="1">
        <f t="array" ref="C694:F694">_xlfn.TEXTSPLIT('איחוד שאלות'!$B694,"_")</f>
        <v>perception</v>
      </c>
      <c r="D694" s="102" t="str">
        <v>argument</v>
      </c>
      <c r="E694" s="102" t="str">
        <v>economiccare</v>
      </c>
      <c r="F694" s="102" t="str">
        <v>telem</v>
      </c>
      <c r="G694" s="103"/>
      <c r="H694" s="135" t="s">
        <v>3306</v>
      </c>
      <c r="I694" s="2" t="s">
        <v>5844</v>
      </c>
      <c r="J694" s="2" t="s">
        <v>6224</v>
      </c>
      <c r="K694" s="2" t="s">
        <v>6226</v>
      </c>
      <c r="L694" s="2" t="s">
        <v>6257</v>
      </c>
      <c r="N694" s="1" t="s">
        <v>7255</v>
      </c>
    </row>
    <row r="695" spans="1:14" ht="101.5" x14ac:dyDescent="0.35">
      <c r="A695" s="121" t="s">
        <v>3690</v>
      </c>
      <c r="B695" s="99" t="s">
        <v>4717</v>
      </c>
      <c r="C695" s="121" t="str" cm="1">
        <f t="array" ref="C695:F695">_xlfn.TEXTSPLIT('איחוד שאלות'!$B695,"_")</f>
        <v>perception</v>
      </c>
      <c r="D695" s="99" t="str">
        <v>argument</v>
      </c>
      <c r="E695" s="99" t="str">
        <v>securefuture</v>
      </c>
      <c r="F695" s="99" t="str">
        <v>telem</v>
      </c>
      <c r="G695" s="100"/>
      <c r="H695" s="136" t="s">
        <v>3306</v>
      </c>
      <c r="I695" s="2" t="s">
        <v>5844</v>
      </c>
      <c r="J695" s="2" t="s">
        <v>6224</v>
      </c>
      <c r="K695" s="2" t="s">
        <v>6169</v>
      </c>
      <c r="L695" s="2" t="s">
        <v>6257</v>
      </c>
      <c r="N695" s="1" t="s">
        <v>7256</v>
      </c>
    </row>
    <row r="696" spans="1:14" ht="116" x14ac:dyDescent="0.35">
      <c r="A696" s="113" t="s">
        <v>3691</v>
      </c>
      <c r="B696" s="102" t="s">
        <v>4718</v>
      </c>
      <c r="C696" s="123" t="str" cm="1">
        <f t="array" ref="C696:F696">_xlfn.TEXTSPLIT('איחוד שאלות'!$B696,"_")</f>
        <v>perception</v>
      </c>
      <c r="D696" s="102" t="str">
        <v>argument</v>
      </c>
      <c r="E696" s="102" t="str">
        <v>jewishstate</v>
      </c>
      <c r="F696" s="102" t="str">
        <v>telem</v>
      </c>
      <c r="G696" s="103"/>
      <c r="H696" s="135" t="s">
        <v>3306</v>
      </c>
      <c r="I696" s="2" t="s">
        <v>5844</v>
      </c>
      <c r="J696" s="2" t="s">
        <v>6224</v>
      </c>
      <c r="K696" s="2" t="s">
        <v>6227</v>
      </c>
      <c r="L696" s="2" t="s">
        <v>6257</v>
      </c>
      <c r="N696" s="1" t="s">
        <v>7257</v>
      </c>
    </row>
    <row r="697" spans="1:14" ht="101.5" x14ac:dyDescent="0.35">
      <c r="A697" s="121" t="s">
        <v>3692</v>
      </c>
      <c r="B697" s="99" t="s">
        <v>4719</v>
      </c>
      <c r="C697" s="121" t="str" cm="1">
        <f t="array" ref="C697:F697">_xlfn.TEXTSPLIT('איחוד שאלות'!$B697,"_")</f>
        <v>perception</v>
      </c>
      <c r="D697" s="99" t="str">
        <v>argument</v>
      </c>
      <c r="E697" s="99" t="str">
        <v>security</v>
      </c>
      <c r="F697" s="99" t="str">
        <v>telem</v>
      </c>
      <c r="G697" s="100"/>
      <c r="H697" s="136" t="s">
        <v>3306</v>
      </c>
      <c r="I697" s="2" t="s">
        <v>5844</v>
      </c>
      <c r="J697" s="2" t="s">
        <v>6224</v>
      </c>
      <c r="K697" s="2" t="s">
        <v>5994</v>
      </c>
      <c r="L697" s="2" t="s">
        <v>6257</v>
      </c>
      <c r="N697" s="1" t="s">
        <v>7258</v>
      </c>
    </row>
    <row r="698" spans="1:14" ht="130.5" x14ac:dyDescent="0.35">
      <c r="A698" s="113" t="s">
        <v>3693</v>
      </c>
      <c r="B698" s="102" t="s">
        <v>4720</v>
      </c>
      <c r="C698" s="123" t="str" cm="1">
        <f t="array" ref="C698:F698">_xlfn.TEXTSPLIT('איחוד שאלות'!$B698,"_")</f>
        <v>perception</v>
      </c>
      <c r="D698" s="102" t="str">
        <v>argument</v>
      </c>
      <c r="E698" s="102" t="str">
        <v>livablejews</v>
      </c>
      <c r="F698" s="102" t="str">
        <v>telem</v>
      </c>
      <c r="G698" s="103"/>
      <c r="H698" s="135" t="s">
        <v>3306</v>
      </c>
      <c r="I698" s="2" t="s">
        <v>5844</v>
      </c>
      <c r="J698" s="2" t="s">
        <v>6224</v>
      </c>
      <c r="K698" s="2" t="s">
        <v>6219</v>
      </c>
      <c r="L698" s="2" t="s">
        <v>6257</v>
      </c>
      <c r="N698" s="1" t="s">
        <v>7259</v>
      </c>
    </row>
    <row r="699" spans="1:14" ht="116" x14ac:dyDescent="0.35">
      <c r="A699" s="121" t="s">
        <v>3694</v>
      </c>
      <c r="B699" s="99" t="s">
        <v>4721</v>
      </c>
      <c r="C699" s="121" t="str" cm="1">
        <f t="array" ref="C699:F699">_xlfn.TEXTSPLIT('איחוד שאלות'!$B699,"_")</f>
        <v>perception</v>
      </c>
      <c r="D699" s="99" t="str">
        <v>argument</v>
      </c>
      <c r="E699" s="99" t="str">
        <v>strongnegotiator</v>
      </c>
      <c r="F699" s="99" t="str">
        <v>telem</v>
      </c>
      <c r="G699" s="100"/>
      <c r="H699" s="136" t="s">
        <v>3306</v>
      </c>
      <c r="I699" s="2" t="s">
        <v>5844</v>
      </c>
      <c r="J699" s="2" t="s">
        <v>6224</v>
      </c>
      <c r="K699" s="2" t="s">
        <v>6152</v>
      </c>
      <c r="L699" s="2" t="s">
        <v>6257</v>
      </c>
      <c r="N699" s="1" t="s">
        <v>7260</v>
      </c>
    </row>
    <row r="700" spans="1:14" ht="116" x14ac:dyDescent="0.35">
      <c r="A700" s="113" t="s">
        <v>3695</v>
      </c>
      <c r="B700" s="102" t="s">
        <v>4728</v>
      </c>
      <c r="C700" s="123" t="str" cm="1">
        <f t="array" ref="C700:F700">_xlfn.TEXTSPLIT('איחוד שאלות'!$B700,"_")</f>
        <v>perception</v>
      </c>
      <c r="D700" s="102" t="str">
        <v>argument</v>
      </c>
      <c r="E700" s="102" t="str">
        <v>peaceprocess</v>
      </c>
      <c r="F700" s="102" t="str">
        <v>telem</v>
      </c>
      <c r="G700" s="103"/>
      <c r="H700" s="135" t="s">
        <v>3306</v>
      </c>
      <c r="I700" s="2" t="s">
        <v>5844</v>
      </c>
      <c r="J700" s="2" t="s">
        <v>6224</v>
      </c>
      <c r="K700" s="2" t="s">
        <v>5874</v>
      </c>
      <c r="L700" s="2" t="s">
        <v>6257</v>
      </c>
      <c r="N700" s="1" t="s">
        <v>7261</v>
      </c>
    </row>
    <row r="701" spans="1:14" ht="130.5" x14ac:dyDescent="0.35">
      <c r="A701" s="121" t="s">
        <v>3696</v>
      </c>
      <c r="B701" s="99" t="s">
        <v>4722</v>
      </c>
      <c r="C701" s="121" t="str" cm="1">
        <f t="array" ref="C701:F701">_xlfn.TEXTSPLIT('איחוד שאלות'!$B701,"_")</f>
        <v>perception</v>
      </c>
      <c r="D701" s="99" t="str">
        <v>argument</v>
      </c>
      <c r="E701" s="99" t="str">
        <v>socioeconomic</v>
      </c>
      <c r="F701" s="99" t="str">
        <v>telem</v>
      </c>
      <c r="G701" s="100"/>
      <c r="H701" s="136" t="s">
        <v>3306</v>
      </c>
      <c r="I701" s="2" t="s">
        <v>5844</v>
      </c>
      <c r="J701" s="2" t="s">
        <v>6224</v>
      </c>
      <c r="K701" s="2" t="s">
        <v>6006</v>
      </c>
      <c r="L701" s="2" t="s">
        <v>6257</v>
      </c>
      <c r="N701" s="1" t="s">
        <v>7262</v>
      </c>
    </row>
    <row r="702" spans="1:14" ht="101.5" x14ac:dyDescent="0.35">
      <c r="A702" s="113" t="s">
        <v>3697</v>
      </c>
      <c r="B702" s="102" t="s">
        <v>4723</v>
      </c>
      <c r="C702" s="123" t="str" cm="1">
        <f t="array" ref="C702:F702">_xlfn.TEXTSPLIT('איחוד שאלות'!$B702,"_")</f>
        <v>perception</v>
      </c>
      <c r="D702" s="102" t="str">
        <v>argument</v>
      </c>
      <c r="E702" s="102" t="str">
        <v>lesserevil</v>
      </c>
      <c r="F702" s="102" t="str">
        <v>telem</v>
      </c>
      <c r="G702" s="103"/>
      <c r="H702" s="135" t="s">
        <v>3306</v>
      </c>
      <c r="I702" s="2" t="s">
        <v>5844</v>
      </c>
      <c r="J702" s="2" t="s">
        <v>6224</v>
      </c>
      <c r="K702" s="2" t="s">
        <v>6230</v>
      </c>
      <c r="L702" s="2" t="s">
        <v>6257</v>
      </c>
      <c r="N702" s="1" t="s">
        <v>7263</v>
      </c>
    </row>
    <row r="703" spans="1:14" ht="130.5" x14ac:dyDescent="0.35">
      <c r="A703" s="121" t="s">
        <v>3698</v>
      </c>
      <c r="B703" s="99" t="s">
        <v>4727</v>
      </c>
      <c r="C703" s="121" t="str" cm="1">
        <f t="array" ref="C703:F703">_xlfn.TEXTSPLIT('איחוד שאלות'!$B703,"_")</f>
        <v>perception</v>
      </c>
      <c r="D703" s="99" t="str">
        <v>argument</v>
      </c>
      <c r="E703" s="99" t="str">
        <v>Hamaarakhlikudworst</v>
      </c>
      <c r="F703" s="99" t="str">
        <v>telem</v>
      </c>
      <c r="G703" s="100"/>
      <c r="H703" s="136" t="s">
        <v>3306</v>
      </c>
      <c r="I703" s="2" t="s">
        <v>5844</v>
      </c>
      <c r="J703" s="2" t="s">
        <v>6224</v>
      </c>
      <c r="K703" s="2" t="s">
        <v>6258</v>
      </c>
      <c r="L703" s="2" t="s">
        <v>6257</v>
      </c>
      <c r="N703" s="1" t="s">
        <v>7264</v>
      </c>
    </row>
    <row r="704" spans="1:14" ht="116" x14ac:dyDescent="0.35">
      <c r="A704" s="113" t="s">
        <v>3699</v>
      </c>
      <c r="B704" s="102" t="s">
        <v>4724</v>
      </c>
      <c r="C704" s="123" t="str" cm="1">
        <f t="array" ref="C704:F704">_xlfn.TEXTSPLIT('איחוד שאלות'!$B704,"_")</f>
        <v>perception</v>
      </c>
      <c r="D704" s="102" t="str">
        <v>argument</v>
      </c>
      <c r="E704" s="102" t="str">
        <v>truechange</v>
      </c>
      <c r="F704" s="102" t="str">
        <v>telem</v>
      </c>
      <c r="G704" s="103"/>
      <c r="H704" s="135" t="s">
        <v>3306</v>
      </c>
      <c r="I704" s="2" t="s">
        <v>5844</v>
      </c>
      <c r="J704" s="2" t="s">
        <v>6224</v>
      </c>
      <c r="K704" s="2" t="s">
        <v>6259</v>
      </c>
      <c r="L704" s="2" t="s">
        <v>6257</v>
      </c>
      <c r="N704" s="1" t="s">
        <v>7265</v>
      </c>
    </row>
    <row r="705" spans="1:14" ht="145" x14ac:dyDescent="0.35">
      <c r="A705" s="121" t="s">
        <v>3700</v>
      </c>
      <c r="B705" s="99" t="s">
        <v>4725</v>
      </c>
      <c r="C705" s="121" t="str" cm="1">
        <f t="array" ref="C705:F705">_xlfn.TEXTSPLIT('איחוד שאלות'!$B705,"_")</f>
        <v>perception</v>
      </c>
      <c r="D705" s="99" t="str">
        <v>argument</v>
      </c>
      <c r="E705" s="99" t="str">
        <v>Hamaarakhlikudcantmanage</v>
      </c>
      <c r="F705" s="99" t="str">
        <v>telem</v>
      </c>
      <c r="G705" s="100"/>
      <c r="H705" s="136" t="s">
        <v>3306</v>
      </c>
      <c r="I705" s="2" t="s">
        <v>5844</v>
      </c>
      <c r="J705" s="2" t="s">
        <v>6224</v>
      </c>
      <c r="K705" s="2" t="s">
        <v>6260</v>
      </c>
      <c r="L705" s="2" t="s">
        <v>6257</v>
      </c>
      <c r="N705" s="1" t="s">
        <v>7266</v>
      </c>
    </row>
    <row r="706" spans="1:14" ht="159.5" x14ac:dyDescent="0.35">
      <c r="A706" s="113" t="s">
        <v>3701</v>
      </c>
      <c r="B706" s="102" t="s">
        <v>4726</v>
      </c>
      <c r="C706" s="123" t="str" cm="1">
        <f t="array" ref="C706:F706">_xlfn.TEXTSPLIT('איחוד שאלות'!$B706,"_")</f>
        <v>perception</v>
      </c>
      <c r="D706" s="102" t="str">
        <v>argument</v>
      </c>
      <c r="E706" s="102" t="str">
        <v>Hamaarakhlikudpalestinianstate</v>
      </c>
      <c r="F706" s="102" t="str">
        <v>telem</v>
      </c>
      <c r="G706" s="103"/>
      <c r="H706" s="135" t="s">
        <v>3306</v>
      </c>
      <c r="I706" s="2" t="s">
        <v>5844</v>
      </c>
      <c r="J706" s="2" t="s">
        <v>6224</v>
      </c>
      <c r="K706" s="2" t="s">
        <v>6261</v>
      </c>
      <c r="L706" s="2" t="s">
        <v>6257</v>
      </c>
      <c r="N706" s="1" t="s">
        <v>7267</v>
      </c>
    </row>
    <row r="707" spans="1:14" ht="101.5" x14ac:dyDescent="0.35">
      <c r="A707" s="121" t="s">
        <v>3702</v>
      </c>
      <c r="B707" s="99" t="s">
        <v>4729</v>
      </c>
      <c r="C707" s="121" t="str" cm="1">
        <f t="array" ref="C707:F707">_xlfn.TEXTSPLIT('איחוד שאלות'!$B707,"_")</f>
        <v>perception</v>
      </c>
      <c r="D707" s="99" t="str">
        <v>argument</v>
      </c>
      <c r="E707" s="99" t="str">
        <v>newleadership</v>
      </c>
      <c r="F707" s="99" t="str">
        <v>dash</v>
      </c>
      <c r="G707" s="100"/>
      <c r="H707" s="136" t="s">
        <v>3306</v>
      </c>
      <c r="I707" s="2" t="s">
        <v>5844</v>
      </c>
      <c r="J707" s="2" t="s">
        <v>6224</v>
      </c>
      <c r="K707" s="2" t="s">
        <v>6234</v>
      </c>
      <c r="L707" s="2" t="s">
        <v>6262</v>
      </c>
      <c r="N707" s="1" t="s">
        <v>7268</v>
      </c>
    </row>
    <row r="708" spans="1:14" ht="101.5" x14ac:dyDescent="0.35">
      <c r="A708" s="113" t="s">
        <v>3703</v>
      </c>
      <c r="B708" s="102" t="s">
        <v>4730</v>
      </c>
      <c r="C708" s="123" t="str" cm="1">
        <f t="array" ref="C708:F708">_xlfn.TEXTSPLIT('איחוד שאלות'!$B708,"_")</f>
        <v>perception</v>
      </c>
      <c r="D708" s="102" t="str">
        <v>argument</v>
      </c>
      <c r="E708" s="102" t="str">
        <v>goodleadership</v>
      </c>
      <c r="F708" s="102" t="str">
        <v>dash</v>
      </c>
      <c r="G708" s="103"/>
      <c r="H708" s="135" t="s">
        <v>3306</v>
      </c>
      <c r="I708" s="2" t="s">
        <v>5844</v>
      </c>
      <c r="J708" s="2" t="s">
        <v>6224</v>
      </c>
      <c r="K708" s="2" t="s">
        <v>6263</v>
      </c>
      <c r="L708" s="2" t="s">
        <v>6262</v>
      </c>
      <c r="N708" s="1" t="s">
        <v>7269</v>
      </c>
    </row>
    <row r="709" spans="1:14" ht="101.5" x14ac:dyDescent="0.35">
      <c r="A709" s="121" t="s">
        <v>3704</v>
      </c>
      <c r="B709" s="99" t="s">
        <v>4731</v>
      </c>
      <c r="C709" s="121" t="str" cm="1">
        <f t="array" ref="C709:F709">_xlfn.TEXTSPLIT('איחוד שאלות'!$B709,"_")</f>
        <v>perception</v>
      </c>
      <c r="D709" s="99" t="str">
        <v>argument</v>
      </c>
      <c r="E709" s="99" t="str">
        <v>freshleadership</v>
      </c>
      <c r="F709" s="99" t="str">
        <v>dash</v>
      </c>
      <c r="G709" s="100"/>
      <c r="H709" s="136" t="s">
        <v>3306</v>
      </c>
      <c r="I709" s="2" t="s">
        <v>5844</v>
      </c>
      <c r="J709" s="2" t="s">
        <v>6224</v>
      </c>
      <c r="K709" s="2" t="s">
        <v>6235</v>
      </c>
      <c r="L709" s="2" t="s">
        <v>6262</v>
      </c>
      <c r="N709" s="1" t="s">
        <v>7270</v>
      </c>
    </row>
    <row r="710" spans="1:14" ht="116" x14ac:dyDescent="0.35">
      <c r="A710" s="113" t="s">
        <v>3705</v>
      </c>
      <c r="B710" s="102" t="s">
        <v>4732</v>
      </c>
      <c r="C710" s="123" t="str" cm="1">
        <f t="array" ref="C710:F710">_xlfn.TEXTSPLIT('איחוד שאלות'!$B710,"_")</f>
        <v>perception</v>
      </c>
      <c r="D710" s="102" t="str">
        <v>argument</v>
      </c>
      <c r="E710" s="102" t="str">
        <v>peaceprocess</v>
      </c>
      <c r="F710" s="102" t="str">
        <v>dash</v>
      </c>
      <c r="G710" s="103"/>
      <c r="H710" s="135" t="s">
        <v>3306</v>
      </c>
      <c r="I710" s="2" t="s">
        <v>5844</v>
      </c>
      <c r="J710" s="2" t="s">
        <v>6224</v>
      </c>
      <c r="K710" s="2" t="s">
        <v>5874</v>
      </c>
      <c r="L710" s="2" t="s">
        <v>6262</v>
      </c>
      <c r="N710" s="1" t="s">
        <v>7271</v>
      </c>
    </row>
    <row r="711" spans="1:14" ht="116" x14ac:dyDescent="0.35">
      <c r="A711" s="121" t="s">
        <v>3706</v>
      </c>
      <c r="B711" s="99" t="s">
        <v>4733</v>
      </c>
      <c r="C711" s="121" t="str" cm="1">
        <f t="array" ref="C711:F711">_xlfn.TEXTSPLIT('איחוד שאלות'!$B711,"_")</f>
        <v>perception</v>
      </c>
      <c r="D711" s="99" t="str">
        <v>argument</v>
      </c>
      <c r="E711" s="99" t="str">
        <v>territoriespeace</v>
      </c>
      <c r="F711" s="99" t="str">
        <v>dash</v>
      </c>
      <c r="G711" s="100"/>
      <c r="H711" s="136" t="s">
        <v>3306</v>
      </c>
      <c r="I711" s="2" t="s">
        <v>5844</v>
      </c>
      <c r="J711" s="2" t="s">
        <v>6224</v>
      </c>
      <c r="K711" s="2" t="s">
        <v>6264</v>
      </c>
      <c r="L711" s="2" t="s">
        <v>6262</v>
      </c>
      <c r="N711" s="1" t="s">
        <v>7272</v>
      </c>
    </row>
    <row r="712" spans="1:14" ht="116" x14ac:dyDescent="0.35">
      <c r="A712" s="113" t="s">
        <v>3707</v>
      </c>
      <c r="B712" s="102" t="s">
        <v>4734</v>
      </c>
      <c r="C712" s="123" t="str" cm="1">
        <f t="array" ref="C712:F712">_xlfn.TEXTSPLIT('איחוד שאלות'!$B712,"_")</f>
        <v>perception</v>
      </c>
      <c r="D712" s="102" t="str">
        <v>argument</v>
      </c>
      <c r="E712" s="102" t="str">
        <v>socioeconomic</v>
      </c>
      <c r="F712" s="102" t="str">
        <v>dash</v>
      </c>
      <c r="G712" s="103"/>
      <c r="H712" s="135" t="s">
        <v>3306</v>
      </c>
      <c r="I712" s="2" t="s">
        <v>5844</v>
      </c>
      <c r="J712" s="2" t="s">
        <v>6224</v>
      </c>
      <c r="K712" s="2" t="s">
        <v>6006</v>
      </c>
      <c r="L712" s="2" t="s">
        <v>6262</v>
      </c>
      <c r="N712" s="1" t="s">
        <v>7273</v>
      </c>
    </row>
    <row r="713" spans="1:14" ht="116" x14ac:dyDescent="0.35">
      <c r="A713" s="121" t="s">
        <v>3708</v>
      </c>
      <c r="B713" s="99" t="s">
        <v>4735</v>
      </c>
      <c r="C713" s="121" t="str" cm="1">
        <f t="array" ref="C713:F713">_xlfn.TEXTSPLIT('איחוד שאלות'!$B713,"_")</f>
        <v>perception</v>
      </c>
      <c r="D713" s="99" t="str">
        <v>argument</v>
      </c>
      <c r="E713" s="99" t="str">
        <v>corruption</v>
      </c>
      <c r="F713" s="99" t="str">
        <v>dash</v>
      </c>
      <c r="G713" s="100"/>
      <c r="H713" s="136" t="s">
        <v>3306</v>
      </c>
      <c r="I713" s="2" t="s">
        <v>5844</v>
      </c>
      <c r="J713" s="2" t="s">
        <v>6224</v>
      </c>
      <c r="K713" s="2" t="s">
        <v>6029</v>
      </c>
      <c r="L713" s="2" t="s">
        <v>6262</v>
      </c>
      <c r="N713" s="1" t="s">
        <v>7274</v>
      </c>
    </row>
    <row r="714" spans="1:14" ht="101.5" x14ac:dyDescent="0.35">
      <c r="A714" s="113" t="s">
        <v>3709</v>
      </c>
      <c r="B714" s="102" t="s">
        <v>4736</v>
      </c>
      <c r="C714" s="123" t="str" cm="1">
        <f t="array" ref="C714:F714">_xlfn.TEXTSPLIT('איחוד שאלות'!$B714,"_")</f>
        <v>perception</v>
      </c>
      <c r="D714" s="102" t="str">
        <v>argument</v>
      </c>
      <c r="E714" s="102" t="str">
        <v>changeelectionsystem</v>
      </c>
      <c r="F714" s="102" t="str">
        <v>dash</v>
      </c>
      <c r="G714" s="103"/>
      <c r="H714" s="135" t="s">
        <v>3306</v>
      </c>
      <c r="I714" s="2" t="s">
        <v>5844</v>
      </c>
      <c r="J714" s="2" t="s">
        <v>6224</v>
      </c>
      <c r="K714" s="2" t="s">
        <v>6252</v>
      </c>
      <c r="L714" s="2" t="s">
        <v>6262</v>
      </c>
      <c r="N714" s="1" t="s">
        <v>7275</v>
      </c>
    </row>
    <row r="715" spans="1:14" ht="87" x14ac:dyDescent="0.35">
      <c r="A715" s="121" t="s">
        <v>3710</v>
      </c>
      <c r="B715" s="99" t="s">
        <v>4737</v>
      </c>
      <c r="C715" s="121" t="str" cm="1">
        <f t="array" ref="C715:F715">_xlfn.TEXTSPLIT('איחוד שאלות'!$B715,"_")</f>
        <v>perception</v>
      </c>
      <c r="D715" s="99" t="str">
        <v>argument</v>
      </c>
      <c r="E715" s="99" t="str">
        <v>democraticparty</v>
      </c>
      <c r="F715" s="99" t="str">
        <v>dash</v>
      </c>
      <c r="G715" s="100"/>
      <c r="H715" s="136" t="s">
        <v>3306</v>
      </c>
      <c r="I715" s="2" t="s">
        <v>5844</v>
      </c>
      <c r="J715" s="2" t="s">
        <v>6224</v>
      </c>
      <c r="K715" s="2" t="s">
        <v>6237</v>
      </c>
      <c r="L715" s="2" t="s">
        <v>6262</v>
      </c>
      <c r="N715" s="1" t="s">
        <v>7276</v>
      </c>
    </row>
    <row r="716" spans="1:14" ht="87" x14ac:dyDescent="0.35">
      <c r="A716" s="113" t="s">
        <v>3711</v>
      </c>
      <c r="B716" s="102" t="s">
        <v>4738</v>
      </c>
      <c r="C716" s="123" t="str" cm="1">
        <f t="array" ref="C716:F716">_xlfn.TEXTSPLIT('איחוד שאלות'!$B716,"_")</f>
        <v>perception</v>
      </c>
      <c r="D716" s="102" t="str">
        <v>argument</v>
      </c>
      <c r="E716" s="102" t="str">
        <v>lesserevil</v>
      </c>
      <c r="F716" s="102" t="str">
        <v>dash</v>
      </c>
      <c r="G716" s="103"/>
      <c r="H716" s="135" t="s">
        <v>3306</v>
      </c>
      <c r="I716" s="2" t="s">
        <v>5844</v>
      </c>
      <c r="J716" s="2" t="s">
        <v>6224</v>
      </c>
      <c r="K716" s="2" t="s">
        <v>6230</v>
      </c>
      <c r="L716" s="2" t="s">
        <v>6262</v>
      </c>
      <c r="N716" s="1" t="s">
        <v>7277</v>
      </c>
    </row>
    <row r="717" spans="1:14" ht="101.5" x14ac:dyDescent="0.35">
      <c r="A717" s="121" t="s">
        <v>3712</v>
      </c>
      <c r="B717" s="99" t="s">
        <v>4739</v>
      </c>
      <c r="C717" s="121" t="str" cm="1">
        <f t="array" ref="C717:F717">_xlfn.TEXTSPLIT('איחוד שאלות'!$B717,"_")</f>
        <v>perception</v>
      </c>
      <c r="D717" s="99" t="str">
        <v>argument</v>
      </c>
      <c r="E717" s="99" t="str">
        <v>Hamaarakhlikudsimilar</v>
      </c>
      <c r="F717" s="99" t="str">
        <v>dash</v>
      </c>
      <c r="G717" s="100"/>
      <c r="H717" s="136" t="s">
        <v>3306</v>
      </c>
      <c r="I717" s="2" t="s">
        <v>5844</v>
      </c>
      <c r="J717" s="2" t="s">
        <v>6224</v>
      </c>
      <c r="K717" s="2" t="s">
        <v>6265</v>
      </c>
      <c r="L717" s="2" t="s">
        <v>6262</v>
      </c>
      <c r="N717" s="1" t="s">
        <v>7278</v>
      </c>
    </row>
    <row r="718" spans="1:14" ht="101.5" x14ac:dyDescent="0.35">
      <c r="A718" s="113" t="s">
        <v>3713</v>
      </c>
      <c r="B718" s="102" t="s">
        <v>4740</v>
      </c>
      <c r="C718" s="123" t="str" cm="1">
        <f t="array" ref="C718:F718">_xlfn.TEXTSPLIT('איחוד שאלות'!$B718,"_")</f>
        <v>perception</v>
      </c>
      <c r="D718" s="102" t="str">
        <v>argument</v>
      </c>
      <c r="E718" s="102" t="str">
        <v>truechange</v>
      </c>
      <c r="F718" s="102" t="str">
        <v>dash</v>
      </c>
      <c r="G718" s="103"/>
      <c r="H718" s="135" t="s">
        <v>3306</v>
      </c>
      <c r="I718" s="2" t="s">
        <v>5844</v>
      </c>
      <c r="J718" s="2" t="s">
        <v>6224</v>
      </c>
      <c r="K718" s="2" t="s">
        <v>6259</v>
      </c>
      <c r="L718" s="2" t="s">
        <v>6262</v>
      </c>
      <c r="N718" s="1" t="s">
        <v>7279</v>
      </c>
    </row>
    <row r="719" spans="1:14" ht="116" x14ac:dyDescent="0.35">
      <c r="A719" s="121" t="s">
        <v>3714</v>
      </c>
      <c r="B719" s="99" t="s">
        <v>4741</v>
      </c>
      <c r="C719" s="121" t="str" cm="1">
        <f t="array" ref="C719:F719">_xlfn.TEXTSPLIT('איחוד שאלות'!$B719,"_")</f>
        <v>perception</v>
      </c>
      <c r="D719" s="99" t="str">
        <v>argument</v>
      </c>
      <c r="E719" s="99" t="str">
        <v>hamaarakhlikudcorruption</v>
      </c>
      <c r="F719" s="99" t="str">
        <v>dash</v>
      </c>
      <c r="G719" s="100"/>
      <c r="H719" s="136" t="s">
        <v>3306</v>
      </c>
      <c r="I719" s="2" t="s">
        <v>5844</v>
      </c>
      <c r="J719" s="2" t="s">
        <v>6224</v>
      </c>
      <c r="K719" s="2" t="s">
        <v>6266</v>
      </c>
      <c r="L719" s="2" t="s">
        <v>6262</v>
      </c>
      <c r="N719" s="1" t="s">
        <v>7280</v>
      </c>
    </row>
    <row r="720" spans="1:14" ht="116" x14ac:dyDescent="0.35">
      <c r="A720" s="113" t="s">
        <v>3715</v>
      </c>
      <c r="B720" s="102" t="s">
        <v>4742</v>
      </c>
      <c r="C720" s="123" t="str" cm="1">
        <f t="array" ref="C720:F720">_xlfn.TEXTSPLIT('איחוד שאלות'!$B720,"_")</f>
        <v>perception</v>
      </c>
      <c r="D720" s="102" t="str">
        <v>argument</v>
      </c>
      <c r="E720" s="102" t="str">
        <v>hamaarakhlikudcantimprove</v>
      </c>
      <c r="F720" s="102" t="str">
        <v>dash</v>
      </c>
      <c r="G720" s="103"/>
      <c r="H720" s="135" t="s">
        <v>3306</v>
      </c>
      <c r="I720" s="2" t="s">
        <v>5844</v>
      </c>
      <c r="J720" s="2" t="s">
        <v>6224</v>
      </c>
      <c r="K720" s="2" t="s">
        <v>6267</v>
      </c>
      <c r="L720" s="2" t="s">
        <v>6262</v>
      </c>
      <c r="N720" s="1" t="s">
        <v>7281</v>
      </c>
    </row>
    <row r="721" spans="1:14" ht="116" x14ac:dyDescent="0.35">
      <c r="A721" s="121" t="s">
        <v>3716</v>
      </c>
      <c r="B721" s="99" t="s">
        <v>4743</v>
      </c>
      <c r="C721" s="121" t="str" cm="1">
        <f t="array" ref="C721:F721">_xlfn.TEXTSPLIT('איחוד שאלות'!$B721,"_")</f>
        <v>perception</v>
      </c>
      <c r="D721" s="99" t="str">
        <v>argument</v>
      </c>
      <c r="E721" s="99" t="str">
        <v>helpcareer</v>
      </c>
      <c r="F721" s="99" t="str">
        <v>dash</v>
      </c>
      <c r="G721" s="100"/>
      <c r="H721" s="136" t="s">
        <v>3306</v>
      </c>
      <c r="I721" s="2" t="s">
        <v>5844</v>
      </c>
      <c r="J721" s="2" t="s">
        <v>6224</v>
      </c>
      <c r="K721" s="2" t="s">
        <v>6239</v>
      </c>
      <c r="L721" s="2" t="s">
        <v>6262</v>
      </c>
      <c r="N721" s="1" t="s">
        <v>7282</v>
      </c>
    </row>
    <row r="722" spans="1:14" ht="116" x14ac:dyDescent="0.35">
      <c r="A722" s="113" t="s">
        <v>3717</v>
      </c>
      <c r="B722" s="102" t="s">
        <v>4744</v>
      </c>
      <c r="C722" s="123" t="str" cm="1">
        <f t="array" ref="C722:F722">_xlfn.TEXTSPLIT('איחוד שאלות'!$B722,"_")</f>
        <v>perception</v>
      </c>
      <c r="D722" s="102" t="str">
        <v>argument</v>
      </c>
      <c r="E722" s="102" t="str">
        <v>helppersonally</v>
      </c>
      <c r="F722" s="102" t="str">
        <v>dash</v>
      </c>
      <c r="G722" s="103"/>
      <c r="H722" s="135" t="s">
        <v>3306</v>
      </c>
      <c r="I722" s="2" t="s">
        <v>5844</v>
      </c>
      <c r="J722" s="2" t="s">
        <v>6224</v>
      </c>
      <c r="K722" s="2" t="s">
        <v>6240</v>
      </c>
      <c r="L722" s="2" t="s">
        <v>6262</v>
      </c>
      <c r="N722" s="1" t="s">
        <v>7283</v>
      </c>
    </row>
    <row r="723" spans="1:14" ht="87" x14ac:dyDescent="0.35">
      <c r="A723" s="121" t="s">
        <v>3718</v>
      </c>
      <c r="B723" s="99" t="s">
        <v>4745</v>
      </c>
      <c r="C723" s="121" t="str" cm="1">
        <f t="array" ref="C723:F723">_xlfn.TEXTSPLIT('איחוד שאלות'!$B723,"_")</f>
        <v>perception</v>
      </c>
      <c r="D723" s="99" t="str">
        <v>politician</v>
      </c>
      <c r="E723" s="99" t="str">
        <v>menachembegin</v>
      </c>
      <c r="F723" s="99" t="str">
        <v>goodforstate</v>
      </c>
      <c r="G723" s="100"/>
      <c r="H723" s="136" t="s">
        <v>3306</v>
      </c>
      <c r="I723" s="2" t="s">
        <v>5844</v>
      </c>
      <c r="J723" s="2" t="s">
        <v>6151</v>
      </c>
      <c r="K723" s="2" t="s">
        <v>6075</v>
      </c>
      <c r="L723" s="2" t="s">
        <v>6268</v>
      </c>
      <c r="N723" s="1" t="s">
        <v>7284</v>
      </c>
    </row>
    <row r="724" spans="1:14" ht="101.5" x14ac:dyDescent="0.35">
      <c r="A724" s="113" t="s">
        <v>3719</v>
      </c>
      <c r="B724" s="102" t="s">
        <v>4746</v>
      </c>
      <c r="C724" s="123" t="str" cm="1">
        <f t="array" ref="C724:F724">_xlfn.TEXTSPLIT('איחוד שאלות'!$B724,"_")</f>
        <v>perception</v>
      </c>
      <c r="D724" s="102" t="str">
        <v>politician</v>
      </c>
      <c r="E724" s="102" t="str">
        <v>menachembegin</v>
      </c>
      <c r="F724" s="102" t="str">
        <v>considerstatements</v>
      </c>
      <c r="G724" s="103"/>
      <c r="H724" s="135" t="s">
        <v>3306</v>
      </c>
      <c r="I724" s="2" t="s">
        <v>5844</v>
      </c>
      <c r="J724" s="2" t="s">
        <v>6151</v>
      </c>
      <c r="K724" s="2" t="s">
        <v>6075</v>
      </c>
      <c r="L724" s="2" t="s">
        <v>6269</v>
      </c>
      <c r="N724" s="1" t="s">
        <v>7285</v>
      </c>
    </row>
    <row r="725" spans="1:14" ht="72.5" x14ac:dyDescent="0.35">
      <c r="A725" s="121" t="s">
        <v>3720</v>
      </c>
      <c r="B725" s="99" t="s">
        <v>4747</v>
      </c>
      <c r="C725" s="121" t="str" cm="1">
        <f t="array" ref="C725:F725">_xlfn.TEXTSPLIT('איחוד שאלות'!$B725,"_")</f>
        <v>perception</v>
      </c>
      <c r="D725" s="99" t="str">
        <v>politician</v>
      </c>
      <c r="E725" s="99" t="str">
        <v>menachembegin</v>
      </c>
      <c r="F725" s="99" t="str">
        <v>stable</v>
      </c>
      <c r="G725" s="100"/>
      <c r="H725" s="136" t="s">
        <v>3306</v>
      </c>
      <c r="I725" s="2" t="s">
        <v>5844</v>
      </c>
      <c r="J725" s="2" t="s">
        <v>6151</v>
      </c>
      <c r="K725" s="2" t="s">
        <v>6075</v>
      </c>
      <c r="L725" s="2" t="s">
        <v>6270</v>
      </c>
      <c r="N725" s="1" t="s">
        <v>7286</v>
      </c>
    </row>
    <row r="726" spans="1:14" ht="87" x14ac:dyDescent="0.35">
      <c r="A726" s="113" t="s">
        <v>3721</v>
      </c>
      <c r="B726" s="102" t="s">
        <v>4748</v>
      </c>
      <c r="C726" s="123" t="str" cm="1">
        <f t="array" ref="C726:F726">_xlfn.TEXTSPLIT('איחוד שאלות'!$B726,"_")</f>
        <v>perception</v>
      </c>
      <c r="D726" s="102" t="str">
        <v>politician</v>
      </c>
      <c r="E726" s="102" t="str">
        <v>menachembegin</v>
      </c>
      <c r="F726" s="102" t="str">
        <v>obsolete</v>
      </c>
      <c r="G726" s="103"/>
      <c r="H726" s="135" t="s">
        <v>3306</v>
      </c>
      <c r="I726" s="2" t="s">
        <v>5844</v>
      </c>
      <c r="J726" s="2" t="s">
        <v>6151</v>
      </c>
      <c r="K726" s="2" t="s">
        <v>6075</v>
      </c>
      <c r="L726" s="2" t="s">
        <v>6271</v>
      </c>
      <c r="N726" s="1" t="s">
        <v>7287</v>
      </c>
    </row>
    <row r="727" spans="1:14" ht="72.5" x14ac:dyDescent="0.35">
      <c r="A727" s="121" t="s">
        <v>3722</v>
      </c>
      <c r="B727" s="99" t="s">
        <v>4749</v>
      </c>
      <c r="C727" s="121" t="str" cm="1">
        <f t="array" ref="C727:F727">_xlfn.TEXTSPLIT('איחוד שאלות'!$B727,"_")</f>
        <v>perception</v>
      </c>
      <c r="D727" s="99" t="str">
        <v>politician</v>
      </c>
      <c r="E727" s="99" t="str">
        <v>menachembegin</v>
      </c>
      <c r="F727" s="99" t="str">
        <v>badprimeminister</v>
      </c>
      <c r="G727" s="100"/>
      <c r="H727" s="136" t="s">
        <v>3306</v>
      </c>
      <c r="I727" s="2" t="s">
        <v>5844</v>
      </c>
      <c r="J727" s="2" t="s">
        <v>6151</v>
      </c>
      <c r="K727" s="2" t="s">
        <v>6075</v>
      </c>
      <c r="L727" s="2" t="s">
        <v>6272</v>
      </c>
      <c r="N727" s="1" t="s">
        <v>7288</v>
      </c>
    </row>
    <row r="728" spans="1:14" ht="87" x14ac:dyDescent="0.35">
      <c r="A728" s="113" t="s">
        <v>3723</v>
      </c>
      <c r="B728" s="102" t="s">
        <v>4750</v>
      </c>
      <c r="C728" s="123" t="str" cm="1">
        <f t="array" ref="C728:F728">_xlfn.TEXTSPLIT('איחוד שאלות'!$B728,"_")</f>
        <v>perception</v>
      </c>
      <c r="D728" s="102" t="str">
        <v>politician</v>
      </c>
      <c r="E728" s="102" t="str">
        <v>menachembegin</v>
      </c>
      <c r="F728" s="102" t="str">
        <v>badministerdefence</v>
      </c>
      <c r="G728" s="103"/>
      <c r="H728" s="135" t="s">
        <v>3306</v>
      </c>
      <c r="I728" s="2" t="s">
        <v>5844</v>
      </c>
      <c r="J728" s="2" t="s">
        <v>6151</v>
      </c>
      <c r="K728" s="2" t="s">
        <v>6075</v>
      </c>
      <c r="L728" s="2" t="s">
        <v>6273</v>
      </c>
      <c r="N728" s="1" t="s">
        <v>7289</v>
      </c>
    </row>
    <row r="729" spans="1:14" ht="87" x14ac:dyDescent="0.35">
      <c r="A729" s="121" t="s">
        <v>3724</v>
      </c>
      <c r="B729" s="99" t="s">
        <v>4751</v>
      </c>
      <c r="C729" s="121" t="str" cm="1">
        <f t="array" ref="C729:F729">_xlfn.TEXTSPLIT('איחוד שאלות'!$B729,"_")</f>
        <v>perception</v>
      </c>
      <c r="D729" s="99" t="str">
        <v>politician</v>
      </c>
      <c r="E729" s="99" t="str">
        <v>menachembegin</v>
      </c>
      <c r="F729" s="99" t="str">
        <v>temperamental</v>
      </c>
      <c r="G729" s="100"/>
      <c r="H729" s="136" t="s">
        <v>3306</v>
      </c>
      <c r="I729" s="2" t="s">
        <v>5844</v>
      </c>
      <c r="J729" s="2" t="s">
        <v>6151</v>
      </c>
      <c r="K729" s="2" t="s">
        <v>6075</v>
      </c>
      <c r="L729" s="2" t="s">
        <v>6274</v>
      </c>
      <c r="N729" s="1" t="s">
        <v>7290</v>
      </c>
    </row>
    <row r="730" spans="1:14" ht="116" x14ac:dyDescent="0.35">
      <c r="A730" s="113" t="s">
        <v>3725</v>
      </c>
      <c r="B730" s="102" t="s">
        <v>4752</v>
      </c>
      <c r="C730" s="123" t="str" cm="1">
        <f t="array" ref="C730:F730">_xlfn.TEXTSPLIT('איחוד שאלות'!$B730,"_")</f>
        <v>perception</v>
      </c>
      <c r="D730" s="102" t="str">
        <v>politician</v>
      </c>
      <c r="E730" s="102" t="str">
        <v>menachembegin</v>
      </c>
      <c r="F730" s="102" t="str">
        <v>medicallyunfit</v>
      </c>
      <c r="G730" s="103"/>
      <c r="H730" s="135" t="s">
        <v>3306</v>
      </c>
      <c r="I730" s="2" t="s">
        <v>5844</v>
      </c>
      <c r="J730" s="2" t="s">
        <v>6151</v>
      </c>
      <c r="K730" s="2" t="s">
        <v>6075</v>
      </c>
      <c r="L730" s="2" t="s">
        <v>6275</v>
      </c>
      <c r="N730" s="1" t="s">
        <v>7291</v>
      </c>
    </row>
    <row r="731" spans="1:14" ht="72.5" x14ac:dyDescent="0.35">
      <c r="A731" s="121" t="s">
        <v>3726</v>
      </c>
      <c r="B731" s="99" t="s">
        <v>4753</v>
      </c>
      <c r="C731" s="121" t="str" cm="1">
        <f t="array" ref="C731:F731">_xlfn.TEXTSPLIT('איחוד שאלות'!$B731,"_")</f>
        <v>perception</v>
      </c>
      <c r="D731" s="99" t="str">
        <v>politician</v>
      </c>
      <c r="E731" s="99" t="str">
        <v>menachembegin</v>
      </c>
      <c r="F731" s="99" t="str">
        <v>adventurous</v>
      </c>
      <c r="G731" s="100"/>
      <c r="H731" s="136" t="s">
        <v>3306</v>
      </c>
      <c r="I731" s="2" t="s">
        <v>5844</v>
      </c>
      <c r="J731" s="2" t="s">
        <v>6151</v>
      </c>
      <c r="K731" s="2" t="s">
        <v>6075</v>
      </c>
      <c r="L731" s="2" t="s">
        <v>6276</v>
      </c>
      <c r="N731" s="1" t="s">
        <v>7292</v>
      </c>
    </row>
    <row r="732" spans="1:14" ht="87" x14ac:dyDescent="0.35">
      <c r="A732" s="113" t="s">
        <v>3727</v>
      </c>
      <c r="B732" s="102" t="s">
        <v>4754</v>
      </c>
      <c r="C732" s="123" t="str" cm="1">
        <f t="array" ref="C732:F732">_xlfn.TEXTSPLIT('איחוד שאלות'!$B732,"_")</f>
        <v>perception</v>
      </c>
      <c r="D732" s="102" t="str">
        <v>politician</v>
      </c>
      <c r="E732" s="102" t="str">
        <v>menachembegin</v>
      </c>
      <c r="F732" s="102" t="str">
        <v>belongtoopposition</v>
      </c>
      <c r="G732" s="103"/>
      <c r="H732" s="135" t="s">
        <v>3306</v>
      </c>
      <c r="I732" s="2" t="s">
        <v>5844</v>
      </c>
      <c r="J732" s="2" t="s">
        <v>6151</v>
      </c>
      <c r="K732" s="2" t="s">
        <v>6075</v>
      </c>
      <c r="L732" s="2" t="s">
        <v>6277</v>
      </c>
      <c r="N732" s="1" t="s">
        <v>7293</v>
      </c>
    </row>
    <row r="733" spans="1:14" ht="72.5" x14ac:dyDescent="0.35">
      <c r="A733" s="121" t="s">
        <v>3728</v>
      </c>
      <c r="B733" s="99" t="s">
        <v>4755</v>
      </c>
      <c r="C733" s="121" t="str" cm="1">
        <f t="array" ref="C733:F733">_xlfn.TEXTSPLIT('איחוד שאלות'!$B733,"_")</f>
        <v>perception</v>
      </c>
      <c r="D733" s="99" t="str">
        <v>politician</v>
      </c>
      <c r="E733" s="99" t="str">
        <v>menachembegin</v>
      </c>
      <c r="F733" s="99" t="str">
        <v>strongweak</v>
      </c>
      <c r="G733" s="100"/>
      <c r="H733" s="136" t="s">
        <v>3306</v>
      </c>
      <c r="I733" s="2" t="s">
        <v>5844</v>
      </c>
      <c r="J733" s="2" t="s">
        <v>6151</v>
      </c>
      <c r="K733" s="2" t="s">
        <v>6075</v>
      </c>
      <c r="L733" s="2" t="s">
        <v>6196</v>
      </c>
      <c r="N733" s="1" t="s">
        <v>7294</v>
      </c>
    </row>
    <row r="734" spans="1:14" ht="87" x14ac:dyDescent="0.35">
      <c r="A734" s="113" t="s">
        <v>3729</v>
      </c>
      <c r="B734" s="102" t="s">
        <v>4756</v>
      </c>
      <c r="C734" s="123" t="str" cm="1">
        <f t="array" ref="C734:F734">_xlfn.TEXTSPLIT('איחוד שאלות'!$B734,"_")</f>
        <v>perception</v>
      </c>
      <c r="D734" s="102" t="str">
        <v>politician</v>
      </c>
      <c r="E734" s="102" t="str">
        <v>menachembegin</v>
      </c>
      <c r="F734" s="102" t="str">
        <v>teamwork</v>
      </c>
      <c r="G734" s="103"/>
      <c r="H734" s="135" t="s">
        <v>3306</v>
      </c>
      <c r="I734" s="2" t="s">
        <v>5844</v>
      </c>
      <c r="J734" s="2" t="s">
        <v>6151</v>
      </c>
      <c r="K734" s="2" t="s">
        <v>6075</v>
      </c>
      <c r="L734" s="2" t="s">
        <v>6278</v>
      </c>
      <c r="N734" s="1" t="s">
        <v>7295</v>
      </c>
    </row>
    <row r="735" spans="1:14" ht="72.5" x14ac:dyDescent="0.35">
      <c r="A735" s="121" t="s">
        <v>3730</v>
      </c>
      <c r="B735" s="99" t="s">
        <v>4757</v>
      </c>
      <c r="C735" s="121" t="str" cm="1">
        <f t="array" ref="C735:F735">_xlfn.TEXTSPLIT('איחוד שאלות'!$B735,"_")</f>
        <v>perception</v>
      </c>
      <c r="D735" s="99" t="str">
        <v>politician</v>
      </c>
      <c r="E735" s="99" t="str">
        <v>menachembegin</v>
      </c>
      <c r="F735" s="99" t="str">
        <v>honest</v>
      </c>
      <c r="G735" s="100"/>
      <c r="H735" s="136" t="s">
        <v>3306</v>
      </c>
      <c r="I735" s="2" t="s">
        <v>5844</v>
      </c>
      <c r="J735" s="2" t="s">
        <v>6151</v>
      </c>
      <c r="K735" s="2" t="s">
        <v>6075</v>
      </c>
      <c r="L735" s="2" t="s">
        <v>6182</v>
      </c>
      <c r="N735" s="1" t="s">
        <v>7296</v>
      </c>
    </row>
    <row r="736" spans="1:14" ht="87" x14ac:dyDescent="0.35">
      <c r="A736" s="113" t="s">
        <v>3731</v>
      </c>
      <c r="B736" s="102" t="s">
        <v>4758</v>
      </c>
      <c r="C736" s="123" t="str" cm="1">
        <f t="array" ref="C736:F736">_xlfn.TEXTSPLIT('איחוד שאלות'!$B736,"_")</f>
        <v>perception</v>
      </c>
      <c r="D736" s="102" t="str">
        <v>politician</v>
      </c>
      <c r="E736" s="102" t="str">
        <v>menachembegin</v>
      </c>
      <c r="F736" s="102" t="str">
        <v>decisive</v>
      </c>
      <c r="G736" s="103"/>
      <c r="H736" s="135" t="s">
        <v>3306</v>
      </c>
      <c r="I736" s="2" t="s">
        <v>5844</v>
      </c>
      <c r="J736" s="2" t="s">
        <v>6151</v>
      </c>
      <c r="K736" s="2" t="s">
        <v>6075</v>
      </c>
      <c r="L736" s="2" t="s">
        <v>6279</v>
      </c>
      <c r="N736" s="1" t="s">
        <v>7297</v>
      </c>
    </row>
    <row r="737" spans="1:14" ht="87" x14ac:dyDescent="0.35">
      <c r="A737" s="121" t="s">
        <v>3732</v>
      </c>
      <c r="B737" s="99" t="s">
        <v>4759</v>
      </c>
      <c r="C737" s="121" t="str" cm="1">
        <f t="array" ref="C737:F737">_xlfn.TEXTSPLIT('איחוד שאלות'!$B737,"_")</f>
        <v>perception</v>
      </c>
      <c r="D737" s="99" t="str">
        <v>politician</v>
      </c>
      <c r="E737" s="99" t="str">
        <v>menachembegin</v>
      </c>
      <c r="F737" s="99" t="str">
        <v>pressure</v>
      </c>
      <c r="G737" s="100"/>
      <c r="H737" s="136" t="s">
        <v>3306</v>
      </c>
      <c r="I737" s="2" t="s">
        <v>5844</v>
      </c>
      <c r="J737" s="2" t="s">
        <v>6151</v>
      </c>
      <c r="K737" s="2" t="s">
        <v>6075</v>
      </c>
      <c r="L737" s="2" t="s">
        <v>6190</v>
      </c>
      <c r="N737" s="1" t="s">
        <v>7298</v>
      </c>
    </row>
    <row r="738" spans="1:14" ht="72.5" x14ac:dyDescent="0.35">
      <c r="A738" s="113" t="s">
        <v>3733</v>
      </c>
      <c r="B738" s="102" t="s">
        <v>4760</v>
      </c>
      <c r="C738" s="123" t="str" cm="1">
        <f t="array" ref="C738:F738">_xlfn.TEXTSPLIT('איחוד שאלות'!$B738,"_")</f>
        <v>perception</v>
      </c>
      <c r="D738" s="102" t="str">
        <v>politician</v>
      </c>
      <c r="E738" s="102" t="str">
        <v>peres</v>
      </c>
      <c r="F738" s="102" t="str">
        <v>strongweak</v>
      </c>
      <c r="G738" s="103"/>
      <c r="H738" s="135" t="s">
        <v>3306</v>
      </c>
      <c r="I738" s="2" t="s">
        <v>5844</v>
      </c>
      <c r="J738" s="2" t="s">
        <v>6151</v>
      </c>
      <c r="K738" s="2" t="s">
        <v>6086</v>
      </c>
      <c r="L738" s="2" t="s">
        <v>6196</v>
      </c>
      <c r="N738" s="1" t="s">
        <v>7299</v>
      </c>
    </row>
    <row r="739" spans="1:14" ht="87" x14ac:dyDescent="0.35">
      <c r="A739" s="121" t="s">
        <v>3734</v>
      </c>
      <c r="B739" s="99" t="s">
        <v>4761</v>
      </c>
      <c r="C739" s="121" t="str" cm="1">
        <f t="array" ref="C739:F739">_xlfn.TEXTSPLIT('איחוד שאלות'!$B739,"_")</f>
        <v>perception</v>
      </c>
      <c r="D739" s="99" t="str">
        <v>politician</v>
      </c>
      <c r="E739" s="99" t="str">
        <v>peres</v>
      </c>
      <c r="F739" s="99" t="str">
        <v>teamwork</v>
      </c>
      <c r="G739" s="100"/>
      <c r="H739" s="136" t="s">
        <v>3306</v>
      </c>
      <c r="I739" s="2" t="s">
        <v>5844</v>
      </c>
      <c r="J739" s="2" t="s">
        <v>6151</v>
      </c>
      <c r="K739" s="2" t="s">
        <v>6086</v>
      </c>
      <c r="L739" s="2" t="s">
        <v>6278</v>
      </c>
      <c r="N739" s="1" t="s">
        <v>7300</v>
      </c>
    </row>
    <row r="740" spans="1:14" ht="72.5" x14ac:dyDescent="0.35">
      <c r="A740" s="113" t="s">
        <v>3735</v>
      </c>
      <c r="B740" s="102" t="s">
        <v>4762</v>
      </c>
      <c r="C740" s="123" t="str" cm="1">
        <f t="array" ref="C740:F740">_xlfn.TEXTSPLIT('איחוד שאלות'!$B740,"_")</f>
        <v>perception</v>
      </c>
      <c r="D740" s="102" t="str">
        <v>politician</v>
      </c>
      <c r="E740" s="102" t="str">
        <v>peres</v>
      </c>
      <c r="F740" s="102" t="str">
        <v>honest</v>
      </c>
      <c r="G740" s="103"/>
      <c r="H740" s="135" t="s">
        <v>3306</v>
      </c>
      <c r="I740" s="2" t="s">
        <v>5844</v>
      </c>
      <c r="J740" s="2" t="s">
        <v>6151</v>
      </c>
      <c r="K740" s="2" t="s">
        <v>6086</v>
      </c>
      <c r="L740" s="2" t="s">
        <v>6182</v>
      </c>
      <c r="N740" s="1" t="s">
        <v>7301</v>
      </c>
    </row>
    <row r="741" spans="1:14" ht="87" x14ac:dyDescent="0.35">
      <c r="A741" s="121" t="s">
        <v>3736</v>
      </c>
      <c r="B741" s="99" t="s">
        <v>4763</v>
      </c>
      <c r="C741" s="121" t="str" cm="1">
        <f t="array" ref="C741:F741">_xlfn.TEXTSPLIT('איחוד שאלות'!$B741,"_")</f>
        <v>perception</v>
      </c>
      <c r="D741" s="99" t="str">
        <v>politician</v>
      </c>
      <c r="E741" s="99" t="str">
        <v>peres</v>
      </c>
      <c r="F741" s="99" t="str">
        <v>decisive</v>
      </c>
      <c r="G741" s="100"/>
      <c r="H741" s="136" t="s">
        <v>3306</v>
      </c>
      <c r="I741" s="2" t="s">
        <v>5844</v>
      </c>
      <c r="J741" s="2" t="s">
        <v>6151</v>
      </c>
      <c r="K741" s="2" t="s">
        <v>6086</v>
      </c>
      <c r="L741" s="2" t="s">
        <v>6279</v>
      </c>
      <c r="N741" s="1" t="s">
        <v>7302</v>
      </c>
    </row>
    <row r="742" spans="1:14" ht="87" x14ac:dyDescent="0.35">
      <c r="A742" s="113" t="s">
        <v>3737</v>
      </c>
      <c r="B742" s="102" t="s">
        <v>4764</v>
      </c>
      <c r="C742" s="123" t="str" cm="1">
        <f t="array" ref="C742:F742">_xlfn.TEXTSPLIT('איחוד שאלות'!$B742,"_")</f>
        <v>perception</v>
      </c>
      <c r="D742" s="102" t="str">
        <v>politician</v>
      </c>
      <c r="E742" s="102" t="str">
        <v>peres</v>
      </c>
      <c r="F742" s="102" t="str">
        <v>pressure</v>
      </c>
      <c r="G742" s="103"/>
      <c r="H742" s="135" t="s">
        <v>3306</v>
      </c>
      <c r="I742" s="2" t="s">
        <v>5844</v>
      </c>
      <c r="J742" s="2" t="s">
        <v>6151</v>
      </c>
      <c r="K742" s="2" t="s">
        <v>6086</v>
      </c>
      <c r="L742" s="2" t="s">
        <v>6190</v>
      </c>
      <c r="N742" s="1" t="s">
        <v>7303</v>
      </c>
    </row>
    <row r="743" spans="1:14" ht="101.5" x14ac:dyDescent="0.35">
      <c r="A743" s="121" t="s">
        <v>3738</v>
      </c>
      <c r="B743" s="99" t="s">
        <v>4765</v>
      </c>
      <c r="C743" s="121" t="str" cm="1">
        <f t="array" ref="C743:F743">_xlfn.TEXTSPLIT('איחוד שאלות'!$B743,"_")</f>
        <v>perception</v>
      </c>
      <c r="D743" s="99" t="str">
        <v>politician</v>
      </c>
      <c r="E743" s="99" t="str">
        <v>peres</v>
      </c>
      <c r="F743" s="99" t="str">
        <v>television</v>
      </c>
      <c r="G743" s="100"/>
      <c r="H743" s="136" t="s">
        <v>3306</v>
      </c>
      <c r="I743" s="2" t="s">
        <v>5844</v>
      </c>
      <c r="J743" s="2" t="s">
        <v>6151</v>
      </c>
      <c r="K743" s="2" t="s">
        <v>6086</v>
      </c>
      <c r="L743" s="2" t="s">
        <v>6280</v>
      </c>
      <c r="N743" s="1" t="s">
        <v>7304</v>
      </c>
    </row>
    <row r="744" spans="1:14" ht="72.5" x14ac:dyDescent="0.35">
      <c r="A744" s="113" t="s">
        <v>3739</v>
      </c>
      <c r="B744" s="102" t="s">
        <v>4766</v>
      </c>
      <c r="C744" s="123" t="str" cm="1">
        <f t="array" ref="C744:F744">_xlfn.TEXTSPLIT('איחוד שאלות'!$B744,"_")</f>
        <v>perception</v>
      </c>
      <c r="D744" s="102" t="str">
        <v>politician</v>
      </c>
      <c r="E744" s="102" t="str">
        <v>peres</v>
      </c>
      <c r="F744" s="102" t="str">
        <v>slippery</v>
      </c>
      <c r="G744" s="103"/>
      <c r="H744" s="135" t="s">
        <v>3306</v>
      </c>
      <c r="I744" s="2" t="s">
        <v>5844</v>
      </c>
      <c r="J744" s="2" t="s">
        <v>6151</v>
      </c>
      <c r="K744" s="2" t="s">
        <v>6086</v>
      </c>
      <c r="L744" s="2" t="s">
        <v>6281</v>
      </c>
      <c r="N744" s="1" t="s">
        <v>7305</v>
      </c>
    </row>
    <row r="745" spans="1:14" ht="72.5" x14ac:dyDescent="0.35">
      <c r="A745" s="121" t="s">
        <v>3740</v>
      </c>
      <c r="B745" s="99" t="s">
        <v>4767</v>
      </c>
      <c r="C745" s="121" t="str" cm="1">
        <f t="array" ref="C745:F745">_xlfn.TEXTSPLIT('איחוד שאלות'!$B745,"_")</f>
        <v>perception</v>
      </c>
      <c r="D745" s="99" t="str">
        <v>politician</v>
      </c>
      <c r="E745" s="99" t="str">
        <v>peres</v>
      </c>
      <c r="F745" s="99" t="str">
        <v>tired</v>
      </c>
      <c r="G745" s="100"/>
      <c r="H745" s="136" t="s">
        <v>3306</v>
      </c>
      <c r="I745" s="2" t="s">
        <v>5844</v>
      </c>
      <c r="J745" s="2" t="s">
        <v>6151</v>
      </c>
      <c r="K745" s="2" t="s">
        <v>6086</v>
      </c>
      <c r="L745" s="2" t="s">
        <v>6282</v>
      </c>
      <c r="N745" s="1" t="s">
        <v>7306</v>
      </c>
    </row>
    <row r="746" spans="1:14" ht="72.5" x14ac:dyDescent="0.35">
      <c r="A746" s="113" t="s">
        <v>3741</v>
      </c>
      <c r="B746" s="102" t="s">
        <v>4768</v>
      </c>
      <c r="C746" s="123" t="str" cm="1">
        <f t="array" ref="C746:F746">_xlfn.TEXTSPLIT('איחוד שאלות'!$B746,"_")</f>
        <v>perception</v>
      </c>
      <c r="D746" s="102" t="str">
        <v>politician</v>
      </c>
      <c r="E746" s="102" t="str">
        <v>dayan</v>
      </c>
      <c r="F746" s="102" t="str">
        <v>strongweak</v>
      </c>
      <c r="G746" s="103"/>
      <c r="H746" s="135" t="s">
        <v>3306</v>
      </c>
      <c r="I746" s="2" t="s">
        <v>5844</v>
      </c>
      <c r="J746" s="2" t="s">
        <v>6151</v>
      </c>
      <c r="K746" s="2" t="s">
        <v>6140</v>
      </c>
      <c r="L746" s="2" t="s">
        <v>6196</v>
      </c>
      <c r="N746" s="1" t="s">
        <v>7307</v>
      </c>
    </row>
    <row r="747" spans="1:14" ht="87" x14ac:dyDescent="0.35">
      <c r="A747" s="121" t="s">
        <v>3742</v>
      </c>
      <c r="B747" s="99" t="s">
        <v>4769</v>
      </c>
      <c r="C747" s="121" t="str" cm="1">
        <f t="array" ref="C747:F747">_xlfn.TEXTSPLIT('איחוד שאלות'!$B747,"_")</f>
        <v>perception</v>
      </c>
      <c r="D747" s="99" t="str">
        <v>politician</v>
      </c>
      <c r="E747" s="99" t="str">
        <v>dayan</v>
      </c>
      <c r="F747" s="99" t="str">
        <v>teamwork</v>
      </c>
      <c r="G747" s="100"/>
      <c r="H747" s="136" t="s">
        <v>3306</v>
      </c>
      <c r="I747" s="2" t="s">
        <v>5844</v>
      </c>
      <c r="J747" s="2" t="s">
        <v>6151</v>
      </c>
      <c r="K747" s="2" t="s">
        <v>6140</v>
      </c>
      <c r="L747" s="2" t="s">
        <v>6278</v>
      </c>
      <c r="N747" s="1" t="s">
        <v>7308</v>
      </c>
    </row>
    <row r="748" spans="1:14" ht="72.5" x14ac:dyDescent="0.35">
      <c r="A748" s="113" t="s">
        <v>3743</v>
      </c>
      <c r="B748" s="102" t="s">
        <v>4770</v>
      </c>
      <c r="C748" s="123" t="str" cm="1">
        <f t="array" ref="C748:F748">_xlfn.TEXTSPLIT('איחוד שאלות'!$B748,"_")</f>
        <v>perception</v>
      </c>
      <c r="D748" s="102" t="str">
        <v>politician</v>
      </c>
      <c r="E748" s="102" t="str">
        <v>dayan</v>
      </c>
      <c r="F748" s="102" t="str">
        <v>honest</v>
      </c>
      <c r="G748" s="103"/>
      <c r="H748" s="135" t="s">
        <v>3306</v>
      </c>
      <c r="I748" s="2" t="s">
        <v>5844</v>
      </c>
      <c r="J748" s="2" t="s">
        <v>6151</v>
      </c>
      <c r="K748" s="2" t="s">
        <v>6140</v>
      </c>
      <c r="L748" s="2" t="s">
        <v>6182</v>
      </c>
      <c r="N748" s="1" t="s">
        <v>7309</v>
      </c>
    </row>
    <row r="749" spans="1:14" ht="87" x14ac:dyDescent="0.35">
      <c r="A749" s="121" t="s">
        <v>3744</v>
      </c>
      <c r="B749" s="99" t="s">
        <v>4771</v>
      </c>
      <c r="C749" s="121" t="str" cm="1">
        <f t="array" ref="C749:F749">_xlfn.TEXTSPLIT('איחוד שאלות'!$B749,"_")</f>
        <v>perception</v>
      </c>
      <c r="D749" s="99" t="str">
        <v>politician</v>
      </c>
      <c r="E749" s="99" t="str">
        <v>dayan</v>
      </c>
      <c r="F749" s="99" t="str">
        <v>decisive</v>
      </c>
      <c r="G749" s="100"/>
      <c r="H749" s="136" t="s">
        <v>3306</v>
      </c>
      <c r="I749" s="2" t="s">
        <v>5844</v>
      </c>
      <c r="J749" s="2" t="s">
        <v>6151</v>
      </c>
      <c r="K749" s="2" t="s">
        <v>6140</v>
      </c>
      <c r="L749" s="2" t="s">
        <v>6279</v>
      </c>
      <c r="N749" s="1" t="s">
        <v>7310</v>
      </c>
    </row>
    <row r="750" spans="1:14" ht="87" x14ac:dyDescent="0.35">
      <c r="A750" s="113" t="s">
        <v>3745</v>
      </c>
      <c r="B750" s="102" t="s">
        <v>4772</v>
      </c>
      <c r="C750" s="123" t="str" cm="1">
        <f t="array" ref="C750:F750">_xlfn.TEXTSPLIT('איחוד שאלות'!$B750,"_")</f>
        <v>perception</v>
      </c>
      <c r="D750" s="102" t="str">
        <v>politician</v>
      </c>
      <c r="E750" s="102" t="str">
        <v>dayan</v>
      </c>
      <c r="F750" s="102" t="str">
        <v>pressure</v>
      </c>
      <c r="G750" s="103"/>
      <c r="H750" s="135" t="s">
        <v>3306</v>
      </c>
      <c r="I750" s="2" t="s">
        <v>5844</v>
      </c>
      <c r="J750" s="2" t="s">
        <v>6151</v>
      </c>
      <c r="K750" s="2" t="s">
        <v>6140</v>
      </c>
      <c r="L750" s="2" t="s">
        <v>6190</v>
      </c>
      <c r="N750" s="1" t="s">
        <v>7311</v>
      </c>
    </row>
    <row r="751" spans="1:14" ht="43.5" x14ac:dyDescent="0.35">
      <c r="A751" s="121" t="s">
        <v>2780</v>
      </c>
      <c r="B751" s="99" t="s">
        <v>4773</v>
      </c>
      <c r="C751" s="121" t="str" cm="1">
        <f t="array" ref="C751:E751">_xlfn.TEXTSPLIT('איחוד שאלות'!$B751,"_")</f>
        <v>preference</v>
      </c>
      <c r="D751" s="99" t="str">
        <v>politician</v>
      </c>
      <c r="E751" s="99" t="str">
        <v>primeminister</v>
      </c>
      <c r="F751" s="99"/>
      <c r="G751" s="100"/>
      <c r="H751" s="136" t="s">
        <v>3306</v>
      </c>
      <c r="I751" s="2" t="s">
        <v>5856</v>
      </c>
      <c r="J751" s="2" t="s">
        <v>6151</v>
      </c>
      <c r="K751" s="2" t="s">
        <v>6283</v>
      </c>
      <c r="N751" s="1" t="s">
        <v>2780</v>
      </c>
    </row>
    <row r="752" spans="1:14" ht="43.5" x14ac:dyDescent="0.35">
      <c r="A752" s="113" t="s">
        <v>2819</v>
      </c>
      <c r="B752" s="102" t="s">
        <v>4774</v>
      </c>
      <c r="C752" s="123" t="str" cm="1">
        <f t="array" ref="C752:E752">_xlfn.TEXTSPLIT('איחוד שאלות'!$B752,"_")</f>
        <v>perception</v>
      </c>
      <c r="D752" s="102" t="str">
        <v>politician</v>
      </c>
      <c r="E752" s="102" t="str">
        <v>ministerdefence</v>
      </c>
      <c r="F752" s="102"/>
      <c r="G752" s="103"/>
      <c r="H752" s="135" t="s">
        <v>3306</v>
      </c>
      <c r="I752" s="2" t="s">
        <v>5844</v>
      </c>
      <c r="J752" s="2" t="s">
        <v>6151</v>
      </c>
      <c r="K752" s="2" t="s">
        <v>6284</v>
      </c>
      <c r="N752" s="1" t="s">
        <v>2819</v>
      </c>
    </row>
    <row r="753" spans="1:14" ht="43.5" x14ac:dyDescent="0.35">
      <c r="A753" s="121" t="s">
        <v>2820</v>
      </c>
      <c r="B753" s="99" t="s">
        <v>4775</v>
      </c>
      <c r="C753" s="121" t="str" cm="1">
        <f t="array" ref="C753:E753">_xlfn.TEXTSPLIT('איחוד שאלות'!$B753,"_")</f>
        <v>perception</v>
      </c>
      <c r="D753" s="99" t="str">
        <v>politician</v>
      </c>
      <c r="E753" s="99" t="str">
        <v>ministerforeignaffairs</v>
      </c>
      <c r="F753" s="99"/>
      <c r="G753" s="100"/>
      <c r="H753" s="136" t="s">
        <v>3306</v>
      </c>
      <c r="I753" s="2" t="s">
        <v>5844</v>
      </c>
      <c r="J753" s="2" t="s">
        <v>6151</v>
      </c>
      <c r="K753" s="2" t="s">
        <v>6285</v>
      </c>
      <c r="N753" s="1" t="s">
        <v>2820</v>
      </c>
    </row>
    <row r="754" spans="1:14" ht="116" x14ac:dyDescent="0.35">
      <c r="A754" s="113" t="s">
        <v>95</v>
      </c>
      <c r="B754" s="102" t="s">
        <v>4777</v>
      </c>
      <c r="C754" s="123" t="str" cm="1">
        <f t="array" ref="C754:G754">_xlfn.TEXTSPLIT('איחוד שאלות'!$B754,"_")</f>
        <v>perception</v>
      </c>
      <c r="D754" s="102" t="str">
        <v>voting</v>
      </c>
      <c r="E754" s="102" t="str">
        <v>party</v>
      </c>
      <c r="F754" s="102" t="str">
        <v>importance</v>
      </c>
      <c r="G754" s="103" t="str">
        <v>reason</v>
      </c>
      <c r="H754" s="135" t="s">
        <v>3803</v>
      </c>
      <c r="I754" s="2" t="s">
        <v>5844</v>
      </c>
      <c r="J754" s="2" t="s">
        <v>5967</v>
      </c>
      <c r="K754" s="2" t="s">
        <v>5853</v>
      </c>
      <c r="L754" s="2" t="s">
        <v>5857</v>
      </c>
      <c r="M754" s="2" t="s">
        <v>5935</v>
      </c>
      <c r="N754" s="1" t="s">
        <v>95</v>
      </c>
    </row>
    <row r="755" spans="1:14" ht="130.5" x14ac:dyDescent="0.35">
      <c r="A755" s="151" t="s">
        <v>1287</v>
      </c>
      <c r="B755" s="99" t="s">
        <v>4778</v>
      </c>
      <c r="C755" s="121" t="str" cm="1">
        <f t="array" ref="C755:G755">_xlfn.TEXTSPLIT('איחוד שאלות'!$B755,"_")</f>
        <v>perception</v>
      </c>
      <c r="D755" s="99" t="str">
        <v>voting</v>
      </c>
      <c r="E755" s="99" t="str">
        <v>politician</v>
      </c>
      <c r="F755" s="99" t="str">
        <v>importance</v>
      </c>
      <c r="G755" s="100" t="str">
        <v>reason</v>
      </c>
      <c r="H755" s="136" t="s">
        <v>3803</v>
      </c>
      <c r="I755" s="2" t="s">
        <v>5844</v>
      </c>
      <c r="J755" s="2" t="s">
        <v>5967</v>
      </c>
      <c r="K755" s="2" t="s">
        <v>6151</v>
      </c>
      <c r="L755" s="2" t="s">
        <v>5857</v>
      </c>
      <c r="M755" s="2" t="s">
        <v>5935</v>
      </c>
      <c r="N755" s="1" t="s">
        <v>1287</v>
      </c>
    </row>
    <row r="756" spans="1:14" ht="116" x14ac:dyDescent="0.35">
      <c r="A756" s="113" t="s">
        <v>3005</v>
      </c>
      <c r="B756" s="102" t="s">
        <v>4779</v>
      </c>
      <c r="C756" s="123" t="str" cm="1">
        <f t="array" ref="C756:G756">_xlfn.TEXTSPLIT('איחוד שאלות'!$B756,"_")</f>
        <v>perception</v>
      </c>
      <c r="D756" s="102" t="str">
        <v>voting</v>
      </c>
      <c r="E756" s="102" t="str">
        <v>party</v>
      </c>
      <c r="F756" s="102" t="str">
        <v>importance</v>
      </c>
      <c r="G756" s="103" t="str">
        <v>hierarchy</v>
      </c>
      <c r="H756" s="135" t="s">
        <v>3803</v>
      </c>
      <c r="I756" s="2" t="s">
        <v>5844</v>
      </c>
      <c r="J756" s="2" t="s">
        <v>5967</v>
      </c>
      <c r="K756" s="2" t="s">
        <v>5853</v>
      </c>
      <c r="L756" s="2" t="s">
        <v>5857</v>
      </c>
      <c r="M756" s="2" t="s">
        <v>5788</v>
      </c>
      <c r="N756" s="1" t="s">
        <v>3005</v>
      </c>
    </row>
    <row r="757" spans="1:14" ht="87" x14ac:dyDescent="0.35">
      <c r="A757" s="121" t="s">
        <v>3746</v>
      </c>
      <c r="B757" s="99" t="s">
        <v>4776</v>
      </c>
      <c r="C757" s="121" t="str" cm="1">
        <f t="array" ref="C757:F757">_xlfn.TEXTSPLIT('איחוד שאלות'!$B757,"_")</f>
        <v>perception</v>
      </c>
      <c r="D757" s="99" t="str">
        <v>voting</v>
      </c>
      <c r="E757" s="99" t="str">
        <v>saliency</v>
      </c>
      <c r="F757" s="99" t="str">
        <v>socioeconomic</v>
      </c>
      <c r="G757" s="100"/>
      <c r="H757" s="136" t="s">
        <v>3803</v>
      </c>
      <c r="I757" s="2" t="s">
        <v>5844</v>
      </c>
      <c r="J757" s="2" t="s">
        <v>5967</v>
      </c>
      <c r="K757" s="2" t="s">
        <v>6139</v>
      </c>
      <c r="L757" s="2" t="s">
        <v>6006</v>
      </c>
      <c r="N757" s="1" t="s">
        <v>7312</v>
      </c>
    </row>
    <row r="758" spans="1:14" ht="72.5" x14ac:dyDescent="0.35">
      <c r="A758" s="113" t="s">
        <v>3747</v>
      </c>
      <c r="B758" s="102" t="s">
        <v>4776</v>
      </c>
      <c r="C758" s="123" t="str" cm="1">
        <f t="array" ref="C758:F758">_xlfn.TEXTSPLIT('איחוד שאלות'!$B758,"_")</f>
        <v>perception</v>
      </c>
      <c r="D758" s="102" t="str">
        <v>voting</v>
      </c>
      <c r="E758" s="102" t="str">
        <v>saliency</v>
      </c>
      <c r="F758" s="102" t="str">
        <v>socioeconomic</v>
      </c>
      <c r="G758" s="103"/>
      <c r="H758" s="135" t="s">
        <v>3803</v>
      </c>
      <c r="I758" s="2" t="s">
        <v>5844</v>
      </c>
      <c r="J758" s="2" t="s">
        <v>5967</v>
      </c>
      <c r="K758" s="2" t="s">
        <v>6139</v>
      </c>
      <c r="L758" s="2" t="s">
        <v>6006</v>
      </c>
      <c r="N758" s="1" t="s">
        <v>7313</v>
      </c>
    </row>
    <row r="759" spans="1:14" ht="72.5" x14ac:dyDescent="0.35">
      <c r="A759" s="121" t="s">
        <v>3748</v>
      </c>
      <c r="B759" s="99" t="s">
        <v>4776</v>
      </c>
      <c r="C759" s="121" t="str" cm="1">
        <f t="array" ref="C759:F759">_xlfn.TEXTSPLIT('איחוד שאלות'!$B759,"_")</f>
        <v>perception</v>
      </c>
      <c r="D759" s="99" t="str">
        <v>voting</v>
      </c>
      <c r="E759" s="99" t="str">
        <v>saliency</v>
      </c>
      <c r="F759" s="99" t="str">
        <v>socioeconomic</v>
      </c>
      <c r="G759" s="100"/>
      <c r="H759" s="136" t="s">
        <v>3803</v>
      </c>
      <c r="I759" s="2" t="s">
        <v>5844</v>
      </c>
      <c r="J759" s="2" t="s">
        <v>5967</v>
      </c>
      <c r="K759" s="2" t="s">
        <v>6139</v>
      </c>
      <c r="L759" s="2" t="s">
        <v>6006</v>
      </c>
      <c r="N759" s="1" t="s">
        <v>7314</v>
      </c>
    </row>
    <row r="760" spans="1:14" ht="72.5" x14ac:dyDescent="0.35">
      <c r="A760" s="113" t="s">
        <v>3749</v>
      </c>
      <c r="B760" s="102" t="s">
        <v>4780</v>
      </c>
      <c r="C760" s="123" t="str" cm="1">
        <f t="array" ref="C760:F760">_xlfn.TEXTSPLIT('איחוד שאלות'!$B760,"_")</f>
        <v>perception</v>
      </c>
      <c r="D760" s="102" t="str">
        <v>voting</v>
      </c>
      <c r="E760" s="102" t="str">
        <v>saliency</v>
      </c>
      <c r="F760" s="102" t="str">
        <v>statereligion</v>
      </c>
      <c r="G760" s="103"/>
      <c r="H760" s="135" t="s">
        <v>3803</v>
      </c>
      <c r="I760" s="2" t="s">
        <v>5844</v>
      </c>
      <c r="J760" s="2" t="s">
        <v>5967</v>
      </c>
      <c r="K760" s="2" t="s">
        <v>6139</v>
      </c>
      <c r="L760" s="2" t="s">
        <v>6025</v>
      </c>
      <c r="N760" s="1" t="s">
        <v>7315</v>
      </c>
    </row>
    <row r="761" spans="1:14" ht="72.5" x14ac:dyDescent="0.35">
      <c r="A761" s="121" t="s">
        <v>3750</v>
      </c>
      <c r="B761" s="99" t="s">
        <v>4781</v>
      </c>
      <c r="C761" s="121" t="str" cm="1">
        <f t="array" ref="C761:F761">_xlfn.TEXTSPLIT('איחוד שאלות'!$B761,"_")</f>
        <v>perception</v>
      </c>
      <c r="D761" s="99" t="str">
        <v>voting</v>
      </c>
      <c r="E761" s="99" t="str">
        <v>saliency</v>
      </c>
      <c r="F761" s="99" t="str">
        <v>peaceprocess</v>
      </c>
      <c r="G761" s="100"/>
      <c r="H761" s="136" t="s">
        <v>3803</v>
      </c>
      <c r="I761" s="2" t="s">
        <v>5844</v>
      </c>
      <c r="J761" s="2" t="s">
        <v>5967</v>
      </c>
      <c r="K761" s="2" t="s">
        <v>6139</v>
      </c>
      <c r="L761" s="2" t="s">
        <v>5874</v>
      </c>
      <c r="N761" s="1" t="s">
        <v>7316</v>
      </c>
    </row>
    <row r="762" spans="1:14" ht="72.5" x14ac:dyDescent="0.35">
      <c r="A762" s="113" t="s">
        <v>3751</v>
      </c>
      <c r="B762" s="102" t="s">
        <v>4782</v>
      </c>
      <c r="C762" s="123" t="str" cm="1">
        <f t="array" ref="C762:F762">_xlfn.TEXTSPLIT('איחוד שאלות'!$B762,"_")</f>
        <v>perception</v>
      </c>
      <c r="D762" s="102" t="str">
        <v>voting</v>
      </c>
      <c r="E762" s="102" t="str">
        <v>saliency</v>
      </c>
      <c r="F762" s="102" t="str">
        <v>security</v>
      </c>
      <c r="G762" s="103"/>
      <c r="H762" s="135" t="s">
        <v>3803</v>
      </c>
      <c r="I762" s="2" t="s">
        <v>5844</v>
      </c>
      <c r="J762" s="2" t="s">
        <v>5967</v>
      </c>
      <c r="K762" s="2" t="s">
        <v>6139</v>
      </c>
      <c r="L762" s="2" t="s">
        <v>5994</v>
      </c>
      <c r="N762" s="1" t="s">
        <v>7317</v>
      </c>
    </row>
    <row r="763" spans="1:14" ht="72.5" x14ac:dyDescent="0.35">
      <c r="A763" s="121" t="s">
        <v>3752</v>
      </c>
      <c r="B763" s="99" t="s">
        <v>4783</v>
      </c>
      <c r="C763" s="121" t="str" cm="1">
        <f t="array" ref="C763:F763">_xlfn.TEXTSPLIT('איחוד שאלות'!$B763,"_")</f>
        <v>perception</v>
      </c>
      <c r="D763" s="99" t="str">
        <v>voting</v>
      </c>
      <c r="E763" s="99" t="str">
        <v>saliency</v>
      </c>
      <c r="F763" s="99" t="str">
        <v>corruption</v>
      </c>
      <c r="G763" s="100"/>
      <c r="H763" s="136" t="s">
        <v>3803</v>
      </c>
      <c r="I763" s="2" t="s">
        <v>5844</v>
      </c>
      <c r="J763" s="2" t="s">
        <v>5967</v>
      </c>
      <c r="K763" s="2" t="s">
        <v>6139</v>
      </c>
      <c r="L763" s="2" t="s">
        <v>6029</v>
      </c>
      <c r="N763" s="1" t="s">
        <v>7318</v>
      </c>
    </row>
    <row r="764" spans="1:14" ht="72.5" x14ac:dyDescent="0.35">
      <c r="A764" s="113" t="s">
        <v>3753</v>
      </c>
      <c r="B764" s="102" t="s">
        <v>4784</v>
      </c>
      <c r="C764" s="123" t="str" cm="1">
        <f t="array" ref="C764:F764">_xlfn.TEXTSPLIT('איחוד שאלות'!$B764,"_")</f>
        <v>perception</v>
      </c>
      <c r="D764" s="102" t="str">
        <v>voting</v>
      </c>
      <c r="E764" s="102" t="str">
        <v>saliency</v>
      </c>
      <c r="F764" s="102" t="str">
        <v>democracy</v>
      </c>
      <c r="G764" s="103"/>
      <c r="H764" s="135" t="s">
        <v>3803</v>
      </c>
      <c r="I764" s="2" t="s">
        <v>5844</v>
      </c>
      <c r="J764" s="2" t="s">
        <v>5967</v>
      </c>
      <c r="K764" s="2" t="s">
        <v>6139</v>
      </c>
      <c r="L764" s="2" t="s">
        <v>5883</v>
      </c>
      <c r="N764" s="1" t="s">
        <v>7319</v>
      </c>
    </row>
    <row r="765" spans="1:14" ht="87" x14ac:dyDescent="0.35">
      <c r="A765" s="121" t="s">
        <v>3754</v>
      </c>
      <c r="B765" s="99" t="s">
        <v>4785</v>
      </c>
      <c r="C765" s="121" t="str" cm="1">
        <f t="array" ref="C765:F765">_xlfn.TEXTSPLIT('איחוד שאלות'!$B765,"_")</f>
        <v>perception</v>
      </c>
      <c r="D765" s="99" t="str">
        <v>voting</v>
      </c>
      <c r="E765" s="99" t="str">
        <v>saliency</v>
      </c>
      <c r="F765" s="99" t="str">
        <v>reelection</v>
      </c>
      <c r="G765" s="100"/>
      <c r="H765" s="136" t="s">
        <v>3803</v>
      </c>
      <c r="I765" s="2" t="s">
        <v>5844</v>
      </c>
      <c r="J765" s="2" t="s">
        <v>5967</v>
      </c>
      <c r="K765" s="2" t="s">
        <v>6139</v>
      </c>
      <c r="L765" s="2" t="s">
        <v>6286</v>
      </c>
      <c r="N765" s="1" t="s">
        <v>7320</v>
      </c>
    </row>
    <row r="766" spans="1:14" ht="72.5" x14ac:dyDescent="0.35">
      <c r="A766" s="113" t="s">
        <v>3755</v>
      </c>
      <c r="B766" s="102" t="s">
        <v>4786</v>
      </c>
      <c r="C766" s="123" t="str" cm="1">
        <f t="array" ref="C766:F766">_xlfn.TEXTSPLIT('איחוד שאלות'!$B766,"_")</f>
        <v>perception</v>
      </c>
      <c r="D766" s="102" t="str">
        <v>voting</v>
      </c>
      <c r="E766" s="102" t="str">
        <v>saliency</v>
      </c>
      <c r="F766" s="102" t="str">
        <v>iran</v>
      </c>
      <c r="G766" s="103"/>
      <c r="H766" s="135" t="s">
        <v>3803</v>
      </c>
      <c r="I766" s="2" t="s">
        <v>5844</v>
      </c>
      <c r="J766" s="2" t="s">
        <v>5967</v>
      </c>
      <c r="K766" s="2" t="s">
        <v>6139</v>
      </c>
      <c r="L766" s="2" t="s">
        <v>6026</v>
      </c>
      <c r="N766" s="1" t="s">
        <v>7321</v>
      </c>
    </row>
    <row r="767" spans="1:14" ht="72.5" x14ac:dyDescent="0.35">
      <c r="A767" s="121" t="s">
        <v>3756</v>
      </c>
      <c r="B767" s="99" t="s">
        <v>4787</v>
      </c>
      <c r="C767" s="121" t="str" cm="1">
        <f t="array" ref="C767:F767">_xlfn.TEXTSPLIT('איחוד שאלות'!$B767,"_")</f>
        <v>perception</v>
      </c>
      <c r="D767" s="99" t="str">
        <v>voting</v>
      </c>
      <c r="E767" s="99" t="str">
        <v>saliency</v>
      </c>
      <c r="F767" s="99" t="str">
        <v>jerusalem</v>
      </c>
      <c r="G767" s="100"/>
      <c r="H767" s="136" t="s">
        <v>3803</v>
      </c>
      <c r="I767" s="2" t="s">
        <v>5844</v>
      </c>
      <c r="J767" s="2" t="s">
        <v>5967</v>
      </c>
      <c r="K767" s="2" t="s">
        <v>6139</v>
      </c>
      <c r="L767" s="2" t="s">
        <v>6027</v>
      </c>
      <c r="N767" s="1" t="s">
        <v>7322</v>
      </c>
    </row>
    <row r="768" spans="1:14" ht="72.5" x14ac:dyDescent="0.35">
      <c r="A768" s="113" t="s">
        <v>3757</v>
      </c>
      <c r="B768" s="102" t="s">
        <v>4788</v>
      </c>
      <c r="C768" s="123" t="str" cm="1">
        <f t="array" ref="C768:F768">_xlfn.TEXTSPLIT('איחוד שאלות'!$B768,"_")</f>
        <v>perception</v>
      </c>
      <c r="D768" s="102" t="str">
        <v>voting</v>
      </c>
      <c r="E768" s="102" t="str">
        <v>saliency</v>
      </c>
      <c r="F768" s="102" t="str">
        <v>lebanon</v>
      </c>
      <c r="G768" s="103"/>
      <c r="H768" s="135" t="s">
        <v>3803</v>
      </c>
      <c r="I768" s="2" t="s">
        <v>5844</v>
      </c>
      <c r="J768" s="2" t="s">
        <v>5967</v>
      </c>
      <c r="K768" s="2" t="s">
        <v>6139</v>
      </c>
      <c r="L768" s="2" t="s">
        <v>6028</v>
      </c>
      <c r="N768" s="1" t="s">
        <v>7323</v>
      </c>
    </row>
    <row r="769" spans="1:14" ht="72.5" x14ac:dyDescent="0.35">
      <c r="A769" s="121" t="s">
        <v>3758</v>
      </c>
      <c r="B769" s="99" t="s">
        <v>4789</v>
      </c>
      <c r="C769" s="121" t="str" cm="1">
        <f t="array" ref="C769:F769">_xlfn.TEXTSPLIT('איחוד שאלות'!$B769,"_")</f>
        <v>perception</v>
      </c>
      <c r="D769" s="99" t="str">
        <v>voting</v>
      </c>
      <c r="E769" s="99" t="str">
        <v>saliency</v>
      </c>
      <c r="F769" s="99" t="str">
        <v>deritrial</v>
      </c>
      <c r="G769" s="100"/>
      <c r="H769" s="136" t="s">
        <v>3803</v>
      </c>
      <c r="I769" s="2" t="s">
        <v>5844</v>
      </c>
      <c r="J769" s="2" t="s">
        <v>5967</v>
      </c>
      <c r="K769" s="2" t="s">
        <v>6139</v>
      </c>
      <c r="L769" s="2" t="s">
        <v>6287</v>
      </c>
      <c r="N769" s="1" t="s">
        <v>7324</v>
      </c>
    </row>
    <row r="770" spans="1:14" ht="72.5" x14ac:dyDescent="0.35">
      <c r="A770" s="113" t="s">
        <v>3759</v>
      </c>
      <c r="B770" s="102" t="s">
        <v>4790</v>
      </c>
      <c r="C770" s="123" t="str" cm="1">
        <f t="array" ref="C770:F770">_xlfn.TEXTSPLIT('איחוד שאלות'!$B770,"_")</f>
        <v>perception</v>
      </c>
      <c r="D770" s="102" t="str">
        <v>voting</v>
      </c>
      <c r="E770" s="102" t="str">
        <v>saliency</v>
      </c>
      <c r="F770" s="102" t="str">
        <v>rabinassassination</v>
      </c>
      <c r="G770" s="103"/>
      <c r="H770" s="135" t="s">
        <v>3803</v>
      </c>
      <c r="I770" s="2" t="s">
        <v>5844</v>
      </c>
      <c r="J770" s="2" t="s">
        <v>5967</v>
      </c>
      <c r="K770" s="2" t="s">
        <v>6139</v>
      </c>
      <c r="L770" s="2" t="s">
        <v>6012</v>
      </c>
      <c r="N770" s="1" t="s">
        <v>7325</v>
      </c>
    </row>
    <row r="771" spans="1:14" ht="72.5" x14ac:dyDescent="0.35">
      <c r="A771" s="121" t="s">
        <v>3760</v>
      </c>
      <c r="B771" s="99" t="s">
        <v>4791</v>
      </c>
      <c r="C771" s="121" t="str" cm="1">
        <f t="array" ref="C771:F771">_xlfn.TEXTSPLIT('איחוד שאלות'!$B771,"_")</f>
        <v>perception</v>
      </c>
      <c r="D771" s="99" t="str">
        <v>voting</v>
      </c>
      <c r="E771" s="99" t="str">
        <v>saliency</v>
      </c>
      <c r="F771" s="99" t="str">
        <v>covid</v>
      </c>
      <c r="G771" s="100"/>
      <c r="H771" s="136" t="s">
        <v>3803</v>
      </c>
      <c r="I771" s="2" t="s">
        <v>5844</v>
      </c>
      <c r="J771" s="2" t="s">
        <v>5967</v>
      </c>
      <c r="K771" s="2" t="s">
        <v>6139</v>
      </c>
      <c r="L771" s="2" t="s">
        <v>5991</v>
      </c>
      <c r="N771" s="1" t="s">
        <v>7326</v>
      </c>
    </row>
    <row r="772" spans="1:14" ht="72.5" x14ac:dyDescent="0.35">
      <c r="A772" s="113" t="s">
        <v>743</v>
      </c>
      <c r="B772" s="102" t="s">
        <v>4792</v>
      </c>
      <c r="C772" s="123" t="str" cm="1">
        <f t="array" ref="C772:E772">_xlfn.TEXTSPLIT('איחוד שאלות'!$B772,"_")</f>
        <v>perception</v>
      </c>
      <c r="D772" s="102" t="str">
        <v>voting</v>
      </c>
      <c r="E772" s="102" t="str">
        <v>saliency</v>
      </c>
      <c r="F772" s="102"/>
      <c r="G772" s="103"/>
      <c r="H772" s="135" t="s">
        <v>3803</v>
      </c>
      <c r="I772" s="2" t="s">
        <v>5844</v>
      </c>
      <c r="J772" s="2" t="s">
        <v>5967</v>
      </c>
      <c r="K772" s="2" t="s">
        <v>6139</v>
      </c>
      <c r="N772" s="1" t="s">
        <v>743</v>
      </c>
    </row>
    <row r="773" spans="1:14" ht="43.5" x14ac:dyDescent="0.35">
      <c r="A773" s="121" t="s">
        <v>115</v>
      </c>
      <c r="B773" s="99" t="s">
        <v>4793</v>
      </c>
      <c r="C773" s="121" t="str" cm="1">
        <f t="array" ref="C773:E773">_xlfn.TEXTSPLIT('איחוד שאלות'!$B773,"_")</f>
        <v>behavior</v>
      </c>
      <c r="D773" s="99" t="str">
        <v>voting</v>
      </c>
      <c r="E773" s="99" t="str">
        <v>today</v>
      </c>
      <c r="F773" s="99"/>
      <c r="G773" s="100"/>
      <c r="H773" s="136" t="s">
        <v>3803</v>
      </c>
      <c r="I773" s="2" t="s">
        <v>5806</v>
      </c>
      <c r="J773" s="2" t="s">
        <v>5967</v>
      </c>
      <c r="K773" s="2" t="s">
        <v>6288</v>
      </c>
      <c r="N773" s="1" t="s">
        <v>115</v>
      </c>
    </row>
    <row r="774" spans="1:14" ht="72.5" x14ac:dyDescent="0.35">
      <c r="A774" s="113" t="s">
        <v>3265</v>
      </c>
      <c r="B774" s="102" t="s">
        <v>4794</v>
      </c>
      <c r="C774" s="123" t="str" cm="1">
        <f t="array" ref="C774:F774">_xlfn.TEXTSPLIT('איחוד שאלות'!$B774,"_")</f>
        <v>behavior</v>
      </c>
      <c r="D774" s="102" t="str">
        <v>voting</v>
      </c>
      <c r="E774" s="102" t="str">
        <v>today</v>
      </c>
      <c r="F774" s="102" t="str">
        <v>neutral</v>
      </c>
      <c r="G774" s="103"/>
      <c r="H774" s="135" t="s">
        <v>3803</v>
      </c>
      <c r="I774" s="2" t="s">
        <v>5806</v>
      </c>
      <c r="J774" s="2" t="s">
        <v>5967</v>
      </c>
      <c r="K774" s="2" t="s">
        <v>6288</v>
      </c>
      <c r="L774" s="2" t="s">
        <v>5932</v>
      </c>
      <c r="N774" s="1" t="s">
        <v>3265</v>
      </c>
    </row>
    <row r="775" spans="1:14" ht="43.5" x14ac:dyDescent="0.35">
      <c r="A775" s="121" t="s">
        <v>1075</v>
      </c>
      <c r="B775" s="99" t="s">
        <v>4795</v>
      </c>
      <c r="C775" s="121" t="str" cm="1">
        <f t="array" ref="C775:E775">_xlfn.TEXTSPLIT('איחוד שאלות'!$B775,"_")</f>
        <v>behavior</v>
      </c>
      <c r="D775" s="99" t="str">
        <v>voting</v>
      </c>
      <c r="E775" s="99" t="str">
        <v>lastelections</v>
      </c>
      <c r="F775" s="99"/>
      <c r="G775" s="100"/>
      <c r="H775" s="136" t="s">
        <v>3803</v>
      </c>
      <c r="I775" s="2" t="s">
        <v>5806</v>
      </c>
      <c r="J775" s="2" t="s">
        <v>5967</v>
      </c>
      <c r="K775" s="2" t="s">
        <v>5840</v>
      </c>
      <c r="N775" s="1" t="s">
        <v>1075</v>
      </c>
    </row>
    <row r="776" spans="1:14" ht="72.5" x14ac:dyDescent="0.35">
      <c r="A776" s="113" t="s">
        <v>1253</v>
      </c>
      <c r="B776" s="102" t="s">
        <v>4796</v>
      </c>
      <c r="C776" s="123" t="str" cm="1">
        <f t="array" ref="C776:F776">_xlfn.TEXTSPLIT('איחוד שאלות'!$B776,"_")</f>
        <v>behavior</v>
      </c>
      <c r="D776" s="102" t="str">
        <v>voting</v>
      </c>
      <c r="E776" s="102" t="str">
        <v>today</v>
      </c>
      <c r="F776" s="102" t="str">
        <v>direct</v>
      </c>
      <c r="G776" s="103"/>
      <c r="H776" s="135" t="s">
        <v>3803</v>
      </c>
      <c r="I776" s="2" t="s">
        <v>5806</v>
      </c>
      <c r="J776" s="2" t="s">
        <v>5967</v>
      </c>
      <c r="K776" s="2" t="s">
        <v>6288</v>
      </c>
      <c r="L776" s="2" t="s">
        <v>6289</v>
      </c>
      <c r="N776" s="1" t="s">
        <v>1253</v>
      </c>
    </row>
    <row r="777" spans="1:14" ht="43.5" x14ac:dyDescent="0.35">
      <c r="A777" s="121" t="s">
        <v>1257</v>
      </c>
      <c r="B777" s="99" t="s">
        <v>4797</v>
      </c>
      <c r="C777" s="121" t="str" cm="1">
        <f t="array" ref="C777:F777">_xlfn.TEXTSPLIT('איחוד שאלות'!$B777,"_")</f>
        <v>behavior</v>
      </c>
      <c r="D777" s="99" t="str">
        <v>voting</v>
      </c>
      <c r="E777" s="99" t="str">
        <v>lastelections</v>
      </c>
      <c r="F777" s="99" t="str">
        <v>direct</v>
      </c>
      <c r="G777" s="100"/>
      <c r="H777" s="136" t="s">
        <v>3803</v>
      </c>
      <c r="I777" s="2" t="s">
        <v>5806</v>
      </c>
      <c r="J777" s="2" t="s">
        <v>5967</v>
      </c>
      <c r="K777" s="2" t="s">
        <v>5840</v>
      </c>
      <c r="L777" s="2" t="s">
        <v>6289</v>
      </c>
      <c r="N777" s="1" t="s">
        <v>1257</v>
      </c>
    </row>
    <row r="778" spans="1:14" ht="43.5" x14ac:dyDescent="0.35">
      <c r="A778" s="113" t="s">
        <v>1442</v>
      </c>
      <c r="B778" s="102" t="s">
        <v>4798</v>
      </c>
      <c r="C778" s="123" t="str" cm="1">
        <f t="array" ref="C778:G778">_xlfn.TEXTSPLIT('איחוד שאלות'!$B778,"_")</f>
        <v>behavior</v>
      </c>
      <c r="D778" s="102" t="str">
        <v>voting</v>
      </c>
      <c r="E778" s="102" t="str">
        <v>scenario</v>
      </c>
      <c r="F778" s="102" t="str">
        <v>direct</v>
      </c>
      <c r="G778" s="103" t="str">
        <v>99</v>
      </c>
      <c r="H778" s="135" t="s">
        <v>3803</v>
      </c>
      <c r="I778" s="2" t="s">
        <v>5806</v>
      </c>
      <c r="J778" s="2" t="s">
        <v>5967</v>
      </c>
      <c r="K778" s="2" t="s">
        <v>6290</v>
      </c>
      <c r="L778" s="2" t="s">
        <v>6289</v>
      </c>
      <c r="M778" s="2" t="s">
        <v>6291</v>
      </c>
      <c r="N778" s="1" t="s">
        <v>1442</v>
      </c>
    </row>
    <row r="779" spans="1:14" ht="72.5" x14ac:dyDescent="0.35">
      <c r="A779" s="121" t="s">
        <v>1627</v>
      </c>
      <c r="B779" s="99" t="s">
        <v>4799</v>
      </c>
      <c r="C779" s="121" t="str" cm="1">
        <f t="array" ref="C779:F779">_xlfn.TEXTSPLIT('איחוד שאלות'!$B779,"_")</f>
        <v>behavior</v>
      </c>
      <c r="D779" s="99" t="str">
        <v>voting</v>
      </c>
      <c r="E779" s="99" t="str">
        <v>lastelections</v>
      </c>
      <c r="F779" s="99" t="str">
        <v>2</v>
      </c>
      <c r="G779" s="100"/>
      <c r="H779" s="136" t="s">
        <v>3803</v>
      </c>
      <c r="I779" s="2" t="s">
        <v>5806</v>
      </c>
      <c r="J779" s="2" t="s">
        <v>5967</v>
      </c>
      <c r="K779" s="2" t="s">
        <v>5840</v>
      </c>
      <c r="L779" s="2" t="s">
        <v>5790</v>
      </c>
      <c r="N779" s="1" t="s">
        <v>1627</v>
      </c>
    </row>
    <row r="780" spans="1:14" ht="72.5" x14ac:dyDescent="0.35">
      <c r="A780" s="113" t="s">
        <v>1628</v>
      </c>
      <c r="B780" s="102" t="s">
        <v>4800</v>
      </c>
      <c r="C780" s="123" t="str" cm="1">
        <f t="array" ref="C780:F780">_xlfn.TEXTSPLIT('איחוד שאלות'!$B780,"_")</f>
        <v>behavior</v>
      </c>
      <c r="D780" s="102" t="str">
        <v>voting</v>
      </c>
      <c r="E780" s="102" t="str">
        <v>lastelections</v>
      </c>
      <c r="F780" s="102" t="str">
        <v>3</v>
      </c>
      <c r="G780" s="103"/>
      <c r="H780" s="135" t="s">
        <v>3803</v>
      </c>
      <c r="I780" s="2" t="s">
        <v>5806</v>
      </c>
      <c r="J780" s="2" t="s">
        <v>5967</v>
      </c>
      <c r="K780" s="2" t="s">
        <v>5840</v>
      </c>
      <c r="L780" s="2" t="s">
        <v>5791</v>
      </c>
      <c r="N780" s="1" t="s">
        <v>1628</v>
      </c>
    </row>
    <row r="781" spans="1:14" ht="43.5" x14ac:dyDescent="0.35">
      <c r="A781" s="121" t="s">
        <v>1195</v>
      </c>
      <c r="B781" s="99" t="s">
        <v>4801</v>
      </c>
      <c r="C781" s="121" t="str" cm="1">
        <f t="array" ref="C781:F781">_xlfn.TEXTSPLIT('איחוד שאלות'!$B781,"_")</f>
        <v>behavior</v>
      </c>
      <c r="D781" s="99" t="str">
        <v>voting</v>
      </c>
      <c r="E781" s="99" t="str">
        <v>direct</v>
      </c>
      <c r="F781" s="99" t="str">
        <v>99</v>
      </c>
      <c r="G781" s="100"/>
      <c r="H781" s="136" t="s">
        <v>3803</v>
      </c>
      <c r="I781" s="2" t="s">
        <v>5806</v>
      </c>
      <c r="J781" s="2" t="s">
        <v>5967</v>
      </c>
      <c r="K781" s="2" t="s">
        <v>6289</v>
      </c>
      <c r="L781" s="2" t="s">
        <v>6291</v>
      </c>
      <c r="N781" s="1" t="s">
        <v>1195</v>
      </c>
    </row>
    <row r="782" spans="1:14" ht="29" x14ac:dyDescent="0.35">
      <c r="A782" s="113" t="s">
        <v>162</v>
      </c>
      <c r="B782" s="102" t="s">
        <v>4802</v>
      </c>
      <c r="C782" s="123" t="str" cm="1">
        <f t="array" ref="C782:F782">_xlfn.TEXTSPLIT('איחוד שאלות'!$B782,"_")</f>
        <v>post</v>
      </c>
      <c r="D782" s="102" t="str">
        <v>behavior</v>
      </c>
      <c r="E782" s="102" t="str">
        <v>voting</v>
      </c>
      <c r="F782" s="102" t="str">
        <v>voted</v>
      </c>
      <c r="G782" s="103"/>
      <c r="H782" s="135" t="s">
        <v>3803</v>
      </c>
      <c r="I782" s="2" t="s">
        <v>5763</v>
      </c>
      <c r="J782" s="2" t="s">
        <v>5806</v>
      </c>
      <c r="K782" s="2" t="s">
        <v>5967</v>
      </c>
      <c r="L782" s="2" t="s">
        <v>6292</v>
      </c>
      <c r="N782" s="1" t="s">
        <v>162</v>
      </c>
    </row>
    <row r="783" spans="1:14" ht="43.5" x14ac:dyDescent="0.35">
      <c r="A783" s="121" t="s">
        <v>165</v>
      </c>
      <c r="B783" s="99" t="s">
        <v>4803</v>
      </c>
      <c r="C783" s="121" t="str" cm="1">
        <f t="array" ref="C783:E783">_xlfn.TEXTSPLIT('איחוד שאלות'!$B783,"_")</f>
        <v>post</v>
      </c>
      <c r="D783" s="99" t="str">
        <v>behavior</v>
      </c>
      <c r="E783" s="99" t="str">
        <v>voting</v>
      </c>
      <c r="F783" s="99"/>
      <c r="G783" s="100"/>
      <c r="H783" s="136" t="s">
        <v>3803</v>
      </c>
      <c r="I783" s="2" t="s">
        <v>5763</v>
      </c>
      <c r="J783" s="2" t="s">
        <v>5806</v>
      </c>
      <c r="K783" s="2" t="s">
        <v>5967</v>
      </c>
      <c r="N783" s="1" t="s">
        <v>165</v>
      </c>
    </row>
    <row r="784" spans="1:14" ht="29" x14ac:dyDescent="0.35">
      <c r="A784" s="113" t="s">
        <v>1466</v>
      </c>
      <c r="B784" s="102" t="s">
        <v>4804</v>
      </c>
      <c r="C784" s="123" t="str" cm="1">
        <f t="array" ref="C784:F784">_xlfn.TEXTSPLIT('איחוד שאלות'!$B784,"_")</f>
        <v>post</v>
      </c>
      <c r="D784" s="102" t="str">
        <v>behavior</v>
      </c>
      <c r="E784" s="102" t="str">
        <v>voting</v>
      </c>
      <c r="F784" s="102" t="str">
        <v>deliberating</v>
      </c>
      <c r="G784" s="103"/>
      <c r="H784" s="135" t="s">
        <v>3803</v>
      </c>
      <c r="I784" s="2" t="s">
        <v>5763</v>
      </c>
      <c r="J784" s="2" t="s">
        <v>5806</v>
      </c>
      <c r="K784" s="2" t="s">
        <v>5967</v>
      </c>
      <c r="L784" s="2" t="s">
        <v>6293</v>
      </c>
      <c r="N784" s="1" t="s">
        <v>1466</v>
      </c>
    </row>
    <row r="785" spans="1:14" ht="29" x14ac:dyDescent="0.35">
      <c r="A785" s="121" t="s">
        <v>1464</v>
      </c>
      <c r="B785" s="99" t="s">
        <v>4805</v>
      </c>
      <c r="C785" s="121" t="str" cm="1">
        <f t="array" ref="C785:G785">_xlfn.TEXTSPLIT('איחוד שאלות'!$B785,"_")</f>
        <v>post</v>
      </c>
      <c r="D785" s="99" t="str">
        <v>behavior</v>
      </c>
      <c r="E785" s="99" t="str">
        <v>voting</v>
      </c>
      <c r="F785" s="99" t="str">
        <v>deliberating</v>
      </c>
      <c r="G785" s="100" t="str">
        <v>3</v>
      </c>
      <c r="H785" s="136" t="s">
        <v>3803</v>
      </c>
      <c r="I785" s="2" t="s">
        <v>5763</v>
      </c>
      <c r="J785" s="2" t="s">
        <v>5806</v>
      </c>
      <c r="K785" s="2" t="s">
        <v>5967</v>
      </c>
      <c r="L785" s="2" t="s">
        <v>6293</v>
      </c>
      <c r="M785" s="2" t="s">
        <v>5791</v>
      </c>
      <c r="N785" s="1" t="s">
        <v>1464</v>
      </c>
    </row>
    <row r="786" spans="1:14" ht="29" x14ac:dyDescent="0.35">
      <c r="A786" s="113" t="s">
        <v>2558</v>
      </c>
      <c r="B786" s="102" t="s">
        <v>4806</v>
      </c>
      <c r="C786" s="123" t="str" cm="1">
        <f t="array" ref="C786:E786">_xlfn.TEXTSPLIT('איחוד שאלות'!$B786,"_")</f>
        <v>behavior</v>
      </c>
      <c r="D786" s="102" t="str">
        <v>voting</v>
      </c>
      <c r="E786" s="102" t="str">
        <v>deliberating</v>
      </c>
      <c r="F786" s="102"/>
      <c r="G786" s="103"/>
      <c r="H786" s="135" t="s">
        <v>3803</v>
      </c>
      <c r="I786" s="2" t="s">
        <v>5806</v>
      </c>
      <c r="J786" s="2" t="s">
        <v>5967</v>
      </c>
      <c r="K786" s="2" t="s">
        <v>6293</v>
      </c>
      <c r="N786" s="1" t="s">
        <v>2558</v>
      </c>
    </row>
    <row r="787" spans="1:14" ht="87" x14ac:dyDescent="0.35">
      <c r="A787" s="121" t="s">
        <v>2585</v>
      </c>
      <c r="B787" s="99" t="s">
        <v>4807</v>
      </c>
      <c r="C787" s="121" t="str" cm="1">
        <f t="array" ref="C787:F787">_xlfn.TEXTSPLIT('איחוד שאלות'!$B787,"_")</f>
        <v>perception</v>
      </c>
      <c r="D787" s="99" t="str">
        <v>voting</v>
      </c>
      <c r="E787" s="99" t="str">
        <v>deliberating</v>
      </c>
      <c r="F787" s="99" t="str">
        <v>rabinresignation</v>
      </c>
      <c r="G787" s="100"/>
      <c r="H787" s="136" t="s">
        <v>3803</v>
      </c>
      <c r="I787" s="2" t="s">
        <v>5844</v>
      </c>
      <c r="J787" s="2" t="s">
        <v>5967</v>
      </c>
      <c r="K787" s="2" t="s">
        <v>6293</v>
      </c>
      <c r="L787" s="2" t="s">
        <v>6294</v>
      </c>
      <c r="N787" s="1" t="s">
        <v>2585</v>
      </c>
    </row>
    <row r="788" spans="1:14" ht="58" x14ac:dyDescent="0.35">
      <c r="A788" s="113" t="s">
        <v>1459</v>
      </c>
      <c r="B788" s="102" t="s">
        <v>4808</v>
      </c>
      <c r="C788" s="123" t="str" cm="1">
        <f t="array" ref="C788:F788">_xlfn.TEXTSPLIT('איחוד שאלות'!$B788,"_")</f>
        <v>post</v>
      </c>
      <c r="D788" s="102" t="str">
        <v>behavior</v>
      </c>
      <c r="E788" s="102" t="str">
        <v>voting</v>
      </c>
      <c r="F788" s="102" t="str">
        <v>direct</v>
      </c>
      <c r="G788" s="103"/>
      <c r="H788" s="135" t="s">
        <v>3803</v>
      </c>
      <c r="I788" s="2" t="s">
        <v>5763</v>
      </c>
      <c r="J788" s="2" t="s">
        <v>5806</v>
      </c>
      <c r="K788" s="2" t="s">
        <v>5967</v>
      </c>
      <c r="L788" s="2" t="s">
        <v>6289</v>
      </c>
      <c r="N788" s="1" t="s">
        <v>1459</v>
      </c>
    </row>
    <row r="789" spans="1:14" ht="58" x14ac:dyDescent="0.35">
      <c r="A789" s="121" t="s">
        <v>1461</v>
      </c>
      <c r="B789" s="99" t="s">
        <v>4809</v>
      </c>
      <c r="C789" s="121" t="str" cm="1">
        <f t="array" ref="C789:G789">_xlfn.TEXTSPLIT('איחוד שאלות'!$B789,"_")</f>
        <v>post</v>
      </c>
      <c r="D789" s="99" t="str">
        <v>behavior</v>
      </c>
      <c r="E789" s="99" t="str">
        <v>voting</v>
      </c>
      <c r="F789" s="99" t="str">
        <v>direct</v>
      </c>
      <c r="G789" s="100" t="str">
        <v>5</v>
      </c>
      <c r="H789" s="136" t="s">
        <v>3803</v>
      </c>
      <c r="I789" s="2" t="s">
        <v>5763</v>
      </c>
      <c r="J789" s="2" t="s">
        <v>5806</v>
      </c>
      <c r="K789" s="2" t="s">
        <v>5967</v>
      </c>
      <c r="L789" s="2" t="s">
        <v>6289</v>
      </c>
      <c r="M789" s="2" t="s">
        <v>5896</v>
      </c>
      <c r="N789" s="1" t="s">
        <v>1461</v>
      </c>
    </row>
    <row r="790" spans="1:14" ht="43.5" x14ac:dyDescent="0.35">
      <c r="A790" s="113" t="s">
        <v>1463</v>
      </c>
      <c r="B790" s="102" t="s">
        <v>4810</v>
      </c>
      <c r="C790" s="123" t="str" cm="1">
        <f t="array" ref="C790:G790">_xlfn.TEXTSPLIT('איחוד שאלות'!$B790,"_")</f>
        <v>post</v>
      </c>
      <c r="D790" s="102" t="str">
        <v>behavior</v>
      </c>
      <c r="E790" s="102" t="str">
        <v>voting</v>
      </c>
      <c r="F790" s="102" t="str">
        <v>direct</v>
      </c>
      <c r="G790" s="103" t="str">
        <v>deliberating</v>
      </c>
      <c r="H790" s="135" t="s">
        <v>3803</v>
      </c>
      <c r="I790" s="2" t="s">
        <v>5763</v>
      </c>
      <c r="J790" s="2" t="s">
        <v>5806</v>
      </c>
      <c r="K790" s="2" t="s">
        <v>5967</v>
      </c>
      <c r="L790" s="2" t="s">
        <v>6289</v>
      </c>
      <c r="M790" s="2" t="s">
        <v>6293</v>
      </c>
      <c r="N790" s="1" t="s">
        <v>1463</v>
      </c>
    </row>
    <row r="791" spans="1:14" ht="43.5" x14ac:dyDescent="0.35">
      <c r="A791" s="121" t="s">
        <v>1464</v>
      </c>
      <c r="B791" s="99" t="s">
        <v>4811</v>
      </c>
      <c r="C791" s="121" t="str" cm="1">
        <f t="array" ref="C791:G791">_xlfn.TEXTSPLIT('איחוד שאלות'!$B791,"_")</f>
        <v>post</v>
      </c>
      <c r="D791" s="99" t="str">
        <v>behavior</v>
      </c>
      <c r="E791" s="99" t="str">
        <v>voting</v>
      </c>
      <c r="F791" s="99" t="str">
        <v>direct</v>
      </c>
      <c r="G791" s="100" t="str">
        <v>deliberating2</v>
      </c>
      <c r="H791" s="136" t="s">
        <v>3803</v>
      </c>
      <c r="I791" s="2" t="s">
        <v>5763</v>
      </c>
      <c r="J791" s="2" t="s">
        <v>5806</v>
      </c>
      <c r="K791" s="2" t="s">
        <v>5967</v>
      </c>
      <c r="L791" s="2" t="s">
        <v>6289</v>
      </c>
      <c r="M791" s="2" t="s">
        <v>6295</v>
      </c>
      <c r="N791" s="1" t="s">
        <v>1464</v>
      </c>
    </row>
    <row r="792" spans="1:14" ht="87" x14ac:dyDescent="0.35">
      <c r="A792" s="113" t="s">
        <v>1288</v>
      </c>
      <c r="B792" s="102" t="s">
        <v>4812</v>
      </c>
      <c r="C792" s="123" t="str" cm="1">
        <f t="array" ref="C792:F792">_xlfn.TEXTSPLIT('איחוד שאלות'!$B792,"_")</f>
        <v>behavior</v>
      </c>
      <c r="D792" s="102" t="str">
        <v>voting</v>
      </c>
      <c r="E792" s="102" t="str">
        <v>scenario</v>
      </c>
      <c r="F792" s="102" t="str">
        <v>direct</v>
      </c>
      <c r="G792" s="103"/>
      <c r="H792" s="135" t="s">
        <v>3803</v>
      </c>
      <c r="I792" s="2" t="s">
        <v>5806</v>
      </c>
      <c r="J792" s="2" t="s">
        <v>5967</v>
      </c>
      <c r="K792" s="2" t="s">
        <v>6290</v>
      </c>
      <c r="L792" s="2" t="s">
        <v>6289</v>
      </c>
      <c r="N792" s="1" t="s">
        <v>1288</v>
      </c>
    </row>
    <row r="793" spans="1:14" ht="188.5" x14ac:dyDescent="0.35">
      <c r="A793" s="121" t="s">
        <v>277</v>
      </c>
      <c r="B793" s="99" t="s">
        <v>4813</v>
      </c>
      <c r="C793" s="121" t="str" cm="1">
        <f t="array" ref="C793:F793">_xlfn.TEXTSPLIT('איחוד שאלות'!$B793,"_")</f>
        <v>behavior</v>
      </c>
      <c r="D793" s="99" t="str">
        <v>voting</v>
      </c>
      <c r="E793" s="99" t="str">
        <v>scenario</v>
      </c>
      <c r="F793" s="99" t="str">
        <v>threshold</v>
      </c>
      <c r="G793" s="100"/>
      <c r="H793" s="136" t="s">
        <v>3803</v>
      </c>
      <c r="I793" s="2" t="s">
        <v>5806</v>
      </c>
      <c r="J793" s="2" t="s">
        <v>5967</v>
      </c>
      <c r="K793" s="2" t="s">
        <v>6290</v>
      </c>
      <c r="L793" s="2" t="s">
        <v>6296</v>
      </c>
      <c r="N793" s="1" t="s">
        <v>277</v>
      </c>
    </row>
    <row r="794" spans="1:14" ht="29" x14ac:dyDescent="0.35">
      <c r="A794" s="113" t="s">
        <v>279</v>
      </c>
      <c r="B794" s="102" t="s">
        <v>4814</v>
      </c>
      <c r="C794" s="123" t="str" cm="1">
        <f t="array" ref="C794:G794">_xlfn.TEXTSPLIT('איחוד שאלות'!$B794,"_")</f>
        <v>behavior</v>
      </c>
      <c r="D794" s="102" t="str">
        <v>voting</v>
      </c>
      <c r="E794" s="102" t="str">
        <v>scenario</v>
      </c>
      <c r="F794" s="102" t="str">
        <v>threshold</v>
      </c>
      <c r="G794" s="103" t="str">
        <v>2</v>
      </c>
      <c r="H794" s="135" t="s">
        <v>3803</v>
      </c>
      <c r="I794" s="2" t="s">
        <v>5806</v>
      </c>
      <c r="J794" s="2" t="s">
        <v>5967</v>
      </c>
      <c r="K794" s="2" t="s">
        <v>6290</v>
      </c>
      <c r="L794" s="2" t="s">
        <v>6296</v>
      </c>
      <c r="M794" s="2" t="s">
        <v>5790</v>
      </c>
      <c r="N794" s="1" t="s">
        <v>279</v>
      </c>
    </row>
    <row r="795" spans="1:14" ht="29" x14ac:dyDescent="0.35">
      <c r="A795" s="121" t="s">
        <v>516</v>
      </c>
      <c r="B795" s="99" t="s">
        <v>4815</v>
      </c>
      <c r="C795" s="121" t="str" cm="1">
        <f t="array" ref="C795:G795">_xlfn.TEXTSPLIT('איחוד שאלות'!$B795,"_")</f>
        <v>behavior</v>
      </c>
      <c r="D795" s="99" t="str">
        <v>voting</v>
      </c>
      <c r="E795" s="99" t="str">
        <v>scenario</v>
      </c>
      <c r="F795" s="99" t="str">
        <v>threshold</v>
      </c>
      <c r="G795" s="100" t="str">
        <v>3</v>
      </c>
      <c r="H795" s="136" t="s">
        <v>3803</v>
      </c>
      <c r="I795" s="2" t="s">
        <v>5806</v>
      </c>
      <c r="J795" s="2" t="s">
        <v>5967</v>
      </c>
      <c r="K795" s="2" t="s">
        <v>6290</v>
      </c>
      <c r="L795" s="2" t="s">
        <v>6296</v>
      </c>
      <c r="M795" s="2" t="s">
        <v>5791</v>
      </c>
      <c r="N795" s="1" t="s">
        <v>516</v>
      </c>
    </row>
    <row r="796" spans="1:14" ht="58" x14ac:dyDescent="0.35">
      <c r="A796" s="113" t="s">
        <v>307</v>
      </c>
      <c r="B796" s="102" t="s">
        <v>4816</v>
      </c>
      <c r="C796" s="123" t="str" cm="1">
        <f t="array" ref="C796:F796">_xlfn.TEXTSPLIT('איחוד שאלות'!$B796,"_")</f>
        <v>post</v>
      </c>
      <c r="D796" s="102" t="str">
        <v>behavior</v>
      </c>
      <c r="E796" s="102" t="str">
        <v>voting</v>
      </c>
      <c r="F796" s="102" t="str">
        <v>decision</v>
      </c>
      <c r="G796" s="103"/>
      <c r="H796" s="135" t="s">
        <v>3803</v>
      </c>
      <c r="I796" s="2" t="s">
        <v>5763</v>
      </c>
      <c r="J796" s="2" t="s">
        <v>5806</v>
      </c>
      <c r="K796" s="2" t="s">
        <v>5967</v>
      </c>
      <c r="L796" s="2" t="s">
        <v>5928</v>
      </c>
      <c r="N796" s="1" t="s">
        <v>307</v>
      </c>
    </row>
    <row r="797" spans="1:14" ht="43.5" x14ac:dyDescent="0.35">
      <c r="A797" s="121" t="s">
        <v>574</v>
      </c>
      <c r="B797" s="99" t="s">
        <v>4817</v>
      </c>
      <c r="C797" s="121" t="str" cm="1">
        <f t="array" ref="C797:G797">_xlfn.TEXTSPLIT('איחוד שאלות'!$B797,"_")</f>
        <v>post</v>
      </c>
      <c r="D797" s="99" t="str">
        <v>perception</v>
      </c>
      <c r="E797" s="99" t="str">
        <v>voting</v>
      </c>
      <c r="F797" s="99" t="str">
        <v>decision</v>
      </c>
      <c r="G797" s="100" t="str">
        <v>reason</v>
      </c>
      <c r="H797" s="136" t="s">
        <v>3803</v>
      </c>
      <c r="I797" s="2" t="s">
        <v>5763</v>
      </c>
      <c r="J797" s="2" t="s">
        <v>5844</v>
      </c>
      <c r="K797" s="2" t="s">
        <v>5967</v>
      </c>
      <c r="L797" s="2" t="s">
        <v>5928</v>
      </c>
      <c r="M797" s="2" t="s">
        <v>5935</v>
      </c>
      <c r="N797" s="1" t="s">
        <v>574</v>
      </c>
    </row>
    <row r="798" spans="1:14" ht="58" x14ac:dyDescent="0.35">
      <c r="A798" s="113" t="s">
        <v>576</v>
      </c>
      <c r="B798" s="102" t="s">
        <v>4818</v>
      </c>
      <c r="C798" s="123" t="str" cm="1">
        <f t="array" ref="C798:F798">_xlfn.TEXTSPLIT('איחוד שאלות'!$B798,"_")</f>
        <v>post</v>
      </c>
      <c r="D798" s="102" t="str">
        <v>behavior</v>
      </c>
      <c r="E798" s="102" t="str">
        <v>voting</v>
      </c>
      <c r="F798" s="102" t="str">
        <v>white</v>
      </c>
      <c r="G798" s="103"/>
      <c r="H798" s="135" t="s">
        <v>3803</v>
      </c>
      <c r="I798" s="2" t="s">
        <v>5763</v>
      </c>
      <c r="J798" s="2" t="s">
        <v>5806</v>
      </c>
      <c r="K798" s="2" t="s">
        <v>5967</v>
      </c>
      <c r="L798" s="2" t="s">
        <v>6297</v>
      </c>
      <c r="N798" s="1" t="s">
        <v>576</v>
      </c>
    </row>
    <row r="799" spans="1:14" ht="72.5" x14ac:dyDescent="0.35">
      <c r="A799" s="121" t="s">
        <v>310</v>
      </c>
      <c r="B799" s="99" t="s">
        <v>4819</v>
      </c>
      <c r="C799" s="121" t="str" cm="1">
        <f t="array" ref="C799:G799">_xlfn.TEXTSPLIT('איחוד שאלות'!$B799,"_")</f>
        <v>post</v>
      </c>
      <c r="D799" s="99" t="str">
        <v>perception</v>
      </c>
      <c r="E799" s="99" t="str">
        <v>voting</v>
      </c>
      <c r="F799" s="99" t="str">
        <v>decision</v>
      </c>
      <c r="G799" s="100" t="str">
        <v>polls</v>
      </c>
      <c r="H799" s="136" t="s">
        <v>3803</v>
      </c>
      <c r="I799" s="2" t="s">
        <v>5763</v>
      </c>
      <c r="J799" s="2" t="s">
        <v>5844</v>
      </c>
      <c r="K799" s="2" t="s">
        <v>5967</v>
      </c>
      <c r="L799" s="2" t="s">
        <v>5928</v>
      </c>
      <c r="M799" s="2" t="s">
        <v>6298</v>
      </c>
      <c r="N799" s="1" t="s">
        <v>310</v>
      </c>
    </row>
    <row r="800" spans="1:14" ht="58" x14ac:dyDescent="0.35">
      <c r="A800" s="113" t="s">
        <v>1435</v>
      </c>
      <c r="B800" s="102" t="s">
        <v>4820</v>
      </c>
      <c r="C800" s="123" t="str" cm="1">
        <f t="array" ref="C800:G800">_xlfn.TEXTSPLIT('איחוד שאלות'!$B800,"_")</f>
        <v>perception</v>
      </c>
      <c r="D800" s="102" t="str">
        <v>public</v>
      </c>
      <c r="E800" s="102" t="str">
        <v>voting</v>
      </c>
      <c r="F800" s="102" t="str">
        <v>decision</v>
      </c>
      <c r="G800" s="103" t="str">
        <v>polls</v>
      </c>
      <c r="H800" s="135" t="s">
        <v>3803</v>
      </c>
      <c r="I800" s="2" t="s">
        <v>5844</v>
      </c>
      <c r="J800" s="2" t="s">
        <v>5912</v>
      </c>
      <c r="K800" s="2" t="s">
        <v>5967</v>
      </c>
      <c r="L800" s="2" t="s">
        <v>5928</v>
      </c>
      <c r="M800" s="2" t="s">
        <v>6298</v>
      </c>
      <c r="N800" s="1" t="s">
        <v>1435</v>
      </c>
    </row>
    <row r="801" spans="1:14" ht="58" x14ac:dyDescent="0.35">
      <c r="A801" s="121" t="s">
        <v>2751</v>
      </c>
      <c r="B801" s="99" t="s">
        <v>5621</v>
      </c>
      <c r="C801" s="121" t="str" cm="1">
        <f t="array" ref="C801:G801">_xlfn.TEXTSPLIT('איחוד שאלות'!$B801,"_")</f>
        <v>perception</v>
      </c>
      <c r="D801" s="99" t="str">
        <v>voting</v>
      </c>
      <c r="E801" s="99" t="str">
        <v>decision</v>
      </c>
      <c r="F801" s="99" t="str">
        <v>tv</v>
      </c>
      <c r="G801" s="100" t="str">
        <v>campaignadvertising</v>
      </c>
      <c r="H801" s="136" t="s">
        <v>3803</v>
      </c>
      <c r="I801" s="2" t="s">
        <v>5844</v>
      </c>
      <c r="J801" s="2" t="s">
        <v>5967</v>
      </c>
      <c r="K801" s="2" t="s">
        <v>5928</v>
      </c>
      <c r="L801" s="2" t="s">
        <v>6299</v>
      </c>
      <c r="M801" s="2" t="s">
        <v>6300</v>
      </c>
      <c r="N801" s="1" t="s">
        <v>2751</v>
      </c>
    </row>
    <row r="802" spans="1:14" ht="58" x14ac:dyDescent="0.35">
      <c r="A802" s="113" t="s">
        <v>2356</v>
      </c>
      <c r="B802" s="102" t="s">
        <v>4821</v>
      </c>
      <c r="C802" s="123" t="str" cm="1">
        <f t="array" ref="C802:F802">_xlfn.TEXTSPLIT('איחוד שאלות'!$B802,"_")</f>
        <v>perception</v>
      </c>
      <c r="D802" s="102" t="str">
        <v>voting</v>
      </c>
      <c r="E802" s="102" t="str">
        <v>decision</v>
      </c>
      <c r="F802" s="102" t="str">
        <v>newspapers</v>
      </c>
      <c r="G802" s="103"/>
      <c r="H802" s="135" t="s">
        <v>3803</v>
      </c>
      <c r="I802" s="2" t="s">
        <v>5844</v>
      </c>
      <c r="J802" s="2" t="s">
        <v>5967</v>
      </c>
      <c r="K802" s="2" t="s">
        <v>5928</v>
      </c>
      <c r="L802" s="2" t="s">
        <v>6301</v>
      </c>
      <c r="N802" s="1" t="s">
        <v>2356</v>
      </c>
    </row>
    <row r="803" spans="1:14" ht="58" x14ac:dyDescent="0.35">
      <c r="A803" s="121" t="s">
        <v>2518</v>
      </c>
      <c r="B803" s="99" t="s">
        <v>4821</v>
      </c>
      <c r="C803" s="121" t="str" cm="1">
        <f t="array" ref="C803:F803">_xlfn.TEXTSPLIT('איחוד שאלות'!$B803,"_")</f>
        <v>perception</v>
      </c>
      <c r="D803" s="99" t="str">
        <v>voting</v>
      </c>
      <c r="E803" s="99" t="str">
        <v>decision</v>
      </c>
      <c r="F803" s="99" t="str">
        <v>newspapers</v>
      </c>
      <c r="G803" s="100"/>
      <c r="H803" s="136" t="s">
        <v>3803</v>
      </c>
      <c r="I803" s="2" t="s">
        <v>5844</v>
      </c>
      <c r="J803" s="2" t="s">
        <v>5967</v>
      </c>
      <c r="K803" s="2" t="s">
        <v>5928</v>
      </c>
      <c r="L803" s="2" t="s">
        <v>6301</v>
      </c>
      <c r="N803" s="1" t="s">
        <v>2518</v>
      </c>
    </row>
    <row r="804" spans="1:14" ht="58" x14ac:dyDescent="0.35">
      <c r="A804" s="113" t="s">
        <v>2517</v>
      </c>
      <c r="B804" s="102" t="s">
        <v>4060</v>
      </c>
      <c r="C804" s="123" t="str" cm="1">
        <f t="array" ref="C804:E804">_xlfn.TEXTSPLIT('איחוד שאלות'!$B804,"_")</f>
        <v>voting</v>
      </c>
      <c r="D804" s="102" t="str">
        <v>decision</v>
      </c>
      <c r="E804" s="102" t="str">
        <v>radio</v>
      </c>
      <c r="F804" s="102"/>
      <c r="G804" s="103"/>
      <c r="H804" s="135" t="s">
        <v>3803</v>
      </c>
      <c r="I804" s="2" t="s">
        <v>5967</v>
      </c>
      <c r="J804" s="2" t="s">
        <v>5928</v>
      </c>
      <c r="K804" s="2" t="s">
        <v>6302</v>
      </c>
      <c r="N804" s="1" t="s">
        <v>2517</v>
      </c>
    </row>
    <row r="805" spans="1:14" ht="58" x14ac:dyDescent="0.35">
      <c r="A805" s="121" t="s">
        <v>2699</v>
      </c>
      <c r="B805" s="99" t="s">
        <v>7738</v>
      </c>
      <c r="C805" s="121" t="str" cm="1">
        <f t="array" ref="C805:G805">_xlfn.TEXTSPLIT('איחוד שאלות'!$B805,"_")</f>
        <v>post</v>
      </c>
      <c r="D805" s="99" t="str">
        <v>perception</v>
      </c>
      <c r="E805" s="99" t="str">
        <v>voting</v>
      </c>
      <c r="F805" s="99" t="str">
        <v>decision</v>
      </c>
      <c r="G805" s="100" t="str">
        <v>conversationss</v>
      </c>
      <c r="H805" s="136" t="s">
        <v>3803</v>
      </c>
      <c r="I805" s="2" t="s">
        <v>5763</v>
      </c>
      <c r="J805" s="2" t="s">
        <v>5844</v>
      </c>
      <c r="K805" s="2" t="s">
        <v>5967</v>
      </c>
      <c r="L805" s="2" t="s">
        <v>5928</v>
      </c>
      <c r="M805" s="2" t="s">
        <v>7739</v>
      </c>
      <c r="N805" s="1" t="s">
        <v>2699</v>
      </c>
    </row>
    <row r="806" spans="1:14" ht="58" x14ac:dyDescent="0.35">
      <c r="A806" s="113" t="s">
        <v>2803</v>
      </c>
      <c r="B806" s="102" t="s">
        <v>4822</v>
      </c>
      <c r="C806" s="123" t="str" cm="1">
        <f t="array" ref="C806:F806">_xlfn.TEXTSPLIT('איחוד שאלות'!$B806,"_")</f>
        <v>perception</v>
      </c>
      <c r="D806" s="102" t="str">
        <v>voting</v>
      </c>
      <c r="E806" s="102" t="str">
        <v>decision</v>
      </c>
      <c r="F806" s="102" t="str">
        <v>houseclasses</v>
      </c>
      <c r="G806" s="103"/>
      <c r="H806" s="135" t="s">
        <v>3803</v>
      </c>
      <c r="I806" s="2" t="s">
        <v>5844</v>
      </c>
      <c r="J806" s="2" t="s">
        <v>5967</v>
      </c>
      <c r="K806" s="2" t="s">
        <v>5928</v>
      </c>
      <c r="L806" s="2" t="s">
        <v>5996</v>
      </c>
      <c r="N806" s="1" t="s">
        <v>2803</v>
      </c>
    </row>
    <row r="807" spans="1:14" ht="58" x14ac:dyDescent="0.35">
      <c r="A807" s="121" t="s">
        <v>2804</v>
      </c>
      <c r="B807" s="99" t="s">
        <v>4823</v>
      </c>
      <c r="C807" s="121" t="str" cm="1">
        <f t="array" ref="C807:F807">_xlfn.TEXTSPLIT('איחוד שאלות'!$B807,"_")</f>
        <v>perception</v>
      </c>
      <c r="D807" s="99" t="str">
        <v>voting</v>
      </c>
      <c r="E807" s="99" t="str">
        <v>decision</v>
      </c>
      <c r="F807" s="99" t="str">
        <v>rally</v>
      </c>
      <c r="G807" s="100"/>
      <c r="H807" s="136" t="s">
        <v>3803</v>
      </c>
      <c r="I807" s="2" t="s">
        <v>5844</v>
      </c>
      <c r="J807" s="2" t="s">
        <v>5967</v>
      </c>
      <c r="K807" s="2" t="s">
        <v>5928</v>
      </c>
      <c r="L807" s="2" t="s">
        <v>5995</v>
      </c>
      <c r="N807" s="1" t="s">
        <v>2804</v>
      </c>
    </row>
    <row r="808" spans="1:14" ht="87" x14ac:dyDescent="0.35">
      <c r="A808" s="113" t="s">
        <v>511</v>
      </c>
      <c r="B808" s="102" t="s">
        <v>4824</v>
      </c>
      <c r="C808" s="123" t="str" cm="1">
        <f t="array" ref="C808:E808">_xlfn.TEXTSPLIT('איחוד שאלות'!$B808,"_")</f>
        <v>behavior</v>
      </c>
      <c r="D808" s="102" t="str">
        <v>voting</v>
      </c>
      <c r="E808" s="102" t="str">
        <v>intention</v>
      </c>
      <c r="F808" s="102"/>
      <c r="G808" s="103"/>
      <c r="H808" s="135" t="s">
        <v>3803</v>
      </c>
      <c r="I808" s="2" t="s">
        <v>5806</v>
      </c>
      <c r="J808" s="2" t="s">
        <v>5967</v>
      </c>
      <c r="K808" s="2" t="s">
        <v>6304</v>
      </c>
      <c r="N808" s="1" t="s">
        <v>511</v>
      </c>
    </row>
    <row r="809" spans="1:14" ht="58" x14ac:dyDescent="0.35">
      <c r="A809" s="121" t="s">
        <v>2802</v>
      </c>
      <c r="B809" s="99" t="s">
        <v>4825</v>
      </c>
      <c r="C809" s="121" t="str" cm="1">
        <f t="array" ref="C809:F809">_xlfn.TEXTSPLIT('איחוד שאלות'!$B809,"_")</f>
        <v>behavior</v>
      </c>
      <c r="D809" s="99" t="str">
        <v>voting</v>
      </c>
      <c r="E809" s="99" t="str">
        <v>intention</v>
      </c>
      <c r="F809" s="99" t="str">
        <v>2</v>
      </c>
      <c r="G809" s="100"/>
      <c r="H809" s="136" t="s">
        <v>3803</v>
      </c>
      <c r="I809" s="2" t="s">
        <v>5806</v>
      </c>
      <c r="J809" s="2" t="s">
        <v>5967</v>
      </c>
      <c r="K809" s="2" t="s">
        <v>6304</v>
      </c>
      <c r="L809" s="2" t="s">
        <v>5790</v>
      </c>
      <c r="N809" s="1" t="s">
        <v>2802</v>
      </c>
    </row>
    <row r="810" spans="1:14" ht="130.5" x14ac:dyDescent="0.35">
      <c r="A810" s="113" t="s">
        <v>514</v>
      </c>
      <c r="B810" s="102" t="s">
        <v>4826</v>
      </c>
      <c r="C810" s="123" t="str" cm="1">
        <f t="array" ref="C810:F810">_xlfn.TEXTSPLIT('איחוד שאלות'!$B810,"_")</f>
        <v>perception</v>
      </c>
      <c r="D810" s="102" t="str">
        <v>voting</v>
      </c>
      <c r="E810" s="102" t="str">
        <v>scenario</v>
      </c>
      <c r="F810" s="102" t="str">
        <v>bigpartytie</v>
      </c>
      <c r="G810" s="103"/>
      <c r="H810" s="135" t="s">
        <v>3803</v>
      </c>
      <c r="I810" s="2" t="s">
        <v>5844</v>
      </c>
      <c r="J810" s="2" t="s">
        <v>5967</v>
      </c>
      <c r="K810" s="2" t="s">
        <v>6290</v>
      </c>
      <c r="L810" s="2" t="s">
        <v>6305</v>
      </c>
      <c r="N810" s="1" t="s">
        <v>514</v>
      </c>
    </row>
    <row r="811" spans="1:14" ht="43.5" x14ac:dyDescent="0.35">
      <c r="A811" s="121" t="s">
        <v>279</v>
      </c>
      <c r="B811" s="99" t="s">
        <v>4827</v>
      </c>
      <c r="C811" s="121" t="str" cm="1">
        <f t="array" ref="C811:G811">_xlfn.TEXTSPLIT('איחוד שאלות'!$B811,"_")</f>
        <v>perception</v>
      </c>
      <c r="D811" s="99" t="str">
        <v>voting</v>
      </c>
      <c r="E811" s="99" t="str">
        <v>scenario</v>
      </c>
      <c r="F811" s="99" t="str">
        <v>bigpartytie</v>
      </c>
      <c r="G811" s="100" t="str">
        <v>2</v>
      </c>
      <c r="H811" s="136" t="s">
        <v>3803</v>
      </c>
      <c r="I811" s="2" t="s">
        <v>5844</v>
      </c>
      <c r="J811" s="2" t="s">
        <v>5967</v>
      </c>
      <c r="K811" s="2" t="s">
        <v>6290</v>
      </c>
      <c r="L811" s="2" t="s">
        <v>6305</v>
      </c>
      <c r="M811" s="2" t="s">
        <v>5790</v>
      </c>
      <c r="N811" s="1" t="s">
        <v>279</v>
      </c>
    </row>
    <row r="812" spans="1:14" ht="174" x14ac:dyDescent="0.35">
      <c r="A812" s="113" t="s">
        <v>518</v>
      </c>
      <c r="B812" s="102" t="s">
        <v>4828</v>
      </c>
      <c r="C812" s="123" t="str" cm="1">
        <f t="array" ref="C812:G812">_xlfn.TEXTSPLIT('איחוד שאלות'!$B812,"_")</f>
        <v>behavior</v>
      </c>
      <c r="D812" s="102" t="str">
        <v>voting</v>
      </c>
      <c r="E812" s="102" t="str">
        <v>decision</v>
      </c>
      <c r="F812" s="102" t="str">
        <v>media</v>
      </c>
      <c r="G812" s="103" t="str">
        <v>corruption</v>
      </c>
      <c r="H812" s="135" t="s">
        <v>3803</v>
      </c>
      <c r="I812" s="2" t="s">
        <v>5806</v>
      </c>
      <c r="J812" s="2" t="s">
        <v>5967</v>
      </c>
      <c r="K812" s="2" t="s">
        <v>5928</v>
      </c>
      <c r="L812" s="2" t="s">
        <v>6306</v>
      </c>
      <c r="M812" s="2" t="s">
        <v>6029</v>
      </c>
      <c r="N812" s="1" t="s">
        <v>518</v>
      </c>
    </row>
    <row r="813" spans="1:14" ht="72.5" x14ac:dyDescent="0.35">
      <c r="A813" s="121" t="s">
        <v>1617</v>
      </c>
      <c r="B813" s="99" t="s">
        <v>4829</v>
      </c>
      <c r="C813" s="121" t="str" cm="1">
        <f t="array" ref="C813:G813">_xlfn.TEXTSPLIT('איחוד שאלות'!$B813,"_")</f>
        <v>preference</v>
      </c>
      <c r="D813" s="99" t="str">
        <v>voting</v>
      </c>
      <c r="E813" s="99" t="str">
        <v>scenario</v>
      </c>
      <c r="F813" s="99" t="str">
        <v>separatedlikud</v>
      </c>
      <c r="G813" s="100" t="str">
        <v>96</v>
      </c>
      <c r="H813" s="136" t="s">
        <v>3803</v>
      </c>
      <c r="I813" s="2" t="s">
        <v>5856</v>
      </c>
      <c r="J813" s="2" t="s">
        <v>5967</v>
      </c>
      <c r="K813" s="2" t="s">
        <v>6290</v>
      </c>
      <c r="L813" s="2" t="s">
        <v>6307</v>
      </c>
      <c r="M813" s="2" t="s">
        <v>6308</v>
      </c>
      <c r="N813" s="1" t="s">
        <v>1617</v>
      </c>
    </row>
    <row r="814" spans="1:14" ht="72.5" x14ac:dyDescent="0.35">
      <c r="A814" s="113" t="s">
        <v>523</v>
      </c>
      <c r="B814" s="102" t="s">
        <v>4830</v>
      </c>
      <c r="C814" s="123" t="str" cm="1">
        <f t="array" ref="C814:G814">_xlfn.TEXTSPLIT('איחוד שאלות'!$B814,"_")</f>
        <v>preference</v>
      </c>
      <c r="D814" s="102" t="str">
        <v>voting</v>
      </c>
      <c r="E814" s="102" t="str">
        <v>scenario</v>
      </c>
      <c r="F814" s="102" t="str">
        <v>separatedlikud</v>
      </c>
      <c r="G814" s="103" t="str">
        <v>13</v>
      </c>
      <c r="H814" s="135" t="s">
        <v>3803</v>
      </c>
      <c r="I814" s="2" t="s">
        <v>5856</v>
      </c>
      <c r="J814" s="2" t="s">
        <v>5967</v>
      </c>
      <c r="K814" s="2" t="s">
        <v>6290</v>
      </c>
      <c r="L814" s="2" t="s">
        <v>6307</v>
      </c>
      <c r="M814" s="2" t="s">
        <v>6309</v>
      </c>
      <c r="N814" s="1" t="s">
        <v>523</v>
      </c>
    </row>
    <row r="815" spans="1:14" ht="101.5" x14ac:dyDescent="0.35">
      <c r="A815" s="121" t="s">
        <v>526</v>
      </c>
      <c r="B815" s="99" t="s">
        <v>4831</v>
      </c>
      <c r="C815" s="121" t="str" cm="1">
        <f t="array" ref="C815:F815">_xlfn.TEXTSPLIT('איחוד שאלות'!$B815,"_")</f>
        <v>preference</v>
      </c>
      <c r="D815" s="99" t="str">
        <v>politician</v>
      </c>
      <c r="E815" s="99" t="str">
        <v>voting</v>
      </c>
      <c r="F815" s="99" t="str">
        <v>gender</v>
      </c>
      <c r="G815" s="100"/>
      <c r="H815" s="136" t="s">
        <v>3803</v>
      </c>
      <c r="I815" s="2" t="s">
        <v>5856</v>
      </c>
      <c r="J815" s="2" t="s">
        <v>6151</v>
      </c>
      <c r="K815" s="2" t="s">
        <v>5967</v>
      </c>
      <c r="L815" s="2" t="s">
        <v>4</v>
      </c>
      <c r="N815" s="1" t="s">
        <v>526</v>
      </c>
    </row>
    <row r="816" spans="1:14" ht="101.5" x14ac:dyDescent="0.35">
      <c r="A816" s="145" t="s">
        <v>527</v>
      </c>
      <c r="B816" s="102" t="s">
        <v>4832</v>
      </c>
      <c r="C816" s="123" t="str" cm="1">
        <f t="array" ref="C816:F816">_xlfn.TEXTSPLIT('איחוד שאלות'!$B816,"_")</f>
        <v>preference</v>
      </c>
      <c r="D816" s="102" t="str">
        <v>politician</v>
      </c>
      <c r="E816" s="102" t="str">
        <v>voting</v>
      </c>
      <c r="F816" s="102" t="str">
        <v>jewishetnicity</v>
      </c>
      <c r="G816" s="103"/>
      <c r="H816" s="135" t="s">
        <v>3803</v>
      </c>
      <c r="I816" s="2" t="s">
        <v>5856</v>
      </c>
      <c r="J816" s="2" t="s">
        <v>6151</v>
      </c>
      <c r="K816" s="2" t="s">
        <v>5967</v>
      </c>
      <c r="L816" s="2" t="s">
        <v>5768</v>
      </c>
      <c r="N816" s="1" t="s">
        <v>527</v>
      </c>
    </row>
    <row r="817" spans="1:14" ht="87" x14ac:dyDescent="0.35">
      <c r="A817" s="121" t="s">
        <v>3761</v>
      </c>
      <c r="B817" s="99" t="s">
        <v>4833</v>
      </c>
      <c r="C817" s="121" t="str" cm="1">
        <f t="array" ref="C817:F817">_xlfn.TEXTSPLIT('איחוד שאלות'!$B817,"_")</f>
        <v>perception</v>
      </c>
      <c r="D817" s="99" t="str">
        <v>voting</v>
      </c>
      <c r="E817" s="99" t="str">
        <v>saliency</v>
      </c>
      <c r="F817" s="99" t="str">
        <v>femalecandidate</v>
      </c>
      <c r="G817" s="100"/>
      <c r="H817" s="136" t="s">
        <v>3803</v>
      </c>
      <c r="I817" s="2" t="s">
        <v>5844</v>
      </c>
      <c r="J817" s="2" t="s">
        <v>5967</v>
      </c>
      <c r="K817" s="2" t="s">
        <v>6139</v>
      </c>
      <c r="L817" s="2" t="s">
        <v>6310</v>
      </c>
      <c r="N817" s="1" t="s">
        <v>7327</v>
      </c>
    </row>
    <row r="818" spans="1:14" ht="87" x14ac:dyDescent="0.35">
      <c r="A818" s="113" t="s">
        <v>3762</v>
      </c>
      <c r="B818" s="102" t="s">
        <v>4834</v>
      </c>
      <c r="C818" s="123" t="str" cm="1">
        <f t="array" ref="C818:F818">_xlfn.TEXTSPLIT('איחוד שאלות'!$B818,"_")</f>
        <v>perception</v>
      </c>
      <c r="D818" s="102" t="str">
        <v>voting</v>
      </c>
      <c r="E818" s="102" t="str">
        <v>saliency</v>
      </c>
      <c r="F818" s="102" t="str">
        <v>mizrahicandidate</v>
      </c>
      <c r="G818" s="103"/>
      <c r="H818" s="135" t="s">
        <v>3803</v>
      </c>
      <c r="I818" s="2" t="s">
        <v>5844</v>
      </c>
      <c r="J818" s="2" t="s">
        <v>5967</v>
      </c>
      <c r="K818" s="2" t="s">
        <v>6139</v>
      </c>
      <c r="L818" s="2" t="s">
        <v>6311</v>
      </c>
      <c r="N818" s="1" t="s">
        <v>7328</v>
      </c>
    </row>
    <row r="819" spans="1:14" ht="87" x14ac:dyDescent="0.35">
      <c r="A819" s="121" t="s">
        <v>3763</v>
      </c>
      <c r="B819" s="99" t="s">
        <v>4835</v>
      </c>
      <c r="C819" s="121" t="str" cm="1">
        <f t="array" ref="C819:F819">_xlfn.TEXTSPLIT('איחוד שאלות'!$B819,"_")</f>
        <v>perception</v>
      </c>
      <c r="D819" s="99" t="str">
        <v>voting</v>
      </c>
      <c r="E819" s="99" t="str">
        <v>saliency</v>
      </c>
      <c r="F819" s="99" t="str">
        <v>womeninparty</v>
      </c>
      <c r="G819" s="100"/>
      <c r="H819" s="136" t="s">
        <v>3803</v>
      </c>
      <c r="I819" s="2" t="s">
        <v>5844</v>
      </c>
      <c r="J819" s="2" t="s">
        <v>5967</v>
      </c>
      <c r="K819" s="2" t="s">
        <v>6139</v>
      </c>
      <c r="L819" s="2" t="s">
        <v>6312</v>
      </c>
      <c r="N819" s="1" t="s">
        <v>7329</v>
      </c>
    </row>
    <row r="820" spans="1:14" ht="87" x14ac:dyDescent="0.35">
      <c r="A820" s="113" t="s">
        <v>3764</v>
      </c>
      <c r="B820" s="102" t="s">
        <v>4836</v>
      </c>
      <c r="C820" s="123" t="str" cm="1">
        <f t="array" ref="C820:F820">_xlfn.TEXTSPLIT('איחוד שאלות'!$B820,"_")</f>
        <v>perception</v>
      </c>
      <c r="D820" s="102" t="str">
        <v>voting</v>
      </c>
      <c r="E820" s="102" t="str">
        <v>saliency</v>
      </c>
      <c r="F820" s="102" t="str">
        <v>mizrahiinparty</v>
      </c>
      <c r="G820" s="103"/>
      <c r="H820" s="135" t="s">
        <v>3803</v>
      </c>
      <c r="I820" s="2" t="s">
        <v>5844</v>
      </c>
      <c r="J820" s="2" t="s">
        <v>5967</v>
      </c>
      <c r="K820" s="2" t="s">
        <v>6139</v>
      </c>
      <c r="L820" s="2" t="s">
        <v>6313</v>
      </c>
      <c r="N820" s="1" t="s">
        <v>7330</v>
      </c>
    </row>
    <row r="821" spans="1:14" ht="72.5" x14ac:dyDescent="0.35">
      <c r="A821" s="121" t="s">
        <v>670</v>
      </c>
      <c r="B821" s="99" t="s">
        <v>4837</v>
      </c>
      <c r="C821" s="121" t="str" cm="1">
        <f t="array" ref="C821:F821">_xlfn.TEXTSPLIT('איחוד שאלות'!$B821,"_")</f>
        <v>perception</v>
      </c>
      <c r="D821" s="99" t="str">
        <v>voting</v>
      </c>
      <c r="E821" s="99" t="str">
        <v>today</v>
      </c>
      <c r="F821" s="99" t="str">
        <v>partner</v>
      </c>
      <c r="G821" s="100"/>
      <c r="H821" s="136" t="s">
        <v>3803</v>
      </c>
      <c r="I821" s="2" t="s">
        <v>5844</v>
      </c>
      <c r="J821" s="2" t="s">
        <v>5967</v>
      </c>
      <c r="K821" s="2" t="s">
        <v>6288</v>
      </c>
      <c r="L821" s="2" t="s">
        <v>5772</v>
      </c>
      <c r="N821" s="1" t="s">
        <v>670</v>
      </c>
    </row>
    <row r="822" spans="1:14" ht="58" x14ac:dyDescent="0.35">
      <c r="A822" s="113" t="s">
        <v>679</v>
      </c>
      <c r="B822" s="102" t="s">
        <v>4838</v>
      </c>
      <c r="C822" s="123" t="str" cm="1">
        <f t="array" ref="C822:F822">_xlfn.TEXTSPLIT('איחוד שאלות'!$B822,"_")</f>
        <v>perception</v>
      </c>
      <c r="D822" s="102" t="str">
        <v>voting</v>
      </c>
      <c r="E822" s="102" t="str">
        <v>post</v>
      </c>
      <c r="F822" s="102" t="str">
        <v>partner</v>
      </c>
      <c r="G822" s="103"/>
      <c r="H822" s="135" t="s">
        <v>3803</v>
      </c>
      <c r="I822" s="2" t="s">
        <v>5844</v>
      </c>
      <c r="J822" s="2" t="s">
        <v>5967</v>
      </c>
      <c r="K822" s="2" t="s">
        <v>5763</v>
      </c>
      <c r="L822" s="2" t="s">
        <v>5772</v>
      </c>
      <c r="N822" s="1" t="s">
        <v>679</v>
      </c>
    </row>
    <row r="823" spans="1:14" ht="58" x14ac:dyDescent="0.35">
      <c r="A823" s="121" t="s">
        <v>774</v>
      </c>
      <c r="B823" s="99" t="s">
        <v>4839</v>
      </c>
      <c r="C823" s="121" t="str" cm="1">
        <f t="array" ref="C823:F823">_xlfn.TEXTSPLIT('איחוד שאלות'!$B823,"_")</f>
        <v>perception</v>
      </c>
      <c r="D823" s="99" t="str">
        <v>elections</v>
      </c>
      <c r="E823" s="99" t="str">
        <v>voting</v>
      </c>
      <c r="F823" s="99" t="str">
        <v>decision</v>
      </c>
      <c r="G823" s="100"/>
      <c r="H823" s="136" t="s">
        <v>3803</v>
      </c>
      <c r="I823" s="2" t="s">
        <v>5844</v>
      </c>
      <c r="J823" s="2" t="s">
        <v>5954</v>
      </c>
      <c r="K823" s="2" t="s">
        <v>5967</v>
      </c>
      <c r="L823" s="2" t="s">
        <v>5928</v>
      </c>
      <c r="N823" s="1" t="s">
        <v>774</v>
      </c>
    </row>
    <row r="824" spans="1:14" ht="72.5" x14ac:dyDescent="0.35">
      <c r="A824" s="155" t="s">
        <v>4841</v>
      </c>
      <c r="B824" s="102" t="s">
        <v>4842</v>
      </c>
      <c r="C824" s="123" t="str" cm="1">
        <f t="array" ref="C824:G824">_xlfn.TEXTSPLIT('איחוד שאלות'!$B824,"_")</f>
        <v>post</v>
      </c>
      <c r="D824" s="102" t="str">
        <v>perception</v>
      </c>
      <c r="E824" s="102" t="str">
        <v>public</v>
      </c>
      <c r="F824" s="102" t="str">
        <v>voting</v>
      </c>
      <c r="G824" s="103" t="str">
        <v>notvoting</v>
      </c>
      <c r="H824" s="135" t="s">
        <v>3803</v>
      </c>
      <c r="I824" s="2" t="s">
        <v>5763</v>
      </c>
      <c r="J824" s="2" t="s">
        <v>5844</v>
      </c>
      <c r="K824" s="2" t="s">
        <v>5912</v>
      </c>
      <c r="L824" s="2" t="s">
        <v>5967</v>
      </c>
      <c r="M824" s="2" t="s">
        <v>6314</v>
      </c>
      <c r="N824" s="1" t="s">
        <v>4841</v>
      </c>
    </row>
    <row r="825" spans="1:14" ht="72.5" x14ac:dyDescent="0.35">
      <c r="A825" s="5" t="s">
        <v>788</v>
      </c>
      <c r="B825" s="99" t="s">
        <v>4840</v>
      </c>
      <c r="C825" s="121" t="str" cm="1">
        <f t="array" ref="C825:F825">_xlfn.TEXTSPLIT('איחוד שאלות'!$B825,"_")</f>
        <v>perception</v>
      </c>
      <c r="D825" s="99" t="str">
        <v>public</v>
      </c>
      <c r="E825" s="99" t="str">
        <v>voting</v>
      </c>
      <c r="F825" s="99" t="str">
        <v>notvoting</v>
      </c>
      <c r="G825" s="100"/>
      <c r="H825" s="136" t="s">
        <v>3803</v>
      </c>
      <c r="I825" s="2" t="s">
        <v>5844</v>
      </c>
      <c r="J825" s="2" t="s">
        <v>5912</v>
      </c>
      <c r="K825" s="2" t="s">
        <v>5967</v>
      </c>
      <c r="L825" s="2" t="s">
        <v>6314</v>
      </c>
      <c r="N825" s="1" t="s">
        <v>788</v>
      </c>
    </row>
    <row r="826" spans="1:14" ht="116" x14ac:dyDescent="0.35">
      <c r="A826" s="113" t="s">
        <v>3765</v>
      </c>
      <c r="B826" s="102" t="s">
        <v>4843</v>
      </c>
      <c r="C826" s="123" t="str" cm="1">
        <f t="array" ref="C826:G826">_xlfn.TEXTSPLIT('איחוד שאלות'!$B826,"_")</f>
        <v>post</v>
      </c>
      <c r="D826" s="102" t="str">
        <v>perception</v>
      </c>
      <c r="E826" s="102" t="str">
        <v>public</v>
      </c>
      <c r="F826" s="102" t="str">
        <v>notvoting</v>
      </c>
      <c r="G826" s="103" t="str">
        <v>1</v>
      </c>
      <c r="H826" s="135" t="s">
        <v>3803</v>
      </c>
      <c r="I826" s="2" t="s">
        <v>5763</v>
      </c>
      <c r="J826" s="2" t="s">
        <v>5844</v>
      </c>
      <c r="K826" s="2" t="s">
        <v>5912</v>
      </c>
      <c r="L826" s="2" t="s">
        <v>6314</v>
      </c>
      <c r="M826" s="2" t="s">
        <v>5789</v>
      </c>
      <c r="N826" s="1" t="s">
        <v>7331</v>
      </c>
    </row>
    <row r="827" spans="1:14" ht="29" x14ac:dyDescent="0.35">
      <c r="A827" s="121" t="s">
        <v>1130</v>
      </c>
      <c r="B827" s="99" t="s">
        <v>4844</v>
      </c>
      <c r="C827" s="121" t="str" cm="1">
        <f t="array" ref="C827:G827">_xlfn.TEXTSPLIT('איחוד שאלות'!$B827,"_")</f>
        <v>post</v>
      </c>
      <c r="D827" s="99" t="str">
        <v>perception</v>
      </c>
      <c r="E827" s="99" t="str">
        <v>public</v>
      </c>
      <c r="F827" s="99" t="str">
        <v>notvoting</v>
      </c>
      <c r="G827" s="100" t="str">
        <v>2</v>
      </c>
      <c r="H827" s="136" t="s">
        <v>3803</v>
      </c>
      <c r="I827" s="2" t="s">
        <v>5763</v>
      </c>
      <c r="J827" s="2" t="s">
        <v>5844</v>
      </c>
      <c r="K827" s="2" t="s">
        <v>5912</v>
      </c>
      <c r="L827" s="2" t="s">
        <v>6314</v>
      </c>
      <c r="M827" s="2" t="s">
        <v>5790</v>
      </c>
      <c r="N827" s="1" t="s">
        <v>1130</v>
      </c>
    </row>
    <row r="828" spans="1:14" ht="43.5" x14ac:dyDescent="0.35">
      <c r="A828" s="113" t="s">
        <v>2248</v>
      </c>
      <c r="B828" s="102" t="s">
        <v>4845</v>
      </c>
      <c r="C828" s="123" t="str" cm="1">
        <f t="array" ref="C828:G828">_xlfn.TEXTSPLIT('איחוד שאלות'!$B828,"_")</f>
        <v>post</v>
      </c>
      <c r="D828" s="102" t="str">
        <v>perception</v>
      </c>
      <c r="E828" s="102" t="str">
        <v>public</v>
      </c>
      <c r="F828" s="102" t="str">
        <v>notvoting</v>
      </c>
      <c r="G828" s="103" t="str">
        <v>3</v>
      </c>
      <c r="H828" s="135" t="s">
        <v>3803</v>
      </c>
      <c r="I828" s="2" t="s">
        <v>5763</v>
      </c>
      <c r="J828" s="2" t="s">
        <v>5844</v>
      </c>
      <c r="K828" s="2" t="s">
        <v>5912</v>
      </c>
      <c r="L828" s="2" t="s">
        <v>6314</v>
      </c>
      <c r="M828" s="2" t="s">
        <v>5791</v>
      </c>
      <c r="N828" s="1" t="s">
        <v>2248</v>
      </c>
    </row>
    <row r="829" spans="1:14" ht="43.5" x14ac:dyDescent="0.35">
      <c r="A829" s="121" t="s">
        <v>1131</v>
      </c>
      <c r="B829" s="99" t="s">
        <v>4846</v>
      </c>
      <c r="C829" s="121" t="str" cm="1">
        <f t="array" ref="C829:G829">_xlfn.TEXTSPLIT('איחוד שאלות'!$B829,"_")</f>
        <v>post</v>
      </c>
      <c r="D829" s="99" t="str">
        <v>perception</v>
      </c>
      <c r="E829" s="99" t="str">
        <v>public</v>
      </c>
      <c r="F829" s="99" t="str">
        <v>notvoting</v>
      </c>
      <c r="G829" s="100" t="str">
        <v>4</v>
      </c>
      <c r="H829" s="136" t="s">
        <v>3803</v>
      </c>
      <c r="I829" s="2" t="s">
        <v>5763</v>
      </c>
      <c r="J829" s="2" t="s">
        <v>5844</v>
      </c>
      <c r="K829" s="2" t="s">
        <v>5912</v>
      </c>
      <c r="L829" s="2" t="s">
        <v>6314</v>
      </c>
      <c r="M829" s="2" t="s">
        <v>5792</v>
      </c>
      <c r="N829" s="1" t="s">
        <v>1131</v>
      </c>
    </row>
    <row r="830" spans="1:14" ht="29" x14ac:dyDescent="0.35">
      <c r="A830" s="113" t="s">
        <v>1132</v>
      </c>
      <c r="B830" s="102" t="s">
        <v>4847</v>
      </c>
      <c r="C830" s="123" t="str" cm="1">
        <f t="array" ref="C830:G830">_xlfn.TEXTSPLIT('איחוד שאלות'!$B830,"_")</f>
        <v>post</v>
      </c>
      <c r="D830" s="102" t="str">
        <v>perception</v>
      </c>
      <c r="E830" s="102" t="str">
        <v>public</v>
      </c>
      <c r="F830" s="102" t="str">
        <v>notvoting</v>
      </c>
      <c r="G830" s="103" t="str">
        <v>5</v>
      </c>
      <c r="H830" s="135" t="s">
        <v>3803</v>
      </c>
      <c r="I830" s="2" t="s">
        <v>5763</v>
      </c>
      <c r="J830" s="2" t="s">
        <v>5844</v>
      </c>
      <c r="K830" s="2" t="s">
        <v>5912</v>
      </c>
      <c r="L830" s="2" t="s">
        <v>6314</v>
      </c>
      <c r="M830" s="2" t="s">
        <v>5896</v>
      </c>
      <c r="N830" s="1" t="s">
        <v>1132</v>
      </c>
    </row>
    <row r="831" spans="1:14" ht="29" x14ac:dyDescent="0.35">
      <c r="A831" s="121" t="s">
        <v>1133</v>
      </c>
      <c r="B831" s="99" t="s">
        <v>4848</v>
      </c>
      <c r="C831" s="121" t="str" cm="1">
        <f t="array" ref="C831:G831">_xlfn.TEXTSPLIT('איחוד שאלות'!$B831,"_")</f>
        <v>post</v>
      </c>
      <c r="D831" s="99" t="str">
        <v>perception</v>
      </c>
      <c r="E831" s="99" t="str">
        <v>public</v>
      </c>
      <c r="F831" s="99" t="str">
        <v>notvoting</v>
      </c>
      <c r="G831" s="100" t="str">
        <v>6</v>
      </c>
      <c r="H831" s="136" t="s">
        <v>3803</v>
      </c>
      <c r="I831" s="2" t="s">
        <v>5763</v>
      </c>
      <c r="J831" s="2" t="s">
        <v>5844</v>
      </c>
      <c r="K831" s="2" t="s">
        <v>5912</v>
      </c>
      <c r="L831" s="2" t="s">
        <v>6314</v>
      </c>
      <c r="M831" s="2" t="s">
        <v>5897</v>
      </c>
      <c r="N831" s="1" t="s">
        <v>1133</v>
      </c>
    </row>
    <row r="832" spans="1:14" ht="87" x14ac:dyDescent="0.35">
      <c r="A832" s="113" t="s">
        <v>3766</v>
      </c>
      <c r="B832" s="102" t="s">
        <v>4849</v>
      </c>
      <c r="C832" s="123" t="str" cm="1">
        <f t="array" ref="C832:G832">_xlfn.TEXTSPLIT('איחוד שאלות'!$B832,"_")</f>
        <v>behavior</v>
      </c>
      <c r="D832" s="102" t="str">
        <v>voting</v>
      </c>
      <c r="E832" s="102" t="str">
        <v>scenario</v>
      </c>
      <c r="F832" s="102" t="str">
        <v>direct</v>
      </c>
      <c r="G832" s="103" t="str">
        <v>primeminister</v>
      </c>
      <c r="H832" s="135" t="s">
        <v>3803</v>
      </c>
      <c r="I832" s="2" t="s">
        <v>5806</v>
      </c>
      <c r="J832" s="2" t="s">
        <v>5967</v>
      </c>
      <c r="K832" s="2" t="s">
        <v>6290</v>
      </c>
      <c r="L832" s="2" t="s">
        <v>6289</v>
      </c>
      <c r="M832" s="2" t="s">
        <v>6283</v>
      </c>
      <c r="N832" s="1" t="s">
        <v>7332</v>
      </c>
    </row>
    <row r="833" spans="1:14" ht="72.5" x14ac:dyDescent="0.35">
      <c r="A833" s="121" t="s">
        <v>3767</v>
      </c>
      <c r="B833" s="99" t="s">
        <v>4850</v>
      </c>
      <c r="C833" s="121" t="str" cm="1">
        <f t="array" ref="C833:G833">_xlfn.TEXTSPLIT('איחוד שאלות'!$B833,"_")</f>
        <v>behavior</v>
      </c>
      <c r="D833" s="99" t="str">
        <v>voting</v>
      </c>
      <c r="E833" s="99" t="str">
        <v>scenario</v>
      </c>
      <c r="F833" s="99" t="str">
        <v>direct</v>
      </c>
      <c r="G833" s="100" t="str">
        <v>party</v>
      </c>
      <c r="H833" s="136" t="s">
        <v>3803</v>
      </c>
      <c r="I833" s="2" t="s">
        <v>5806</v>
      </c>
      <c r="J833" s="2" t="s">
        <v>5967</v>
      </c>
      <c r="K833" s="2" t="s">
        <v>6290</v>
      </c>
      <c r="L833" s="2" t="s">
        <v>6289</v>
      </c>
      <c r="M833" s="2" t="s">
        <v>5853</v>
      </c>
      <c r="N833" s="1" t="s">
        <v>7333</v>
      </c>
    </row>
    <row r="834" spans="1:14" ht="72.5" x14ac:dyDescent="0.35">
      <c r="A834" s="113" t="s">
        <v>1621</v>
      </c>
      <c r="B834" s="102" t="s">
        <v>4851</v>
      </c>
      <c r="C834" s="123" t="str" cm="1">
        <f t="array" ref="C834:G834">_xlfn.TEXTSPLIT('איחוד שאלות'!$B834,"_")</f>
        <v>behavior</v>
      </c>
      <c r="D834" s="102" t="str">
        <v>voting</v>
      </c>
      <c r="E834" s="102" t="str">
        <v>scenario</v>
      </c>
      <c r="F834" s="102" t="str">
        <v>indirect</v>
      </c>
      <c r="G834" s="103" t="str">
        <v>party</v>
      </c>
      <c r="H834" s="135" t="s">
        <v>3803</v>
      </c>
      <c r="I834" s="2" t="s">
        <v>5806</v>
      </c>
      <c r="J834" s="2" t="s">
        <v>5967</v>
      </c>
      <c r="K834" s="2" t="s">
        <v>6290</v>
      </c>
      <c r="L834" s="2" t="s">
        <v>6315</v>
      </c>
      <c r="M834" s="2" t="s">
        <v>5853</v>
      </c>
      <c r="N834" s="1" t="s">
        <v>1621</v>
      </c>
    </row>
    <row r="835" spans="1:14" ht="43.5" x14ac:dyDescent="0.35">
      <c r="A835" s="121" t="s">
        <v>803</v>
      </c>
      <c r="B835" s="99" t="s">
        <v>4852</v>
      </c>
      <c r="C835" s="121" t="str" cm="1">
        <f t="array" ref="C835:E835">_xlfn.TEXTSPLIT('איחוד שאלות'!$B835,"_")</f>
        <v>behavior</v>
      </c>
      <c r="D835" s="99" t="str">
        <v>voting</v>
      </c>
      <c r="E835" s="99" t="str">
        <v>municipality</v>
      </c>
      <c r="F835" s="99"/>
      <c r="G835" s="100"/>
      <c r="H835" s="136" t="s">
        <v>3803</v>
      </c>
      <c r="I835" s="2" t="s">
        <v>5806</v>
      </c>
      <c r="J835" s="2" t="s">
        <v>5967</v>
      </c>
      <c r="K835" s="2" t="s">
        <v>5970</v>
      </c>
      <c r="N835" s="1" t="s">
        <v>803</v>
      </c>
    </row>
    <row r="836" spans="1:14" ht="87" x14ac:dyDescent="0.35">
      <c r="A836" s="113" t="s">
        <v>2574</v>
      </c>
      <c r="B836" s="102" t="s">
        <v>4853</v>
      </c>
      <c r="C836" s="123" t="str" cm="1">
        <f t="array" ref="C836:F836">_xlfn.TEXTSPLIT('איחוד שאלות'!$B836,"_")</f>
        <v>demography</v>
      </c>
      <c r="D836" s="102" t="str">
        <v>association</v>
      </c>
      <c r="E836" s="102" t="str">
        <v>party</v>
      </c>
      <c r="F836" s="102" t="str">
        <v>calls</v>
      </c>
      <c r="G836" s="103"/>
      <c r="H836" s="135" t="s">
        <v>3803</v>
      </c>
      <c r="I836" s="2" t="s">
        <v>5765</v>
      </c>
      <c r="J836" s="2" t="s">
        <v>5834</v>
      </c>
      <c r="K836" s="2" t="s">
        <v>5853</v>
      </c>
      <c r="L836" s="2" t="s">
        <v>6316</v>
      </c>
      <c r="N836" s="1" t="s">
        <v>2574</v>
      </c>
    </row>
    <row r="837" spans="1:14" ht="58" x14ac:dyDescent="0.35">
      <c r="A837" s="121" t="s">
        <v>1255</v>
      </c>
      <c r="B837" s="99" t="s">
        <v>4854</v>
      </c>
      <c r="C837" s="121" t="str" cm="1">
        <f t="array" ref="C837:G837">_xlfn.TEXTSPLIT('איחוד שאלות'!$B837,"_")</f>
        <v>behavior</v>
      </c>
      <c r="D837" s="99" t="str">
        <v>voting</v>
      </c>
      <c r="E837" s="99" t="str">
        <v>scenario</v>
      </c>
      <c r="F837" s="99" t="str">
        <v>barakresignation</v>
      </c>
      <c r="G837" s="100" t="str">
        <v>01</v>
      </c>
      <c r="H837" s="136" t="s">
        <v>3803</v>
      </c>
      <c r="I837" s="2" t="s">
        <v>5806</v>
      </c>
      <c r="J837" s="2" t="s">
        <v>5967</v>
      </c>
      <c r="K837" s="2" t="s">
        <v>6290</v>
      </c>
      <c r="L837" s="2" t="s">
        <v>6317</v>
      </c>
      <c r="M837" s="2" t="s">
        <v>6318</v>
      </c>
      <c r="N837" s="1" t="s">
        <v>1255</v>
      </c>
    </row>
    <row r="838" spans="1:14" ht="72.5" x14ac:dyDescent="0.35">
      <c r="A838" s="113" t="s">
        <v>3768</v>
      </c>
      <c r="B838" s="102" t="s">
        <v>4855</v>
      </c>
      <c r="C838" s="123" t="str" cm="1">
        <f t="array" ref="C838:G838">_xlfn.TEXTSPLIT('איחוד שאלות'!$B838,"_")</f>
        <v>perception</v>
      </c>
      <c r="D838" s="102" t="str">
        <v>voting</v>
      </c>
      <c r="E838" s="102" t="str">
        <v>saliency</v>
      </c>
      <c r="F838" s="102" t="str">
        <v>socioeconomic</v>
      </c>
      <c r="G838" s="103" t="str">
        <v>primeminister</v>
      </c>
      <c r="H838" s="135" t="s">
        <v>3803</v>
      </c>
      <c r="I838" s="2" t="s">
        <v>5844</v>
      </c>
      <c r="J838" s="2" t="s">
        <v>5967</v>
      </c>
      <c r="K838" s="2" t="s">
        <v>6139</v>
      </c>
      <c r="L838" s="2" t="s">
        <v>6006</v>
      </c>
      <c r="M838" s="2" t="s">
        <v>6283</v>
      </c>
      <c r="N838" s="1" t="s">
        <v>7334</v>
      </c>
    </row>
    <row r="839" spans="1:14" ht="87" x14ac:dyDescent="0.35">
      <c r="A839" s="121" t="s">
        <v>3769</v>
      </c>
      <c r="B839" s="99" t="s">
        <v>4855</v>
      </c>
      <c r="C839" s="121" t="str" cm="1">
        <f t="array" ref="C839:G839">_xlfn.TEXTSPLIT('איחוד שאלות'!$B839,"_")</f>
        <v>perception</v>
      </c>
      <c r="D839" s="99" t="str">
        <v>voting</v>
      </c>
      <c r="E839" s="99" t="str">
        <v>saliency</v>
      </c>
      <c r="F839" s="99" t="str">
        <v>socioeconomic</v>
      </c>
      <c r="G839" s="100" t="str">
        <v>primeminister</v>
      </c>
      <c r="H839" s="136" t="s">
        <v>3803</v>
      </c>
      <c r="I839" s="2" t="s">
        <v>5844</v>
      </c>
      <c r="J839" s="2" t="s">
        <v>5967</v>
      </c>
      <c r="K839" s="2" t="s">
        <v>6139</v>
      </c>
      <c r="L839" s="2" t="s">
        <v>6006</v>
      </c>
      <c r="M839" s="2" t="s">
        <v>6283</v>
      </c>
      <c r="N839" s="1" t="s">
        <v>7335</v>
      </c>
    </row>
    <row r="840" spans="1:14" ht="72.5" x14ac:dyDescent="0.35">
      <c r="A840" s="113" t="s">
        <v>3770</v>
      </c>
      <c r="B840" s="102" t="s">
        <v>4856</v>
      </c>
      <c r="C840" s="123" t="str" cm="1">
        <f t="array" ref="C840:G840">_xlfn.TEXTSPLIT('איחוד שאלות'!$B840,"_")</f>
        <v>perception</v>
      </c>
      <c r="D840" s="102" t="str">
        <v>voting</v>
      </c>
      <c r="E840" s="102" t="str">
        <v>saliency</v>
      </c>
      <c r="F840" s="102" t="str">
        <v>statereligion</v>
      </c>
      <c r="G840" s="103" t="str">
        <v>primeminister</v>
      </c>
      <c r="H840" s="135" t="s">
        <v>3803</v>
      </c>
      <c r="I840" s="2" t="s">
        <v>5844</v>
      </c>
      <c r="J840" s="2" t="s">
        <v>5967</v>
      </c>
      <c r="K840" s="2" t="s">
        <v>6139</v>
      </c>
      <c r="L840" s="2" t="s">
        <v>6025</v>
      </c>
      <c r="M840" s="2" t="s">
        <v>6283</v>
      </c>
      <c r="N840" s="1" t="s">
        <v>7336</v>
      </c>
    </row>
    <row r="841" spans="1:14" ht="87" x14ac:dyDescent="0.35">
      <c r="A841" s="121" t="s">
        <v>3771</v>
      </c>
      <c r="B841" s="99" t="s">
        <v>4857</v>
      </c>
      <c r="C841" s="121" t="str" cm="1">
        <f t="array" ref="C841:G841">_xlfn.TEXTSPLIT('איחוד שאלות'!$B841,"_")</f>
        <v>perception</v>
      </c>
      <c r="D841" s="99" t="str">
        <v>voting</v>
      </c>
      <c r="E841" s="99" t="str">
        <v>saliency</v>
      </c>
      <c r="F841" s="99" t="str">
        <v>peaceprocess</v>
      </c>
      <c r="G841" s="100" t="str">
        <v>primeminister</v>
      </c>
      <c r="H841" s="136" t="s">
        <v>3803</v>
      </c>
      <c r="I841" s="2" t="s">
        <v>5844</v>
      </c>
      <c r="J841" s="2" t="s">
        <v>5967</v>
      </c>
      <c r="K841" s="2" t="s">
        <v>6139</v>
      </c>
      <c r="L841" s="2" t="s">
        <v>5874</v>
      </c>
      <c r="M841" s="2" t="s">
        <v>6283</v>
      </c>
      <c r="N841" s="1" t="s">
        <v>7337</v>
      </c>
    </row>
    <row r="842" spans="1:14" ht="72.5" x14ac:dyDescent="0.35">
      <c r="A842" s="113" t="s">
        <v>3772</v>
      </c>
      <c r="B842" s="102" t="s">
        <v>4858</v>
      </c>
      <c r="C842" s="123" t="str" cm="1">
        <f t="array" ref="C842:G842">_xlfn.TEXTSPLIT('איחוד שאלות'!$B842,"_")</f>
        <v>perception</v>
      </c>
      <c r="D842" s="102" t="str">
        <v>voting</v>
      </c>
      <c r="E842" s="102" t="str">
        <v>saliency</v>
      </c>
      <c r="F842" s="102" t="str">
        <v>security</v>
      </c>
      <c r="G842" s="103" t="str">
        <v>primeminister</v>
      </c>
      <c r="H842" s="135" t="s">
        <v>3803</v>
      </c>
      <c r="I842" s="2" t="s">
        <v>5844</v>
      </c>
      <c r="J842" s="2" t="s">
        <v>5967</v>
      </c>
      <c r="K842" s="2" t="s">
        <v>6139</v>
      </c>
      <c r="L842" s="2" t="s">
        <v>5994</v>
      </c>
      <c r="M842" s="2" t="s">
        <v>6283</v>
      </c>
      <c r="N842" s="1" t="s">
        <v>7338</v>
      </c>
    </row>
    <row r="843" spans="1:14" ht="72.5" x14ac:dyDescent="0.35">
      <c r="A843" s="121" t="s">
        <v>3773</v>
      </c>
      <c r="B843" s="99" t="s">
        <v>4859</v>
      </c>
      <c r="C843" s="121" t="str" cm="1">
        <f t="array" ref="C843:G843">_xlfn.TEXTSPLIT('איחוד שאלות'!$B843,"_")</f>
        <v>perception</v>
      </c>
      <c r="D843" s="99" t="str">
        <v>voting</v>
      </c>
      <c r="E843" s="99" t="str">
        <v>saliency</v>
      </c>
      <c r="F843" s="99" t="str">
        <v>jerusalem</v>
      </c>
      <c r="G843" s="100" t="str">
        <v>primeminister</v>
      </c>
      <c r="H843" s="136" t="s">
        <v>3803</v>
      </c>
      <c r="I843" s="2" t="s">
        <v>5844</v>
      </c>
      <c r="J843" s="2" t="s">
        <v>5967</v>
      </c>
      <c r="K843" s="2" t="s">
        <v>6139</v>
      </c>
      <c r="L843" s="2" t="s">
        <v>6027</v>
      </c>
      <c r="M843" s="2" t="s">
        <v>6283</v>
      </c>
      <c r="N843" s="1" t="s">
        <v>7339</v>
      </c>
    </row>
    <row r="844" spans="1:14" ht="72.5" x14ac:dyDescent="0.35">
      <c r="A844" s="113" t="s">
        <v>3774</v>
      </c>
      <c r="B844" s="102" t="s">
        <v>4860</v>
      </c>
      <c r="C844" s="123" t="str" cm="1">
        <f t="array" ref="C844:G844">_xlfn.TEXTSPLIT('איחוד שאלות'!$B844,"_")</f>
        <v>perception</v>
      </c>
      <c r="D844" s="102" t="str">
        <v>voting</v>
      </c>
      <c r="E844" s="102" t="str">
        <v>saliency</v>
      </c>
      <c r="F844" s="102" t="str">
        <v>lebanon</v>
      </c>
      <c r="G844" s="103" t="str">
        <v>primeminister</v>
      </c>
      <c r="H844" s="135" t="s">
        <v>3803</v>
      </c>
      <c r="I844" s="2" t="s">
        <v>5844</v>
      </c>
      <c r="J844" s="2" t="s">
        <v>5967</v>
      </c>
      <c r="K844" s="2" t="s">
        <v>6139</v>
      </c>
      <c r="L844" s="2" t="s">
        <v>6028</v>
      </c>
      <c r="M844" s="2" t="s">
        <v>6283</v>
      </c>
      <c r="N844" s="1" t="s">
        <v>7340</v>
      </c>
    </row>
    <row r="845" spans="1:14" ht="72.5" x14ac:dyDescent="0.35">
      <c r="A845" s="121" t="s">
        <v>3775</v>
      </c>
      <c r="B845" s="99" t="s">
        <v>4861</v>
      </c>
      <c r="C845" s="121" t="str" cm="1">
        <f t="array" ref="C845:G845">_xlfn.TEXTSPLIT('איחוד שאלות'!$B845,"_")</f>
        <v>perception</v>
      </c>
      <c r="D845" s="99" t="str">
        <v>voting</v>
      </c>
      <c r="E845" s="99" t="str">
        <v>saliency</v>
      </c>
      <c r="F845" s="99" t="str">
        <v>rabinassassination</v>
      </c>
      <c r="G845" s="100" t="str">
        <v>primeminister</v>
      </c>
      <c r="H845" s="136" t="s">
        <v>3803</v>
      </c>
      <c r="I845" s="2" t="s">
        <v>5844</v>
      </c>
      <c r="J845" s="2" t="s">
        <v>5967</v>
      </c>
      <c r="K845" s="2" t="s">
        <v>6139</v>
      </c>
      <c r="L845" s="2" t="s">
        <v>6012</v>
      </c>
      <c r="M845" s="2" t="s">
        <v>6283</v>
      </c>
      <c r="N845" s="1" t="s">
        <v>7341</v>
      </c>
    </row>
    <row r="846" spans="1:14" ht="72.5" x14ac:dyDescent="0.35">
      <c r="A846" s="113" t="s">
        <v>1657</v>
      </c>
      <c r="B846" s="102" t="s">
        <v>4862</v>
      </c>
      <c r="C846" s="123" t="str" cm="1">
        <f t="array" ref="C846:G846">_xlfn.TEXTSPLIT('איחוד שאלות'!$B846,"_")</f>
        <v>behavior</v>
      </c>
      <c r="D846" s="102" t="str">
        <v>voting</v>
      </c>
      <c r="E846" s="102" t="str">
        <v>scenario</v>
      </c>
      <c r="F846" s="102" t="str">
        <v>multipalevotes</v>
      </c>
      <c r="G846" s="103" t="str">
        <v>1</v>
      </c>
      <c r="H846" s="135" t="s">
        <v>3803</v>
      </c>
      <c r="I846" s="2" t="s">
        <v>5806</v>
      </c>
      <c r="J846" s="2" t="s">
        <v>5967</v>
      </c>
      <c r="K846" s="2" t="s">
        <v>6290</v>
      </c>
      <c r="L846" s="2" t="s">
        <v>6319</v>
      </c>
      <c r="M846" s="2" t="s">
        <v>5789</v>
      </c>
      <c r="N846" s="1" t="s">
        <v>1657</v>
      </c>
    </row>
    <row r="847" spans="1:14" ht="72.5" x14ac:dyDescent="0.35">
      <c r="A847" s="121" t="s">
        <v>3776</v>
      </c>
      <c r="B847" s="99" t="s">
        <v>4862</v>
      </c>
      <c r="C847" s="121" t="str" cm="1">
        <f t="array" ref="C847:G847">_xlfn.TEXTSPLIT('איחוד שאלות'!$B847,"_")</f>
        <v>behavior</v>
      </c>
      <c r="D847" s="99" t="str">
        <v>voting</v>
      </c>
      <c r="E847" s="99" t="str">
        <v>scenario</v>
      </c>
      <c r="F847" s="99" t="str">
        <v>multipalevotes</v>
      </c>
      <c r="G847" s="100" t="str">
        <v>1</v>
      </c>
      <c r="H847" s="136" t="s">
        <v>3803</v>
      </c>
      <c r="I847" s="2" t="s">
        <v>5806</v>
      </c>
      <c r="J847" s="2" t="s">
        <v>5967</v>
      </c>
      <c r="K847" s="2" t="s">
        <v>6290</v>
      </c>
      <c r="L847" s="2" t="s">
        <v>6319</v>
      </c>
      <c r="M847" s="2" t="s">
        <v>5789</v>
      </c>
      <c r="N847" s="1" t="s">
        <v>7342</v>
      </c>
    </row>
    <row r="848" spans="1:14" ht="72.5" x14ac:dyDescent="0.35">
      <c r="A848" s="113" t="s">
        <v>3777</v>
      </c>
      <c r="B848" s="102" t="s">
        <v>4863</v>
      </c>
      <c r="C848" s="123" t="str" cm="1">
        <f t="array" ref="C848:G848">_xlfn.TEXTSPLIT('איחוד שאלות'!$B848,"_")</f>
        <v>behavior</v>
      </c>
      <c r="D848" s="102" t="str">
        <v>voting</v>
      </c>
      <c r="E848" s="102" t="str">
        <v>scenario</v>
      </c>
      <c r="F848" s="102" t="str">
        <v>multipalevotes</v>
      </c>
      <c r="G848" s="103" t="str">
        <v>2</v>
      </c>
      <c r="H848" s="135" t="s">
        <v>3803</v>
      </c>
      <c r="I848" s="2" t="s">
        <v>5806</v>
      </c>
      <c r="J848" s="2" t="s">
        <v>5967</v>
      </c>
      <c r="K848" s="2" t="s">
        <v>6290</v>
      </c>
      <c r="L848" s="2" t="s">
        <v>6319</v>
      </c>
      <c r="M848" s="2" t="s">
        <v>5790</v>
      </c>
      <c r="N848" s="1" t="s">
        <v>7343</v>
      </c>
    </row>
    <row r="849" spans="1:14" ht="87" x14ac:dyDescent="0.35">
      <c r="A849" s="121" t="s">
        <v>3778</v>
      </c>
      <c r="B849" s="99" t="s">
        <v>4864</v>
      </c>
      <c r="C849" s="121" t="str" cm="1">
        <f t="array" ref="C849:F849">_xlfn.TEXTSPLIT('איחוד שאלות'!$B849,"_")</f>
        <v>perception</v>
      </c>
      <c r="D849" s="99" t="str">
        <v>voting</v>
      </c>
      <c r="E849" s="99" t="str">
        <v>saliency</v>
      </c>
      <c r="F849" s="99" t="str">
        <v>shamirlikudleader</v>
      </c>
      <c r="G849" s="100"/>
      <c r="H849" s="136" t="s">
        <v>3803</v>
      </c>
      <c r="I849" s="2" t="s">
        <v>5844</v>
      </c>
      <c r="J849" s="2" t="s">
        <v>5967</v>
      </c>
      <c r="K849" s="2" t="s">
        <v>6139</v>
      </c>
      <c r="L849" s="2" t="s">
        <v>6320</v>
      </c>
      <c r="N849" s="1" t="s">
        <v>7344</v>
      </c>
    </row>
    <row r="850" spans="1:14" ht="72.5" x14ac:dyDescent="0.35">
      <c r="A850" s="113" t="s">
        <v>3779</v>
      </c>
      <c r="B850" s="102" t="s">
        <v>4865</v>
      </c>
      <c r="C850" s="123" t="str" cm="1">
        <f t="array" ref="C850:F850">_xlfn.TEXTSPLIT('איחוד שאלות'!$B850,"_")</f>
        <v>perception</v>
      </c>
      <c r="D850" s="102" t="str">
        <v>voting</v>
      </c>
      <c r="E850" s="102" t="str">
        <v>saliency</v>
      </c>
      <c r="F850" s="102" t="str">
        <v>haavodaprimaries</v>
      </c>
      <c r="G850" s="103"/>
      <c r="H850" s="135" t="s">
        <v>3803</v>
      </c>
      <c r="I850" s="2" t="s">
        <v>5844</v>
      </c>
      <c r="J850" s="2" t="s">
        <v>5967</v>
      </c>
      <c r="K850" s="2" t="s">
        <v>6139</v>
      </c>
      <c r="L850" s="2" t="s">
        <v>6321</v>
      </c>
      <c r="N850" s="1" t="s">
        <v>7345</v>
      </c>
    </row>
    <row r="851" spans="1:14" ht="72.5" x14ac:dyDescent="0.35">
      <c r="A851" s="121" t="s">
        <v>3780</v>
      </c>
      <c r="B851" s="99" t="s">
        <v>4866</v>
      </c>
      <c r="C851" s="121" t="str" cm="1">
        <f t="array" ref="C851:F851">_xlfn.TEXTSPLIT('איחוד שאלות'!$B851,"_")</f>
        <v>perception</v>
      </c>
      <c r="D851" s="99" t="str">
        <v>voting</v>
      </c>
      <c r="E851" s="99" t="str">
        <v>saliency</v>
      </c>
      <c r="F851" s="99" t="str">
        <v>haavodalist</v>
      </c>
      <c r="G851" s="100"/>
      <c r="H851" s="136" t="s">
        <v>3803</v>
      </c>
      <c r="I851" s="2" t="s">
        <v>5844</v>
      </c>
      <c r="J851" s="2" t="s">
        <v>5967</v>
      </c>
      <c r="K851" s="2" t="s">
        <v>6139</v>
      </c>
      <c r="L851" s="2" t="s">
        <v>6322</v>
      </c>
      <c r="N851" s="1" t="s">
        <v>7346</v>
      </c>
    </row>
    <row r="852" spans="1:14" ht="72.5" x14ac:dyDescent="0.35">
      <c r="A852" s="113" t="s">
        <v>3781</v>
      </c>
      <c r="B852" s="102" t="s">
        <v>4867</v>
      </c>
      <c r="C852" s="123" t="str" cm="1">
        <f t="array" ref="C852:F852">_xlfn.TEXTSPLIT('איחוד שאלות'!$B852,"_")</f>
        <v>perception</v>
      </c>
      <c r="D852" s="102" t="str">
        <v>voting</v>
      </c>
      <c r="E852" s="102" t="str">
        <v>saliency</v>
      </c>
      <c r="F852" s="102" t="str">
        <v>likudlist</v>
      </c>
      <c r="G852" s="103"/>
      <c r="H852" s="135" t="s">
        <v>3803</v>
      </c>
      <c r="I852" s="2" t="s">
        <v>5844</v>
      </c>
      <c r="J852" s="2" t="s">
        <v>5967</v>
      </c>
      <c r="K852" s="2" t="s">
        <v>6139</v>
      </c>
      <c r="L852" s="2" t="s">
        <v>6323</v>
      </c>
      <c r="N852" s="1" t="s">
        <v>7347</v>
      </c>
    </row>
    <row r="853" spans="1:14" ht="72.5" x14ac:dyDescent="0.35">
      <c r="A853" s="121" t="s">
        <v>3782</v>
      </c>
      <c r="B853" s="99" t="s">
        <v>4868</v>
      </c>
      <c r="C853" s="121" t="str" cm="1">
        <f t="array" ref="C853:F853">_xlfn.TEXTSPLIT('איחוד שאלות'!$B853,"_")</f>
        <v>perception</v>
      </c>
      <c r="D853" s="99" t="str">
        <v>voting</v>
      </c>
      <c r="E853" s="99" t="str">
        <v>saliency</v>
      </c>
      <c r="F853" s="99" t="str">
        <v>likudprimaries</v>
      </c>
      <c r="G853" s="100"/>
      <c r="H853" s="136" t="s">
        <v>3803</v>
      </c>
      <c r="I853" s="2" t="s">
        <v>5844</v>
      </c>
      <c r="J853" s="2" t="s">
        <v>5967</v>
      </c>
      <c r="K853" s="2" t="s">
        <v>6139</v>
      </c>
      <c r="L853" s="2" t="s">
        <v>6324</v>
      </c>
      <c r="N853" s="1" t="s">
        <v>7348</v>
      </c>
    </row>
    <row r="854" spans="1:14" ht="87" x14ac:dyDescent="0.35">
      <c r="A854" s="113" t="s">
        <v>3783</v>
      </c>
      <c r="B854" s="102" t="s">
        <v>4869</v>
      </c>
      <c r="C854" s="123" t="str" cm="1">
        <f t="array" ref="C854:F854">_xlfn.TEXTSPLIT('איחוד שאלות'!$B854,"_")</f>
        <v>perception</v>
      </c>
      <c r="D854" s="102" t="str">
        <v>voting</v>
      </c>
      <c r="E854" s="102" t="str">
        <v>saliency</v>
      </c>
      <c r="F854" s="102" t="str">
        <v>rabinhaavodaleader</v>
      </c>
      <c r="G854" s="103"/>
      <c r="H854" s="135" t="s">
        <v>3803</v>
      </c>
      <c r="I854" s="2" t="s">
        <v>5844</v>
      </c>
      <c r="J854" s="2" t="s">
        <v>5967</v>
      </c>
      <c r="K854" s="2" t="s">
        <v>6139</v>
      </c>
      <c r="L854" s="2" t="s">
        <v>6325</v>
      </c>
      <c r="N854" s="1" t="s">
        <v>7349</v>
      </c>
    </row>
    <row r="855" spans="1:14" ht="87" x14ac:dyDescent="0.35">
      <c r="A855" s="121" t="s">
        <v>3784</v>
      </c>
      <c r="B855" s="99" t="s">
        <v>4870</v>
      </c>
      <c r="C855" s="121" t="str" cm="1">
        <f t="array" ref="C855:F855">_xlfn.TEXTSPLIT('איחוד שאלות'!$B855,"_")</f>
        <v>perception</v>
      </c>
      <c r="D855" s="99" t="str">
        <v>voting</v>
      </c>
      <c r="E855" s="99" t="str">
        <v>saliency</v>
      </c>
      <c r="F855" s="99" t="str">
        <v>nationalunitygovernment</v>
      </c>
      <c r="G855" s="100"/>
      <c r="H855" s="136" t="s">
        <v>3803</v>
      </c>
      <c r="I855" s="2" t="s">
        <v>5844</v>
      </c>
      <c r="J855" s="2" t="s">
        <v>5967</v>
      </c>
      <c r="K855" s="2" t="s">
        <v>6139</v>
      </c>
      <c r="L855" s="2" t="s">
        <v>6326</v>
      </c>
      <c r="N855" s="1" t="s">
        <v>7350</v>
      </c>
    </row>
    <row r="856" spans="1:14" ht="72.5" x14ac:dyDescent="0.35">
      <c r="A856" s="113" t="s">
        <v>3785</v>
      </c>
      <c r="B856" s="102" t="s">
        <v>4871</v>
      </c>
      <c r="C856" s="123" t="str" cm="1">
        <f t="array" ref="C856:F856">_xlfn.TEXTSPLIT('איחוד שאלות'!$B856,"_")</f>
        <v>perception</v>
      </c>
      <c r="D856" s="102" t="str">
        <v>voting</v>
      </c>
      <c r="E856" s="102" t="str">
        <v>saliency</v>
      </c>
      <c r="F856" s="102" t="str">
        <v>USA</v>
      </c>
      <c r="G856" s="103"/>
      <c r="H856" s="135" t="s">
        <v>3803</v>
      </c>
      <c r="I856" s="2" t="s">
        <v>5844</v>
      </c>
      <c r="J856" s="2" t="s">
        <v>5967</v>
      </c>
      <c r="K856" s="2" t="s">
        <v>6139</v>
      </c>
      <c r="L856" s="2" t="s">
        <v>5931</v>
      </c>
      <c r="N856" s="1" t="s">
        <v>7351</v>
      </c>
    </row>
    <row r="857" spans="1:14" ht="72.5" x14ac:dyDescent="0.35">
      <c r="A857" s="121" t="s">
        <v>3786</v>
      </c>
      <c r="B857" s="99" t="s">
        <v>4872</v>
      </c>
      <c r="C857" s="121" t="str" cm="1">
        <f t="array" ref="C857:F857">_xlfn.TEXTSPLIT('איחוד שאלות'!$B857,"_")</f>
        <v>perception</v>
      </c>
      <c r="D857" s="99" t="str">
        <v>voting</v>
      </c>
      <c r="E857" s="99" t="str">
        <v>saliency</v>
      </c>
      <c r="F857" s="99" t="str">
        <v>immintegration</v>
      </c>
      <c r="G857" s="100"/>
      <c r="H857" s="136" t="s">
        <v>3803</v>
      </c>
      <c r="I857" s="2" t="s">
        <v>5844</v>
      </c>
      <c r="J857" s="2" t="s">
        <v>5967</v>
      </c>
      <c r="K857" s="2" t="s">
        <v>6139</v>
      </c>
      <c r="L857" s="2" t="s">
        <v>6327</v>
      </c>
      <c r="N857" s="1" t="s">
        <v>7352</v>
      </c>
    </row>
    <row r="858" spans="1:14" ht="58" x14ac:dyDescent="0.35">
      <c r="A858" s="113" t="s">
        <v>3787</v>
      </c>
      <c r="B858" s="102" t="s">
        <v>4873</v>
      </c>
      <c r="C858" s="123" t="str" cm="1">
        <f t="array" ref="C858:F858">_xlfn.TEXTSPLIT('איחוד שאלות'!$B858,"_")</f>
        <v>perception</v>
      </c>
      <c r="D858" s="102" t="str">
        <v>voting</v>
      </c>
      <c r="E858" s="102" t="str">
        <v>saliency</v>
      </c>
      <c r="F858" s="102" t="str">
        <v>unemployment</v>
      </c>
      <c r="G858" s="103"/>
      <c r="H858" s="135" t="s">
        <v>3803</v>
      </c>
      <c r="I858" s="2" t="s">
        <v>5844</v>
      </c>
      <c r="J858" s="2" t="s">
        <v>5967</v>
      </c>
      <c r="K858" s="2" t="s">
        <v>6139</v>
      </c>
      <c r="L858" s="2" t="s">
        <v>6328</v>
      </c>
      <c r="N858" s="1" t="s">
        <v>7353</v>
      </c>
    </row>
    <row r="859" spans="1:14" ht="87" x14ac:dyDescent="0.35">
      <c r="A859" s="121" t="s">
        <v>3788</v>
      </c>
      <c r="B859" s="99" t="s">
        <v>4783</v>
      </c>
      <c r="C859" s="121" t="str" cm="1">
        <f t="array" ref="C859:F859">_xlfn.TEXTSPLIT('איחוד שאלות'!$B859,"_")</f>
        <v>perception</v>
      </c>
      <c r="D859" s="99" t="str">
        <v>voting</v>
      </c>
      <c r="E859" s="99" t="str">
        <v>saliency</v>
      </c>
      <c r="F859" s="99" t="str">
        <v>corruption</v>
      </c>
      <c r="G859" s="100"/>
      <c r="H859" s="136" t="s">
        <v>3803</v>
      </c>
      <c r="I859" s="2" t="s">
        <v>5844</v>
      </c>
      <c r="J859" s="2" t="s">
        <v>5967</v>
      </c>
      <c r="K859" s="2" t="s">
        <v>6139</v>
      </c>
      <c r="L859" s="2" t="s">
        <v>6029</v>
      </c>
      <c r="N859" s="1" t="s">
        <v>7354</v>
      </c>
    </row>
    <row r="860" spans="1:14" ht="58" x14ac:dyDescent="0.35">
      <c r="A860" s="113" t="s">
        <v>3789</v>
      </c>
      <c r="B860" s="102" t="s">
        <v>4874</v>
      </c>
      <c r="C860" s="123" t="str" cm="1">
        <f t="array" ref="C860:F860">_xlfn.TEXTSPLIT('איחוד שאלות'!$B860,"_")</f>
        <v>perception</v>
      </c>
      <c r="D860" s="102" t="str">
        <v>voting</v>
      </c>
      <c r="E860" s="102" t="str">
        <v>saliency</v>
      </c>
      <c r="F860" s="102" t="str">
        <v>intifada</v>
      </c>
      <c r="G860" s="103"/>
      <c r="H860" s="135" t="s">
        <v>3803</v>
      </c>
      <c r="I860" s="2" t="s">
        <v>5844</v>
      </c>
      <c r="J860" s="2" t="s">
        <v>5967</v>
      </c>
      <c r="K860" s="2" t="s">
        <v>6139</v>
      </c>
      <c r="L860" s="2" t="s">
        <v>6129</v>
      </c>
      <c r="N860" s="1" t="s">
        <v>7355</v>
      </c>
    </row>
    <row r="861" spans="1:14" ht="72.5" x14ac:dyDescent="0.35">
      <c r="A861" s="121" t="s">
        <v>3790</v>
      </c>
      <c r="B861" s="99" t="s">
        <v>4781</v>
      </c>
      <c r="C861" s="121" t="str" cm="1">
        <f t="array" ref="C861:F861">_xlfn.TEXTSPLIT('איחוד שאלות'!$B861,"_")</f>
        <v>perception</v>
      </c>
      <c r="D861" s="99" t="str">
        <v>voting</v>
      </c>
      <c r="E861" s="99" t="str">
        <v>saliency</v>
      </c>
      <c r="F861" s="99" t="str">
        <v>peaceprocess</v>
      </c>
      <c r="G861" s="100"/>
      <c r="H861" s="136" t="s">
        <v>3803</v>
      </c>
      <c r="I861" s="2" t="s">
        <v>5844</v>
      </c>
      <c r="J861" s="2" t="s">
        <v>5967</v>
      </c>
      <c r="K861" s="2" t="s">
        <v>6139</v>
      </c>
      <c r="L861" s="2" t="s">
        <v>5874</v>
      </c>
      <c r="N861" s="1" t="s">
        <v>7356</v>
      </c>
    </row>
    <row r="862" spans="1:14" ht="87" x14ac:dyDescent="0.35">
      <c r="A862" s="113" t="s">
        <v>3791</v>
      </c>
      <c r="B862" s="102" t="s">
        <v>4875</v>
      </c>
      <c r="C862" s="123" t="str" cm="1">
        <f t="array" ref="C862:F862">_xlfn.TEXTSPLIT('איחוד שאלות'!$B862,"_")</f>
        <v>perception</v>
      </c>
      <c r="D862" s="102" t="str">
        <v>voting</v>
      </c>
      <c r="E862" s="102" t="str">
        <v>saliency</v>
      </c>
      <c r="F862" s="102" t="str">
        <v>peaceprocessgovpolicy</v>
      </c>
      <c r="G862" s="103"/>
      <c r="H862" s="135" t="s">
        <v>3803</v>
      </c>
      <c r="I862" s="2" t="s">
        <v>5844</v>
      </c>
      <c r="J862" s="2" t="s">
        <v>5967</v>
      </c>
      <c r="K862" s="2" t="s">
        <v>6139</v>
      </c>
      <c r="L862" s="2" t="s">
        <v>6329</v>
      </c>
      <c r="N862" s="1" t="s">
        <v>7357</v>
      </c>
    </row>
    <row r="863" spans="1:14" ht="72.5" x14ac:dyDescent="0.35">
      <c r="A863" s="121" t="s">
        <v>3792</v>
      </c>
      <c r="B863" s="99" t="s">
        <v>4876</v>
      </c>
      <c r="C863" s="121" t="str" cm="1">
        <f t="array" ref="C863:F863">_xlfn.TEXTSPLIT('איחוד שאלות'!$B863,"_")</f>
        <v>perception</v>
      </c>
      <c r="D863" s="99" t="str">
        <v>voting</v>
      </c>
      <c r="E863" s="99" t="str">
        <v>saliency</v>
      </c>
      <c r="F863" s="99" t="str">
        <v>religioncleavage</v>
      </c>
      <c r="G863" s="100"/>
      <c r="H863" s="136" t="s">
        <v>3803</v>
      </c>
      <c r="I863" s="2" t="s">
        <v>5844</v>
      </c>
      <c r="J863" s="2" t="s">
        <v>5967</v>
      </c>
      <c r="K863" s="2" t="s">
        <v>6139</v>
      </c>
      <c r="L863" s="2" t="s">
        <v>6191</v>
      </c>
      <c r="N863" s="1" t="s">
        <v>7358</v>
      </c>
    </row>
    <row r="864" spans="1:14" ht="87" x14ac:dyDescent="0.35">
      <c r="A864" s="113" t="s">
        <v>3793</v>
      </c>
      <c r="B864" s="102" t="s">
        <v>4877</v>
      </c>
      <c r="C864" s="123" t="str" cm="1">
        <f t="array" ref="C864:F864">_xlfn.TEXTSPLIT('איחוד שאלות'!$B864,"_")</f>
        <v>perception</v>
      </c>
      <c r="D864" s="102" t="str">
        <v>voting</v>
      </c>
      <c r="E864" s="102" t="str">
        <v>saliency</v>
      </c>
      <c r="F864" s="102" t="str">
        <v>likudsettlementpolicy</v>
      </c>
      <c r="G864" s="103"/>
      <c r="H864" s="135" t="s">
        <v>3803</v>
      </c>
      <c r="I864" s="2" t="s">
        <v>5844</v>
      </c>
      <c r="J864" s="2" t="s">
        <v>5967</v>
      </c>
      <c r="K864" s="2" t="s">
        <v>6139</v>
      </c>
      <c r="L864" s="2" t="s">
        <v>6330</v>
      </c>
      <c r="N864" s="1" t="s">
        <v>7359</v>
      </c>
    </row>
    <row r="865" spans="1:14" ht="72.5" x14ac:dyDescent="0.35">
      <c r="A865" s="121" t="s">
        <v>3794</v>
      </c>
      <c r="B865" s="99" t="s">
        <v>4878</v>
      </c>
      <c r="C865" s="121" t="str" cm="1">
        <f t="array" ref="C865:F865">_xlfn.TEXTSPLIT('איחוד שאלות'!$B865,"_")</f>
        <v>perception</v>
      </c>
      <c r="D865" s="99" t="str">
        <v>voting</v>
      </c>
      <c r="E865" s="99" t="str">
        <v>saliency</v>
      </c>
      <c r="F865" s="99" t="str">
        <v>personalcondition</v>
      </c>
      <c r="G865" s="100"/>
      <c r="H865" s="136" t="s">
        <v>3803</v>
      </c>
      <c r="I865" s="2" t="s">
        <v>5844</v>
      </c>
      <c r="J865" s="2" t="s">
        <v>5967</v>
      </c>
      <c r="K865" s="2" t="s">
        <v>6139</v>
      </c>
      <c r="L865" s="2" t="s">
        <v>6331</v>
      </c>
      <c r="N865" s="1" t="s">
        <v>7360</v>
      </c>
    </row>
    <row r="866" spans="1:14" ht="43.5" x14ac:dyDescent="0.35">
      <c r="A866" s="113" t="s">
        <v>1924</v>
      </c>
      <c r="B866" s="102" t="s">
        <v>4879</v>
      </c>
      <c r="C866" s="123" t="str" cm="1">
        <f t="array" ref="C866:F866">_xlfn.TEXTSPLIT('איחוד שאלות'!$B866,"_")</f>
        <v>behavior</v>
      </c>
      <c r="D866" s="102" t="str">
        <v>voting</v>
      </c>
      <c r="E866" s="102" t="str">
        <v>firstelection</v>
      </c>
      <c r="F866" s="102" t="str">
        <v>year</v>
      </c>
      <c r="G866" s="103"/>
      <c r="H866" s="135" t="s">
        <v>3803</v>
      </c>
      <c r="I866" s="2" t="s">
        <v>5806</v>
      </c>
      <c r="J866" s="2" t="s">
        <v>5967</v>
      </c>
      <c r="K866" s="2" t="s">
        <v>6332</v>
      </c>
      <c r="L866" s="2" t="s">
        <v>5782</v>
      </c>
      <c r="N866" s="1" t="s">
        <v>1924</v>
      </c>
    </row>
    <row r="867" spans="1:14" ht="72.5" x14ac:dyDescent="0.35">
      <c r="A867" s="121" t="s">
        <v>1925</v>
      </c>
      <c r="B867" s="99" t="s">
        <v>4880</v>
      </c>
      <c r="C867" s="121" t="str" cm="1">
        <f t="array" ref="C867:F867">_xlfn.TEXTSPLIT('איחוד שאלות'!$B867,"_")</f>
        <v>behavior</v>
      </c>
      <c r="D867" s="99" t="str">
        <v>voting</v>
      </c>
      <c r="E867" s="99" t="str">
        <v>firstelection</v>
      </c>
      <c r="F867" s="99" t="str">
        <v>party</v>
      </c>
      <c r="G867" s="100"/>
      <c r="H867" s="136" t="s">
        <v>3803</v>
      </c>
      <c r="I867" s="2" t="s">
        <v>5806</v>
      </c>
      <c r="J867" s="2" t="s">
        <v>5967</v>
      </c>
      <c r="K867" s="2" t="s">
        <v>6332</v>
      </c>
      <c r="L867" s="2" t="s">
        <v>5853</v>
      </c>
      <c r="N867" s="1" t="s">
        <v>1925</v>
      </c>
    </row>
    <row r="868" spans="1:14" ht="43.5" x14ac:dyDescent="0.35">
      <c r="A868" s="113" t="s">
        <v>1926</v>
      </c>
      <c r="B868" s="102" t="s">
        <v>4881</v>
      </c>
      <c r="C868" s="123" t="str" cm="1">
        <f t="array" ref="C868:G868">_xlfn.TEXTSPLIT('איחוד שאלות'!$B868,"_")</f>
        <v>demography</v>
      </c>
      <c r="D868" s="102" t="str">
        <v>household</v>
      </c>
      <c r="E868" s="102" t="str">
        <v>voting</v>
      </c>
      <c r="F868" s="102" t="str">
        <v>lastelections</v>
      </c>
      <c r="G868" s="103" t="str">
        <v>father</v>
      </c>
      <c r="H868" s="135" t="s">
        <v>3803</v>
      </c>
      <c r="I868" s="2" t="s">
        <v>5765</v>
      </c>
      <c r="J868" s="2" t="s">
        <v>5795</v>
      </c>
      <c r="K868" s="2" t="s">
        <v>5967</v>
      </c>
      <c r="L868" s="2" t="s">
        <v>5840</v>
      </c>
      <c r="M868" s="2" t="s">
        <v>5779</v>
      </c>
      <c r="N868" s="1" t="s">
        <v>1926</v>
      </c>
    </row>
    <row r="869" spans="1:14" ht="58" x14ac:dyDescent="0.35">
      <c r="A869" s="121" t="s">
        <v>1927</v>
      </c>
      <c r="B869" s="99" t="s">
        <v>4882</v>
      </c>
      <c r="C869" s="121" t="str" cm="1">
        <f t="array" ref="C869:G869">_xlfn.TEXTSPLIT('איחוד שאלות'!$B869,"_")</f>
        <v>demography</v>
      </c>
      <c r="D869" s="99" t="str">
        <v>household</v>
      </c>
      <c r="E869" s="99" t="str">
        <v>voting</v>
      </c>
      <c r="F869" s="99" t="str">
        <v>lastelections</v>
      </c>
      <c r="G869" s="100" t="str">
        <v>mother</v>
      </c>
      <c r="H869" s="136" t="s">
        <v>3803</v>
      </c>
      <c r="I869" s="2" t="s">
        <v>5765</v>
      </c>
      <c r="J869" s="2" t="s">
        <v>5795</v>
      </c>
      <c r="K869" s="2" t="s">
        <v>5967</v>
      </c>
      <c r="L869" s="2" t="s">
        <v>5840</v>
      </c>
      <c r="M869" s="2" t="s">
        <v>5780</v>
      </c>
      <c r="N869" s="1" t="s">
        <v>1927</v>
      </c>
    </row>
    <row r="870" spans="1:14" ht="43.5" x14ac:dyDescent="0.35">
      <c r="A870" s="113" t="s">
        <v>1561</v>
      </c>
      <c r="B870" s="102" t="s">
        <v>4883</v>
      </c>
      <c r="C870" s="123" t="str" cm="1">
        <f t="array" ref="C870:F870">_xlfn.TEXTSPLIT('איחוד שאלות'!$B870,"_")</f>
        <v>demography</v>
      </c>
      <c r="D870" s="102" t="str">
        <v>household</v>
      </c>
      <c r="E870" s="102" t="str">
        <v>voting</v>
      </c>
      <c r="F870" s="102" t="str">
        <v>similarity</v>
      </c>
      <c r="G870" s="103"/>
      <c r="H870" s="135" t="s">
        <v>3803</v>
      </c>
      <c r="I870" s="2" t="s">
        <v>5765</v>
      </c>
      <c r="J870" s="2" t="s">
        <v>5795</v>
      </c>
      <c r="K870" s="2" t="s">
        <v>5967</v>
      </c>
      <c r="L870" s="2" t="s">
        <v>5927</v>
      </c>
      <c r="N870" s="1" t="s">
        <v>1561</v>
      </c>
    </row>
    <row r="871" spans="1:14" ht="43.5" x14ac:dyDescent="0.35">
      <c r="A871" s="121" t="s">
        <v>2246</v>
      </c>
      <c r="B871" s="99" t="s">
        <v>4884</v>
      </c>
      <c r="C871" s="121" t="str" cm="1">
        <f t="array" ref="C871:G871">_xlfn.TEXTSPLIT('איחוד שאלות'!$B871,"_")</f>
        <v>demography</v>
      </c>
      <c r="D871" s="99" t="str">
        <v>association</v>
      </c>
      <c r="E871" s="99" t="str">
        <v>voting</v>
      </c>
      <c r="F871" s="99" t="str">
        <v>similarity</v>
      </c>
      <c r="G871" s="100" t="str">
        <v>friends</v>
      </c>
      <c r="H871" s="136" t="s">
        <v>3803</v>
      </c>
      <c r="I871" s="2" t="s">
        <v>5765</v>
      </c>
      <c r="J871" s="2" t="s">
        <v>5834</v>
      </c>
      <c r="K871" s="2" t="s">
        <v>5967</v>
      </c>
      <c r="L871" s="2" t="s">
        <v>5927</v>
      </c>
      <c r="M871" s="2" t="s">
        <v>5787</v>
      </c>
      <c r="N871" s="1" t="s">
        <v>2246</v>
      </c>
    </row>
    <row r="872" spans="1:14" ht="43.5" x14ac:dyDescent="0.35">
      <c r="A872" s="113" t="s">
        <v>2247</v>
      </c>
      <c r="B872" s="102" t="s">
        <v>4885</v>
      </c>
      <c r="C872" s="123" t="str" cm="1">
        <f t="array" ref="C872:G872">_xlfn.TEXTSPLIT('איחוד שאלות'!$B872,"_")</f>
        <v>demography</v>
      </c>
      <c r="D872" s="102" t="str">
        <v>association</v>
      </c>
      <c r="E872" s="102" t="str">
        <v>voting</v>
      </c>
      <c r="F872" s="102" t="str">
        <v>similarity</v>
      </c>
      <c r="G872" s="103" t="str">
        <v>coworkers</v>
      </c>
      <c r="H872" s="135" t="s">
        <v>3803</v>
      </c>
      <c r="I872" s="2" t="s">
        <v>5765</v>
      </c>
      <c r="J872" s="2" t="s">
        <v>5834</v>
      </c>
      <c r="K872" s="2" t="s">
        <v>5967</v>
      </c>
      <c r="L872" s="2" t="s">
        <v>5927</v>
      </c>
      <c r="M872" s="2" t="s">
        <v>6333</v>
      </c>
      <c r="N872" s="1" t="s">
        <v>2247</v>
      </c>
    </row>
    <row r="873" spans="1:14" ht="43.5" x14ac:dyDescent="0.35">
      <c r="A873" s="121" t="s">
        <v>3034</v>
      </c>
      <c r="B873" s="99" t="s">
        <v>4886</v>
      </c>
      <c r="C873" s="121" t="str" cm="1">
        <f t="array" ref="C873:G873">_xlfn.TEXTSPLIT('איחוד שאלות'!$B873,"_")</f>
        <v>demography</v>
      </c>
      <c r="D873" s="99" t="str">
        <v>association</v>
      </c>
      <c r="E873" s="99" t="str">
        <v>voting</v>
      </c>
      <c r="F873" s="99" t="str">
        <v>similarity</v>
      </c>
      <c r="G873" s="100" t="str">
        <v>boss</v>
      </c>
      <c r="H873" s="136" t="s">
        <v>3803</v>
      </c>
      <c r="I873" s="2" t="s">
        <v>5765</v>
      </c>
      <c r="J873" s="2" t="s">
        <v>5834</v>
      </c>
      <c r="K873" s="2" t="s">
        <v>5967</v>
      </c>
      <c r="L873" s="2" t="s">
        <v>5927</v>
      </c>
      <c r="M873" s="2" t="s">
        <v>6334</v>
      </c>
      <c r="N873" s="1" t="s">
        <v>3034</v>
      </c>
    </row>
    <row r="874" spans="1:14" ht="43.5" x14ac:dyDescent="0.35">
      <c r="A874" s="113" t="s">
        <v>2763</v>
      </c>
      <c r="B874" s="102" t="s">
        <v>4887</v>
      </c>
      <c r="C874" s="123" t="str" cm="1">
        <f t="array" ref="C874:G874">_xlfn.TEXTSPLIT('איחוד שאלות'!$B874,"_")</f>
        <v>demography</v>
      </c>
      <c r="D874" s="102" t="str">
        <v>household</v>
      </c>
      <c r="E874" s="102" t="str">
        <v>voting</v>
      </c>
      <c r="F874" s="102" t="str">
        <v>similarity</v>
      </c>
      <c r="G874" s="103" t="str">
        <v>partner</v>
      </c>
      <c r="H874" s="135" t="s">
        <v>3803</v>
      </c>
      <c r="I874" s="2" t="s">
        <v>5765</v>
      </c>
      <c r="J874" s="2" t="s">
        <v>5795</v>
      </c>
      <c r="K874" s="2" t="s">
        <v>5967</v>
      </c>
      <c r="L874" s="2" t="s">
        <v>5927</v>
      </c>
      <c r="M874" s="2" t="s">
        <v>5772</v>
      </c>
      <c r="N874" s="1" t="s">
        <v>2763</v>
      </c>
    </row>
    <row r="875" spans="1:14" ht="58" x14ac:dyDescent="0.35">
      <c r="A875" s="121" t="s">
        <v>1928</v>
      </c>
      <c r="B875" s="99" t="s">
        <v>4888</v>
      </c>
      <c r="C875" s="121" t="str" cm="1">
        <f t="array" ref="C875:G875">_xlfn.TEXTSPLIT('איחוד שאלות'!$B875,"_")</f>
        <v>demography</v>
      </c>
      <c r="D875" s="99" t="str">
        <v>household</v>
      </c>
      <c r="E875" s="99" t="str">
        <v>voting</v>
      </c>
      <c r="F875" s="99" t="str">
        <v>lastelections</v>
      </c>
      <c r="G875" s="100" t="str">
        <v>partner</v>
      </c>
      <c r="H875" s="136" t="s">
        <v>3803</v>
      </c>
      <c r="I875" s="2" t="s">
        <v>5765</v>
      </c>
      <c r="J875" s="2" t="s">
        <v>5795</v>
      </c>
      <c r="K875" s="2" t="s">
        <v>5967</v>
      </c>
      <c r="L875" s="2" t="s">
        <v>5840</v>
      </c>
      <c r="M875" s="2" t="s">
        <v>5772</v>
      </c>
      <c r="N875" s="1" t="s">
        <v>1928</v>
      </c>
    </row>
    <row r="876" spans="1:14" ht="58" x14ac:dyDescent="0.35">
      <c r="A876" s="113" t="s">
        <v>1929</v>
      </c>
      <c r="B876" s="102" t="s">
        <v>4889</v>
      </c>
      <c r="C876" s="123" t="str" cm="1">
        <f t="array" ref="C876:F876">_xlfn.TEXTSPLIT('איחוד שאלות'!$B876,"_")</f>
        <v>perception</v>
      </c>
      <c r="D876" s="102" t="str">
        <v>voting</v>
      </c>
      <c r="E876" s="102" t="str">
        <v>influence</v>
      </c>
      <c r="F876" s="102" t="str">
        <v>family</v>
      </c>
      <c r="G876" s="103"/>
      <c r="H876" s="135" t="s">
        <v>3803</v>
      </c>
      <c r="I876" s="2" t="s">
        <v>5844</v>
      </c>
      <c r="J876" s="2" t="s">
        <v>5967</v>
      </c>
      <c r="K876" s="2" t="s">
        <v>5968</v>
      </c>
      <c r="L876" s="2" t="s">
        <v>5939</v>
      </c>
      <c r="N876" s="1" t="s">
        <v>1929</v>
      </c>
    </row>
    <row r="877" spans="1:14" ht="58" x14ac:dyDescent="0.35">
      <c r="A877" s="121" t="s">
        <v>1930</v>
      </c>
      <c r="B877" s="99" t="s">
        <v>4890</v>
      </c>
      <c r="C877" s="121" t="str" cm="1">
        <f t="array" ref="C877:F877">_xlfn.TEXTSPLIT('איחוד שאלות'!$B877,"_")</f>
        <v>perception</v>
      </c>
      <c r="D877" s="99" t="str">
        <v>voting</v>
      </c>
      <c r="E877" s="99" t="str">
        <v>influence</v>
      </c>
      <c r="F877" s="99" t="str">
        <v>familymember</v>
      </c>
      <c r="G877" s="100"/>
      <c r="H877" s="136" t="s">
        <v>3803</v>
      </c>
      <c r="I877" s="2" t="s">
        <v>5844</v>
      </c>
      <c r="J877" s="2" t="s">
        <v>5967</v>
      </c>
      <c r="K877" s="2" t="s">
        <v>5968</v>
      </c>
      <c r="L877" s="2" t="s">
        <v>6335</v>
      </c>
      <c r="N877" s="1" t="s">
        <v>1930</v>
      </c>
    </row>
    <row r="878" spans="1:14" ht="72.5" x14ac:dyDescent="0.35">
      <c r="A878" s="113" t="s">
        <v>1931</v>
      </c>
      <c r="B878" s="102" t="s">
        <v>4891</v>
      </c>
      <c r="C878" s="123" t="str" cm="1">
        <f t="array" ref="C878:F878">_xlfn.TEXTSPLIT('איחוד שאלות'!$B878,"_")</f>
        <v>perception</v>
      </c>
      <c r="D878" s="102" t="str">
        <v>voting</v>
      </c>
      <c r="E878" s="102" t="str">
        <v>influence</v>
      </c>
      <c r="F878" s="102" t="str">
        <v>group</v>
      </c>
      <c r="G878" s="103"/>
      <c r="H878" s="135" t="s">
        <v>3803</v>
      </c>
      <c r="I878" s="2" t="s">
        <v>5844</v>
      </c>
      <c r="J878" s="2" t="s">
        <v>5967</v>
      </c>
      <c r="K878" s="2" t="s">
        <v>5968</v>
      </c>
      <c r="L878" s="2" t="s">
        <v>5769</v>
      </c>
      <c r="N878" s="1" t="s">
        <v>1931</v>
      </c>
    </row>
    <row r="879" spans="1:14" ht="72.5" x14ac:dyDescent="0.35">
      <c r="A879" s="121" t="s">
        <v>1932</v>
      </c>
      <c r="B879" s="99" t="s">
        <v>4892</v>
      </c>
      <c r="C879" s="121" t="str" cm="1">
        <f t="array" ref="C879:F879">_xlfn.TEXTSPLIT('איחוד שאלות'!$B879,"_")</f>
        <v>perception</v>
      </c>
      <c r="D879" s="99" t="str">
        <v>importance</v>
      </c>
      <c r="E879" s="99" t="str">
        <v>similarity</v>
      </c>
      <c r="F879" s="99" t="str">
        <v>family</v>
      </c>
      <c r="G879" s="100"/>
      <c r="H879" s="136" t="s">
        <v>3803</v>
      </c>
      <c r="I879" s="2" t="s">
        <v>5844</v>
      </c>
      <c r="J879" s="2" t="s">
        <v>5857</v>
      </c>
      <c r="K879" s="2" t="s">
        <v>5927</v>
      </c>
      <c r="L879" s="2" t="s">
        <v>5939</v>
      </c>
      <c r="N879" s="1" t="s">
        <v>1932</v>
      </c>
    </row>
    <row r="880" spans="1:14" ht="101.5" x14ac:dyDescent="0.35">
      <c r="A880" s="113" t="s">
        <v>3795</v>
      </c>
      <c r="B880" s="102" t="s">
        <v>4061</v>
      </c>
      <c r="C880" s="123" t="str" cm="1">
        <f t="array" ref="C880">_xlfn.TEXTSPLIT('איחוד שאלות'!$B880,"_")</f>
        <v>XXX</v>
      </c>
      <c r="D880" s="102"/>
      <c r="E880" s="102"/>
      <c r="F880" s="102"/>
      <c r="G880" s="103"/>
      <c r="H880" s="135" t="s">
        <v>3803</v>
      </c>
      <c r="I880" s="2" t="s">
        <v>4061</v>
      </c>
      <c r="N880" s="1" t="s">
        <v>7361</v>
      </c>
    </row>
    <row r="881" spans="1:14" ht="58" x14ac:dyDescent="0.35">
      <c r="A881" s="121" t="s">
        <v>2177</v>
      </c>
      <c r="B881" s="99" t="s">
        <v>4893</v>
      </c>
      <c r="C881" s="121" t="str" cm="1">
        <f t="array" ref="C881:F881">_xlfn.TEXTSPLIT('איחוד שאלות'!$B881,"_")</f>
        <v>demography</v>
      </c>
      <c r="D881" s="99" t="str">
        <v>household</v>
      </c>
      <c r="E881" s="99" t="str">
        <v>voting</v>
      </c>
      <c r="F881" s="99" t="str">
        <v>father</v>
      </c>
      <c r="G881" s="100"/>
      <c r="H881" s="136" t="s">
        <v>3803</v>
      </c>
      <c r="I881" s="2" t="s">
        <v>5765</v>
      </c>
      <c r="J881" s="2" t="s">
        <v>5795</v>
      </c>
      <c r="K881" s="2" t="s">
        <v>5967</v>
      </c>
      <c r="L881" s="2" t="s">
        <v>5779</v>
      </c>
      <c r="N881" s="1" t="s">
        <v>2177</v>
      </c>
    </row>
    <row r="882" spans="1:14" ht="58" x14ac:dyDescent="0.35">
      <c r="A882" s="113" t="s">
        <v>2180</v>
      </c>
      <c r="B882" s="102" t="s">
        <v>4894</v>
      </c>
      <c r="C882" s="123" t="str" cm="1">
        <f t="array" ref="C882:F882">_xlfn.TEXTSPLIT('איחוד שאלות'!$B882,"_")</f>
        <v>demography</v>
      </c>
      <c r="D882" s="102" t="str">
        <v>household</v>
      </c>
      <c r="E882" s="102" t="str">
        <v>voting</v>
      </c>
      <c r="F882" s="102" t="str">
        <v>mother</v>
      </c>
      <c r="G882" s="103"/>
      <c r="H882" s="135" t="s">
        <v>3803</v>
      </c>
      <c r="I882" s="2" t="s">
        <v>5765</v>
      </c>
      <c r="J882" s="2" t="s">
        <v>5795</v>
      </c>
      <c r="K882" s="2" t="s">
        <v>5967</v>
      </c>
      <c r="L882" s="2" t="s">
        <v>5780</v>
      </c>
      <c r="N882" s="1" t="s">
        <v>2180</v>
      </c>
    </row>
    <row r="883" spans="1:14" ht="87" x14ac:dyDescent="0.35">
      <c r="A883" s="121" t="s">
        <v>2241</v>
      </c>
      <c r="B883" s="99" t="s">
        <v>4895</v>
      </c>
      <c r="C883" s="121" t="str" cm="1">
        <f t="array" ref="C883:F883">_xlfn.TEXTSPLIT('איחוד שאלות'!$B883,"_")</f>
        <v>perception</v>
      </c>
      <c r="D883" s="99" t="str">
        <v>voting</v>
      </c>
      <c r="E883" s="99" t="str">
        <v>saliency</v>
      </c>
      <c r="F883" s="99" t="str">
        <v>inflation</v>
      </c>
      <c r="G883" s="100"/>
      <c r="H883" s="136" t="s">
        <v>3803</v>
      </c>
      <c r="I883" s="2" t="s">
        <v>5844</v>
      </c>
      <c r="J883" s="2" t="s">
        <v>5967</v>
      </c>
      <c r="K883" s="2" t="s">
        <v>6139</v>
      </c>
      <c r="L883" s="2" t="s">
        <v>6336</v>
      </c>
      <c r="N883" s="1" t="s">
        <v>2241</v>
      </c>
    </row>
    <row r="884" spans="1:14" ht="58" x14ac:dyDescent="0.35">
      <c r="A884" s="113" t="s">
        <v>2293</v>
      </c>
      <c r="B884" s="102" t="s">
        <v>4896</v>
      </c>
      <c r="C884" s="123" t="str" cm="1">
        <f t="array" ref="C884:G884">_xlfn.TEXTSPLIT('איחוד שאלות'!$B884,"_")</f>
        <v>perception</v>
      </c>
      <c r="D884" s="102" t="str">
        <v>behavior</v>
      </c>
      <c r="E884" s="102" t="str">
        <v>voting</v>
      </c>
      <c r="F884" s="102" t="str">
        <v>decision</v>
      </c>
      <c r="G884" s="103" t="str">
        <v>certainty</v>
      </c>
      <c r="H884" s="135" t="s">
        <v>3803</v>
      </c>
      <c r="I884" s="2" t="s">
        <v>5844</v>
      </c>
      <c r="J884" s="2" t="s">
        <v>5806</v>
      </c>
      <c r="K884" s="2" t="s">
        <v>5967</v>
      </c>
      <c r="L884" s="2" t="s">
        <v>5928</v>
      </c>
      <c r="M884" s="2" t="s">
        <v>6337</v>
      </c>
      <c r="N884" s="1" t="s">
        <v>2293</v>
      </c>
    </row>
    <row r="885" spans="1:14" ht="58" x14ac:dyDescent="0.35">
      <c r="A885" s="121" t="s">
        <v>2294</v>
      </c>
      <c r="B885" s="99" t="s">
        <v>4897</v>
      </c>
      <c r="C885" s="121" t="str" cm="1">
        <f t="array" ref="C885:F885">_xlfn.TEXTSPLIT('איחוד שאלות'!$B885,"_")</f>
        <v>behavior</v>
      </c>
      <c r="D885" s="99" t="str">
        <v>voting</v>
      </c>
      <c r="E885" s="99" t="str">
        <v>today</v>
      </c>
      <c r="F885" s="99" t="str">
        <v>2</v>
      </c>
      <c r="G885" s="100"/>
      <c r="H885" s="136" t="s">
        <v>3803</v>
      </c>
      <c r="I885" s="2" t="s">
        <v>5806</v>
      </c>
      <c r="J885" s="2" t="s">
        <v>5967</v>
      </c>
      <c r="K885" s="2" t="s">
        <v>6288</v>
      </c>
      <c r="L885" s="2" t="s">
        <v>5790</v>
      </c>
      <c r="N885" s="1" t="s">
        <v>2294</v>
      </c>
    </row>
    <row r="886" spans="1:14" ht="72.5" x14ac:dyDescent="0.35">
      <c r="A886" s="113" t="s">
        <v>2312</v>
      </c>
      <c r="B886" s="102" t="s">
        <v>4898</v>
      </c>
      <c r="C886" s="123" t="str" cm="1">
        <f t="array" ref="C886:F886">_xlfn.TEXTSPLIT('איחוד שאלות'!$B886,"_")</f>
        <v>perception</v>
      </c>
      <c r="D886" s="102" t="str">
        <v>voting</v>
      </c>
      <c r="E886" s="102" t="str">
        <v>saliency</v>
      </c>
      <c r="F886" s="102" t="str">
        <v>aridorplan</v>
      </c>
      <c r="G886" s="103"/>
      <c r="H886" s="135" t="s">
        <v>3803</v>
      </c>
      <c r="I886" s="2" t="s">
        <v>5844</v>
      </c>
      <c r="J886" s="2" t="s">
        <v>5967</v>
      </c>
      <c r="K886" s="2" t="s">
        <v>6139</v>
      </c>
      <c r="L886" s="2" t="s">
        <v>6338</v>
      </c>
      <c r="N886" s="1" t="s">
        <v>2312</v>
      </c>
    </row>
    <row r="887" spans="1:14" ht="87" x14ac:dyDescent="0.35">
      <c r="A887" s="121" t="s">
        <v>2475</v>
      </c>
      <c r="B887" s="99" t="s">
        <v>4899</v>
      </c>
      <c r="C887" s="121" t="str" cm="1">
        <f t="array" ref="C887:G887">_xlfn.TEXTSPLIT('איחוד שאלות'!$B887,"_")</f>
        <v>perception</v>
      </c>
      <c r="D887" s="99" t="str">
        <v>public</v>
      </c>
      <c r="E887" s="99" t="str">
        <v>voting</v>
      </c>
      <c r="F887" s="99" t="str">
        <v>influence</v>
      </c>
      <c r="G887" s="100" t="str">
        <v>aridorplan</v>
      </c>
      <c r="H887" s="136" t="s">
        <v>3803</v>
      </c>
      <c r="I887" s="2" t="s">
        <v>5844</v>
      </c>
      <c r="J887" s="2" t="s">
        <v>5912</v>
      </c>
      <c r="K887" s="2" t="s">
        <v>5967</v>
      </c>
      <c r="L887" s="2" t="s">
        <v>5968</v>
      </c>
      <c r="M887" s="2" t="s">
        <v>6338</v>
      </c>
      <c r="N887" s="1" t="s">
        <v>2475</v>
      </c>
    </row>
    <row r="888" spans="1:14" ht="72.5" x14ac:dyDescent="0.35">
      <c r="A888" s="113" t="s">
        <v>2344</v>
      </c>
      <c r="B888" s="102" t="s">
        <v>4900</v>
      </c>
      <c r="C888" s="123" t="str" cm="1">
        <f t="array" ref="C888:F888">_xlfn.TEXTSPLIT('איחוד שאלות'!$B888,"_")</f>
        <v>behavior</v>
      </c>
      <c r="D888" s="102" t="str">
        <v>voting</v>
      </c>
      <c r="E888" s="102" t="str">
        <v>intention</v>
      </c>
      <c r="F888" s="102" t="str">
        <v>vacation</v>
      </c>
      <c r="G888" s="103"/>
      <c r="H888" s="135" t="s">
        <v>3803</v>
      </c>
      <c r="I888" s="2" t="s">
        <v>5806</v>
      </c>
      <c r="J888" s="2" t="s">
        <v>5967</v>
      </c>
      <c r="K888" s="2" t="s">
        <v>6304</v>
      </c>
      <c r="L888" s="2" t="s">
        <v>6339</v>
      </c>
      <c r="N888" s="1" t="s">
        <v>2344</v>
      </c>
    </row>
    <row r="889" spans="1:14" ht="58" x14ac:dyDescent="0.35">
      <c r="A889" s="121" t="s">
        <v>2345</v>
      </c>
      <c r="B889" s="99" t="s">
        <v>4896</v>
      </c>
      <c r="C889" s="121" t="str" cm="1">
        <f t="array" ref="C889:G889">_xlfn.TEXTSPLIT('איחוד שאלות'!$B889,"_")</f>
        <v>perception</v>
      </c>
      <c r="D889" s="99" t="str">
        <v>behavior</v>
      </c>
      <c r="E889" s="99" t="str">
        <v>voting</v>
      </c>
      <c r="F889" s="99" t="str">
        <v>decision</v>
      </c>
      <c r="G889" s="100" t="str">
        <v>certainty</v>
      </c>
      <c r="H889" s="136" t="s">
        <v>3803</v>
      </c>
      <c r="I889" s="2" t="s">
        <v>5844</v>
      </c>
      <c r="J889" s="2" t="s">
        <v>5806</v>
      </c>
      <c r="K889" s="2" t="s">
        <v>5967</v>
      </c>
      <c r="L889" s="2" t="s">
        <v>5928</v>
      </c>
      <c r="M889" s="2" t="s">
        <v>6337</v>
      </c>
      <c r="N889" s="1" t="s">
        <v>2345</v>
      </c>
    </row>
    <row r="890" spans="1:14" ht="43.5" x14ac:dyDescent="0.35">
      <c r="A890" s="113" t="s">
        <v>2904</v>
      </c>
      <c r="B890" s="102" t="s">
        <v>4901</v>
      </c>
      <c r="C890" s="123" t="str" cm="1">
        <f t="array" ref="C890:G890">_xlfn.TEXTSPLIT('איחוד שאלות'!$B890,"_")</f>
        <v>perception</v>
      </c>
      <c r="D890" s="102" t="str">
        <v>voting</v>
      </c>
      <c r="E890" s="102" t="str">
        <v>decision</v>
      </c>
      <c r="F890" s="102" t="str">
        <v>certainty</v>
      </c>
      <c r="G890" s="103" t="str">
        <v>reason</v>
      </c>
      <c r="H890" s="135" t="s">
        <v>3803</v>
      </c>
      <c r="I890" s="2" t="s">
        <v>5844</v>
      </c>
      <c r="J890" s="2" t="s">
        <v>5967</v>
      </c>
      <c r="K890" s="2" t="s">
        <v>5928</v>
      </c>
      <c r="L890" s="2" t="s">
        <v>6337</v>
      </c>
      <c r="M890" s="2" t="s">
        <v>5935</v>
      </c>
      <c r="N890" s="1" t="s">
        <v>2904</v>
      </c>
    </row>
    <row r="891" spans="1:14" ht="43.5" x14ac:dyDescent="0.35">
      <c r="A891" s="121" t="s">
        <v>2346</v>
      </c>
      <c r="B891" s="99" t="s">
        <v>4902</v>
      </c>
      <c r="C891" s="121" t="str" cm="1">
        <f t="array" ref="C891:F891">_xlfn.TEXTSPLIT('איחוד שאלות'!$B891,"_")</f>
        <v>behavior</v>
      </c>
      <c r="D891" s="99" t="str">
        <v>voting</v>
      </c>
      <c r="E891" s="99" t="str">
        <v>intention</v>
      </c>
      <c r="F891" s="99" t="str">
        <v>decision</v>
      </c>
      <c r="G891" s="100"/>
      <c r="H891" s="136" t="s">
        <v>3803</v>
      </c>
      <c r="I891" s="2" t="s">
        <v>5806</v>
      </c>
      <c r="J891" s="2" t="s">
        <v>5967</v>
      </c>
      <c r="K891" s="2" t="s">
        <v>6304</v>
      </c>
      <c r="L891" s="2" t="s">
        <v>5928</v>
      </c>
      <c r="N891" s="1" t="s">
        <v>2346</v>
      </c>
    </row>
    <row r="892" spans="1:14" ht="43.5" x14ac:dyDescent="0.35">
      <c r="A892" s="113" t="s">
        <v>2908</v>
      </c>
      <c r="B892" s="102" t="s">
        <v>4903</v>
      </c>
      <c r="C892" s="123" t="str" cm="1">
        <f t="array" ref="C892:G892">_xlfn.TEXTSPLIT('איחוד שאלות'!$B892,"_")</f>
        <v>behavior</v>
      </c>
      <c r="D892" s="102" t="str">
        <v>voting</v>
      </c>
      <c r="E892" s="102" t="str">
        <v>intention</v>
      </c>
      <c r="F892" s="102" t="str">
        <v>decision</v>
      </c>
      <c r="G892" s="103" t="str">
        <v>help</v>
      </c>
      <c r="H892" s="135" t="s">
        <v>3803</v>
      </c>
      <c r="I892" s="2" t="s">
        <v>5806</v>
      </c>
      <c r="J892" s="2" t="s">
        <v>5967</v>
      </c>
      <c r="K892" s="2" t="s">
        <v>6304</v>
      </c>
      <c r="L892" s="2" t="s">
        <v>5928</v>
      </c>
      <c r="M892" s="2" t="s">
        <v>6340</v>
      </c>
      <c r="N892" s="1" t="s">
        <v>2908</v>
      </c>
    </row>
    <row r="893" spans="1:14" ht="87" x14ac:dyDescent="0.35">
      <c r="A893" s="121" t="s">
        <v>2347</v>
      </c>
      <c r="B893" s="99" t="s">
        <v>4904</v>
      </c>
      <c r="C893" s="121" t="str" cm="1">
        <f t="array" ref="C893:G893">_xlfn.TEXTSPLIT('איחוד שאלות'!$B893,"_")</f>
        <v>behavior</v>
      </c>
      <c r="D893" s="99" t="str">
        <v>voting</v>
      </c>
      <c r="E893" s="99" t="str">
        <v>intention</v>
      </c>
      <c r="F893" s="99" t="str">
        <v>befor2months</v>
      </c>
      <c r="G893" s="100" t="str">
        <v>lebanon81</v>
      </c>
      <c r="H893" s="136" t="s">
        <v>3803</v>
      </c>
      <c r="I893" s="2" t="s">
        <v>5806</v>
      </c>
      <c r="J893" s="2" t="s">
        <v>5967</v>
      </c>
      <c r="K893" s="2" t="s">
        <v>6304</v>
      </c>
      <c r="L893" s="2" t="s">
        <v>6341</v>
      </c>
      <c r="M893" s="2" t="s">
        <v>6342</v>
      </c>
      <c r="N893" s="1" t="s">
        <v>2347</v>
      </c>
    </row>
    <row r="894" spans="1:14" ht="101.5" x14ac:dyDescent="0.35">
      <c r="A894" s="113" t="s">
        <v>2494</v>
      </c>
      <c r="B894" s="102" t="s">
        <v>4905</v>
      </c>
      <c r="C894" s="123" t="str" cm="1">
        <f t="array" ref="C894:G894">_xlfn.TEXTSPLIT('איחוד שאלות'!$B894,"_")</f>
        <v>behavior</v>
      </c>
      <c r="D894" s="102" t="str">
        <v>voting</v>
      </c>
      <c r="E894" s="102" t="str">
        <v>intention</v>
      </c>
      <c r="F894" s="102" t="str">
        <v>befor2months</v>
      </c>
      <c r="G894" s="103" t="str">
        <v>peresrabin81</v>
      </c>
      <c r="H894" s="135" t="s">
        <v>3803</v>
      </c>
      <c r="I894" s="2" t="s">
        <v>5806</v>
      </c>
      <c r="J894" s="2" t="s">
        <v>5967</v>
      </c>
      <c r="K894" s="2" t="s">
        <v>6304</v>
      </c>
      <c r="L894" s="2" t="s">
        <v>6341</v>
      </c>
      <c r="M894" s="2" t="s">
        <v>6343</v>
      </c>
      <c r="N894" s="1" t="s">
        <v>2494</v>
      </c>
    </row>
    <row r="895" spans="1:14" ht="72.5" x14ac:dyDescent="0.35">
      <c r="A895" s="121" t="s">
        <v>2348</v>
      </c>
      <c r="B895" s="99" t="s">
        <v>4906</v>
      </c>
      <c r="C895" s="121" t="str" cm="1">
        <f t="array" ref="C895:F895">_xlfn.TEXTSPLIT('איחוד שאלות'!$B895,"_")</f>
        <v>perception</v>
      </c>
      <c r="D895" s="99" t="str">
        <v>voting</v>
      </c>
      <c r="E895" s="99" t="str">
        <v>decision</v>
      </c>
      <c r="F895" s="99" t="str">
        <v>beformonth</v>
      </c>
      <c r="G895" s="100"/>
      <c r="H895" s="136" t="s">
        <v>3803</v>
      </c>
      <c r="I895" s="2" t="s">
        <v>5844</v>
      </c>
      <c r="J895" s="2" t="s">
        <v>5967</v>
      </c>
      <c r="K895" s="2" t="s">
        <v>5928</v>
      </c>
      <c r="L895" s="2" t="s">
        <v>6344</v>
      </c>
      <c r="N895" s="1" t="s">
        <v>2348</v>
      </c>
    </row>
    <row r="896" spans="1:14" ht="87" x14ac:dyDescent="0.35">
      <c r="A896" s="113" t="s">
        <v>2913</v>
      </c>
      <c r="B896" s="102" t="s">
        <v>4907</v>
      </c>
      <c r="C896" s="123" t="str" cm="1">
        <f t="array" ref="C896:F896">_xlfn.TEXTSPLIT('איחוד שאלות'!$B896,"_")</f>
        <v>perception</v>
      </c>
      <c r="D896" s="102" t="str">
        <v>voting</v>
      </c>
      <c r="E896" s="102" t="str">
        <v>decision</v>
      </c>
      <c r="F896" s="102" t="str">
        <v>befor2months</v>
      </c>
      <c r="G896" s="103"/>
      <c r="H896" s="135" t="s">
        <v>3803</v>
      </c>
      <c r="I896" s="2" t="s">
        <v>5844</v>
      </c>
      <c r="J896" s="2" t="s">
        <v>5967</v>
      </c>
      <c r="K896" s="2" t="s">
        <v>5928</v>
      </c>
      <c r="L896" s="2" t="s">
        <v>6341</v>
      </c>
      <c r="N896" s="1" t="s">
        <v>2913</v>
      </c>
    </row>
    <row r="897" spans="1:14" ht="43.5" x14ac:dyDescent="0.35">
      <c r="A897" s="121" t="s">
        <v>2832</v>
      </c>
      <c r="B897" s="99" t="s">
        <v>4908</v>
      </c>
      <c r="C897" s="121" t="str" cm="1">
        <f t="array" ref="C897:G897">_xlfn.TEXTSPLIT('איחוד שאלות'!$B897,"_")</f>
        <v>perception</v>
      </c>
      <c r="D897" s="99" t="str">
        <v>voting</v>
      </c>
      <c r="E897" s="99" t="str">
        <v>decision</v>
      </c>
      <c r="F897" s="99" t="str">
        <v>befor2months</v>
      </c>
      <c r="G897" s="100" t="str">
        <v>reason</v>
      </c>
      <c r="H897" s="136" t="s">
        <v>3803</v>
      </c>
      <c r="I897" s="2" t="s">
        <v>5844</v>
      </c>
      <c r="J897" s="2" t="s">
        <v>5967</v>
      </c>
      <c r="K897" s="2" t="s">
        <v>5928</v>
      </c>
      <c r="L897" s="2" t="s">
        <v>6341</v>
      </c>
      <c r="M897" s="2" t="s">
        <v>5935</v>
      </c>
      <c r="N897" s="1" t="s">
        <v>2832</v>
      </c>
    </row>
    <row r="898" spans="1:14" ht="43.5" x14ac:dyDescent="0.35">
      <c r="A898" s="113" t="s">
        <v>2349</v>
      </c>
      <c r="B898" s="102" t="s">
        <v>4909</v>
      </c>
      <c r="C898" s="123" t="str" cm="1">
        <f t="array" ref="C898:F898">_xlfn.TEXTSPLIT('איחוד שאלות'!$B898,"_")</f>
        <v>preference</v>
      </c>
      <c r="D898" s="102" t="str">
        <v>party</v>
      </c>
      <c r="E898" s="102" t="str">
        <v>voting</v>
      </c>
      <c r="F898" s="102" t="str">
        <v>never</v>
      </c>
      <c r="G898" s="103"/>
      <c r="H898" s="135" t="s">
        <v>3803</v>
      </c>
      <c r="I898" s="2" t="s">
        <v>5856</v>
      </c>
      <c r="J898" s="2" t="s">
        <v>5853</v>
      </c>
      <c r="K898" s="2" t="s">
        <v>5967</v>
      </c>
      <c r="L898" s="2" t="s">
        <v>6345</v>
      </c>
      <c r="N898" s="1" t="s">
        <v>2349</v>
      </c>
    </row>
    <row r="899" spans="1:14" ht="116" x14ac:dyDescent="0.35">
      <c r="A899" s="121" t="s">
        <v>2427</v>
      </c>
      <c r="B899" s="99" t="s">
        <v>4910</v>
      </c>
      <c r="C899" s="121" t="str" cm="1">
        <f t="array" ref="C899:G899">_xlfn.TEXTSPLIT('איחוד שאלות'!$B899,"_")</f>
        <v>perception</v>
      </c>
      <c r="D899" s="99" t="str">
        <v>public</v>
      </c>
      <c r="E899" s="99" t="str">
        <v>voting</v>
      </c>
      <c r="F899" s="99" t="str">
        <v>decision</v>
      </c>
      <c r="G899" s="100" t="str">
        <v>delay</v>
      </c>
      <c r="H899" s="136" t="s">
        <v>3803</v>
      </c>
      <c r="I899" s="2" t="s">
        <v>5844</v>
      </c>
      <c r="J899" s="2" t="s">
        <v>5912</v>
      </c>
      <c r="K899" s="2" t="s">
        <v>5967</v>
      </c>
      <c r="L899" s="2" t="s">
        <v>5928</v>
      </c>
      <c r="M899" s="2" t="s">
        <v>6346</v>
      </c>
      <c r="N899" s="1" t="s">
        <v>2427</v>
      </c>
    </row>
    <row r="900" spans="1:14" ht="130.5" x14ac:dyDescent="0.35">
      <c r="A900" s="113" t="s">
        <v>2964</v>
      </c>
      <c r="B900" s="102" t="s">
        <v>4911</v>
      </c>
      <c r="C900" s="123" t="str" cm="1">
        <f t="array" ref="C900:F900">_xlfn.TEXTSPLIT('איחוד שאלות'!$B900,"_")</f>
        <v>preference</v>
      </c>
      <c r="D900" s="102" t="str">
        <v>voting</v>
      </c>
      <c r="E900" s="102" t="str">
        <v>decision</v>
      </c>
      <c r="F900" s="102" t="str">
        <v>delay</v>
      </c>
      <c r="G900" s="103"/>
      <c r="H900" s="135" t="s">
        <v>3803</v>
      </c>
      <c r="I900" s="2" t="s">
        <v>5856</v>
      </c>
      <c r="J900" s="2" t="s">
        <v>5967</v>
      </c>
      <c r="K900" s="2" t="s">
        <v>5928</v>
      </c>
      <c r="L900" s="2" t="s">
        <v>6346</v>
      </c>
      <c r="N900" s="1" t="s">
        <v>2964</v>
      </c>
    </row>
    <row r="901" spans="1:14" ht="87" x14ac:dyDescent="0.35">
      <c r="A901" s="121" t="s">
        <v>2428</v>
      </c>
      <c r="B901" s="99" t="s">
        <v>4913</v>
      </c>
      <c r="C901" s="121" t="str" cm="1">
        <f t="array" ref="C901:G901">_xlfn.TEXTSPLIT('איחוד שאלות'!$B901,"_")</f>
        <v>perception</v>
      </c>
      <c r="D901" s="99" t="str">
        <v>public</v>
      </c>
      <c r="E901" s="99" t="str">
        <v>voting</v>
      </c>
      <c r="F901" s="99" t="str">
        <v>decision</v>
      </c>
      <c r="G901" s="100" t="str">
        <v>help1</v>
      </c>
      <c r="H901" s="136" t="s">
        <v>3803</v>
      </c>
      <c r="I901" s="2" t="s">
        <v>5844</v>
      </c>
      <c r="J901" s="2" t="s">
        <v>5912</v>
      </c>
      <c r="K901" s="2" t="s">
        <v>5967</v>
      </c>
      <c r="L901" s="2" t="s">
        <v>5928</v>
      </c>
      <c r="M901" s="2" t="s">
        <v>6347</v>
      </c>
      <c r="N901" s="1" t="s">
        <v>2428</v>
      </c>
    </row>
    <row r="902" spans="1:14" ht="43.5" x14ac:dyDescent="0.35">
      <c r="A902" s="113" t="s">
        <v>2429</v>
      </c>
      <c r="B902" s="102" t="s">
        <v>4912</v>
      </c>
      <c r="C902" s="123" t="str" cm="1">
        <f t="array" ref="C902:G902">_xlfn.TEXTSPLIT('איחוד שאלות'!$B902,"_")</f>
        <v>perception</v>
      </c>
      <c r="D902" s="102" t="str">
        <v>public</v>
      </c>
      <c r="E902" s="102" t="str">
        <v>voting</v>
      </c>
      <c r="F902" s="102" t="str">
        <v>decision</v>
      </c>
      <c r="G902" s="103" t="str">
        <v>help2</v>
      </c>
      <c r="H902" s="135" t="s">
        <v>3803</v>
      </c>
      <c r="I902" s="2" t="s">
        <v>5844</v>
      </c>
      <c r="J902" s="2" t="s">
        <v>5912</v>
      </c>
      <c r="K902" s="2" t="s">
        <v>5967</v>
      </c>
      <c r="L902" s="2" t="s">
        <v>5928</v>
      </c>
      <c r="M902" s="2" t="s">
        <v>6348</v>
      </c>
      <c r="N902" s="1" t="s">
        <v>2429</v>
      </c>
    </row>
    <row r="903" spans="1:14" ht="72.5" x14ac:dyDescent="0.35">
      <c r="A903" s="121" t="s">
        <v>2430</v>
      </c>
      <c r="B903" s="99" t="s">
        <v>4914</v>
      </c>
      <c r="C903" s="121" t="str" cm="1">
        <f t="array" ref="C903:G903">_xlfn.TEXTSPLIT('איחוד שאלות'!$B903,"_")</f>
        <v>perception</v>
      </c>
      <c r="D903" s="99" t="str">
        <v>public</v>
      </c>
      <c r="E903" s="99" t="str">
        <v>voting</v>
      </c>
      <c r="F903" s="99" t="str">
        <v>decision</v>
      </c>
      <c r="G903" s="100" t="str">
        <v>media1</v>
      </c>
      <c r="H903" s="136" t="s">
        <v>3803</v>
      </c>
      <c r="I903" s="2" t="s">
        <v>5844</v>
      </c>
      <c r="J903" s="2" t="s">
        <v>5912</v>
      </c>
      <c r="K903" s="2" t="s">
        <v>5967</v>
      </c>
      <c r="L903" s="2" t="s">
        <v>5928</v>
      </c>
      <c r="M903" s="2" t="s">
        <v>6349</v>
      </c>
      <c r="N903" s="1" t="s">
        <v>2430</v>
      </c>
    </row>
    <row r="904" spans="1:14" ht="43.5" x14ac:dyDescent="0.35">
      <c r="A904" s="113" t="s">
        <v>2431</v>
      </c>
      <c r="B904" s="102" t="s">
        <v>4915</v>
      </c>
      <c r="C904" s="123" t="str" cm="1">
        <f t="array" ref="C904:G904">_xlfn.TEXTSPLIT('איחוד שאלות'!$B904,"_")</f>
        <v>perception</v>
      </c>
      <c r="D904" s="102" t="str">
        <v>public</v>
      </c>
      <c r="E904" s="102" t="str">
        <v>voting</v>
      </c>
      <c r="F904" s="102" t="str">
        <v>decision</v>
      </c>
      <c r="G904" s="103" t="str">
        <v>media2</v>
      </c>
      <c r="H904" s="135" t="s">
        <v>3803</v>
      </c>
      <c r="I904" s="2" t="s">
        <v>5844</v>
      </c>
      <c r="J904" s="2" t="s">
        <v>5912</v>
      </c>
      <c r="K904" s="2" t="s">
        <v>5967</v>
      </c>
      <c r="L904" s="2" t="s">
        <v>5928</v>
      </c>
      <c r="M904" s="2" t="s">
        <v>6350</v>
      </c>
      <c r="N904" s="1" t="s">
        <v>2431</v>
      </c>
    </row>
    <row r="905" spans="1:14" ht="188.5" x14ac:dyDescent="0.35">
      <c r="A905" s="121" t="s">
        <v>2556</v>
      </c>
      <c r="B905" s="99" t="s">
        <v>4916</v>
      </c>
      <c r="C905" s="121" t="str" cm="1">
        <f t="array" ref="C905:F905">_xlfn.TEXTSPLIT('איחוד שאלות'!$B905,"_")</f>
        <v>perception</v>
      </c>
      <c r="D905" s="99" t="str">
        <v>voting</v>
      </c>
      <c r="E905" s="99" t="str">
        <v>decision</v>
      </c>
      <c r="F905" s="99" t="str">
        <v>forvsagainst</v>
      </c>
      <c r="G905" s="100"/>
      <c r="H905" s="136" t="s">
        <v>3803</v>
      </c>
      <c r="I905" s="2" t="s">
        <v>5844</v>
      </c>
      <c r="J905" s="2" t="s">
        <v>5967</v>
      </c>
      <c r="K905" s="2" t="s">
        <v>5928</v>
      </c>
      <c r="L905" s="2" t="s">
        <v>6351</v>
      </c>
      <c r="N905" s="1" t="s">
        <v>2556</v>
      </c>
    </row>
    <row r="906" spans="1:14" ht="58" x14ac:dyDescent="0.35">
      <c r="A906" s="113" t="s">
        <v>2557</v>
      </c>
      <c r="B906" s="102" t="s">
        <v>4917</v>
      </c>
      <c r="C906" s="123" t="str" cm="1">
        <f t="array" ref="C906:F906">_xlfn.TEXTSPLIT('איחוד שאלות'!$B906,"_")</f>
        <v>behavior</v>
      </c>
      <c r="D906" s="102" t="str">
        <v>voting</v>
      </c>
      <c r="E906" s="102" t="str">
        <v>intention</v>
      </c>
      <c r="F906" s="102" t="str">
        <v>likeusual</v>
      </c>
      <c r="G906" s="103"/>
      <c r="H906" s="135" t="s">
        <v>3803</v>
      </c>
      <c r="I906" s="2" t="s">
        <v>5806</v>
      </c>
      <c r="J906" s="2" t="s">
        <v>5967</v>
      </c>
      <c r="K906" s="2" t="s">
        <v>6304</v>
      </c>
      <c r="L906" s="2" t="s">
        <v>6352</v>
      </c>
      <c r="N906" s="1" t="s">
        <v>2557</v>
      </c>
    </row>
    <row r="907" spans="1:14" ht="43.5" x14ac:dyDescent="0.35">
      <c r="A907" s="121" t="s">
        <v>2559</v>
      </c>
      <c r="B907" s="99" t="s">
        <v>4918</v>
      </c>
      <c r="C907" s="121" t="str" cm="1">
        <f t="array" ref="C907:G907">_xlfn.TEXTSPLIT('איחוד שאלות'!$B907,"_")</f>
        <v>behavior</v>
      </c>
      <c r="D907" s="99" t="str">
        <v>voting</v>
      </c>
      <c r="E907" s="99" t="str">
        <v>scenario</v>
      </c>
      <c r="F907" s="99" t="str">
        <v>dayanparty</v>
      </c>
      <c r="G907" s="100" t="str">
        <v>81</v>
      </c>
      <c r="H907" s="136" t="s">
        <v>3803</v>
      </c>
      <c r="I907" s="2" t="s">
        <v>5806</v>
      </c>
      <c r="J907" s="2" t="s">
        <v>5967</v>
      </c>
      <c r="K907" s="2" t="s">
        <v>6290</v>
      </c>
      <c r="L907" s="2" t="s">
        <v>6353</v>
      </c>
      <c r="M907" s="2" t="s">
        <v>6354</v>
      </c>
      <c r="N907" s="1" t="s">
        <v>2559</v>
      </c>
    </row>
    <row r="908" spans="1:14" ht="72.5" x14ac:dyDescent="0.35">
      <c r="A908" s="113" t="s">
        <v>2560</v>
      </c>
      <c r="B908" s="102" t="s">
        <v>4919</v>
      </c>
      <c r="C908" s="123" t="str" cm="1">
        <f t="array" ref="C908:G908">_xlfn.TEXTSPLIT('איחוד שאלות'!$B908,"_")</f>
        <v>behavior</v>
      </c>
      <c r="D908" s="102" t="str">
        <v>voting</v>
      </c>
      <c r="E908" s="102" t="str">
        <v>scenario</v>
      </c>
      <c r="F908" s="102" t="str">
        <v>hamaarakhwinhistadrut</v>
      </c>
      <c r="G908" s="103" t="str">
        <v>81</v>
      </c>
      <c r="H908" s="135" t="s">
        <v>3803</v>
      </c>
      <c r="I908" s="2" t="s">
        <v>5806</v>
      </c>
      <c r="J908" s="2" t="s">
        <v>5967</v>
      </c>
      <c r="K908" s="2" t="s">
        <v>6290</v>
      </c>
      <c r="L908" s="2" t="s">
        <v>6355</v>
      </c>
      <c r="M908" s="2" t="s">
        <v>6354</v>
      </c>
      <c r="N908" s="1" t="s">
        <v>2560</v>
      </c>
    </row>
    <row r="909" spans="1:14" ht="72.5" x14ac:dyDescent="0.35">
      <c r="A909" s="121" t="s">
        <v>2562</v>
      </c>
      <c r="B909" s="99" t="s">
        <v>4920</v>
      </c>
      <c r="C909" s="121" t="str" cm="1">
        <f t="array" ref="C909:F909">_xlfn.TEXTSPLIT('איחוד שאלות'!$B909,"_")</f>
        <v>perception</v>
      </c>
      <c r="D909" s="99" t="str">
        <v>voting</v>
      </c>
      <c r="E909" s="99" t="str">
        <v>saliency</v>
      </c>
      <c r="F909" s="99" t="str">
        <v>histadrutelections</v>
      </c>
      <c r="G909" s="100"/>
      <c r="H909" s="136" t="s">
        <v>3803</v>
      </c>
      <c r="I909" s="2" t="s">
        <v>5844</v>
      </c>
      <c r="J909" s="2" t="s">
        <v>5967</v>
      </c>
      <c r="K909" s="2" t="s">
        <v>6139</v>
      </c>
      <c r="L909" s="2" t="s">
        <v>6356</v>
      </c>
      <c r="N909" s="1" t="s">
        <v>2562</v>
      </c>
    </row>
    <row r="910" spans="1:14" ht="58" x14ac:dyDescent="0.35">
      <c r="A910" s="113" t="s">
        <v>2564</v>
      </c>
      <c r="B910" s="102" t="s">
        <v>4921</v>
      </c>
      <c r="C910" s="123" t="str" cm="1">
        <f t="array" ref="C910:G910">_xlfn.TEXTSPLIT('איחוד שאלות'!$B910,"_")</f>
        <v>behavior</v>
      </c>
      <c r="D910" s="102" t="str">
        <v>voting</v>
      </c>
      <c r="E910" s="102" t="str">
        <v>intention</v>
      </c>
      <c r="F910" s="102" t="str">
        <v>histadrutelections</v>
      </c>
      <c r="G910" s="103" t="str">
        <v>sameasparliament</v>
      </c>
      <c r="H910" s="135" t="s">
        <v>3803</v>
      </c>
      <c r="I910" s="2" t="s">
        <v>5806</v>
      </c>
      <c r="J910" s="2" t="s">
        <v>5967</v>
      </c>
      <c r="K910" s="2" t="s">
        <v>6304</v>
      </c>
      <c r="L910" s="2" t="s">
        <v>6356</v>
      </c>
      <c r="M910" s="2" t="s">
        <v>6357</v>
      </c>
      <c r="N910" s="1" t="s">
        <v>2564</v>
      </c>
    </row>
    <row r="911" spans="1:14" ht="116" x14ac:dyDescent="0.35">
      <c r="A911" s="121" t="s">
        <v>2573</v>
      </c>
      <c r="B911" s="99" t="s">
        <v>4922</v>
      </c>
      <c r="C911" s="121" t="str" cm="1">
        <f t="array" ref="C911:F911">_xlfn.TEXTSPLIT('איחוד שאלות'!$B911,"_")</f>
        <v>perception</v>
      </c>
      <c r="D911" s="99" t="str">
        <v>voting</v>
      </c>
      <c r="E911" s="99" t="str">
        <v>reason</v>
      </c>
      <c r="F911" s="99" t="str">
        <v>forvsagainst</v>
      </c>
      <c r="G911" s="100"/>
      <c r="H911" s="136" t="s">
        <v>3803</v>
      </c>
      <c r="I911" s="2" t="s">
        <v>5844</v>
      </c>
      <c r="J911" s="2" t="s">
        <v>5967</v>
      </c>
      <c r="K911" s="2" t="s">
        <v>5935</v>
      </c>
      <c r="L911" s="2" t="s">
        <v>6351</v>
      </c>
      <c r="N911" s="1" t="s">
        <v>2573</v>
      </c>
    </row>
    <row r="912" spans="1:14" ht="101.5" x14ac:dyDescent="0.35">
      <c r="A912" s="113" t="s">
        <v>2575</v>
      </c>
      <c r="B912" s="102" t="s">
        <v>4923</v>
      </c>
      <c r="C912" s="123" t="str" cm="1">
        <f t="array" ref="C912:F912">_xlfn.TEXTSPLIT('איחוד שאלות'!$B912,"_")</f>
        <v>perception</v>
      </c>
      <c r="D912" s="102" t="str">
        <v>voting</v>
      </c>
      <c r="E912" s="102" t="str">
        <v>saliency</v>
      </c>
      <c r="F912" s="102" t="str">
        <v>problem</v>
      </c>
      <c r="G912" s="103"/>
      <c r="H912" s="135" t="s">
        <v>3803</v>
      </c>
      <c r="I912" s="2" t="s">
        <v>5844</v>
      </c>
      <c r="J912" s="2" t="s">
        <v>5967</v>
      </c>
      <c r="K912" s="2" t="s">
        <v>6139</v>
      </c>
      <c r="L912" s="2" t="s">
        <v>5849</v>
      </c>
      <c r="N912" s="1" t="s">
        <v>2575</v>
      </c>
    </row>
    <row r="913" spans="1:14" ht="72.5" x14ac:dyDescent="0.35">
      <c r="A913" s="121" t="s">
        <v>2576</v>
      </c>
      <c r="B913" s="99" t="s">
        <v>4924</v>
      </c>
      <c r="C913" s="121" t="str" cm="1">
        <f t="array" ref="C913:F913">_xlfn.TEXTSPLIT('איחוד שאלות'!$B913,"_")</f>
        <v>perception</v>
      </c>
      <c r="D913" s="99" t="str">
        <v>voting</v>
      </c>
      <c r="E913" s="99" t="str">
        <v>intention</v>
      </c>
      <c r="F913" s="99" t="str">
        <v>likeusual</v>
      </c>
      <c r="G913" s="100"/>
      <c r="H913" s="136" t="s">
        <v>3803</v>
      </c>
      <c r="I913" s="2" t="s">
        <v>5844</v>
      </c>
      <c r="J913" s="2" t="s">
        <v>5967</v>
      </c>
      <c r="K913" s="2" t="s">
        <v>6304</v>
      </c>
      <c r="L913" s="2" t="s">
        <v>6352</v>
      </c>
      <c r="N913" s="1" t="s">
        <v>2576</v>
      </c>
    </row>
    <row r="914" spans="1:14" ht="72.5" x14ac:dyDescent="0.35">
      <c r="A914" s="113" t="s">
        <v>3796</v>
      </c>
      <c r="B914" s="102" t="s">
        <v>4925</v>
      </c>
      <c r="C914" s="123" t="str" cm="1">
        <f t="array" ref="C914:G914">_xlfn.TEXTSPLIT('איחוד שאלות'!$B914,"_")</f>
        <v>behavior</v>
      </c>
      <c r="D914" s="102" t="str">
        <v>voting</v>
      </c>
      <c r="E914" s="102" t="str">
        <v>scenario</v>
      </c>
      <c r="F914" s="102" t="str">
        <v>party</v>
      </c>
      <c r="G914" s="103" t="str">
        <v>peaceprocess</v>
      </c>
      <c r="H914" s="135" t="s">
        <v>3803</v>
      </c>
      <c r="I914" s="2" t="s">
        <v>5806</v>
      </c>
      <c r="J914" s="2" t="s">
        <v>5967</v>
      </c>
      <c r="K914" s="2" t="s">
        <v>6290</v>
      </c>
      <c r="L914" s="2" t="s">
        <v>5853</v>
      </c>
      <c r="M914" s="2" t="s">
        <v>5874</v>
      </c>
      <c r="N914" s="1" t="s">
        <v>7362</v>
      </c>
    </row>
    <row r="915" spans="1:14" ht="72.5" x14ac:dyDescent="0.35">
      <c r="A915" s="121" t="s">
        <v>3797</v>
      </c>
      <c r="B915" s="99" t="s">
        <v>4926</v>
      </c>
      <c r="C915" s="121" t="str" cm="1">
        <f t="array" ref="C915:G915">_xlfn.TEXTSPLIT('איחוד שאלות'!$B915,"_")</f>
        <v>behavior</v>
      </c>
      <c r="D915" s="99" t="str">
        <v>voting</v>
      </c>
      <c r="E915" s="99" t="str">
        <v>scenario</v>
      </c>
      <c r="F915" s="99" t="str">
        <v>party</v>
      </c>
      <c r="G915" s="100" t="str">
        <v>socioeconomic</v>
      </c>
      <c r="H915" s="136" t="s">
        <v>3803</v>
      </c>
      <c r="I915" s="2" t="s">
        <v>5806</v>
      </c>
      <c r="J915" s="2" t="s">
        <v>5967</v>
      </c>
      <c r="K915" s="2" t="s">
        <v>6290</v>
      </c>
      <c r="L915" s="2" t="s">
        <v>5853</v>
      </c>
      <c r="M915" s="2" t="s">
        <v>6006</v>
      </c>
      <c r="N915" s="1" t="s">
        <v>7363</v>
      </c>
    </row>
    <row r="916" spans="1:14" ht="72.5" x14ac:dyDescent="0.35">
      <c r="A916" s="113" t="s">
        <v>2629</v>
      </c>
      <c r="B916" s="102" t="s">
        <v>4927</v>
      </c>
      <c r="C916" s="123" t="str" cm="1">
        <f t="array" ref="C916:G916">_xlfn.TEXTSPLIT('איחוד שאלות'!$B916,"_")</f>
        <v>behavior</v>
      </c>
      <c r="D916" s="102" t="str">
        <v>voting</v>
      </c>
      <c r="E916" s="102" t="str">
        <v>scenario</v>
      </c>
      <c r="F916" s="102" t="str">
        <v>party</v>
      </c>
      <c r="G916" s="103" t="str">
        <v>importantsubject</v>
      </c>
      <c r="H916" s="135" t="s">
        <v>3803</v>
      </c>
      <c r="I916" s="2" t="s">
        <v>5806</v>
      </c>
      <c r="J916" s="2" t="s">
        <v>5967</v>
      </c>
      <c r="K916" s="2" t="s">
        <v>6290</v>
      </c>
      <c r="L916" s="2" t="s">
        <v>5853</v>
      </c>
      <c r="M916" s="2" t="s">
        <v>6358</v>
      </c>
      <c r="N916" s="1" t="s">
        <v>2629</v>
      </c>
    </row>
    <row r="917" spans="1:14" ht="87" x14ac:dyDescent="0.35">
      <c r="A917" s="121" t="s">
        <v>2630</v>
      </c>
      <c r="B917" s="99" t="s">
        <v>4928</v>
      </c>
      <c r="C917" s="121" t="str" cm="1">
        <f t="array" ref="C917:G917">_xlfn.TEXTSPLIT('איחוד שאלות'!$B917,"_")</f>
        <v>behavior</v>
      </c>
      <c r="D917" s="99" t="str">
        <v>voting</v>
      </c>
      <c r="E917" s="99" t="str">
        <v>scenario</v>
      </c>
      <c r="F917" s="99" t="str">
        <v>party</v>
      </c>
      <c r="G917" s="100" t="str">
        <v>favoritepolitician</v>
      </c>
      <c r="H917" s="136" t="s">
        <v>3803</v>
      </c>
      <c r="I917" s="2" t="s">
        <v>5806</v>
      </c>
      <c r="J917" s="2" t="s">
        <v>5967</v>
      </c>
      <c r="K917" s="2" t="s">
        <v>6290</v>
      </c>
      <c r="L917" s="2" t="s">
        <v>5853</v>
      </c>
      <c r="M917" s="2" t="s">
        <v>6359</v>
      </c>
      <c r="N917" s="1" t="s">
        <v>2630</v>
      </c>
    </row>
    <row r="918" spans="1:14" ht="58" x14ac:dyDescent="0.35">
      <c r="A918" s="113" t="s">
        <v>2635</v>
      </c>
      <c r="B918" s="102" t="s">
        <v>4929</v>
      </c>
      <c r="C918" s="123" t="str" cm="1">
        <f t="array" ref="C918:G918">_xlfn.TEXTSPLIT('איחוד שאלות'!$B918,"_")</f>
        <v>preference</v>
      </c>
      <c r="D918" s="102" t="str">
        <v>voting</v>
      </c>
      <c r="E918" s="102" t="str">
        <v>scenario</v>
      </c>
      <c r="F918" s="102" t="str">
        <v>separatedhamaarakh</v>
      </c>
      <c r="G918" s="103" t="str">
        <v>77</v>
      </c>
      <c r="H918" s="135" t="s">
        <v>3803</v>
      </c>
      <c r="I918" s="2" t="s">
        <v>5856</v>
      </c>
      <c r="J918" s="2" t="s">
        <v>5967</v>
      </c>
      <c r="K918" s="2" t="s">
        <v>6290</v>
      </c>
      <c r="L918" s="2" t="s">
        <v>6360</v>
      </c>
      <c r="M918" s="2" t="s">
        <v>6361</v>
      </c>
      <c r="N918" s="1" t="s">
        <v>2635</v>
      </c>
    </row>
    <row r="919" spans="1:14" ht="72.5" x14ac:dyDescent="0.35">
      <c r="A919" s="121" t="s">
        <v>2671</v>
      </c>
      <c r="B919" s="99" t="s">
        <v>4930</v>
      </c>
      <c r="C919" s="121" t="str" cm="1">
        <f t="array" ref="C919:G919">_xlfn.TEXTSPLIT('איחוד שאלות'!$B919,"_")</f>
        <v>behavior</v>
      </c>
      <c r="D919" s="99" t="str">
        <v>voting</v>
      </c>
      <c r="E919" s="99" t="str">
        <v>post</v>
      </c>
      <c r="F919" s="99" t="str">
        <v>party</v>
      </c>
      <c r="G919" s="100" t="str">
        <v>69</v>
      </c>
      <c r="H919" s="136" t="s">
        <v>3803</v>
      </c>
      <c r="I919" s="2" t="s">
        <v>5806</v>
      </c>
      <c r="J919" s="2" t="s">
        <v>5967</v>
      </c>
      <c r="K919" s="2" t="s">
        <v>5763</v>
      </c>
      <c r="L919" s="2" t="s">
        <v>5853</v>
      </c>
      <c r="M919" s="2" t="s">
        <v>6362</v>
      </c>
      <c r="N919" s="1" t="s">
        <v>2671</v>
      </c>
    </row>
    <row r="920" spans="1:14" ht="72.5" x14ac:dyDescent="0.35">
      <c r="A920" s="113" t="s">
        <v>2673</v>
      </c>
      <c r="B920" s="102" t="s">
        <v>4931</v>
      </c>
      <c r="C920" s="123" t="str" cm="1">
        <f t="array" ref="C920:E920">_xlfn.TEXTSPLIT('איחוד שאלות'!$B920,"_")</f>
        <v>behavior</v>
      </c>
      <c r="D920" s="102" t="str">
        <v>voting</v>
      </c>
      <c r="E920" s="102" t="str">
        <v>kippurwar</v>
      </c>
      <c r="F920" s="102"/>
      <c r="G920" s="103"/>
      <c r="H920" s="135" t="s">
        <v>3803</v>
      </c>
      <c r="I920" s="2" t="s">
        <v>5806</v>
      </c>
      <c r="J920" s="2" t="s">
        <v>5967</v>
      </c>
      <c r="K920" s="2" t="s">
        <v>5960</v>
      </c>
      <c r="N920" s="1" t="s">
        <v>2673</v>
      </c>
    </row>
    <row r="921" spans="1:14" ht="43.5" x14ac:dyDescent="0.35">
      <c r="A921" s="121" t="s">
        <v>2677</v>
      </c>
      <c r="B921" s="99" t="s">
        <v>4932</v>
      </c>
      <c r="C921" s="121" t="str" cm="1">
        <f t="array" ref="C921:F921">_xlfn.TEXTSPLIT('איחוד שאלות'!$B921,"_")</f>
        <v>perception</v>
      </c>
      <c r="D921" s="99" t="str">
        <v>voting</v>
      </c>
      <c r="E921" s="99" t="str">
        <v>decision</v>
      </c>
      <c r="F921" s="99" t="str">
        <v>hard</v>
      </c>
      <c r="G921" s="100"/>
      <c r="H921" s="136" t="s">
        <v>3803</v>
      </c>
      <c r="I921" s="2" t="s">
        <v>5844</v>
      </c>
      <c r="J921" s="2" t="s">
        <v>5967</v>
      </c>
      <c r="K921" s="2" t="s">
        <v>5928</v>
      </c>
      <c r="L921" s="2" t="s">
        <v>6363</v>
      </c>
      <c r="N921" s="1" t="s">
        <v>2677</v>
      </c>
    </row>
    <row r="922" spans="1:14" ht="43.5" x14ac:dyDescent="0.35">
      <c r="A922" s="113" t="s">
        <v>2679</v>
      </c>
      <c r="B922" s="102" t="s">
        <v>4933</v>
      </c>
      <c r="C922" s="123" t="str" cm="1">
        <f t="array" ref="C922:F922">_xlfn.TEXTSPLIT('איחוד שאלות'!$B922,"_")</f>
        <v>perception</v>
      </c>
      <c r="D922" s="102" t="str">
        <v>behavior</v>
      </c>
      <c r="E922" s="102" t="str">
        <v>voting</v>
      </c>
      <c r="F922" s="102" t="str">
        <v>duty</v>
      </c>
      <c r="G922" s="103"/>
      <c r="H922" s="135" t="s">
        <v>3803</v>
      </c>
      <c r="I922" s="2" t="s">
        <v>5844</v>
      </c>
      <c r="J922" s="2" t="s">
        <v>5806</v>
      </c>
      <c r="K922" s="2" t="s">
        <v>5967</v>
      </c>
      <c r="L922" s="2" t="s">
        <v>6364</v>
      </c>
      <c r="N922" s="1" t="s">
        <v>2679</v>
      </c>
    </row>
    <row r="923" spans="1:14" ht="159.5" x14ac:dyDescent="0.35">
      <c r="A923" s="121" t="s">
        <v>2682</v>
      </c>
      <c r="B923" s="99" t="s">
        <v>4934</v>
      </c>
      <c r="C923" s="121" t="str" cm="1">
        <f t="array" ref="C923:F923">_xlfn.TEXTSPLIT('איחוד שאלות'!$B923,"_")</f>
        <v>perception</v>
      </c>
      <c r="D923" s="99" t="str">
        <v>voting</v>
      </c>
      <c r="E923" s="99" t="str">
        <v>reason</v>
      </c>
      <c r="F923" s="99" t="str">
        <v>voting</v>
      </c>
      <c r="G923" s="100"/>
      <c r="H923" s="136" t="s">
        <v>3803</v>
      </c>
      <c r="I923" s="2" t="s">
        <v>5844</v>
      </c>
      <c r="J923" s="2" t="s">
        <v>5967</v>
      </c>
      <c r="K923" s="2" t="s">
        <v>5935</v>
      </c>
      <c r="L923" s="2" t="s">
        <v>5967</v>
      </c>
      <c r="N923" s="1" t="s">
        <v>2682</v>
      </c>
    </row>
    <row r="924" spans="1:14" ht="43.5" x14ac:dyDescent="0.35">
      <c r="A924" s="113" t="s">
        <v>3031</v>
      </c>
      <c r="B924" s="102" t="s">
        <v>4935</v>
      </c>
      <c r="C924" s="123" t="str" cm="1">
        <f t="array" ref="C924:F924">_xlfn.TEXTSPLIT('איחוד שאלות'!$B924,"_")</f>
        <v>behavior</v>
      </c>
      <c r="D924" s="102" t="str">
        <v>voting</v>
      </c>
      <c r="E924" s="102" t="str">
        <v>intention</v>
      </c>
      <c r="F924" s="102" t="str">
        <v>municipality</v>
      </c>
      <c r="G924" s="103"/>
      <c r="H924" s="135" t="s">
        <v>3803</v>
      </c>
      <c r="I924" s="2" t="s">
        <v>5806</v>
      </c>
      <c r="J924" s="2" t="s">
        <v>5967</v>
      </c>
      <c r="K924" s="2" t="s">
        <v>6304</v>
      </c>
      <c r="L924" s="2" t="s">
        <v>5970</v>
      </c>
      <c r="N924" s="1" t="s">
        <v>3031</v>
      </c>
    </row>
    <row r="925" spans="1:14" ht="29" x14ac:dyDescent="0.35">
      <c r="A925" s="121" t="s">
        <v>3007</v>
      </c>
      <c r="B925" s="99" t="s">
        <v>4852</v>
      </c>
      <c r="C925" s="121" t="str" cm="1">
        <f t="array" ref="C925:E925">_xlfn.TEXTSPLIT('איחוד שאלות'!$B925,"_")</f>
        <v>behavior</v>
      </c>
      <c r="D925" s="99" t="str">
        <v>voting</v>
      </c>
      <c r="E925" s="99" t="str">
        <v>municipality</v>
      </c>
      <c r="F925" s="99"/>
      <c r="G925" s="100"/>
      <c r="H925" s="136" t="s">
        <v>3803</v>
      </c>
      <c r="I925" s="2" t="s">
        <v>5806</v>
      </c>
      <c r="J925" s="2" t="s">
        <v>5967</v>
      </c>
      <c r="K925" s="2" t="s">
        <v>5970</v>
      </c>
      <c r="N925" s="1" t="s">
        <v>3007</v>
      </c>
    </row>
    <row r="926" spans="1:14" ht="43.5" x14ac:dyDescent="0.35">
      <c r="A926" s="113" t="s">
        <v>3010</v>
      </c>
      <c r="B926" s="102" t="s">
        <v>4936</v>
      </c>
      <c r="C926" s="123" t="str" cm="1">
        <f t="array" ref="C926:F926">_xlfn.TEXTSPLIT('איחוד שאלות'!$B926,"_")</f>
        <v>behavior</v>
      </c>
      <c r="D926" s="102" t="str">
        <v>voting</v>
      </c>
      <c r="E926" s="102" t="str">
        <v>municipality</v>
      </c>
      <c r="F926" s="102" t="str">
        <v>lastelections</v>
      </c>
      <c r="G926" s="103"/>
      <c r="H926" s="135" t="s">
        <v>3803</v>
      </c>
      <c r="I926" s="2" t="s">
        <v>5806</v>
      </c>
      <c r="J926" s="2" t="s">
        <v>5967</v>
      </c>
      <c r="K926" s="2" t="s">
        <v>5970</v>
      </c>
      <c r="L926" s="2" t="s">
        <v>5840</v>
      </c>
      <c r="N926" s="1" t="s">
        <v>3010</v>
      </c>
    </row>
    <row r="927" spans="1:14" ht="116" x14ac:dyDescent="0.35">
      <c r="A927" s="121" t="s">
        <v>3798</v>
      </c>
      <c r="B927" s="99" t="s">
        <v>4937</v>
      </c>
      <c r="C927" s="121" t="str" cm="1">
        <f t="array" ref="C927:F927">_xlfn.TEXTSPLIT('איחוד שאלות'!$B927,"_")</f>
        <v>perception</v>
      </c>
      <c r="D927" s="99" t="str">
        <v>voting</v>
      </c>
      <c r="E927" s="99" t="str">
        <v>reason</v>
      </c>
      <c r="F927" s="99" t="str">
        <v>municipality</v>
      </c>
      <c r="G927" s="100"/>
      <c r="H927" s="136" t="s">
        <v>3803</v>
      </c>
      <c r="I927" s="2" t="s">
        <v>5844</v>
      </c>
      <c r="J927" s="2" t="s">
        <v>5967</v>
      </c>
      <c r="K927" s="2" t="s">
        <v>5935</v>
      </c>
      <c r="L927" s="2" t="s">
        <v>5970</v>
      </c>
      <c r="N927" s="1" t="s">
        <v>7364</v>
      </c>
    </row>
    <row r="928" spans="1:14" ht="72.5" x14ac:dyDescent="0.35">
      <c r="A928" s="113" t="s">
        <v>3799</v>
      </c>
      <c r="B928" s="102" t="s">
        <v>4938</v>
      </c>
      <c r="C928" s="123" t="str" cm="1">
        <f t="array" ref="C928:G928">_xlfn.TEXTSPLIT('איחוד שאלות'!$B928,"_")</f>
        <v>perception</v>
      </c>
      <c r="D928" s="102" t="str">
        <v>importance</v>
      </c>
      <c r="E928" s="102" t="str">
        <v>voting</v>
      </c>
      <c r="F928" s="102" t="str">
        <v>reason</v>
      </c>
      <c r="G928" s="103" t="str">
        <v>municipality</v>
      </c>
      <c r="H928" s="135" t="s">
        <v>3803</v>
      </c>
      <c r="I928" s="2" t="s">
        <v>5844</v>
      </c>
      <c r="J928" s="2" t="s">
        <v>5857</v>
      </c>
      <c r="K928" s="2" t="s">
        <v>5967</v>
      </c>
      <c r="L928" s="2" t="s">
        <v>5935</v>
      </c>
      <c r="M928" s="2" t="s">
        <v>5970</v>
      </c>
      <c r="N928" s="1" t="s">
        <v>7365</v>
      </c>
    </row>
    <row r="929" spans="1:14" ht="43.5" x14ac:dyDescent="0.35">
      <c r="A929" s="121" t="s">
        <v>2714</v>
      </c>
      <c r="B929" s="99" t="s">
        <v>4939</v>
      </c>
      <c r="C929" s="121" t="str" cm="1">
        <f t="array" ref="C929:F929">_xlfn.TEXTSPLIT('איחוד שאלות'!$B929,"_")</f>
        <v>behavior</v>
      </c>
      <c r="D929" s="99" t="str">
        <v>voting</v>
      </c>
      <c r="E929" s="99" t="str">
        <v>municipality</v>
      </c>
      <c r="F929" s="99" t="str">
        <v>sameasparliament</v>
      </c>
      <c r="G929" s="100"/>
      <c r="H929" s="136" t="s">
        <v>3803</v>
      </c>
      <c r="I929" s="2" t="s">
        <v>5806</v>
      </c>
      <c r="J929" s="2" t="s">
        <v>5967</v>
      </c>
      <c r="K929" s="2" t="s">
        <v>5970</v>
      </c>
      <c r="L929" s="2" t="s">
        <v>6357</v>
      </c>
      <c r="N929" s="1" t="s">
        <v>2714</v>
      </c>
    </row>
    <row r="930" spans="1:14" ht="72.5" x14ac:dyDescent="0.35">
      <c r="A930" s="113" t="s">
        <v>2716</v>
      </c>
      <c r="B930" s="102" t="s">
        <v>4940</v>
      </c>
      <c r="C930" s="123" t="str" cm="1">
        <f t="array" ref="C930:F930">_xlfn.TEXTSPLIT('איחוד שאלות'!$B930,"_")</f>
        <v>post</v>
      </c>
      <c r="D930" s="102" t="str">
        <v>behavior</v>
      </c>
      <c r="E930" s="102" t="str">
        <v>voting</v>
      </c>
      <c r="F930" s="102" t="str">
        <v>today</v>
      </c>
      <c r="G930" s="103"/>
      <c r="H930" s="135" t="s">
        <v>3803</v>
      </c>
      <c r="I930" s="2" t="s">
        <v>5763</v>
      </c>
      <c r="J930" s="2" t="s">
        <v>5806</v>
      </c>
      <c r="K930" s="2" t="s">
        <v>5967</v>
      </c>
      <c r="L930" s="2" t="s">
        <v>6288</v>
      </c>
      <c r="N930" s="1" t="s">
        <v>2716</v>
      </c>
    </row>
    <row r="931" spans="1:14" ht="72.5" x14ac:dyDescent="0.35">
      <c r="A931" s="121" t="s">
        <v>2757</v>
      </c>
      <c r="B931" s="99" t="s">
        <v>4941</v>
      </c>
      <c r="C931" s="121" t="str" cm="1">
        <f t="array" ref="C931:F931">_xlfn.TEXTSPLIT('איחוד שאלות'!$B931,"_")</f>
        <v>behavior</v>
      </c>
      <c r="D931" s="99" t="str">
        <v>voting</v>
      </c>
      <c r="E931" s="99" t="str">
        <v>consult</v>
      </c>
      <c r="F931" s="99" t="str">
        <v>partner</v>
      </c>
      <c r="G931" s="100"/>
      <c r="H931" s="136" t="s">
        <v>3803</v>
      </c>
      <c r="I931" s="2" t="s">
        <v>5806</v>
      </c>
      <c r="J931" s="2" t="s">
        <v>5967</v>
      </c>
      <c r="K931" s="2" t="s">
        <v>6365</v>
      </c>
      <c r="L931" s="2" t="s">
        <v>5772</v>
      </c>
      <c r="N931" s="1" t="s">
        <v>2757</v>
      </c>
    </row>
    <row r="932" spans="1:14" ht="101.5" x14ac:dyDescent="0.35">
      <c r="A932" s="113" t="s">
        <v>2759</v>
      </c>
      <c r="B932" s="102" t="s">
        <v>4942</v>
      </c>
      <c r="C932" s="123" t="str" cm="1">
        <f t="array" ref="C932:F932">_xlfn.TEXTSPLIT('איחוד שאלות'!$B932,"_")</f>
        <v>perception</v>
      </c>
      <c r="D932" s="102" t="str">
        <v>voting</v>
      </c>
      <c r="E932" s="102" t="str">
        <v>consult</v>
      </c>
      <c r="F932" s="102" t="str">
        <v>kippurwar</v>
      </c>
      <c r="G932" s="103"/>
      <c r="H932" s="135" t="s">
        <v>3803</v>
      </c>
      <c r="I932" s="2" t="s">
        <v>5844</v>
      </c>
      <c r="J932" s="2" t="s">
        <v>5967</v>
      </c>
      <c r="K932" s="2" t="s">
        <v>6365</v>
      </c>
      <c r="L932" s="2" t="s">
        <v>5960</v>
      </c>
      <c r="N932" s="1" t="s">
        <v>2759</v>
      </c>
    </row>
    <row r="933" spans="1:14" ht="58" x14ac:dyDescent="0.35">
      <c r="A933" s="121" t="s">
        <v>2761</v>
      </c>
      <c r="B933" s="99" t="s">
        <v>4943</v>
      </c>
      <c r="C933" s="121" t="str" cm="1">
        <f t="array" ref="C933:E933">_xlfn.TEXTSPLIT('איחוד שאלות'!$B933,"_")</f>
        <v>behavior</v>
      </c>
      <c r="D933" s="99" t="str">
        <v>voting</v>
      </c>
      <c r="E933" s="99" t="str">
        <v>husband</v>
      </c>
      <c r="F933" s="99"/>
      <c r="G933" s="100"/>
      <c r="H933" s="136" t="s">
        <v>3803</v>
      </c>
      <c r="I933" s="2" t="s">
        <v>5806</v>
      </c>
      <c r="J933" s="2" t="s">
        <v>5967</v>
      </c>
      <c r="K933" s="2" t="s">
        <v>5959</v>
      </c>
      <c r="N933" s="1" t="s">
        <v>2761</v>
      </c>
    </row>
    <row r="934" spans="1:14" ht="58" x14ac:dyDescent="0.35">
      <c r="A934" s="113" t="s">
        <v>2765</v>
      </c>
      <c r="B934" s="102" t="s">
        <v>4944</v>
      </c>
      <c r="C934" s="123" t="str" cm="1">
        <f t="array" ref="C934:E934">_xlfn.TEXTSPLIT('איחוד שאלות'!$B934,"_")</f>
        <v>perception</v>
      </c>
      <c r="D934" s="102" t="str">
        <v>voting</v>
      </c>
      <c r="E934" s="102" t="str">
        <v>efficacy</v>
      </c>
      <c r="F934" s="102"/>
      <c r="G934" s="103"/>
      <c r="H934" s="135" t="s">
        <v>3803</v>
      </c>
      <c r="I934" s="2" t="s">
        <v>5844</v>
      </c>
      <c r="J934" s="2" t="s">
        <v>5967</v>
      </c>
      <c r="K934" s="2" t="s">
        <v>6366</v>
      </c>
      <c r="N934" s="1" t="s">
        <v>2765</v>
      </c>
    </row>
    <row r="935" spans="1:14" ht="72.5" x14ac:dyDescent="0.35">
      <c r="A935" s="121" t="s">
        <v>2769</v>
      </c>
      <c r="B935" s="99" t="s">
        <v>4945</v>
      </c>
      <c r="C935" s="121" t="str" cm="1">
        <f t="array" ref="C935:G935">_xlfn.TEXTSPLIT('איחוד שאלות'!$B935,"_")</f>
        <v>perception</v>
      </c>
      <c r="D935" s="99" t="str">
        <v>voting</v>
      </c>
      <c r="E935" s="99" t="str">
        <v>notvoting</v>
      </c>
      <c r="F935" s="99" t="str">
        <v>opinion</v>
      </c>
      <c r="G935" s="100" t="str">
        <v>1</v>
      </c>
      <c r="H935" s="136" t="s">
        <v>3803</v>
      </c>
      <c r="I935" s="2" t="s">
        <v>5844</v>
      </c>
      <c r="J935" s="2" t="s">
        <v>5967</v>
      </c>
      <c r="K935" s="2" t="s">
        <v>6314</v>
      </c>
      <c r="L935" s="2" t="s">
        <v>5920</v>
      </c>
      <c r="M935" s="2" t="s">
        <v>5789</v>
      </c>
      <c r="N935" s="1" t="s">
        <v>2769</v>
      </c>
    </row>
    <row r="936" spans="1:14" ht="87" x14ac:dyDescent="0.35">
      <c r="A936" s="113" t="s">
        <v>3045</v>
      </c>
      <c r="B936" s="102" t="s">
        <v>4946</v>
      </c>
      <c r="C936" s="123" t="str" cm="1">
        <f t="array" ref="C936:G936">_xlfn.TEXTSPLIT('איחוד שאלות'!$B936,"_")</f>
        <v>perception</v>
      </c>
      <c r="D936" s="102" t="str">
        <v>voting</v>
      </c>
      <c r="E936" s="102" t="str">
        <v>notvoting</v>
      </c>
      <c r="F936" s="102" t="str">
        <v>opinion</v>
      </c>
      <c r="G936" s="103" t="str">
        <v>2</v>
      </c>
      <c r="H936" s="135" t="s">
        <v>3803</v>
      </c>
      <c r="I936" s="2" t="s">
        <v>5844</v>
      </c>
      <c r="J936" s="2" t="s">
        <v>5967</v>
      </c>
      <c r="K936" s="2" t="s">
        <v>6314</v>
      </c>
      <c r="L936" s="2" t="s">
        <v>5920</v>
      </c>
      <c r="M936" s="2" t="s">
        <v>5790</v>
      </c>
      <c r="N936" s="1" t="s">
        <v>3045</v>
      </c>
    </row>
    <row r="937" spans="1:14" ht="43.5" x14ac:dyDescent="0.35">
      <c r="A937" s="121" t="s">
        <v>2770</v>
      </c>
      <c r="B937" s="99" t="s">
        <v>4947</v>
      </c>
      <c r="C937" s="121" t="str" cm="1">
        <f t="array" ref="C937:E937">_xlfn.TEXTSPLIT('איחוד שאלות'!$B937,"_")</f>
        <v>perception</v>
      </c>
      <c r="D937" s="99" t="str">
        <v>importance</v>
      </c>
      <c r="E937" s="99" t="str">
        <v>voting</v>
      </c>
      <c r="F937" s="99"/>
      <c r="G937" s="100"/>
      <c r="H937" s="136" t="s">
        <v>3803</v>
      </c>
      <c r="I937" s="2" t="s">
        <v>5844</v>
      </c>
      <c r="J937" s="2" t="s">
        <v>5857</v>
      </c>
      <c r="K937" s="2" t="s">
        <v>5967</v>
      </c>
      <c r="N937" s="1" t="s">
        <v>2770</v>
      </c>
    </row>
    <row r="938" spans="1:14" ht="145" x14ac:dyDescent="0.35">
      <c r="A938" s="113" t="s">
        <v>2772</v>
      </c>
      <c r="B938" s="102" t="s">
        <v>4948</v>
      </c>
      <c r="C938" s="123" t="str" cm="1">
        <f t="array" ref="C938:G938">_xlfn.TEXTSPLIT('איחוד שאלות'!$B938,"_")</f>
        <v>perception</v>
      </c>
      <c r="D938" s="102" t="str">
        <v>voting</v>
      </c>
      <c r="E938" s="102" t="str">
        <v>notvoting</v>
      </c>
      <c r="F938" s="102" t="str">
        <v>opinion</v>
      </c>
      <c r="G938" s="103" t="str">
        <v>3</v>
      </c>
      <c r="H938" s="135" t="s">
        <v>3803</v>
      </c>
      <c r="I938" s="2" t="s">
        <v>5844</v>
      </c>
      <c r="J938" s="2" t="s">
        <v>5967</v>
      </c>
      <c r="K938" s="2" t="s">
        <v>6314</v>
      </c>
      <c r="L938" s="2" t="s">
        <v>5920</v>
      </c>
      <c r="M938" s="2" t="s">
        <v>5791</v>
      </c>
      <c r="N938" s="1" t="s">
        <v>2772</v>
      </c>
    </row>
    <row r="939" spans="1:14" ht="72.5" x14ac:dyDescent="0.35">
      <c r="A939" s="121" t="s">
        <v>2807</v>
      </c>
      <c r="B939" s="99" t="s">
        <v>4949</v>
      </c>
      <c r="C939" s="121" t="str" cm="1">
        <f t="array" ref="C939:G939">_xlfn.TEXTSPLIT('איחוד שאלות'!$B939,"_")</f>
        <v>behavior</v>
      </c>
      <c r="D939" s="99" t="str">
        <v>voting</v>
      </c>
      <c r="E939" s="99" t="str">
        <v>intention</v>
      </c>
      <c r="F939" s="99" t="str">
        <v>similarity</v>
      </c>
      <c r="G939" s="100" t="str">
        <v>lastelections</v>
      </c>
      <c r="H939" s="136" t="s">
        <v>3803</v>
      </c>
      <c r="I939" s="2" t="s">
        <v>5806</v>
      </c>
      <c r="J939" s="2" t="s">
        <v>5967</v>
      </c>
      <c r="K939" s="2" t="s">
        <v>6304</v>
      </c>
      <c r="L939" s="2" t="s">
        <v>5927</v>
      </c>
      <c r="M939" s="2" t="s">
        <v>5840</v>
      </c>
      <c r="N939" s="1" t="s">
        <v>2807</v>
      </c>
    </row>
    <row r="940" spans="1:14" ht="87" x14ac:dyDescent="0.35">
      <c r="A940" s="113" t="s">
        <v>2937</v>
      </c>
      <c r="B940" s="102" t="s">
        <v>4950</v>
      </c>
      <c r="C940" s="123" t="str" cm="1">
        <f t="array" ref="C940:G940">_xlfn.TEXTSPLIT('איחוד שאלות'!$B940,"_")</f>
        <v>perception</v>
      </c>
      <c r="D940" s="102" t="str">
        <v>voting</v>
      </c>
      <c r="E940" s="102" t="str">
        <v>similarity</v>
      </c>
      <c r="F940" s="102" t="str">
        <v>lastelections</v>
      </c>
      <c r="G940" s="103" t="str">
        <v>loyalty</v>
      </c>
      <c r="H940" s="135" t="s">
        <v>3803</v>
      </c>
      <c r="I940" s="2" t="s">
        <v>5844</v>
      </c>
      <c r="J940" s="2" t="s">
        <v>5967</v>
      </c>
      <c r="K940" s="2" t="s">
        <v>5927</v>
      </c>
      <c r="L940" s="2" t="s">
        <v>5840</v>
      </c>
      <c r="M940" s="2" t="s">
        <v>6367</v>
      </c>
      <c r="N940" s="1" t="s">
        <v>2937</v>
      </c>
    </row>
    <row r="941" spans="1:14" ht="58" x14ac:dyDescent="0.35">
      <c r="A941" s="121" t="s">
        <v>2940</v>
      </c>
      <c r="B941" s="99" t="s">
        <v>4951</v>
      </c>
      <c r="C941" s="121" t="str" cm="1">
        <f t="array" ref="C941:G941">_xlfn.TEXTSPLIT('איחוד שאלות'!$B941,"_")</f>
        <v>perception</v>
      </c>
      <c r="D941" s="99" t="str">
        <v>voting</v>
      </c>
      <c r="E941" s="99" t="str">
        <v>similarity</v>
      </c>
      <c r="F941" s="99" t="str">
        <v>lastelections</v>
      </c>
      <c r="G941" s="100" t="str">
        <v>reason</v>
      </c>
      <c r="H941" s="136" t="s">
        <v>3803</v>
      </c>
      <c r="I941" s="2" t="s">
        <v>5844</v>
      </c>
      <c r="J941" s="2" t="s">
        <v>5967</v>
      </c>
      <c r="K941" s="2" t="s">
        <v>5927</v>
      </c>
      <c r="L941" s="2" t="s">
        <v>5840</v>
      </c>
      <c r="M941" s="2" t="s">
        <v>5935</v>
      </c>
      <c r="N941" s="1" t="s">
        <v>2940</v>
      </c>
    </row>
    <row r="942" spans="1:14" ht="29" x14ac:dyDescent="0.35">
      <c r="A942" s="113" t="s">
        <v>2844</v>
      </c>
      <c r="B942" s="102" t="s">
        <v>4952</v>
      </c>
      <c r="C942" s="123" t="str" cm="1">
        <f t="array" ref="C942:E942">_xlfn.TEXTSPLIT('איחוד שאלות'!$B942,"_")</f>
        <v>behavior</v>
      </c>
      <c r="D942" s="102" t="str">
        <v>voting</v>
      </c>
      <c r="E942" s="102" t="str">
        <v>othercountry</v>
      </c>
      <c r="F942" s="102"/>
      <c r="G942" s="103"/>
      <c r="H942" s="135" t="s">
        <v>3803</v>
      </c>
      <c r="I942" s="2" t="s">
        <v>5806</v>
      </c>
      <c r="J942" s="2" t="s">
        <v>5967</v>
      </c>
      <c r="K942" s="2" t="s">
        <v>6368</v>
      </c>
      <c r="N942" s="1" t="s">
        <v>2844</v>
      </c>
    </row>
    <row r="943" spans="1:14" ht="58" x14ac:dyDescent="0.35">
      <c r="A943" s="121" t="s">
        <v>2845</v>
      </c>
      <c r="B943" s="99" t="s">
        <v>4953</v>
      </c>
      <c r="C943" s="121" t="str" cm="1">
        <f t="array" ref="C943:F943">_xlfn.TEXTSPLIT('איחוד שאלות'!$B943,"_")</f>
        <v>perception</v>
      </c>
      <c r="D943" s="99" t="str">
        <v>voting</v>
      </c>
      <c r="E943" s="99" t="str">
        <v>othercountry</v>
      </c>
      <c r="F943" s="99" t="str">
        <v>difference</v>
      </c>
      <c r="G943" s="100"/>
      <c r="H943" s="136" t="s">
        <v>3803</v>
      </c>
      <c r="I943" s="2" t="s">
        <v>5844</v>
      </c>
      <c r="J943" s="2" t="s">
        <v>5967</v>
      </c>
      <c r="K943" s="2" t="s">
        <v>6368</v>
      </c>
      <c r="L943" s="2" t="s">
        <v>6024</v>
      </c>
      <c r="N943" s="1" t="s">
        <v>2845</v>
      </c>
    </row>
    <row r="944" spans="1:14" ht="87" x14ac:dyDescent="0.35">
      <c r="A944" s="113" t="s">
        <v>3800</v>
      </c>
      <c r="B944" s="102" t="s">
        <v>4954</v>
      </c>
      <c r="C944" s="123" t="str" cm="1">
        <f t="array" ref="C944:G944">_xlfn.TEXTSPLIT('איחוד שאלות'!$B944,"_")</f>
        <v>perception</v>
      </c>
      <c r="D944" s="102" t="str">
        <v>problem</v>
      </c>
      <c r="E944" s="102" t="str">
        <v>hierarchy</v>
      </c>
      <c r="F944" s="102" t="str">
        <v>1</v>
      </c>
      <c r="G944" s="103" t="str">
        <v>voting</v>
      </c>
      <c r="H944" s="135" t="s">
        <v>3803</v>
      </c>
      <c r="I944" s="2" t="s">
        <v>5844</v>
      </c>
      <c r="J944" s="2" t="s">
        <v>5849</v>
      </c>
      <c r="K944" s="2" t="s">
        <v>5788</v>
      </c>
      <c r="L944" s="2" t="s">
        <v>5789</v>
      </c>
      <c r="M944" s="2" t="s">
        <v>5967</v>
      </c>
      <c r="N944" s="1" t="s">
        <v>7366</v>
      </c>
    </row>
    <row r="945" spans="1:14" ht="87" x14ac:dyDescent="0.35">
      <c r="A945" s="121" t="s">
        <v>3801</v>
      </c>
      <c r="B945" s="99" t="s">
        <v>4955</v>
      </c>
      <c r="C945" s="121" t="str" cm="1">
        <f t="array" ref="C945:G945">_xlfn.TEXTSPLIT('איחוד שאלות'!$B945,"_")</f>
        <v>perception</v>
      </c>
      <c r="D945" s="99" t="str">
        <v>problem</v>
      </c>
      <c r="E945" s="99" t="str">
        <v>hierarchy</v>
      </c>
      <c r="F945" s="99" t="str">
        <v>2</v>
      </c>
      <c r="G945" s="100" t="str">
        <v>voting</v>
      </c>
      <c r="H945" s="136" t="s">
        <v>3803</v>
      </c>
      <c r="I945" s="2" t="s">
        <v>5844</v>
      </c>
      <c r="J945" s="2" t="s">
        <v>5849</v>
      </c>
      <c r="K945" s="2" t="s">
        <v>5788</v>
      </c>
      <c r="L945" s="2" t="s">
        <v>5790</v>
      </c>
      <c r="M945" s="2" t="s">
        <v>5967</v>
      </c>
      <c r="N945" s="1" t="s">
        <v>7367</v>
      </c>
    </row>
    <row r="946" spans="1:14" ht="43.5" x14ac:dyDescent="0.35">
      <c r="A946" s="113" t="s">
        <v>2888</v>
      </c>
      <c r="B946" s="102" t="s">
        <v>4956</v>
      </c>
      <c r="C946" s="123" t="str" cm="1">
        <f t="array" ref="C946:F946">_xlfn.TEXTSPLIT('איחוד שאלות'!$B946,"_")</f>
        <v>perception</v>
      </c>
      <c r="D946" s="102" t="str">
        <v>voting</v>
      </c>
      <c r="E946" s="102" t="str">
        <v>influence</v>
      </c>
      <c r="F946" s="102" t="str">
        <v>likud</v>
      </c>
      <c r="G946" s="103"/>
      <c r="H946" s="135" t="s">
        <v>3803</v>
      </c>
      <c r="I946" s="2" t="s">
        <v>5844</v>
      </c>
      <c r="J946" s="2" t="s">
        <v>5967</v>
      </c>
      <c r="K946" s="2" t="s">
        <v>5968</v>
      </c>
      <c r="L946" s="2" t="s">
        <v>6030</v>
      </c>
      <c r="N946" s="1" t="s">
        <v>2888</v>
      </c>
    </row>
    <row r="947" spans="1:14" ht="58" x14ac:dyDescent="0.35">
      <c r="A947" s="121" t="s">
        <v>3802</v>
      </c>
      <c r="B947" s="99" t="s">
        <v>4957</v>
      </c>
      <c r="C947" s="121" t="str" cm="1">
        <f t="array" ref="C947:F947">_xlfn.TEXTSPLIT('איחוד שאלות'!$B947,"_")</f>
        <v>perception</v>
      </c>
      <c r="D947" s="99" t="str">
        <v>voting</v>
      </c>
      <c r="E947" s="99" t="str">
        <v>decision</v>
      </c>
      <c r="F947" s="99" t="str">
        <v>campaign</v>
      </c>
      <c r="G947" s="100"/>
      <c r="H947" s="136" t="s">
        <v>3803</v>
      </c>
      <c r="I947" s="2" t="s">
        <v>5844</v>
      </c>
      <c r="J947" s="2" t="s">
        <v>5967</v>
      </c>
      <c r="K947" s="2" t="s">
        <v>5928</v>
      </c>
      <c r="L947" s="2" t="s">
        <v>6369</v>
      </c>
      <c r="N947" s="1" t="s">
        <v>7368</v>
      </c>
    </row>
    <row r="948" spans="1:14" ht="87" x14ac:dyDescent="0.35">
      <c r="A948" s="113" t="s">
        <v>3168</v>
      </c>
      <c r="B948" s="102" t="s">
        <v>4958</v>
      </c>
      <c r="C948" s="123" t="str" cm="1">
        <f t="array" ref="C948:F948">_xlfn.TEXTSPLIT('איחוד שאלות'!$B948,"_")</f>
        <v>perception</v>
      </c>
      <c r="D948" s="102" t="str">
        <v>voting</v>
      </c>
      <c r="E948" s="102" t="str">
        <v>saliency</v>
      </c>
      <c r="F948" s="102" t="str">
        <v>sitwithnetanyahu</v>
      </c>
      <c r="G948" s="103"/>
      <c r="H948" s="135" t="s">
        <v>3803</v>
      </c>
      <c r="I948" s="2" t="s">
        <v>5844</v>
      </c>
      <c r="J948" s="2" t="s">
        <v>5967</v>
      </c>
      <c r="K948" s="2" t="s">
        <v>6139</v>
      </c>
      <c r="L948" s="2" t="s">
        <v>6370</v>
      </c>
      <c r="N948" s="1" t="s">
        <v>3168</v>
      </c>
    </row>
    <row r="949" spans="1:14" ht="29" x14ac:dyDescent="0.35">
      <c r="A949" s="151" t="s">
        <v>1254</v>
      </c>
      <c r="B949" s="99" t="s">
        <v>4986</v>
      </c>
      <c r="C949" s="121" t="str" cm="1">
        <f t="array" ref="C949:F949">_xlfn.TEXTSPLIT('איחוד שאלות'!$B949,"_")</f>
        <v>perception</v>
      </c>
      <c r="D949" s="99" t="str">
        <v>expectation</v>
      </c>
      <c r="E949" s="99" t="str">
        <v>direct</v>
      </c>
      <c r="F949" s="99" t="str">
        <v>win</v>
      </c>
      <c r="G949" s="100"/>
      <c r="H949" s="136" t="s">
        <v>3307</v>
      </c>
      <c r="I949" s="2" t="s">
        <v>5844</v>
      </c>
      <c r="J949" s="2" t="s">
        <v>5850</v>
      </c>
      <c r="K949" s="2" t="s">
        <v>6289</v>
      </c>
      <c r="L949" s="2" t="s">
        <v>6371</v>
      </c>
      <c r="N949" s="1" t="s">
        <v>1254</v>
      </c>
    </row>
    <row r="950" spans="1:14" ht="43.5" x14ac:dyDescent="0.35">
      <c r="A950" s="113" t="s">
        <v>1289</v>
      </c>
      <c r="B950" s="102" t="s">
        <v>4987</v>
      </c>
      <c r="C950" s="123" t="str" cm="1">
        <f t="array" ref="C950:F950">_xlfn.TEXTSPLIT('איחוד שאלות'!$B950,"_")</f>
        <v>perception</v>
      </c>
      <c r="D950" s="102" t="str">
        <v>expectation</v>
      </c>
      <c r="E950" s="102" t="str">
        <v>direct</v>
      </c>
      <c r="F950" s="102" t="str">
        <v>secondround</v>
      </c>
      <c r="G950" s="103"/>
      <c r="H950" s="135" t="s">
        <v>3307</v>
      </c>
      <c r="I950" s="2" t="s">
        <v>5844</v>
      </c>
      <c r="J950" s="2" t="s">
        <v>5850</v>
      </c>
      <c r="K950" s="2" t="s">
        <v>6289</v>
      </c>
      <c r="L950" s="2" t="s">
        <v>6372</v>
      </c>
      <c r="N950" s="1" t="s">
        <v>1289</v>
      </c>
    </row>
    <row r="951" spans="1:14" ht="58" x14ac:dyDescent="0.35">
      <c r="A951" s="121" t="s">
        <v>794</v>
      </c>
      <c r="B951" s="99" t="s">
        <v>4988</v>
      </c>
      <c r="C951" s="121" t="str" cm="1">
        <f t="array" ref="C951:F951">_xlfn.TEXTSPLIT('איחוד שאלות'!$B951,"_")</f>
        <v>perception</v>
      </c>
      <c r="D951" s="99" t="str">
        <v>expectation</v>
      </c>
      <c r="E951" s="99" t="str">
        <v>primeminister</v>
      </c>
      <c r="F951" s="99" t="str">
        <v>livni</v>
      </c>
      <c r="G951" s="100"/>
      <c r="H951" s="136" t="s">
        <v>3307</v>
      </c>
      <c r="I951" s="2" t="s">
        <v>5844</v>
      </c>
      <c r="J951" s="2" t="s">
        <v>5850</v>
      </c>
      <c r="K951" s="2" t="s">
        <v>6283</v>
      </c>
      <c r="L951" s="2" t="s">
        <v>6090</v>
      </c>
      <c r="N951" s="1" t="s">
        <v>794</v>
      </c>
    </row>
    <row r="952" spans="1:14" ht="58" x14ac:dyDescent="0.35">
      <c r="A952" s="113" t="s">
        <v>795</v>
      </c>
      <c r="B952" s="102" t="s">
        <v>4989</v>
      </c>
      <c r="C952" s="123" t="str" cm="1">
        <f t="array" ref="C952:F952">_xlfn.TEXTSPLIT('איחוד שאלות'!$B952,"_")</f>
        <v>perception</v>
      </c>
      <c r="D952" s="102" t="str">
        <v>expectation</v>
      </c>
      <c r="E952" s="102" t="str">
        <v>primeminister</v>
      </c>
      <c r="F952" s="102" t="str">
        <v>netanyahu</v>
      </c>
      <c r="G952" s="103"/>
      <c r="H952" s="135" t="s">
        <v>3307</v>
      </c>
      <c r="I952" s="2" t="s">
        <v>5844</v>
      </c>
      <c r="J952" s="2" t="s">
        <v>5850</v>
      </c>
      <c r="K952" s="2" t="s">
        <v>6283</v>
      </c>
      <c r="L952" s="2" t="s">
        <v>6072</v>
      </c>
      <c r="N952" s="1" t="s">
        <v>795</v>
      </c>
    </row>
    <row r="953" spans="1:14" ht="58" x14ac:dyDescent="0.35">
      <c r="A953" s="121" t="s">
        <v>796</v>
      </c>
      <c r="B953" s="99" t="s">
        <v>4990</v>
      </c>
      <c r="C953" s="121" t="str" cm="1">
        <f t="array" ref="C953:F953">_xlfn.TEXTSPLIT('איחוד שאלות'!$B953,"_")</f>
        <v>perception</v>
      </c>
      <c r="D953" s="99" t="str">
        <v>expectation</v>
      </c>
      <c r="E953" s="99" t="str">
        <v>primeminister</v>
      </c>
      <c r="F953" s="99" t="str">
        <v>barak</v>
      </c>
      <c r="G953" s="100"/>
      <c r="H953" s="136" t="s">
        <v>3307</v>
      </c>
      <c r="I953" s="2" t="s">
        <v>5844</v>
      </c>
      <c r="J953" s="2" t="s">
        <v>5850</v>
      </c>
      <c r="K953" s="2" t="s">
        <v>6283</v>
      </c>
      <c r="L953" s="2" t="s">
        <v>6087</v>
      </c>
      <c r="N953" s="1" t="s">
        <v>796</v>
      </c>
    </row>
    <row r="954" spans="1:14" ht="58" x14ac:dyDescent="0.35">
      <c r="A954" s="113" t="s">
        <v>1624</v>
      </c>
      <c r="B954" s="102" t="s">
        <v>4991</v>
      </c>
      <c r="C954" s="123" t="str" cm="1">
        <f t="array" ref="C954:F954">_xlfn.TEXTSPLIT('איחוד שאלות'!$B954,"_")</f>
        <v>perception</v>
      </c>
      <c r="D954" s="102" t="str">
        <v>expectation</v>
      </c>
      <c r="E954" s="102" t="str">
        <v>party</v>
      </c>
      <c r="F954" s="102" t="str">
        <v>biggest</v>
      </c>
      <c r="G954" s="103"/>
      <c r="H954" s="135" t="s">
        <v>3307</v>
      </c>
      <c r="I954" s="2" t="s">
        <v>5844</v>
      </c>
      <c r="J954" s="2" t="s">
        <v>5850</v>
      </c>
      <c r="K954" s="2" t="s">
        <v>5853</v>
      </c>
      <c r="L954" s="2" t="s">
        <v>6373</v>
      </c>
      <c r="N954" s="1" t="s">
        <v>1624</v>
      </c>
    </row>
    <row r="955" spans="1:14" ht="43.5" x14ac:dyDescent="0.35">
      <c r="A955" s="121" t="s">
        <v>1773</v>
      </c>
      <c r="B955" s="99" t="s">
        <v>4992</v>
      </c>
      <c r="C955" s="121" t="str" cm="1">
        <f t="array" ref="C955:E955">_xlfn.TEXTSPLIT('איחוד שאלות'!$B955,"_")</f>
        <v>preference</v>
      </c>
      <c r="D955" s="99" t="str">
        <v>party</v>
      </c>
      <c r="E955" s="99" t="str">
        <v>government</v>
      </c>
      <c r="F955" s="99"/>
      <c r="G955" s="100"/>
      <c r="H955" s="136" t="s">
        <v>3307</v>
      </c>
      <c r="I955" s="2" t="s">
        <v>5856</v>
      </c>
      <c r="J955" s="2" t="s">
        <v>5853</v>
      </c>
      <c r="K955" s="2" t="s">
        <v>5848</v>
      </c>
      <c r="N955" s="1" t="s">
        <v>1773</v>
      </c>
    </row>
    <row r="956" spans="1:14" ht="72.5" x14ac:dyDescent="0.35">
      <c r="A956" s="113" t="s">
        <v>2355</v>
      </c>
      <c r="B956" s="102" t="s">
        <v>4992</v>
      </c>
      <c r="C956" s="123" t="str" cm="1">
        <f t="array" ref="C956:E956">_xlfn.TEXTSPLIT('איחוד שאלות'!$B956,"_")</f>
        <v>preference</v>
      </c>
      <c r="D956" s="102" t="str">
        <v>party</v>
      </c>
      <c r="E956" s="102" t="str">
        <v>government</v>
      </c>
      <c r="F956" s="102"/>
      <c r="G956" s="103"/>
      <c r="H956" s="135" t="s">
        <v>3307</v>
      </c>
      <c r="I956" s="2" t="s">
        <v>5856</v>
      </c>
      <c r="J956" s="2" t="s">
        <v>5853</v>
      </c>
      <c r="K956" s="2" t="s">
        <v>5848</v>
      </c>
      <c r="N956" s="1" t="s">
        <v>2355</v>
      </c>
    </row>
    <row r="957" spans="1:14" ht="58" x14ac:dyDescent="0.35">
      <c r="A957" s="121" t="s">
        <v>2353</v>
      </c>
      <c r="B957" s="99" t="s">
        <v>4993</v>
      </c>
      <c r="C957" s="121" t="str" cm="1">
        <f t="array" ref="C957:F957">_xlfn.TEXTSPLIT('איחוד שאלות'!$B957,"_")</f>
        <v>perception</v>
      </c>
      <c r="D957" s="99" t="str">
        <v>expectation</v>
      </c>
      <c r="E957" s="99" t="str">
        <v>party</v>
      </c>
      <c r="F957" s="99" t="str">
        <v>government</v>
      </c>
      <c r="G957" s="100"/>
      <c r="H957" s="136" t="s">
        <v>3307</v>
      </c>
      <c r="I957" s="2" t="s">
        <v>5844</v>
      </c>
      <c r="J957" s="2" t="s">
        <v>5850</v>
      </c>
      <c r="K957" s="2" t="s">
        <v>5853</v>
      </c>
      <c r="L957" s="2" t="s">
        <v>5848</v>
      </c>
      <c r="N957" s="1" t="s">
        <v>2353</v>
      </c>
    </row>
    <row r="958" spans="1:14" ht="58" x14ac:dyDescent="0.35">
      <c r="A958" s="113" t="s">
        <v>3804</v>
      </c>
      <c r="B958" s="102" t="s">
        <v>4994</v>
      </c>
      <c r="C958" s="123" t="str" cm="1">
        <f t="array" ref="C958:F958">_xlfn.TEXTSPLIT('איחוד שאלות'!$B958,"_")</f>
        <v>perception</v>
      </c>
      <c r="D958" s="102" t="str">
        <v>expectation</v>
      </c>
      <c r="E958" s="102" t="str">
        <v>coalition</v>
      </c>
      <c r="F958" s="102" t="str">
        <v>kadima</v>
      </c>
      <c r="G958" s="103"/>
      <c r="H958" s="135" t="s">
        <v>3307</v>
      </c>
      <c r="I958" s="139" t="s">
        <v>5844</v>
      </c>
      <c r="J958" s="2" t="s">
        <v>5850</v>
      </c>
      <c r="K958" s="2" t="s">
        <v>6374</v>
      </c>
      <c r="L958" s="2" t="s">
        <v>6032</v>
      </c>
      <c r="N958" s="1" t="s">
        <v>7369</v>
      </c>
    </row>
    <row r="959" spans="1:14" ht="58" x14ac:dyDescent="0.35">
      <c r="A959" s="121" t="s">
        <v>3805</v>
      </c>
      <c r="B959" s="99" t="s">
        <v>4995</v>
      </c>
      <c r="C959" s="121" t="str" cm="1">
        <f t="array" ref="C959:F959">_xlfn.TEXTSPLIT('איחוד שאלות'!$B959,"_")</f>
        <v>perception</v>
      </c>
      <c r="D959" s="99" t="str">
        <v>expectation</v>
      </c>
      <c r="E959" s="99" t="str">
        <v>coalition</v>
      </c>
      <c r="F959" s="99" t="str">
        <v>haavoda</v>
      </c>
      <c r="G959" s="100"/>
      <c r="H959" s="136" t="s">
        <v>3307</v>
      </c>
      <c r="I959" s="141" t="s">
        <v>5844</v>
      </c>
      <c r="J959" s="2" t="s">
        <v>5850</v>
      </c>
      <c r="K959" s="2" t="s">
        <v>6374</v>
      </c>
      <c r="L959" s="2" t="s">
        <v>6031</v>
      </c>
      <c r="N959" s="1" t="s">
        <v>7370</v>
      </c>
    </row>
    <row r="960" spans="1:14" ht="58" x14ac:dyDescent="0.35">
      <c r="A960" s="113" t="s">
        <v>3806</v>
      </c>
      <c r="B960" s="102" t="s">
        <v>4996</v>
      </c>
      <c r="C960" s="123" t="str" cm="1">
        <f t="array" ref="C960:F960">_xlfn.TEXTSPLIT('איחוד שאלות'!$B960,"_")</f>
        <v>perception</v>
      </c>
      <c r="D960" s="102" t="str">
        <v>expectation</v>
      </c>
      <c r="E960" s="102" t="str">
        <v>coalition</v>
      </c>
      <c r="F960" s="102" t="str">
        <v>likud</v>
      </c>
      <c r="G960" s="103"/>
      <c r="H960" s="135" t="s">
        <v>3307</v>
      </c>
      <c r="I960" s="139" t="s">
        <v>5844</v>
      </c>
      <c r="J960" s="2" t="s">
        <v>5850</v>
      </c>
      <c r="K960" s="2" t="s">
        <v>6374</v>
      </c>
      <c r="L960" s="2" t="s">
        <v>6030</v>
      </c>
      <c r="N960" s="1" t="s">
        <v>7371</v>
      </c>
    </row>
    <row r="961" spans="1:14" ht="43.5" x14ac:dyDescent="0.35">
      <c r="A961" s="121" t="s">
        <v>3807</v>
      </c>
      <c r="B961" s="99" t="s">
        <v>4997</v>
      </c>
      <c r="C961" s="121" t="str" cm="1">
        <f t="array" ref="C961:F961">_xlfn.TEXTSPLIT('איחוד שאלות'!$B961,"_")</f>
        <v>perception</v>
      </c>
      <c r="D961" s="99" t="str">
        <v>expectation</v>
      </c>
      <c r="E961" s="99" t="str">
        <v>coalition</v>
      </c>
      <c r="F961" s="99" t="str">
        <v>meretz</v>
      </c>
      <c r="G961" s="100"/>
      <c r="H961" s="136" t="s">
        <v>3307</v>
      </c>
      <c r="I961" s="141" t="s">
        <v>5844</v>
      </c>
      <c r="J961" s="2" t="s">
        <v>5850</v>
      </c>
      <c r="K961" s="2" t="s">
        <v>6374</v>
      </c>
      <c r="L961" s="2" t="s">
        <v>6036</v>
      </c>
      <c r="N961" s="1" t="s">
        <v>7372</v>
      </c>
    </row>
    <row r="962" spans="1:14" ht="58" x14ac:dyDescent="0.35">
      <c r="A962" s="113" t="s">
        <v>3808</v>
      </c>
      <c r="B962" s="102" t="s">
        <v>4998</v>
      </c>
      <c r="C962" s="123" t="str" cm="1">
        <f t="array" ref="C962:F962">_xlfn.TEXTSPLIT('איחוד שאלות'!$B962,"_")</f>
        <v>perception</v>
      </c>
      <c r="D962" s="102" t="str">
        <v>expectation</v>
      </c>
      <c r="E962" s="102" t="str">
        <v>coalition</v>
      </c>
      <c r="F962" s="102" t="str">
        <v>habayithayehudi</v>
      </c>
      <c r="G962" s="103"/>
      <c r="H962" s="135" t="s">
        <v>3307</v>
      </c>
      <c r="I962" s="139" t="s">
        <v>5844</v>
      </c>
      <c r="J962" s="2" t="s">
        <v>5850</v>
      </c>
      <c r="K962" s="2" t="s">
        <v>6374</v>
      </c>
      <c r="L962" s="2" t="s">
        <v>6034</v>
      </c>
      <c r="N962" s="1" t="s">
        <v>7373</v>
      </c>
    </row>
    <row r="963" spans="1:14" ht="43.5" x14ac:dyDescent="0.35">
      <c r="A963" s="121" t="s">
        <v>3809</v>
      </c>
      <c r="B963" s="99" t="s">
        <v>4999</v>
      </c>
      <c r="C963" s="121" t="str" cm="1">
        <f t="array" ref="C963:F963">_xlfn.TEXTSPLIT('איחוד שאלות'!$B963,"_")</f>
        <v>perception</v>
      </c>
      <c r="D963" s="99" t="str">
        <v>expectation</v>
      </c>
      <c r="E963" s="99" t="str">
        <v>coalition</v>
      </c>
      <c r="F963" s="99" t="str">
        <v>shinui</v>
      </c>
      <c r="G963" s="100"/>
      <c r="H963" s="136" t="s">
        <v>3307</v>
      </c>
      <c r="I963" s="141" t="s">
        <v>5844</v>
      </c>
      <c r="J963" s="2" t="s">
        <v>5850</v>
      </c>
      <c r="K963" s="2" t="s">
        <v>6374</v>
      </c>
      <c r="L963" s="2" t="s">
        <v>6049</v>
      </c>
      <c r="N963" s="1" t="s">
        <v>7374</v>
      </c>
    </row>
    <row r="964" spans="1:14" ht="58" x14ac:dyDescent="0.35">
      <c r="A964" s="113" t="s">
        <v>3810</v>
      </c>
      <c r="B964" s="102" t="s">
        <v>5000</v>
      </c>
      <c r="C964" s="123" t="str" cm="1">
        <f t="array" ref="C964:F964">_xlfn.TEXTSPLIT('איחוד שאלות'!$B964,"_")</f>
        <v>perception</v>
      </c>
      <c r="D964" s="102" t="str">
        <v>expectation</v>
      </c>
      <c r="E964" s="102" t="str">
        <v>coalition</v>
      </c>
      <c r="F964" s="102" t="str">
        <v>haihudhaleumi</v>
      </c>
      <c r="G964" s="103"/>
      <c r="H964" s="135" t="s">
        <v>3307</v>
      </c>
      <c r="I964" s="139" t="s">
        <v>5844</v>
      </c>
      <c r="J964" s="2" t="s">
        <v>5850</v>
      </c>
      <c r="K964" s="2" t="s">
        <v>6374</v>
      </c>
      <c r="L964" s="2" t="s">
        <v>6375</v>
      </c>
      <c r="N964" s="1" t="s">
        <v>7375</v>
      </c>
    </row>
    <row r="965" spans="1:14" ht="43.5" x14ac:dyDescent="0.35">
      <c r="A965" s="121" t="s">
        <v>3811</v>
      </c>
      <c r="B965" s="99" t="s">
        <v>5001</v>
      </c>
      <c r="C965" s="121" t="str" cm="1">
        <f t="array" ref="C965:F965">_xlfn.TEXTSPLIT('איחוד שאלות'!$B965,"_")</f>
        <v>perception</v>
      </c>
      <c r="D965" s="99" t="str">
        <v>expectation</v>
      </c>
      <c r="E965" s="99" t="str">
        <v>coalition</v>
      </c>
      <c r="F965" s="99" t="str">
        <v>shas</v>
      </c>
      <c r="G965" s="100"/>
      <c r="H965" s="136" t="s">
        <v>3307</v>
      </c>
      <c r="I965" s="141" t="s">
        <v>5844</v>
      </c>
      <c r="J965" s="2" t="s">
        <v>5850</v>
      </c>
      <c r="K965" s="2" t="s">
        <v>6374</v>
      </c>
      <c r="L965" s="2" t="s">
        <v>6033</v>
      </c>
      <c r="N965" s="1" t="s">
        <v>7376</v>
      </c>
    </row>
    <row r="966" spans="1:14" ht="58" x14ac:dyDescent="0.35">
      <c r="A966" s="113" t="s">
        <v>3812</v>
      </c>
      <c r="B966" s="102" t="s">
        <v>5002</v>
      </c>
      <c r="C966" s="123" t="str" cm="1">
        <f t="array" ref="C966:F966">_xlfn.TEXTSPLIT('איחוד שאלות'!$B966,"_")</f>
        <v>perception</v>
      </c>
      <c r="D966" s="102" t="str">
        <v>expectation</v>
      </c>
      <c r="E966" s="102" t="str">
        <v>coalition</v>
      </c>
      <c r="F966" s="102" t="str">
        <v>yisraelbaaliyah</v>
      </c>
      <c r="G966" s="103"/>
      <c r="H966" s="135" t="s">
        <v>3307</v>
      </c>
      <c r="I966" s="139" t="s">
        <v>5844</v>
      </c>
      <c r="J966" s="2" t="s">
        <v>5850</v>
      </c>
      <c r="K966" s="2" t="s">
        <v>6374</v>
      </c>
      <c r="L966" s="2" t="s">
        <v>6053</v>
      </c>
      <c r="N966" s="1" t="s">
        <v>7377</v>
      </c>
    </row>
    <row r="967" spans="1:14" ht="58" x14ac:dyDescent="0.35">
      <c r="A967" s="121" t="s">
        <v>3813</v>
      </c>
      <c r="B967" s="99" t="s">
        <v>5003</v>
      </c>
      <c r="C967" s="121" t="str" cm="1">
        <f t="array" ref="C967:F967">_xlfn.TEXTSPLIT('איחוד שאלות'!$B967,"_")</f>
        <v>perception</v>
      </c>
      <c r="D967" s="99" t="str">
        <v>expectation</v>
      </c>
      <c r="E967" s="99" t="str">
        <v>coalition</v>
      </c>
      <c r="F967" s="99" t="str">
        <v>votingparty</v>
      </c>
      <c r="G967" s="100"/>
      <c r="H967" s="136" t="s">
        <v>3307</v>
      </c>
      <c r="I967" s="141" t="s">
        <v>5844</v>
      </c>
      <c r="J967" s="2" t="s">
        <v>5850</v>
      </c>
      <c r="K967" s="2" t="s">
        <v>6374</v>
      </c>
      <c r="L967" s="2" t="s">
        <v>6376</v>
      </c>
      <c r="N967" s="1" t="s">
        <v>7378</v>
      </c>
    </row>
    <row r="968" spans="1:14" ht="43.5" x14ac:dyDescent="0.35">
      <c r="A968" s="113" t="s">
        <v>3814</v>
      </c>
      <c r="B968" s="102" t="s">
        <v>5004</v>
      </c>
      <c r="C968" s="123" t="str" cm="1">
        <f t="array" ref="C968:F968">_xlfn.TEXTSPLIT('איחוד שאלות'!$B968,"_")</f>
        <v>perception</v>
      </c>
      <c r="D968" s="102" t="str">
        <v>expectation</v>
      </c>
      <c r="E968" s="102" t="str">
        <v>sits</v>
      </c>
      <c r="F968" s="102" t="str">
        <v>kadima</v>
      </c>
      <c r="G968" s="103"/>
      <c r="H968" s="135" t="s">
        <v>3307</v>
      </c>
      <c r="I968" s="139" t="s">
        <v>5844</v>
      </c>
      <c r="J968" s="2" t="s">
        <v>5850</v>
      </c>
      <c r="K968" s="2" t="s">
        <v>6377</v>
      </c>
      <c r="L968" s="2" t="s">
        <v>6032</v>
      </c>
      <c r="N968" s="1" t="s">
        <v>7379</v>
      </c>
    </row>
    <row r="969" spans="1:14" ht="43.5" x14ac:dyDescent="0.35">
      <c r="A969" s="121" t="s">
        <v>3815</v>
      </c>
      <c r="B969" s="99" t="s">
        <v>5005</v>
      </c>
      <c r="C969" s="121" t="str" cm="1">
        <f t="array" ref="C969:F969">_xlfn.TEXTSPLIT('איחוד שאלות'!$B969,"_")</f>
        <v>perception</v>
      </c>
      <c r="D969" s="99" t="str">
        <v>expectation</v>
      </c>
      <c r="E969" s="99" t="str">
        <v>sits</v>
      </c>
      <c r="F969" s="99" t="str">
        <v>haavoda</v>
      </c>
      <c r="G969" s="100"/>
      <c r="H969" s="136" t="s">
        <v>3307</v>
      </c>
      <c r="I969" s="141" t="s">
        <v>5844</v>
      </c>
      <c r="J969" s="2" t="s">
        <v>5850</v>
      </c>
      <c r="K969" s="2" t="s">
        <v>6377</v>
      </c>
      <c r="L969" s="2" t="s">
        <v>6031</v>
      </c>
      <c r="N969" s="1" t="s">
        <v>7380</v>
      </c>
    </row>
    <row r="970" spans="1:14" ht="43.5" x14ac:dyDescent="0.35">
      <c r="A970" s="113" t="s">
        <v>3816</v>
      </c>
      <c r="B970" s="102" t="s">
        <v>5006</v>
      </c>
      <c r="C970" s="123" t="str" cm="1">
        <f t="array" ref="C970:F970">_xlfn.TEXTSPLIT('איחוד שאלות'!$B970,"_")</f>
        <v>perception</v>
      </c>
      <c r="D970" s="102" t="str">
        <v>expectation</v>
      </c>
      <c r="E970" s="102" t="str">
        <v>sits</v>
      </c>
      <c r="F970" s="102" t="str">
        <v>likud</v>
      </c>
      <c r="G970" s="103"/>
      <c r="H970" s="135" t="s">
        <v>3307</v>
      </c>
      <c r="I970" s="139" t="s">
        <v>5844</v>
      </c>
      <c r="J970" s="2" t="s">
        <v>5850</v>
      </c>
      <c r="K970" s="2" t="s">
        <v>6377</v>
      </c>
      <c r="L970" s="2" t="s">
        <v>6030</v>
      </c>
      <c r="N970" s="1" t="s">
        <v>7381</v>
      </c>
    </row>
    <row r="971" spans="1:14" ht="43.5" x14ac:dyDescent="0.35">
      <c r="A971" s="121" t="s">
        <v>3817</v>
      </c>
      <c r="B971" s="99" t="s">
        <v>5007</v>
      </c>
      <c r="C971" s="121" t="str" cm="1">
        <f t="array" ref="C971:F971">_xlfn.TEXTSPLIT('איחוד שאלות'!$B971,"_")</f>
        <v>perception</v>
      </c>
      <c r="D971" s="99" t="str">
        <v>expectation</v>
      </c>
      <c r="E971" s="99" t="str">
        <v>sits</v>
      </c>
      <c r="F971" s="99" t="str">
        <v>meretz</v>
      </c>
      <c r="G971" s="100"/>
      <c r="H971" s="136" t="s">
        <v>3307</v>
      </c>
      <c r="I971" s="141" t="s">
        <v>5844</v>
      </c>
      <c r="J971" s="2" t="s">
        <v>5850</v>
      </c>
      <c r="K971" s="2" t="s">
        <v>6377</v>
      </c>
      <c r="L971" s="2" t="s">
        <v>6036</v>
      </c>
      <c r="N971" s="1" t="s">
        <v>7382</v>
      </c>
    </row>
    <row r="972" spans="1:14" ht="43.5" x14ac:dyDescent="0.35">
      <c r="A972" s="113" t="s">
        <v>3818</v>
      </c>
      <c r="B972" s="102" t="s">
        <v>5008</v>
      </c>
      <c r="C972" s="123" t="str" cm="1">
        <f t="array" ref="C972:F972">_xlfn.TEXTSPLIT('איחוד שאלות'!$B972,"_")</f>
        <v>perception</v>
      </c>
      <c r="D972" s="102" t="str">
        <v>expectation</v>
      </c>
      <c r="E972" s="102" t="str">
        <v>sits</v>
      </c>
      <c r="F972" s="102" t="str">
        <v>habayithayehudi</v>
      </c>
      <c r="G972" s="103"/>
      <c r="H972" s="135" t="s">
        <v>3307</v>
      </c>
      <c r="I972" s="2" t="s">
        <v>5844</v>
      </c>
      <c r="J972" s="2" t="s">
        <v>5850</v>
      </c>
      <c r="K972" s="2" t="s">
        <v>6377</v>
      </c>
      <c r="L972" s="2" t="s">
        <v>6034</v>
      </c>
      <c r="N972" s="1" t="s">
        <v>7383</v>
      </c>
    </row>
    <row r="973" spans="1:14" ht="43.5" x14ac:dyDescent="0.35">
      <c r="A973" s="121" t="s">
        <v>3819</v>
      </c>
      <c r="B973" s="99" t="s">
        <v>5009</v>
      </c>
      <c r="C973" s="121" t="str" cm="1">
        <f t="array" ref="C973:F973">_xlfn.TEXTSPLIT('איחוד שאלות'!$B973,"_")</f>
        <v>perception</v>
      </c>
      <c r="D973" s="99" t="str">
        <v>expectation</v>
      </c>
      <c r="E973" s="99" t="str">
        <v>sits</v>
      </c>
      <c r="F973" s="99" t="str">
        <v>shinui</v>
      </c>
      <c r="G973" s="100"/>
      <c r="H973" s="136" t="s">
        <v>3307</v>
      </c>
      <c r="I973" s="2" t="s">
        <v>5844</v>
      </c>
      <c r="J973" s="2" t="s">
        <v>5850</v>
      </c>
      <c r="K973" s="2" t="s">
        <v>6377</v>
      </c>
      <c r="L973" s="2" t="s">
        <v>6049</v>
      </c>
      <c r="N973" s="1" t="s">
        <v>7384</v>
      </c>
    </row>
    <row r="974" spans="1:14" ht="43.5" x14ac:dyDescent="0.35">
      <c r="A974" s="113" t="s">
        <v>3820</v>
      </c>
      <c r="B974" s="102" t="s">
        <v>5010</v>
      </c>
      <c r="C974" s="123" t="str" cm="1">
        <f t="array" ref="C974:F974">_xlfn.TEXTSPLIT('איחוד שאלות'!$B974,"_")</f>
        <v>perception</v>
      </c>
      <c r="D974" s="102" t="str">
        <v>expectation</v>
      </c>
      <c r="E974" s="102" t="str">
        <v>sits</v>
      </c>
      <c r="F974" s="102" t="str">
        <v>haihudhaleumi</v>
      </c>
      <c r="G974" s="103"/>
      <c r="H974" s="135" t="s">
        <v>3307</v>
      </c>
      <c r="I974" s="2" t="s">
        <v>5844</v>
      </c>
      <c r="J974" s="2" t="s">
        <v>5850</v>
      </c>
      <c r="K974" s="2" t="s">
        <v>6377</v>
      </c>
      <c r="L974" s="2" t="s">
        <v>6375</v>
      </c>
      <c r="N974" s="1" t="s">
        <v>7385</v>
      </c>
    </row>
    <row r="975" spans="1:14" ht="43.5" x14ac:dyDescent="0.35">
      <c r="A975" s="121" t="s">
        <v>3821</v>
      </c>
      <c r="B975" s="99" t="s">
        <v>5011</v>
      </c>
      <c r="C975" s="121" t="str" cm="1">
        <f t="array" ref="C975:F975">_xlfn.TEXTSPLIT('איחוד שאלות'!$B975,"_")</f>
        <v>perception</v>
      </c>
      <c r="D975" s="99" t="str">
        <v>expectation</v>
      </c>
      <c r="E975" s="99" t="str">
        <v>sits</v>
      </c>
      <c r="F975" s="99" t="str">
        <v>shas</v>
      </c>
      <c r="G975" s="100"/>
      <c r="H975" s="136" t="s">
        <v>3307</v>
      </c>
      <c r="I975" s="2" t="s">
        <v>5844</v>
      </c>
      <c r="J975" s="2" t="s">
        <v>5850</v>
      </c>
      <c r="K975" s="2" t="s">
        <v>6377</v>
      </c>
      <c r="L975" s="2" t="s">
        <v>6033</v>
      </c>
      <c r="N975" s="1" t="s">
        <v>7386</v>
      </c>
    </row>
    <row r="976" spans="1:14" ht="43.5" x14ac:dyDescent="0.35">
      <c r="A976" s="113" t="s">
        <v>3822</v>
      </c>
      <c r="B976" s="102" t="s">
        <v>5012</v>
      </c>
      <c r="C976" s="123" t="str" cm="1">
        <f t="array" ref="C976:F976">_xlfn.TEXTSPLIT('איחוד שאלות'!$B976,"_")</f>
        <v>perception</v>
      </c>
      <c r="D976" s="102" t="str">
        <v>expectation</v>
      </c>
      <c r="E976" s="102" t="str">
        <v>sits</v>
      </c>
      <c r="F976" s="102" t="str">
        <v>yisraelbaaliyah</v>
      </c>
      <c r="G976" s="103"/>
      <c r="H976" s="135" t="s">
        <v>3307</v>
      </c>
      <c r="I976" s="2" t="s">
        <v>5844</v>
      </c>
      <c r="J976" s="2" t="s">
        <v>5850</v>
      </c>
      <c r="K976" s="2" t="s">
        <v>6377</v>
      </c>
      <c r="L976" s="2" t="s">
        <v>6053</v>
      </c>
      <c r="N976" s="1" t="s">
        <v>7387</v>
      </c>
    </row>
    <row r="977" spans="1:14" ht="72.5" x14ac:dyDescent="0.35">
      <c r="A977" s="121" t="s">
        <v>3823</v>
      </c>
      <c r="B977" s="99" t="s">
        <v>5013</v>
      </c>
      <c r="C977" s="121" t="str" cm="1">
        <f t="array" ref="C977:F977">_xlfn.TEXTSPLIT('איחוד שאלות'!$B977,"_")</f>
        <v>perception</v>
      </c>
      <c r="D977" s="99" t="str">
        <v>expectation</v>
      </c>
      <c r="E977" s="99" t="str">
        <v>sits</v>
      </c>
      <c r="F977" s="99" t="str">
        <v>votingparty</v>
      </c>
      <c r="G977" s="100"/>
      <c r="H977" s="136" t="s">
        <v>3307</v>
      </c>
      <c r="I977" s="2" t="s">
        <v>5844</v>
      </c>
      <c r="J977" s="2" t="s">
        <v>5850</v>
      </c>
      <c r="K977" s="2" t="s">
        <v>6377</v>
      </c>
      <c r="L977" s="2" t="s">
        <v>6376</v>
      </c>
      <c r="N977" s="1" t="s">
        <v>7388</v>
      </c>
    </row>
    <row r="978" spans="1:14" ht="43.5" x14ac:dyDescent="0.35">
      <c r="A978" s="113" t="s">
        <v>3824</v>
      </c>
      <c r="B978" s="102" t="s">
        <v>5014</v>
      </c>
      <c r="C978" s="123" t="str" cm="1">
        <f t="array" ref="C978:G978">_xlfn.TEXTSPLIT('איחוד שאלות'!$B978,"_")</f>
        <v>perception</v>
      </c>
      <c r="D978" s="102" t="str">
        <v>expectation</v>
      </c>
      <c r="E978" s="102" t="str">
        <v>coalition</v>
      </c>
      <c r="F978" s="102" t="str">
        <v>kadima</v>
      </c>
      <c r="G978" s="103" t="str">
        <v>haavoda</v>
      </c>
      <c r="H978" s="135" t="s">
        <v>3307</v>
      </c>
      <c r="I978" s="2" t="s">
        <v>5844</v>
      </c>
      <c r="J978" s="2" t="s">
        <v>5850</v>
      </c>
      <c r="K978" s="2" t="s">
        <v>6374</v>
      </c>
      <c r="L978" s="2" t="s">
        <v>6032</v>
      </c>
      <c r="M978" s="2" t="s">
        <v>6031</v>
      </c>
      <c r="N978" s="1" t="s">
        <v>7389</v>
      </c>
    </row>
    <row r="979" spans="1:14" ht="43.5" x14ac:dyDescent="0.35">
      <c r="A979" s="121" t="s">
        <v>3825</v>
      </c>
      <c r="B979" s="99" t="s">
        <v>5015</v>
      </c>
      <c r="C979" s="121" t="str" cm="1">
        <f t="array" ref="C979:G979">_xlfn.TEXTSPLIT('איחוד שאלות'!$B979,"_")</f>
        <v>perception</v>
      </c>
      <c r="D979" s="99" t="str">
        <v>expectation</v>
      </c>
      <c r="E979" s="99" t="str">
        <v>coalition</v>
      </c>
      <c r="F979" s="99" t="str">
        <v>kadima</v>
      </c>
      <c r="G979" s="100" t="str">
        <v>likud</v>
      </c>
      <c r="H979" s="136" t="s">
        <v>3307</v>
      </c>
      <c r="I979" s="2" t="s">
        <v>5844</v>
      </c>
      <c r="J979" s="2" t="s">
        <v>5850</v>
      </c>
      <c r="K979" s="2" t="s">
        <v>6374</v>
      </c>
      <c r="L979" s="2" t="s">
        <v>6032</v>
      </c>
      <c r="M979" s="2" t="s">
        <v>6030</v>
      </c>
      <c r="N979" s="1" t="s">
        <v>7390</v>
      </c>
    </row>
    <row r="980" spans="1:14" ht="58" x14ac:dyDescent="0.35">
      <c r="A980" s="113" t="s">
        <v>3826</v>
      </c>
      <c r="B980" s="102" t="s">
        <v>5016</v>
      </c>
      <c r="C980" s="123" t="str" cm="1">
        <f t="array" ref="C980:G980">_xlfn.TEXTSPLIT('איחוד שאלות'!$B980,"_")</f>
        <v>perception</v>
      </c>
      <c r="D980" s="102" t="str">
        <v>expectation</v>
      </c>
      <c r="E980" s="102" t="str">
        <v>coalition</v>
      </c>
      <c r="F980" s="102" t="str">
        <v>kadima</v>
      </c>
      <c r="G980" s="103" t="str">
        <v>likudultraorthodox</v>
      </c>
      <c r="H980" s="135" t="s">
        <v>3307</v>
      </c>
      <c r="I980" s="2" t="s">
        <v>5844</v>
      </c>
      <c r="J980" s="2" t="s">
        <v>5850</v>
      </c>
      <c r="K980" s="2" t="s">
        <v>6374</v>
      </c>
      <c r="L980" s="2" t="s">
        <v>6032</v>
      </c>
      <c r="M980" s="2" t="s">
        <v>6378</v>
      </c>
      <c r="N980" s="1" t="s">
        <v>7391</v>
      </c>
    </row>
    <row r="981" spans="1:14" ht="58" x14ac:dyDescent="0.35">
      <c r="A981" s="121" t="s">
        <v>3827</v>
      </c>
      <c r="B981" s="99" t="s">
        <v>5017</v>
      </c>
      <c r="C981" s="121" t="str" cm="1">
        <f t="array" ref="C981:G981">_xlfn.TEXTSPLIT('איחוד שאלות'!$B981,"_")</f>
        <v>perception</v>
      </c>
      <c r="D981" s="99" t="str">
        <v>expectation</v>
      </c>
      <c r="E981" s="99" t="str">
        <v>coalition</v>
      </c>
      <c r="F981" s="99" t="str">
        <v>kadima</v>
      </c>
      <c r="G981" s="100" t="str">
        <v>haavodaultraorthodox</v>
      </c>
      <c r="H981" s="136" t="s">
        <v>3307</v>
      </c>
      <c r="I981" s="2" t="s">
        <v>5844</v>
      </c>
      <c r="J981" s="2" t="s">
        <v>5850</v>
      </c>
      <c r="K981" s="2" t="s">
        <v>6374</v>
      </c>
      <c r="L981" s="2" t="s">
        <v>6032</v>
      </c>
      <c r="M981" s="2" t="s">
        <v>6379</v>
      </c>
      <c r="N981" s="1" t="s">
        <v>7392</v>
      </c>
    </row>
    <row r="982" spans="1:14" ht="58" x14ac:dyDescent="0.35">
      <c r="A982" s="113" t="s">
        <v>3828</v>
      </c>
      <c r="B982" s="102" t="s">
        <v>5018</v>
      </c>
      <c r="C982" s="123" t="str" cm="1">
        <f t="array" ref="C982:G982">_xlfn.TEXTSPLIT('איחוד שאלות'!$B982,"_")</f>
        <v>perception</v>
      </c>
      <c r="D982" s="102" t="str">
        <v>expectation</v>
      </c>
      <c r="E982" s="102" t="str">
        <v>coalition</v>
      </c>
      <c r="F982" s="102" t="str">
        <v>kadima</v>
      </c>
      <c r="G982" s="103" t="str">
        <v>likudright</v>
      </c>
      <c r="H982" s="135" t="s">
        <v>3307</v>
      </c>
      <c r="I982" s="2" t="s">
        <v>5844</v>
      </c>
      <c r="J982" s="2" t="s">
        <v>5850</v>
      </c>
      <c r="K982" s="2" t="s">
        <v>6374</v>
      </c>
      <c r="L982" s="2" t="s">
        <v>6032</v>
      </c>
      <c r="M982" s="2" t="s">
        <v>6380</v>
      </c>
      <c r="N982" s="1" t="s">
        <v>7393</v>
      </c>
    </row>
    <row r="983" spans="1:14" ht="43.5" x14ac:dyDescent="0.35">
      <c r="A983" s="121" t="s">
        <v>3829</v>
      </c>
      <c r="B983" s="99" t="s">
        <v>5019</v>
      </c>
      <c r="C983" s="121" t="str" cm="1">
        <f t="array" ref="C983:G983">_xlfn.TEXTSPLIT('איחוד שאלות'!$B983,"_")</f>
        <v>perception</v>
      </c>
      <c r="D983" s="99" t="str">
        <v>expectation</v>
      </c>
      <c r="E983" s="99" t="str">
        <v>coalition</v>
      </c>
      <c r="F983" s="99" t="str">
        <v>kadima</v>
      </c>
      <c r="G983" s="100" t="str">
        <v>haavodameretz</v>
      </c>
      <c r="H983" s="136" t="s">
        <v>3307</v>
      </c>
      <c r="I983" s="2" t="s">
        <v>5844</v>
      </c>
      <c r="J983" s="2" t="s">
        <v>5850</v>
      </c>
      <c r="K983" s="2" t="s">
        <v>6374</v>
      </c>
      <c r="L983" s="2" t="s">
        <v>6032</v>
      </c>
      <c r="M983" s="2" t="s">
        <v>6381</v>
      </c>
      <c r="N983" s="1" t="s">
        <v>7394</v>
      </c>
    </row>
    <row r="984" spans="1:14" ht="87" x14ac:dyDescent="0.35">
      <c r="A984" s="113" t="s">
        <v>3830</v>
      </c>
      <c r="B984" s="102" t="s">
        <v>5020</v>
      </c>
      <c r="C984" s="123" t="str" cm="1">
        <f t="array" ref="C984:G984">_xlfn.TEXTSPLIT('איחוד שאלות'!$B984,"_")</f>
        <v>perception</v>
      </c>
      <c r="D984" s="102" t="str">
        <v>expectation</v>
      </c>
      <c r="E984" s="102" t="str">
        <v>coalition</v>
      </c>
      <c r="F984" s="102" t="str">
        <v>kadima</v>
      </c>
      <c r="G984" s="103" t="str">
        <v>nationalunity</v>
      </c>
      <c r="H984" s="135" t="s">
        <v>3307</v>
      </c>
      <c r="I984" s="2" t="s">
        <v>5844</v>
      </c>
      <c r="J984" s="2" t="s">
        <v>5850</v>
      </c>
      <c r="K984" s="2" t="s">
        <v>6374</v>
      </c>
      <c r="L984" s="2" t="s">
        <v>6032</v>
      </c>
      <c r="M984" s="2" t="s">
        <v>6382</v>
      </c>
      <c r="N984" s="1" t="s">
        <v>7395</v>
      </c>
    </row>
    <row r="985" spans="1:14" ht="43.5" x14ac:dyDescent="0.35">
      <c r="A985" s="121" t="s">
        <v>3831</v>
      </c>
      <c r="B985" s="99" t="s">
        <v>5021</v>
      </c>
      <c r="C985" s="121" t="str" cm="1">
        <f t="array" ref="C985:G985">_xlfn.TEXTSPLIT('איחוד שאלות'!$B985,"_")</f>
        <v>perception</v>
      </c>
      <c r="D985" s="99" t="str">
        <v>expectation</v>
      </c>
      <c r="E985" s="99" t="str">
        <v>coalition</v>
      </c>
      <c r="F985" s="99" t="str">
        <v>likud</v>
      </c>
      <c r="G985" s="100" t="str">
        <v>rightultraorthodox</v>
      </c>
      <c r="H985" s="136" t="s">
        <v>3307</v>
      </c>
      <c r="I985" s="2" t="s">
        <v>5844</v>
      </c>
      <c r="J985" s="2" t="s">
        <v>5850</v>
      </c>
      <c r="K985" s="2" t="s">
        <v>6374</v>
      </c>
      <c r="L985" s="2" t="s">
        <v>6030</v>
      </c>
      <c r="M985" s="2" t="s">
        <v>6383</v>
      </c>
      <c r="N985" s="1" t="s">
        <v>7396</v>
      </c>
    </row>
    <row r="986" spans="1:14" ht="58" x14ac:dyDescent="0.35">
      <c r="A986" s="113" t="s">
        <v>3832</v>
      </c>
      <c r="B986" s="102" t="s">
        <v>5022</v>
      </c>
      <c r="C986" s="123" t="str" cm="1">
        <f t="array" ref="C986:G986">_xlfn.TEXTSPLIT('איחוד שאלות'!$B986,"_")</f>
        <v>perception</v>
      </c>
      <c r="D986" s="102" t="str">
        <v>expectation</v>
      </c>
      <c r="E986" s="102" t="str">
        <v>coalition</v>
      </c>
      <c r="F986" s="102" t="str">
        <v>likud</v>
      </c>
      <c r="G986" s="103" t="str">
        <v>haavodashinui</v>
      </c>
      <c r="H986" s="135" t="s">
        <v>3307</v>
      </c>
      <c r="I986" s="2" t="s">
        <v>5844</v>
      </c>
      <c r="J986" s="2" t="s">
        <v>5850</v>
      </c>
      <c r="K986" s="2" t="s">
        <v>6374</v>
      </c>
      <c r="L986" s="2" t="s">
        <v>6030</v>
      </c>
      <c r="M986" s="2" t="s">
        <v>6384</v>
      </c>
      <c r="N986" s="1" t="s">
        <v>7397</v>
      </c>
    </row>
    <row r="987" spans="1:14" ht="43.5" x14ac:dyDescent="0.35">
      <c r="A987" s="121" t="s">
        <v>3833</v>
      </c>
      <c r="B987" s="99" t="s">
        <v>5023</v>
      </c>
      <c r="C987" s="121" t="str" cm="1">
        <f t="array" ref="C987:G987">_xlfn.TEXTSPLIT('איחוד שאלות'!$B987,"_")</f>
        <v>perception</v>
      </c>
      <c r="D987" s="99" t="str">
        <v>expectation</v>
      </c>
      <c r="E987" s="99" t="str">
        <v>coalition</v>
      </c>
      <c r="F987" s="99" t="str">
        <v>haavoda</v>
      </c>
      <c r="G987" s="100" t="str">
        <v>meretzarab</v>
      </c>
      <c r="H987" s="136" t="s">
        <v>3307</v>
      </c>
      <c r="I987" s="2" t="s">
        <v>5844</v>
      </c>
      <c r="J987" s="2" t="s">
        <v>5850</v>
      </c>
      <c r="K987" s="2" t="s">
        <v>6374</v>
      </c>
      <c r="L987" s="2" t="s">
        <v>6031</v>
      </c>
      <c r="M987" s="2" t="s">
        <v>6385</v>
      </c>
      <c r="N987" s="1" t="s">
        <v>7398</v>
      </c>
    </row>
    <row r="988" spans="1:14" ht="58" x14ac:dyDescent="0.35">
      <c r="A988" s="113" t="s">
        <v>3834</v>
      </c>
      <c r="B988" s="102" t="s">
        <v>4062</v>
      </c>
      <c r="C988" s="123" t="str" cm="1">
        <f t="array" ref="C988:F988">_xlfn.TEXTSPLIT('איחוד שאלות'!$B988,"_")</f>
        <v>preference</v>
      </c>
      <c r="D988" s="102" t="str">
        <v>coalition</v>
      </c>
      <c r="E988" s="102" t="str">
        <v>kadima</v>
      </c>
      <c r="F988" s="102" t="str">
        <v>haavoda</v>
      </c>
      <c r="G988" s="103"/>
      <c r="H988" s="135" t="s">
        <v>3307</v>
      </c>
      <c r="I988" s="2" t="s">
        <v>5856</v>
      </c>
      <c r="J988" s="2" t="s">
        <v>6374</v>
      </c>
      <c r="K988" s="2" t="s">
        <v>6032</v>
      </c>
      <c r="L988" s="2" t="s">
        <v>6031</v>
      </c>
      <c r="N988" s="1" t="s">
        <v>7399</v>
      </c>
    </row>
    <row r="989" spans="1:14" ht="58" x14ac:dyDescent="0.35">
      <c r="A989" s="121" t="s">
        <v>3835</v>
      </c>
      <c r="B989" s="99" t="s">
        <v>4063</v>
      </c>
      <c r="C989" s="121" t="str" cm="1">
        <f t="array" ref="C989:F989">_xlfn.TEXTSPLIT('איחוד שאלות'!$B989,"_")</f>
        <v>preference</v>
      </c>
      <c r="D989" s="99" t="str">
        <v>coalition</v>
      </c>
      <c r="E989" s="99" t="str">
        <v>kadima</v>
      </c>
      <c r="F989" s="99" t="str">
        <v>likud</v>
      </c>
      <c r="G989" s="100"/>
      <c r="H989" s="136" t="s">
        <v>3307</v>
      </c>
      <c r="I989" s="2" t="s">
        <v>5856</v>
      </c>
      <c r="J989" s="2" t="s">
        <v>6374</v>
      </c>
      <c r="K989" s="2" t="s">
        <v>6032</v>
      </c>
      <c r="L989" s="2" t="s">
        <v>6030</v>
      </c>
      <c r="N989" s="1" t="s">
        <v>7400</v>
      </c>
    </row>
    <row r="990" spans="1:14" ht="72.5" x14ac:dyDescent="0.35">
      <c r="A990" s="113" t="s">
        <v>3836</v>
      </c>
      <c r="B990" s="102" t="s">
        <v>4064</v>
      </c>
      <c r="C990" s="123" t="str" cm="1">
        <f t="array" ref="C990:F990">_xlfn.TEXTSPLIT('איחוד שאלות'!$B990,"_")</f>
        <v>preference</v>
      </c>
      <c r="D990" s="102" t="str">
        <v>coalition</v>
      </c>
      <c r="E990" s="102" t="str">
        <v>kadima</v>
      </c>
      <c r="F990" s="102" t="str">
        <v>likudultraorthodox</v>
      </c>
      <c r="G990" s="103"/>
      <c r="H990" s="135" t="s">
        <v>3307</v>
      </c>
      <c r="I990" s="2" t="s">
        <v>5856</v>
      </c>
      <c r="J990" s="2" t="s">
        <v>6374</v>
      </c>
      <c r="K990" s="2" t="s">
        <v>6032</v>
      </c>
      <c r="L990" s="2" t="s">
        <v>6378</v>
      </c>
      <c r="N990" s="1" t="s">
        <v>7401</v>
      </c>
    </row>
    <row r="991" spans="1:14" ht="72.5" x14ac:dyDescent="0.35">
      <c r="A991" s="121" t="s">
        <v>3837</v>
      </c>
      <c r="B991" s="99" t="s">
        <v>4065</v>
      </c>
      <c r="C991" s="121" t="str" cm="1">
        <f t="array" ref="C991:F991">_xlfn.TEXTSPLIT('איחוד שאלות'!$B991,"_")</f>
        <v>preference</v>
      </c>
      <c r="D991" s="99" t="str">
        <v>coalition</v>
      </c>
      <c r="E991" s="99" t="str">
        <v>kadima</v>
      </c>
      <c r="F991" s="99" t="str">
        <v>haavodaultraorthodox</v>
      </c>
      <c r="G991" s="100"/>
      <c r="H991" s="136" t="s">
        <v>3307</v>
      </c>
      <c r="I991" s="2" t="s">
        <v>5856</v>
      </c>
      <c r="J991" s="2" t="s">
        <v>6374</v>
      </c>
      <c r="K991" s="2" t="s">
        <v>6032</v>
      </c>
      <c r="L991" s="2" t="s">
        <v>6379</v>
      </c>
      <c r="N991" s="1" t="s">
        <v>7402</v>
      </c>
    </row>
    <row r="992" spans="1:14" ht="72.5" x14ac:dyDescent="0.35">
      <c r="A992" s="113" t="s">
        <v>3838</v>
      </c>
      <c r="B992" s="102" t="s">
        <v>4066</v>
      </c>
      <c r="C992" s="123" t="str" cm="1">
        <f t="array" ref="C992:F992">_xlfn.TEXTSPLIT('איחוד שאלות'!$B992,"_")</f>
        <v>preference</v>
      </c>
      <c r="D992" s="102" t="str">
        <v>coalition</v>
      </c>
      <c r="E992" s="102" t="str">
        <v>kadima</v>
      </c>
      <c r="F992" s="102" t="str">
        <v>likudright</v>
      </c>
      <c r="G992" s="103"/>
      <c r="H992" s="135" t="s">
        <v>3307</v>
      </c>
      <c r="I992" s="2" t="s">
        <v>5856</v>
      </c>
      <c r="J992" s="2" t="s">
        <v>6374</v>
      </c>
      <c r="K992" s="2" t="s">
        <v>6032</v>
      </c>
      <c r="L992" s="2" t="s">
        <v>6380</v>
      </c>
      <c r="N992" s="1" t="s">
        <v>7403</v>
      </c>
    </row>
    <row r="993" spans="1:14" ht="58" x14ac:dyDescent="0.35">
      <c r="A993" s="121" t="s">
        <v>3839</v>
      </c>
      <c r="B993" s="99" t="s">
        <v>4067</v>
      </c>
      <c r="C993" s="121" t="str" cm="1">
        <f t="array" ref="C993:F993">_xlfn.TEXTSPLIT('איחוד שאלות'!$B993,"_")</f>
        <v>preference</v>
      </c>
      <c r="D993" s="99" t="str">
        <v>coalition</v>
      </c>
      <c r="E993" s="99" t="str">
        <v>kadima</v>
      </c>
      <c r="F993" s="99" t="str">
        <v>haavodameretz</v>
      </c>
      <c r="G993" s="100"/>
      <c r="H993" s="136" t="s">
        <v>3307</v>
      </c>
      <c r="I993" s="2" t="s">
        <v>5856</v>
      </c>
      <c r="J993" s="2" t="s">
        <v>6374</v>
      </c>
      <c r="K993" s="2" t="s">
        <v>6032</v>
      </c>
      <c r="L993" s="2" t="s">
        <v>6381</v>
      </c>
      <c r="N993" s="1" t="s">
        <v>7404</v>
      </c>
    </row>
    <row r="994" spans="1:14" ht="101.5" x14ac:dyDescent="0.35">
      <c r="A994" s="113" t="s">
        <v>3840</v>
      </c>
      <c r="B994" s="102" t="s">
        <v>4068</v>
      </c>
      <c r="C994" s="123" t="str" cm="1">
        <f t="array" ref="C994:F994">_xlfn.TEXTSPLIT('איחוד שאלות'!$B994,"_")</f>
        <v>preference</v>
      </c>
      <c r="D994" s="102" t="str">
        <v>coalition</v>
      </c>
      <c r="E994" s="102" t="str">
        <v>kadima</v>
      </c>
      <c r="F994" s="102" t="str">
        <v>nationalunity</v>
      </c>
      <c r="G994" s="103"/>
      <c r="H994" s="135" t="s">
        <v>3307</v>
      </c>
      <c r="I994" s="2" t="s">
        <v>5856</v>
      </c>
      <c r="J994" s="2" t="s">
        <v>6374</v>
      </c>
      <c r="K994" s="2" t="s">
        <v>6032</v>
      </c>
      <c r="L994" s="2" t="s">
        <v>6382</v>
      </c>
      <c r="N994" s="1" t="s">
        <v>7405</v>
      </c>
    </row>
    <row r="995" spans="1:14" ht="58" x14ac:dyDescent="0.35">
      <c r="A995" s="121" t="s">
        <v>3841</v>
      </c>
      <c r="B995" s="99" t="s">
        <v>4069</v>
      </c>
      <c r="C995" s="121" t="str" cm="1">
        <f t="array" ref="C995:F995">_xlfn.TEXTSPLIT('איחוד שאלות'!$B995,"_")</f>
        <v>preference</v>
      </c>
      <c r="D995" s="99" t="str">
        <v>coalition</v>
      </c>
      <c r="E995" s="99" t="str">
        <v>likud</v>
      </c>
      <c r="F995" s="99" t="str">
        <v>rightultraorthodox</v>
      </c>
      <c r="G995" s="100"/>
      <c r="H995" s="136" t="s">
        <v>3307</v>
      </c>
      <c r="I995" s="2" t="s">
        <v>5856</v>
      </c>
      <c r="J995" s="2" t="s">
        <v>6374</v>
      </c>
      <c r="K995" s="2" t="s">
        <v>6030</v>
      </c>
      <c r="L995" s="2" t="s">
        <v>6383</v>
      </c>
      <c r="N995" s="1" t="s">
        <v>7406</v>
      </c>
    </row>
    <row r="996" spans="1:14" ht="58" x14ac:dyDescent="0.35">
      <c r="A996" s="113" t="s">
        <v>3842</v>
      </c>
      <c r="B996" s="102" t="s">
        <v>4070</v>
      </c>
      <c r="C996" s="123" t="str" cm="1">
        <f t="array" ref="C996:F996">_xlfn.TEXTSPLIT('איחוד שאלות'!$B996,"_")</f>
        <v>preference</v>
      </c>
      <c r="D996" s="102" t="str">
        <v>coalition</v>
      </c>
      <c r="E996" s="102" t="str">
        <v>likud</v>
      </c>
      <c r="F996" s="102" t="str">
        <v>haavodashinui</v>
      </c>
      <c r="G996" s="103"/>
      <c r="H996" s="135" t="s">
        <v>3307</v>
      </c>
      <c r="I996" s="2" t="s">
        <v>5856</v>
      </c>
      <c r="J996" s="2" t="s">
        <v>6374</v>
      </c>
      <c r="K996" s="2" t="s">
        <v>6030</v>
      </c>
      <c r="L996" s="2" t="s">
        <v>6384</v>
      </c>
      <c r="N996" s="1" t="s">
        <v>7407</v>
      </c>
    </row>
    <row r="997" spans="1:14" ht="58" x14ac:dyDescent="0.35">
      <c r="A997" s="121" t="s">
        <v>3843</v>
      </c>
      <c r="B997" s="99" t="s">
        <v>4071</v>
      </c>
      <c r="C997" s="121" t="str" cm="1">
        <f t="array" ref="C997:F997">_xlfn.TEXTSPLIT('איחוד שאלות'!$B997,"_")</f>
        <v>preference</v>
      </c>
      <c r="D997" s="99" t="str">
        <v>coalition</v>
      </c>
      <c r="E997" s="99" t="str">
        <v>haavoda</v>
      </c>
      <c r="F997" s="99" t="str">
        <v>meretzarab</v>
      </c>
      <c r="G997" s="100"/>
      <c r="H997" s="136" t="s">
        <v>3307</v>
      </c>
      <c r="I997" s="2" t="s">
        <v>5856</v>
      </c>
      <c r="J997" s="2" t="s">
        <v>6374</v>
      </c>
      <c r="K997" s="2" t="s">
        <v>6031</v>
      </c>
      <c r="L997" s="2" t="s">
        <v>6385</v>
      </c>
      <c r="N997" s="1" t="s">
        <v>7408</v>
      </c>
    </row>
    <row r="998" spans="1:14" ht="43.5" x14ac:dyDescent="0.35">
      <c r="A998" s="113" t="s">
        <v>1071</v>
      </c>
      <c r="B998" s="102" t="s">
        <v>4072</v>
      </c>
      <c r="C998" s="123" t="str" cm="1">
        <f t="array" ref="C998:D998">_xlfn.TEXTSPLIT('איחוד שאלות'!$B998,"_")</f>
        <v>preference</v>
      </c>
      <c r="D998" s="102" t="str">
        <v>coalition</v>
      </c>
      <c r="E998" s="102"/>
      <c r="F998" s="102"/>
      <c r="G998" s="103"/>
      <c r="H998" s="135" t="s">
        <v>3307</v>
      </c>
      <c r="I998" s="2" t="s">
        <v>5856</v>
      </c>
      <c r="J998" s="2" t="s">
        <v>6374</v>
      </c>
      <c r="N998" s="1" t="s">
        <v>1071</v>
      </c>
    </row>
    <row r="999" spans="1:14" ht="58" x14ac:dyDescent="0.35">
      <c r="A999" s="121" t="s">
        <v>1438</v>
      </c>
      <c r="B999" s="99" t="s">
        <v>5024</v>
      </c>
      <c r="C999" s="121" t="str" cm="1">
        <f t="array" ref="C999:E999">_xlfn.TEXTSPLIT('איחוד שאלות'!$B999,"_")</f>
        <v>preference</v>
      </c>
      <c r="D999" s="99" t="str">
        <v>coalition</v>
      </c>
      <c r="E999" s="99" t="str">
        <v>nationalunity</v>
      </c>
      <c r="F999" s="99"/>
      <c r="G999" s="100"/>
      <c r="H999" s="136" t="s">
        <v>3307</v>
      </c>
      <c r="I999" s="2" t="s">
        <v>5856</v>
      </c>
      <c r="J999" s="2" t="s">
        <v>6374</v>
      </c>
      <c r="K999" s="2" t="s">
        <v>6382</v>
      </c>
      <c r="N999" s="1" t="s">
        <v>1438</v>
      </c>
    </row>
    <row r="1000" spans="1:14" ht="43.5" x14ac:dyDescent="0.35">
      <c r="A1000" s="113" t="s">
        <v>2795</v>
      </c>
      <c r="B1000" s="102" t="s">
        <v>5024</v>
      </c>
      <c r="C1000" s="123" t="str" cm="1">
        <f t="array" ref="C1000:E1000">_xlfn.TEXTSPLIT('איחוד שאלות'!$B1000,"_")</f>
        <v>preference</v>
      </c>
      <c r="D1000" s="102" t="str">
        <v>coalition</v>
      </c>
      <c r="E1000" s="102" t="str">
        <v>nationalunity</v>
      </c>
      <c r="F1000" s="102"/>
      <c r="G1000" s="103"/>
      <c r="H1000" s="135" t="s">
        <v>3307</v>
      </c>
      <c r="I1000" s="2" t="s">
        <v>5856</v>
      </c>
      <c r="J1000" s="2" t="s">
        <v>6374</v>
      </c>
      <c r="K1000" s="2" t="s">
        <v>6382</v>
      </c>
      <c r="N1000" s="1" t="s">
        <v>2795</v>
      </c>
    </row>
    <row r="1001" spans="1:14" ht="43.5" x14ac:dyDescent="0.35">
      <c r="A1001" s="121" t="s">
        <v>117</v>
      </c>
      <c r="B1001" s="99" t="s">
        <v>5025</v>
      </c>
      <c r="C1001" s="121" t="str" cm="1">
        <f t="array" ref="C1001:E1001">_xlfn.TEXTSPLIT('איחוד שאלות'!$B1001,"_")</f>
        <v>perception</v>
      </c>
      <c r="D1001" s="99" t="str">
        <v>expectation</v>
      </c>
      <c r="E1001" s="99" t="str">
        <v>coalition</v>
      </c>
      <c r="F1001" s="99"/>
      <c r="G1001" s="100"/>
      <c r="H1001" s="136" t="s">
        <v>3307</v>
      </c>
      <c r="I1001" s="2" t="s">
        <v>5844</v>
      </c>
      <c r="J1001" s="2" t="s">
        <v>5850</v>
      </c>
      <c r="K1001" s="2" t="s">
        <v>6374</v>
      </c>
      <c r="N1001" s="1" t="s">
        <v>117</v>
      </c>
    </row>
    <row r="1002" spans="1:14" ht="29" x14ac:dyDescent="0.35">
      <c r="A1002" s="113" t="s">
        <v>119</v>
      </c>
      <c r="B1002" s="102" t="s">
        <v>4072</v>
      </c>
      <c r="C1002" s="123" t="str" cm="1">
        <f t="array" ref="C1002:D1002">_xlfn.TEXTSPLIT('איחוד שאלות'!$B1002,"_")</f>
        <v>preference</v>
      </c>
      <c r="D1002" s="102" t="str">
        <v>coalition</v>
      </c>
      <c r="E1002" s="102"/>
      <c r="F1002" s="102"/>
      <c r="G1002" s="103"/>
      <c r="H1002" s="135" t="s">
        <v>3307</v>
      </c>
      <c r="I1002" s="2" t="s">
        <v>5856</v>
      </c>
      <c r="J1002" s="2" t="s">
        <v>6374</v>
      </c>
      <c r="N1002" s="1" t="s">
        <v>119</v>
      </c>
    </row>
    <row r="1003" spans="1:14" ht="87" x14ac:dyDescent="0.35">
      <c r="A1003" s="121" t="s">
        <v>166</v>
      </c>
      <c r="B1003" s="99" t="s">
        <v>5026</v>
      </c>
      <c r="C1003" s="121" t="str" cm="1">
        <f t="array" ref="C1003:G1003">_xlfn.TEXTSPLIT('איחוד שאלות'!$B1003,"_")</f>
        <v>post</v>
      </c>
      <c r="D1003" s="99" t="str">
        <v>affect</v>
      </c>
      <c r="E1003" s="99" t="str">
        <v>importance</v>
      </c>
      <c r="F1003" s="99" t="str">
        <v>leftright</v>
      </c>
      <c r="G1003" s="100" t="str">
        <v>electionday</v>
      </c>
      <c r="H1003" s="136" t="s">
        <v>3307</v>
      </c>
      <c r="I1003" s="2" t="s">
        <v>5763</v>
      </c>
      <c r="J1003" s="2" t="s">
        <v>5815</v>
      </c>
      <c r="K1003" s="2" t="s">
        <v>5857</v>
      </c>
      <c r="L1003" s="2" t="s">
        <v>6013</v>
      </c>
      <c r="M1003" s="2" t="s">
        <v>6386</v>
      </c>
      <c r="N1003" s="1" t="s">
        <v>166</v>
      </c>
    </row>
    <row r="1004" spans="1:14" ht="58" x14ac:dyDescent="0.35">
      <c r="A1004" s="113" t="s">
        <v>173</v>
      </c>
      <c r="B1004" s="102" t="s">
        <v>5027</v>
      </c>
      <c r="C1004" s="123" t="str" cm="1">
        <f t="array" ref="C1004:E1004">_xlfn.TEXTSPLIT('איחוד שאלות'!$B1004,"_")</f>
        <v>post</v>
      </c>
      <c r="D1004" s="102" t="str">
        <v>preference</v>
      </c>
      <c r="E1004" s="102" t="str">
        <v>coalition</v>
      </c>
      <c r="F1004" s="102"/>
      <c r="G1004" s="103"/>
      <c r="H1004" s="135" t="s">
        <v>3307</v>
      </c>
      <c r="I1004" s="2" t="s">
        <v>5763</v>
      </c>
      <c r="J1004" s="2" t="s">
        <v>5856</v>
      </c>
      <c r="K1004" s="2" t="s">
        <v>6374</v>
      </c>
      <c r="N1004" s="1" t="s">
        <v>173</v>
      </c>
    </row>
    <row r="1005" spans="1:14" ht="43.5" x14ac:dyDescent="0.35">
      <c r="A1005" s="121" t="s">
        <v>846</v>
      </c>
      <c r="B1005" s="99" t="s">
        <v>5028</v>
      </c>
      <c r="C1005" s="121" t="str" cm="1">
        <f t="array" ref="C1005:F1005">_xlfn.TEXTSPLIT('איחוד שאלות'!$B1005,"_")</f>
        <v>post</v>
      </c>
      <c r="D1005" s="99" t="str">
        <v>perception</v>
      </c>
      <c r="E1005" s="99" t="str">
        <v>satisfaction</v>
      </c>
      <c r="F1005" s="99" t="str">
        <v>elections</v>
      </c>
      <c r="G1005" s="100"/>
      <c r="H1005" s="136" t="s">
        <v>3307</v>
      </c>
      <c r="I1005" s="2" t="s">
        <v>5763</v>
      </c>
      <c r="J1005" s="2" t="s">
        <v>5844</v>
      </c>
      <c r="K1005" s="2" t="s">
        <v>5847</v>
      </c>
      <c r="L1005" s="2" t="s">
        <v>5954</v>
      </c>
      <c r="N1005" s="1" t="s">
        <v>846</v>
      </c>
    </row>
    <row r="1006" spans="1:14" ht="43.5" x14ac:dyDescent="0.35">
      <c r="A1006" s="113" t="s">
        <v>3215</v>
      </c>
      <c r="B1006" s="102" t="s">
        <v>5029</v>
      </c>
      <c r="C1006" s="123" t="str" cm="1">
        <f t="array" ref="C1006:E1006">_xlfn.TEXTSPLIT('איחוד שאלות'!$B1006,"_")</f>
        <v>post</v>
      </c>
      <c r="D1006" s="102" t="str">
        <v>preference</v>
      </c>
      <c r="E1006" s="102" t="str">
        <v>breakpromise</v>
      </c>
      <c r="F1006" s="102"/>
      <c r="G1006" s="103"/>
      <c r="H1006" s="135" t="s">
        <v>3307</v>
      </c>
      <c r="I1006" s="2" t="s">
        <v>5763</v>
      </c>
      <c r="J1006" s="2" t="s">
        <v>5856</v>
      </c>
      <c r="K1006" s="2" t="s">
        <v>6387</v>
      </c>
      <c r="N1006" s="1" t="s">
        <v>3215</v>
      </c>
    </row>
    <row r="1007" spans="1:14" ht="58" x14ac:dyDescent="0.35">
      <c r="A1007" s="121" t="s">
        <v>800</v>
      </c>
      <c r="B1007" s="99" t="s">
        <v>5030</v>
      </c>
      <c r="C1007" s="121" t="str" cm="1">
        <f t="array" ref="C1007:E1007">_xlfn.TEXTSPLIT('איחוד שאלות'!$B1007,"_")</f>
        <v>affect</v>
      </c>
      <c r="D1007" s="99" t="str">
        <v>importance</v>
      </c>
      <c r="E1007" s="99" t="str">
        <v>primeminister</v>
      </c>
      <c r="F1007" s="99"/>
      <c r="G1007" s="100"/>
      <c r="H1007" s="136" t="s">
        <v>3307</v>
      </c>
      <c r="I1007" s="2" t="s">
        <v>5815</v>
      </c>
      <c r="J1007" s="2" t="s">
        <v>5857</v>
      </c>
      <c r="K1007" s="2" t="s">
        <v>6283</v>
      </c>
      <c r="N1007" s="1" t="s">
        <v>800</v>
      </c>
    </row>
    <row r="1008" spans="1:14" ht="101.5" x14ac:dyDescent="0.35">
      <c r="A1008" s="113" t="s">
        <v>3844</v>
      </c>
      <c r="B1008" s="102" t="s">
        <v>5101</v>
      </c>
      <c r="C1008" s="123" t="str" cm="1">
        <f t="array" ref="C1008:F1008">_xlfn.TEXTSPLIT('איחוד שאלות'!$B1008,"_")</f>
        <v>perception</v>
      </c>
      <c r="D1008" s="102" t="str">
        <v>expectation</v>
      </c>
      <c r="E1008" s="102" t="str">
        <v>intifada</v>
      </c>
      <c r="F1008" s="102" t="str">
        <v>elections</v>
      </c>
      <c r="G1008" s="103"/>
      <c r="H1008" s="135" t="s">
        <v>3307</v>
      </c>
      <c r="I1008" s="2" t="s">
        <v>5844</v>
      </c>
      <c r="J1008" s="2" t="s">
        <v>5850</v>
      </c>
      <c r="K1008" s="2" t="s">
        <v>6129</v>
      </c>
      <c r="L1008" s="2" t="s">
        <v>5954</v>
      </c>
      <c r="N1008" s="1" t="s">
        <v>7409</v>
      </c>
    </row>
    <row r="1009" spans="1:14" ht="72.5" x14ac:dyDescent="0.35">
      <c r="A1009" s="121" t="s">
        <v>2634</v>
      </c>
      <c r="B1009" s="99" t="s">
        <v>4073</v>
      </c>
      <c r="C1009" s="121" t="str" cm="1">
        <f t="array" ref="C1009:D1009">_xlfn.TEXTSPLIT('איחוד שאלות'!$B1009,"_")</f>
        <v>preference</v>
      </c>
      <c r="D1009" s="99" t="str">
        <v>primeminister</v>
      </c>
      <c r="E1009" s="99"/>
      <c r="F1009" s="99"/>
      <c r="G1009" s="100"/>
      <c r="H1009" s="136" t="s">
        <v>3307</v>
      </c>
      <c r="I1009" s="2" t="s">
        <v>5856</v>
      </c>
      <c r="J1009" s="2" t="s">
        <v>6283</v>
      </c>
      <c r="N1009" s="1" t="s">
        <v>2634</v>
      </c>
    </row>
    <row r="1010" spans="1:14" ht="58" x14ac:dyDescent="0.35">
      <c r="A1010" s="113" t="s">
        <v>2350</v>
      </c>
      <c r="B1010" s="102" t="s">
        <v>4074</v>
      </c>
      <c r="C1010" s="123" t="str" cm="1">
        <f t="array" ref="C1010:D1010">_xlfn.TEXTSPLIT('איחוד שאלות'!$B1010,"_")</f>
        <v>preference</v>
      </c>
      <c r="D1010" s="102" t="str">
        <v>ministerdefence</v>
      </c>
      <c r="E1010" s="102"/>
      <c r="F1010" s="102"/>
      <c r="G1010" s="103"/>
      <c r="H1010" s="135" t="s">
        <v>3307</v>
      </c>
      <c r="I1010" s="2" t="s">
        <v>5856</v>
      </c>
      <c r="J1010" s="2" t="s">
        <v>6284</v>
      </c>
      <c r="N1010" s="1" t="s">
        <v>2350</v>
      </c>
    </row>
    <row r="1011" spans="1:14" ht="58" x14ac:dyDescent="0.35">
      <c r="A1011" s="121" t="s">
        <v>2351</v>
      </c>
      <c r="B1011" s="99" t="s">
        <v>4075</v>
      </c>
      <c r="C1011" s="121" t="str" cm="1">
        <f t="array" ref="C1011:D1011">_xlfn.TEXTSPLIT('איחוד שאלות'!$B1011,"_")</f>
        <v>preference</v>
      </c>
      <c r="D1011" s="99" t="str">
        <v>ministerfinance</v>
      </c>
      <c r="E1011" s="99"/>
      <c r="F1011" s="99"/>
      <c r="G1011" s="100"/>
      <c r="H1011" s="136" t="s">
        <v>3307</v>
      </c>
      <c r="I1011" s="2" t="s">
        <v>5856</v>
      </c>
      <c r="J1011" s="2" t="s">
        <v>6388</v>
      </c>
      <c r="N1011" s="1" t="s">
        <v>2351</v>
      </c>
    </row>
    <row r="1012" spans="1:14" ht="58" x14ac:dyDescent="0.35">
      <c r="A1012" s="113" t="s">
        <v>2352</v>
      </c>
      <c r="B1012" s="102" t="s">
        <v>4076</v>
      </c>
      <c r="C1012" s="123" t="str" cm="1">
        <f t="array" ref="C1012:D1012">_xlfn.TEXTSPLIT('איחוד שאלות'!$B1012,"_")</f>
        <v>preference</v>
      </c>
      <c r="D1012" s="102" t="str">
        <v>ministerforeignaffairs</v>
      </c>
      <c r="E1012" s="102"/>
      <c r="F1012" s="102"/>
      <c r="G1012" s="103"/>
      <c r="H1012" s="135" t="s">
        <v>3307</v>
      </c>
      <c r="I1012" s="2" t="s">
        <v>5856</v>
      </c>
      <c r="J1012" s="2" t="s">
        <v>6285</v>
      </c>
      <c r="N1012" s="1" t="s">
        <v>2352</v>
      </c>
    </row>
    <row r="1013" spans="1:14" ht="58" x14ac:dyDescent="0.35">
      <c r="A1013" s="121" t="s">
        <v>2354</v>
      </c>
      <c r="B1013" s="99" t="s">
        <v>4077</v>
      </c>
      <c r="C1013" s="121" t="str" cm="1">
        <f t="array" ref="C1013:E1013">_xlfn.TEXTSPLIT('איחוד שאלות'!$B1013,"_")</f>
        <v>preference</v>
      </c>
      <c r="D1013" s="99" t="str">
        <v>coalition</v>
      </c>
      <c r="E1013" s="99" t="str">
        <v>habayithayehudi</v>
      </c>
      <c r="F1013" s="99"/>
      <c r="G1013" s="100"/>
      <c r="H1013" s="136" t="s">
        <v>3307</v>
      </c>
      <c r="I1013" s="2" t="s">
        <v>5856</v>
      </c>
      <c r="J1013" s="2" t="s">
        <v>6374</v>
      </c>
      <c r="K1013" s="2" t="s">
        <v>6034</v>
      </c>
      <c r="N1013" s="1" t="s">
        <v>2354</v>
      </c>
    </row>
    <row r="1014" spans="1:14" ht="58" x14ac:dyDescent="0.35">
      <c r="A1014" s="113" t="s">
        <v>2472</v>
      </c>
      <c r="B1014" s="102" t="s">
        <v>5031</v>
      </c>
      <c r="C1014" s="123" t="str" cm="1">
        <f t="array" ref="C1014:F1014">_xlfn.TEXTSPLIT('איחוד שאלות'!$B1014,"_")</f>
        <v>perception</v>
      </c>
      <c r="D1014" s="102" t="str">
        <v>expectation</v>
      </c>
      <c r="E1014" s="102" t="str">
        <v>party</v>
      </c>
      <c r="F1014" s="102" t="str">
        <v>hamaarakhrival</v>
      </c>
      <c r="G1014" s="103"/>
      <c r="H1014" s="135" t="s">
        <v>3307</v>
      </c>
      <c r="I1014" s="2" t="s">
        <v>5844</v>
      </c>
      <c r="J1014" s="2" t="s">
        <v>5850</v>
      </c>
      <c r="K1014" s="2" t="s">
        <v>5853</v>
      </c>
      <c r="L1014" s="2" t="s">
        <v>6389</v>
      </c>
      <c r="N1014" s="1" t="s">
        <v>2472</v>
      </c>
    </row>
    <row r="1015" spans="1:14" ht="130.5" x14ac:dyDescent="0.35">
      <c r="A1015" s="121" t="s">
        <v>2693</v>
      </c>
      <c r="B1015" s="99" t="s">
        <v>5032</v>
      </c>
      <c r="C1015" s="121" t="str" cm="1">
        <f t="array" ref="C1015:F1015">_xlfn.TEXTSPLIT('איחוד שאלות'!$B1015,"_")</f>
        <v>post</v>
      </c>
      <c r="D1015" s="99" t="str">
        <v>preference</v>
      </c>
      <c r="E1015" s="99" t="str">
        <v>scenario</v>
      </c>
      <c r="F1015" s="99" t="str">
        <v>hamaarakhgovernmentstructure</v>
      </c>
      <c r="G1015" s="100"/>
      <c r="H1015" s="136" t="s">
        <v>3307</v>
      </c>
      <c r="I1015" s="2" t="s">
        <v>5763</v>
      </c>
      <c r="J1015" s="2" t="s">
        <v>5856</v>
      </c>
      <c r="K1015" s="2" t="s">
        <v>6290</v>
      </c>
      <c r="L1015" s="2" t="s">
        <v>6390</v>
      </c>
      <c r="N1015" s="1" t="s">
        <v>2693</v>
      </c>
    </row>
    <row r="1016" spans="1:14" ht="72.5" x14ac:dyDescent="0.35">
      <c r="A1016" s="113" t="s">
        <v>3845</v>
      </c>
      <c r="B1016" s="102" t="s">
        <v>5033</v>
      </c>
      <c r="C1016" s="123" t="str" cm="1">
        <f t="array" ref="C1016:F1016">_xlfn.TEXTSPLIT('איחוד שאלות'!$B1016,"_")</f>
        <v>perception</v>
      </c>
      <c r="D1016" s="102" t="str">
        <v>expectation</v>
      </c>
      <c r="E1016" s="102" t="str">
        <v>kippurwar</v>
      </c>
      <c r="F1016" s="102" t="str">
        <v>hamaarakh</v>
      </c>
      <c r="G1016" s="103"/>
      <c r="H1016" s="135" t="s">
        <v>3307</v>
      </c>
      <c r="I1016" s="2" t="s">
        <v>5844</v>
      </c>
      <c r="J1016" s="2" t="s">
        <v>5850</v>
      </c>
      <c r="K1016" s="2" t="s">
        <v>5960</v>
      </c>
      <c r="L1016" s="2" t="s">
        <v>6047</v>
      </c>
      <c r="N1016" s="1" t="s">
        <v>7410</v>
      </c>
    </row>
    <row r="1017" spans="1:14" ht="72.5" x14ac:dyDescent="0.35">
      <c r="A1017" s="121" t="s">
        <v>3846</v>
      </c>
      <c r="B1017" s="99" t="s">
        <v>5034</v>
      </c>
      <c r="C1017" s="121" t="str" cm="1">
        <f t="array" ref="C1017:F1017">_xlfn.TEXTSPLIT('איחוד שאלות'!$B1017,"_")</f>
        <v>perception</v>
      </c>
      <c r="D1017" s="99" t="str">
        <v>expectation</v>
      </c>
      <c r="E1017" s="99" t="str">
        <v>kippurwar</v>
      </c>
      <c r="F1017" s="99" t="str">
        <v>likud</v>
      </c>
      <c r="G1017" s="100"/>
      <c r="H1017" s="136" t="s">
        <v>3307</v>
      </c>
      <c r="I1017" s="2" t="s">
        <v>5844</v>
      </c>
      <c r="J1017" s="2" t="s">
        <v>5850</v>
      </c>
      <c r="K1017" s="2" t="s">
        <v>5960</v>
      </c>
      <c r="L1017" s="2" t="s">
        <v>6030</v>
      </c>
      <c r="N1017" s="1" t="s">
        <v>7411</v>
      </c>
    </row>
    <row r="1018" spans="1:14" ht="116" x14ac:dyDescent="0.35">
      <c r="A1018" s="113" t="s">
        <v>2818</v>
      </c>
      <c r="B1018" s="102" t="s">
        <v>5035</v>
      </c>
      <c r="C1018" s="123" t="str" cm="1">
        <f t="array" ref="C1018:F1018">_xlfn.TEXTSPLIT('איחוד שאלות'!$B1018,"_")</f>
        <v>perception</v>
      </c>
      <c r="D1018" s="102" t="str">
        <v>expectation</v>
      </c>
      <c r="E1018" s="102" t="str">
        <v>kippurwar</v>
      </c>
      <c r="F1018" s="102" t="str">
        <v>smallparties</v>
      </c>
      <c r="G1018" s="103"/>
      <c r="H1018" s="135" t="s">
        <v>3307</v>
      </c>
      <c r="I1018" s="2" t="s">
        <v>5844</v>
      </c>
      <c r="J1018" s="2" t="s">
        <v>5850</v>
      </c>
      <c r="K1018" s="2" t="s">
        <v>5960</v>
      </c>
      <c r="L1018" s="2" t="s">
        <v>6391</v>
      </c>
      <c r="N1018" s="1" t="s">
        <v>2818</v>
      </c>
    </row>
    <row r="1019" spans="1:14" ht="58" x14ac:dyDescent="0.35">
      <c r="A1019" s="121" t="s">
        <v>3006</v>
      </c>
      <c r="B1019" s="99" t="s">
        <v>5036</v>
      </c>
      <c r="C1019" s="121" t="str" cm="1">
        <f t="array" ref="C1019:F1019">_xlfn.TEXTSPLIT('איחוד שאלות'!$B1019,"_")</f>
        <v>perception</v>
      </c>
      <c r="D1019" s="99" t="str">
        <v>expectation</v>
      </c>
      <c r="E1019" s="99" t="str">
        <v>party</v>
      </c>
      <c r="F1019" s="99" t="str">
        <v>influential</v>
      </c>
      <c r="G1019" s="100"/>
      <c r="H1019" s="136" t="s">
        <v>3307</v>
      </c>
      <c r="I1019" s="2" t="s">
        <v>5844</v>
      </c>
      <c r="J1019" s="2" t="s">
        <v>5850</v>
      </c>
      <c r="K1019" s="2" t="s">
        <v>5853</v>
      </c>
      <c r="L1019" s="2" t="s">
        <v>6392</v>
      </c>
      <c r="N1019" s="1" t="s">
        <v>3006</v>
      </c>
    </row>
    <row r="1020" spans="1:14" ht="43.5" x14ac:dyDescent="0.35">
      <c r="A1020" s="113" t="s">
        <v>1145</v>
      </c>
      <c r="B1020" s="102" t="s">
        <v>5037</v>
      </c>
      <c r="C1020" s="123" t="str" cm="1">
        <f t="array" ref="C1020:F1020">_xlfn.TEXTSPLIT('איחוד שאלות'!$B1020,"_")</f>
        <v>post</v>
      </c>
      <c r="D1020" s="102" t="str">
        <v>perception</v>
      </c>
      <c r="E1020" s="102" t="str">
        <v>issues</v>
      </c>
      <c r="F1020" s="102" t="str">
        <v>elections</v>
      </c>
      <c r="G1020" s="103"/>
      <c r="H1020" s="135" t="s">
        <v>3851</v>
      </c>
      <c r="I1020" s="2" t="s">
        <v>5763</v>
      </c>
      <c r="J1020" s="2" t="s">
        <v>5844</v>
      </c>
      <c r="K1020" s="2" t="s">
        <v>5976</v>
      </c>
      <c r="L1020" s="2" t="s">
        <v>5954</v>
      </c>
      <c r="N1020" s="1" t="s">
        <v>1145</v>
      </c>
    </row>
    <row r="1021" spans="1:14" ht="116" x14ac:dyDescent="0.35">
      <c r="A1021" s="121" t="s">
        <v>3847</v>
      </c>
      <c r="B1021" s="99" t="s">
        <v>5038</v>
      </c>
      <c r="C1021" s="121" t="str" cm="1">
        <f t="array" ref="C1021:G1021">_xlfn.TEXTSPLIT('איחוד שאלות'!$B1021,"_")</f>
        <v>perception</v>
      </c>
      <c r="D1021" s="99" t="str">
        <v>agreement</v>
      </c>
      <c r="E1021" s="99" t="str">
        <v>issues</v>
      </c>
      <c r="F1021" s="99" t="str">
        <v>netanyahu</v>
      </c>
      <c r="G1021" s="100" t="str">
        <v>1</v>
      </c>
      <c r="H1021" s="136" t="s">
        <v>3851</v>
      </c>
      <c r="I1021" s="2" t="s">
        <v>5844</v>
      </c>
      <c r="J1021" s="2" t="s">
        <v>5862</v>
      </c>
      <c r="K1021" s="2" t="s">
        <v>5976</v>
      </c>
      <c r="L1021" s="2" t="s">
        <v>6072</v>
      </c>
      <c r="M1021" s="2" t="s">
        <v>5789</v>
      </c>
      <c r="N1021" s="1" t="s">
        <v>7412</v>
      </c>
    </row>
    <row r="1022" spans="1:14" ht="43.5" x14ac:dyDescent="0.35">
      <c r="A1022" s="113" t="s">
        <v>696</v>
      </c>
      <c r="B1022" s="102" t="s">
        <v>5039</v>
      </c>
      <c r="C1022" s="123" t="str" cm="1">
        <f t="array" ref="C1022:G1022">_xlfn.TEXTSPLIT('איחוד שאלות'!$B1022,"_")</f>
        <v>perception</v>
      </c>
      <c r="D1022" s="102" t="str">
        <v>agreement</v>
      </c>
      <c r="E1022" s="102" t="str">
        <v>issues</v>
      </c>
      <c r="F1022" s="102" t="str">
        <v>netanyahu</v>
      </c>
      <c r="G1022" s="103" t="str">
        <v>2</v>
      </c>
      <c r="H1022" s="135" t="s">
        <v>3851</v>
      </c>
      <c r="I1022" s="2" t="s">
        <v>5844</v>
      </c>
      <c r="J1022" s="2" t="s">
        <v>5862</v>
      </c>
      <c r="K1022" s="2" t="s">
        <v>5976</v>
      </c>
      <c r="L1022" s="2" t="s">
        <v>6072</v>
      </c>
      <c r="M1022" s="2" t="s">
        <v>5790</v>
      </c>
      <c r="N1022" s="1" t="s">
        <v>696</v>
      </c>
    </row>
    <row r="1023" spans="1:14" ht="43.5" x14ac:dyDescent="0.35">
      <c r="A1023" s="121" t="s">
        <v>314</v>
      </c>
      <c r="B1023" s="99" t="s">
        <v>5040</v>
      </c>
      <c r="C1023" s="121" t="str" cm="1">
        <f t="array" ref="C1023:F1023">_xlfn.TEXTSPLIT('איחוד שאלות'!$B1023,"_")</f>
        <v>perception</v>
      </c>
      <c r="D1023" s="99" t="str">
        <v>agreement</v>
      </c>
      <c r="E1023" s="99" t="str">
        <v>issues</v>
      </c>
      <c r="F1023" s="99" t="str">
        <v>democracy</v>
      </c>
      <c r="G1023" s="100"/>
      <c r="H1023" s="136" t="s">
        <v>3851</v>
      </c>
      <c r="I1023" s="2" t="s">
        <v>5844</v>
      </c>
      <c r="J1023" s="2" t="s">
        <v>5862</v>
      </c>
      <c r="K1023" s="2" t="s">
        <v>5976</v>
      </c>
      <c r="L1023" s="2" t="s">
        <v>5883</v>
      </c>
      <c r="N1023" s="1" t="s">
        <v>314</v>
      </c>
    </row>
    <row r="1024" spans="1:14" ht="58" x14ac:dyDescent="0.35">
      <c r="A1024" s="113" t="s">
        <v>316</v>
      </c>
      <c r="B1024" s="102" t="s">
        <v>5041</v>
      </c>
      <c r="C1024" s="123" t="str" cm="1">
        <f t="array" ref="C1024:G1024">_xlfn.TEXTSPLIT('איחוד שאלות'!$B1024,"_")</f>
        <v>perception</v>
      </c>
      <c r="D1024" s="102" t="str">
        <v>agreement</v>
      </c>
      <c r="E1024" s="102" t="str">
        <v>issues</v>
      </c>
      <c r="F1024" s="102" t="str">
        <v>netanyahu</v>
      </c>
      <c r="G1024" s="103" t="str">
        <v>3</v>
      </c>
      <c r="H1024" s="135" t="s">
        <v>3851</v>
      </c>
      <c r="I1024" s="2" t="s">
        <v>5844</v>
      </c>
      <c r="J1024" s="2" t="s">
        <v>5862</v>
      </c>
      <c r="K1024" s="2" t="s">
        <v>5976</v>
      </c>
      <c r="L1024" s="2" t="s">
        <v>6072</v>
      </c>
      <c r="M1024" s="2" t="s">
        <v>5791</v>
      </c>
      <c r="N1024" s="1" t="s">
        <v>316</v>
      </c>
    </row>
    <row r="1025" spans="1:14" ht="58" x14ac:dyDescent="0.35">
      <c r="A1025" s="121" t="s">
        <v>318</v>
      </c>
      <c r="B1025" s="99" t="s">
        <v>5042</v>
      </c>
      <c r="C1025" s="121" t="str" cm="1">
        <f t="array" ref="C1025:F1025">_xlfn.TEXTSPLIT('איחוד שאלות'!$B1025,"_")</f>
        <v>perception</v>
      </c>
      <c r="D1025" s="99" t="str">
        <v>agreement</v>
      </c>
      <c r="E1025" s="99" t="str">
        <v>issues</v>
      </c>
      <c r="F1025" s="99" t="str">
        <v>security</v>
      </c>
      <c r="G1025" s="100"/>
      <c r="H1025" s="136" t="s">
        <v>3851</v>
      </c>
      <c r="I1025" s="2" t="s">
        <v>5844</v>
      </c>
      <c r="J1025" s="2" t="s">
        <v>5862</v>
      </c>
      <c r="K1025" s="2" t="s">
        <v>5976</v>
      </c>
      <c r="L1025" s="2" t="s">
        <v>5994</v>
      </c>
      <c r="N1025" s="1" t="s">
        <v>318</v>
      </c>
    </row>
    <row r="1026" spans="1:14" ht="43.5" x14ac:dyDescent="0.35">
      <c r="A1026" s="113" t="s">
        <v>320</v>
      </c>
      <c r="B1026" s="102" t="s">
        <v>5043</v>
      </c>
      <c r="C1026" s="123" t="str" cm="1">
        <f t="array" ref="C1026:G1026">_xlfn.TEXTSPLIT('איחוד שאלות'!$B1026,"_")</f>
        <v>perception</v>
      </c>
      <c r="D1026" s="102" t="str">
        <v>agreement</v>
      </c>
      <c r="E1026" s="102" t="str">
        <v>issues</v>
      </c>
      <c r="F1026" s="102" t="str">
        <v>socioeconomic</v>
      </c>
      <c r="G1026" s="103" t="str">
        <v>1</v>
      </c>
      <c r="H1026" s="135" t="s">
        <v>3851</v>
      </c>
      <c r="I1026" s="2" t="s">
        <v>5844</v>
      </c>
      <c r="J1026" s="2" t="s">
        <v>5862</v>
      </c>
      <c r="K1026" s="2" t="s">
        <v>5976</v>
      </c>
      <c r="L1026" s="2" t="s">
        <v>6006</v>
      </c>
      <c r="M1026" s="2" t="s">
        <v>5789</v>
      </c>
      <c r="N1026" s="1" t="s">
        <v>320</v>
      </c>
    </row>
    <row r="1027" spans="1:14" ht="58" x14ac:dyDescent="0.35">
      <c r="A1027" s="121" t="s">
        <v>322</v>
      </c>
      <c r="B1027" s="99" t="s">
        <v>5204</v>
      </c>
      <c r="C1027" s="121" t="str" cm="1">
        <f t="array" ref="C1027:F1027">_xlfn.TEXTSPLIT('איחוד שאלות'!$B1027,"_")</f>
        <v>perception</v>
      </c>
      <c r="D1027" s="99" t="str">
        <v>agreement</v>
      </c>
      <c r="E1027" s="99" t="str">
        <v>issues</v>
      </c>
      <c r="F1027" s="99" t="str">
        <v>nationstatebill</v>
      </c>
      <c r="G1027" s="100"/>
      <c r="H1027" s="136" t="s">
        <v>3851</v>
      </c>
      <c r="I1027" s="2" t="s">
        <v>5844</v>
      </c>
      <c r="J1027" s="2" t="s">
        <v>5862</v>
      </c>
      <c r="K1027" s="2" t="s">
        <v>5976</v>
      </c>
      <c r="L1027" s="2" t="s">
        <v>6393</v>
      </c>
      <c r="N1027" s="1" t="s">
        <v>322</v>
      </c>
    </row>
    <row r="1028" spans="1:14" ht="43.5" x14ac:dyDescent="0.35">
      <c r="A1028" s="113" t="s">
        <v>324</v>
      </c>
      <c r="B1028" s="102" t="s">
        <v>5044</v>
      </c>
      <c r="C1028" s="123" t="str" cm="1">
        <f t="array" ref="C1028:F1028">_xlfn.TEXTSPLIT('איחוד שאלות'!$B1028,"_")</f>
        <v>perception</v>
      </c>
      <c r="D1028" s="102" t="str">
        <v>agreement</v>
      </c>
      <c r="E1028" s="102" t="str">
        <v>issues</v>
      </c>
      <c r="F1028" s="102" t="str">
        <v>bigparties</v>
      </c>
      <c r="G1028" s="103"/>
      <c r="H1028" s="135" t="s">
        <v>3851</v>
      </c>
      <c r="I1028" s="2" t="s">
        <v>5844</v>
      </c>
      <c r="J1028" s="2" t="s">
        <v>5862</v>
      </c>
      <c r="K1028" s="2" t="s">
        <v>5976</v>
      </c>
      <c r="L1028" s="2" t="s">
        <v>6394</v>
      </c>
      <c r="N1028" s="1" t="s">
        <v>324</v>
      </c>
    </row>
    <row r="1029" spans="1:14" ht="29" x14ac:dyDescent="0.35">
      <c r="A1029" s="121" t="s">
        <v>326</v>
      </c>
      <c r="B1029" s="99" t="s">
        <v>5045</v>
      </c>
      <c r="C1029" s="121" t="str" cm="1">
        <f t="array" ref="C1029:F1029">_xlfn.TEXTSPLIT('איחוד שאלות'!$B1029,"_")</f>
        <v>perception</v>
      </c>
      <c r="D1029" s="99" t="str">
        <v>agreement</v>
      </c>
      <c r="E1029" s="99" t="str">
        <v>issues</v>
      </c>
      <c r="F1029" s="99" t="str">
        <v>right</v>
      </c>
      <c r="G1029" s="100"/>
      <c r="H1029" s="136" t="s">
        <v>3851</v>
      </c>
      <c r="I1029" s="2" t="s">
        <v>5844</v>
      </c>
      <c r="J1029" s="2" t="s">
        <v>5862</v>
      </c>
      <c r="K1029" s="2" t="s">
        <v>5976</v>
      </c>
      <c r="L1029" s="2" t="s">
        <v>6015</v>
      </c>
      <c r="N1029" s="1" t="s">
        <v>326</v>
      </c>
    </row>
    <row r="1030" spans="1:14" ht="29" x14ac:dyDescent="0.35">
      <c r="A1030" s="113" t="s">
        <v>698</v>
      </c>
      <c r="B1030" s="102" t="s">
        <v>5046</v>
      </c>
      <c r="C1030" s="123" t="str" cm="1">
        <f t="array" ref="C1030:F1030">_xlfn.TEXTSPLIT('איחוד שאלות'!$B1030,"_")</f>
        <v>perception</v>
      </c>
      <c r="D1030" s="102" t="str">
        <v>agreement</v>
      </c>
      <c r="E1030" s="102" t="str">
        <v>issues</v>
      </c>
      <c r="F1030" s="102" t="str">
        <v>center</v>
      </c>
      <c r="G1030" s="103"/>
      <c r="H1030" s="135" t="s">
        <v>3851</v>
      </c>
      <c r="I1030" s="2" t="s">
        <v>5844</v>
      </c>
      <c r="J1030" s="2" t="s">
        <v>5862</v>
      </c>
      <c r="K1030" s="2" t="s">
        <v>5976</v>
      </c>
      <c r="L1030" s="2" t="s">
        <v>6395</v>
      </c>
      <c r="N1030" s="1" t="s">
        <v>698</v>
      </c>
    </row>
    <row r="1031" spans="1:14" ht="43.5" x14ac:dyDescent="0.35">
      <c r="A1031" s="121" t="s">
        <v>1140</v>
      </c>
      <c r="B1031" s="99" t="s">
        <v>5047</v>
      </c>
      <c r="C1031" s="121" t="str" cm="1">
        <f t="array" ref="C1031:G1031">_xlfn.TEXTSPLIT('איחוד שאלות'!$B1031,"_")</f>
        <v>perception</v>
      </c>
      <c r="D1031" s="99" t="str">
        <v>agreement</v>
      </c>
      <c r="E1031" s="99" t="str">
        <v>issues</v>
      </c>
      <c r="F1031" s="99" t="str">
        <v>corruption</v>
      </c>
      <c r="G1031" s="100" t="str">
        <v>1</v>
      </c>
      <c r="H1031" s="136" t="s">
        <v>3851</v>
      </c>
      <c r="I1031" s="2" t="s">
        <v>5844</v>
      </c>
      <c r="J1031" s="2" t="s">
        <v>5862</v>
      </c>
      <c r="K1031" s="2" t="s">
        <v>5976</v>
      </c>
      <c r="L1031" s="2" t="s">
        <v>6029</v>
      </c>
      <c r="M1031" s="2" t="s">
        <v>5789</v>
      </c>
      <c r="N1031" s="1" t="s">
        <v>1140</v>
      </c>
    </row>
    <row r="1032" spans="1:14" ht="58" x14ac:dyDescent="0.35">
      <c r="A1032" s="113" t="s">
        <v>580</v>
      </c>
      <c r="B1032" s="102" t="s">
        <v>5048</v>
      </c>
      <c r="C1032" s="123" t="str" cm="1">
        <f t="array" ref="C1032:G1032">_xlfn.TEXTSPLIT('איחוד שאלות'!$B1032,"_")</f>
        <v>perception</v>
      </c>
      <c r="D1032" s="102" t="str">
        <v>agreement</v>
      </c>
      <c r="E1032" s="102" t="str">
        <v>issues</v>
      </c>
      <c r="F1032" s="102" t="str">
        <v>socioeconomic</v>
      </c>
      <c r="G1032" s="103" t="str">
        <v>2</v>
      </c>
      <c r="H1032" s="135" t="s">
        <v>3851</v>
      </c>
      <c r="I1032" s="2" t="s">
        <v>5844</v>
      </c>
      <c r="J1032" s="2" t="s">
        <v>5862</v>
      </c>
      <c r="K1032" s="2" t="s">
        <v>5976</v>
      </c>
      <c r="L1032" s="2" t="s">
        <v>6006</v>
      </c>
      <c r="M1032" s="2" t="s">
        <v>5790</v>
      </c>
      <c r="N1032" s="1" t="s">
        <v>580</v>
      </c>
    </row>
    <row r="1033" spans="1:14" ht="72.5" x14ac:dyDescent="0.35">
      <c r="A1033" s="121" t="s">
        <v>582</v>
      </c>
      <c r="B1033" s="99" t="s">
        <v>5049</v>
      </c>
      <c r="C1033" s="121" t="str" cm="1">
        <f t="array" ref="C1033:F1033">_xlfn.TEXTSPLIT('איחוד שאלות'!$B1033,"_")</f>
        <v>perception</v>
      </c>
      <c r="D1033" s="99" t="str">
        <v>agreement</v>
      </c>
      <c r="E1033" s="99" t="str">
        <v>issues</v>
      </c>
      <c r="F1033" s="99" t="str">
        <v>foreigninterest</v>
      </c>
      <c r="G1033" s="100"/>
      <c r="H1033" s="136" t="s">
        <v>3851</v>
      </c>
      <c r="I1033" s="2" t="s">
        <v>5844</v>
      </c>
      <c r="J1033" s="2" t="s">
        <v>5862</v>
      </c>
      <c r="K1033" s="2" t="s">
        <v>5976</v>
      </c>
      <c r="L1033" s="2" t="s">
        <v>6396</v>
      </c>
      <c r="N1033" s="1" t="s">
        <v>582</v>
      </c>
    </row>
    <row r="1034" spans="1:14" ht="58" x14ac:dyDescent="0.35">
      <c r="A1034" s="113" t="s">
        <v>585</v>
      </c>
      <c r="B1034" s="102" t="s">
        <v>5050</v>
      </c>
      <c r="C1034" s="123" t="str" cm="1">
        <f t="array" ref="C1034:G1034">_xlfn.TEXTSPLIT('איחוד שאלות'!$B1034,"_")</f>
        <v>perception</v>
      </c>
      <c r="D1034" s="102" t="str">
        <v>agreement</v>
      </c>
      <c r="E1034" s="102" t="str">
        <v>issues</v>
      </c>
      <c r="F1034" s="102" t="str">
        <v>peaceprocess</v>
      </c>
      <c r="G1034" s="103" t="str">
        <v>1</v>
      </c>
      <c r="H1034" s="135" t="s">
        <v>3851</v>
      </c>
      <c r="I1034" s="2" t="s">
        <v>5844</v>
      </c>
      <c r="J1034" s="2" t="s">
        <v>5862</v>
      </c>
      <c r="K1034" s="2" t="s">
        <v>5976</v>
      </c>
      <c r="L1034" s="2" t="s">
        <v>5874</v>
      </c>
      <c r="M1034" s="2" t="s">
        <v>5789</v>
      </c>
      <c r="N1034" s="1" t="s">
        <v>585</v>
      </c>
    </row>
    <row r="1035" spans="1:14" ht="29" x14ac:dyDescent="0.35">
      <c r="A1035" s="121" t="s">
        <v>588</v>
      </c>
      <c r="B1035" s="99" t="s">
        <v>5051</v>
      </c>
      <c r="C1035" s="121" t="str" cm="1">
        <f t="array" ref="C1035:F1035">_xlfn.TEXTSPLIT('איחוד שאלות'!$B1035,"_")</f>
        <v>perception</v>
      </c>
      <c r="D1035" s="99" t="str">
        <v>agreement</v>
      </c>
      <c r="E1035" s="99" t="str">
        <v>issues</v>
      </c>
      <c r="F1035" s="99" t="str">
        <v>iran</v>
      </c>
      <c r="G1035" s="100"/>
      <c r="H1035" s="136" t="s">
        <v>3851</v>
      </c>
      <c r="I1035" s="2" t="s">
        <v>5844</v>
      </c>
      <c r="J1035" s="2" t="s">
        <v>5862</v>
      </c>
      <c r="K1035" s="2" t="s">
        <v>5976</v>
      </c>
      <c r="L1035" s="2" t="s">
        <v>6026</v>
      </c>
      <c r="N1035" s="1" t="s">
        <v>588</v>
      </c>
    </row>
    <row r="1036" spans="1:14" ht="43.5" x14ac:dyDescent="0.35">
      <c r="A1036" s="113" t="s">
        <v>590</v>
      </c>
      <c r="B1036" s="102" t="s">
        <v>5052</v>
      </c>
      <c r="C1036" s="123" t="str" cm="1">
        <f t="array" ref="C1036:G1036">_xlfn.TEXTSPLIT('איחוד שאלות'!$B1036,"_")</f>
        <v>perception</v>
      </c>
      <c r="D1036" s="102" t="str">
        <v>agreement</v>
      </c>
      <c r="E1036" s="102" t="str">
        <v>issues</v>
      </c>
      <c r="F1036" s="102" t="str">
        <v>socioeconomic</v>
      </c>
      <c r="G1036" s="103" t="str">
        <v>3</v>
      </c>
      <c r="H1036" s="135" t="s">
        <v>3851</v>
      </c>
      <c r="I1036" s="2" t="s">
        <v>5844</v>
      </c>
      <c r="J1036" s="2" t="s">
        <v>5862</v>
      </c>
      <c r="K1036" s="2" t="s">
        <v>5976</v>
      </c>
      <c r="L1036" s="2" t="s">
        <v>6006</v>
      </c>
      <c r="M1036" s="2" t="s">
        <v>5791</v>
      </c>
      <c r="N1036" s="1" t="s">
        <v>590</v>
      </c>
    </row>
    <row r="1037" spans="1:14" ht="58" x14ac:dyDescent="0.35">
      <c r="A1037" s="121" t="s">
        <v>592</v>
      </c>
      <c r="B1037" s="99" t="s">
        <v>5053</v>
      </c>
      <c r="C1037" s="121" t="str" cm="1">
        <f t="array" ref="C1037:G1037">_xlfn.TEXTSPLIT('איחוד שאלות'!$B1037,"_")</f>
        <v>perception</v>
      </c>
      <c r="D1037" s="99" t="str">
        <v>agreement</v>
      </c>
      <c r="E1037" s="99" t="str">
        <v>issues</v>
      </c>
      <c r="F1037" s="99" t="str">
        <v>arabjewish</v>
      </c>
      <c r="G1037" s="100" t="str">
        <v>1</v>
      </c>
      <c r="H1037" s="136" t="s">
        <v>3851</v>
      </c>
      <c r="I1037" s="2" t="s">
        <v>5844</v>
      </c>
      <c r="J1037" s="2" t="s">
        <v>5862</v>
      </c>
      <c r="K1037" s="2" t="s">
        <v>5976</v>
      </c>
      <c r="L1037" s="2" t="s">
        <v>6397</v>
      </c>
      <c r="M1037" s="2" t="s">
        <v>5789</v>
      </c>
      <c r="N1037" s="1" t="s">
        <v>592</v>
      </c>
    </row>
    <row r="1038" spans="1:14" ht="58" x14ac:dyDescent="0.35">
      <c r="A1038" s="113" t="s">
        <v>683</v>
      </c>
      <c r="B1038" s="102" t="s">
        <v>5054</v>
      </c>
      <c r="C1038" s="123" t="str" cm="1">
        <f t="array" ref="C1038:G1038">_xlfn.TEXTSPLIT('איחוד שאלות'!$B1038,"_")</f>
        <v>perception</v>
      </c>
      <c r="D1038" s="102" t="str">
        <v>agreement</v>
      </c>
      <c r="E1038" s="102" t="str">
        <v>issues</v>
      </c>
      <c r="F1038" s="102" t="str">
        <v>leaders</v>
      </c>
      <c r="G1038" s="103" t="str">
        <v>1</v>
      </c>
      <c r="H1038" s="135" t="s">
        <v>3851</v>
      </c>
      <c r="I1038" s="2" t="s">
        <v>5844</v>
      </c>
      <c r="J1038" s="2" t="s">
        <v>5862</v>
      </c>
      <c r="K1038" s="2" t="s">
        <v>5976</v>
      </c>
      <c r="L1038" s="2" t="s">
        <v>6398</v>
      </c>
      <c r="M1038" s="2" t="s">
        <v>5789</v>
      </c>
      <c r="N1038" s="1" t="s">
        <v>683</v>
      </c>
    </row>
    <row r="1039" spans="1:14" ht="43.5" x14ac:dyDescent="0.35">
      <c r="A1039" s="121" t="s">
        <v>686</v>
      </c>
      <c r="B1039" s="99" t="s">
        <v>5055</v>
      </c>
      <c r="C1039" s="121" t="str" cm="1">
        <f t="array" ref="C1039:F1039">_xlfn.TEXTSPLIT('איחוד שאלות'!$B1039,"_")</f>
        <v>perception</v>
      </c>
      <c r="D1039" s="99" t="str">
        <v>agreement</v>
      </c>
      <c r="E1039" s="99" t="str">
        <v>issues</v>
      </c>
      <c r="F1039" s="99" t="str">
        <v>extremists</v>
      </c>
      <c r="G1039" s="100"/>
      <c r="H1039" s="136" t="s">
        <v>3851</v>
      </c>
      <c r="I1039" s="2" t="s">
        <v>5844</v>
      </c>
      <c r="J1039" s="2" t="s">
        <v>5862</v>
      </c>
      <c r="K1039" s="2" t="s">
        <v>5976</v>
      </c>
      <c r="L1039" s="2" t="s">
        <v>6399</v>
      </c>
      <c r="N1039" s="1" t="s">
        <v>686</v>
      </c>
    </row>
    <row r="1040" spans="1:14" ht="58" x14ac:dyDescent="0.35">
      <c r="A1040" s="113" t="s">
        <v>689</v>
      </c>
      <c r="B1040" s="102" t="s">
        <v>5056</v>
      </c>
      <c r="C1040" s="123" t="str" cm="1">
        <f t="array" ref="C1040:G1040">_xlfn.TEXTSPLIT('איחוד שאלות'!$B1040,"_")</f>
        <v>perception</v>
      </c>
      <c r="D1040" s="102" t="str">
        <v>agreement</v>
      </c>
      <c r="E1040" s="102" t="str">
        <v>issues</v>
      </c>
      <c r="F1040" s="102" t="str">
        <v>socioeconomic</v>
      </c>
      <c r="G1040" s="103" t="str">
        <v>4</v>
      </c>
      <c r="H1040" s="135" t="s">
        <v>3851</v>
      </c>
      <c r="I1040" s="2" t="s">
        <v>5844</v>
      </c>
      <c r="J1040" s="2" t="s">
        <v>5862</v>
      </c>
      <c r="K1040" s="2" t="s">
        <v>5976</v>
      </c>
      <c r="L1040" s="2" t="s">
        <v>6006</v>
      </c>
      <c r="M1040" s="2" t="s">
        <v>5792</v>
      </c>
      <c r="N1040" s="1" t="s">
        <v>689</v>
      </c>
    </row>
    <row r="1041" spans="1:14" ht="43.5" x14ac:dyDescent="0.35">
      <c r="A1041" s="121" t="s">
        <v>694</v>
      </c>
      <c r="B1041" s="99" t="s">
        <v>5057</v>
      </c>
      <c r="C1041" s="121" t="str" cm="1">
        <f t="array" ref="C1041:F1041">_xlfn.TEXTSPLIT('איחוד שאלות'!$B1041,"_")</f>
        <v>perception</v>
      </c>
      <c r="D1041" s="99" t="str">
        <v>agreement</v>
      </c>
      <c r="E1041" s="99" t="str">
        <v>issues</v>
      </c>
      <c r="F1041" s="99" t="str">
        <v>service</v>
      </c>
      <c r="G1041" s="100"/>
      <c r="H1041" s="136" t="s">
        <v>3851</v>
      </c>
      <c r="I1041" s="2" t="s">
        <v>5844</v>
      </c>
      <c r="J1041" s="2" t="s">
        <v>5862</v>
      </c>
      <c r="K1041" s="2" t="s">
        <v>5976</v>
      </c>
      <c r="L1041" s="2" t="s">
        <v>5826</v>
      </c>
      <c r="N1041" s="1" t="s">
        <v>694</v>
      </c>
    </row>
    <row r="1042" spans="1:14" ht="43.5" x14ac:dyDescent="0.35">
      <c r="A1042" s="113" t="s">
        <v>853</v>
      </c>
      <c r="B1042" s="102" t="s">
        <v>5058</v>
      </c>
      <c r="C1042" s="123" t="str" cm="1">
        <f t="array" ref="C1042:G1042">_xlfn.TEXTSPLIT('איחוד שאלות'!$B1042,"_")</f>
        <v>perception</v>
      </c>
      <c r="D1042" s="102" t="str">
        <v>agreement</v>
      </c>
      <c r="E1042" s="102" t="str">
        <v>issues</v>
      </c>
      <c r="F1042" s="102" t="str">
        <v>leaders</v>
      </c>
      <c r="G1042" s="103" t="str">
        <v>2</v>
      </c>
      <c r="H1042" s="135" t="s">
        <v>3851</v>
      </c>
      <c r="I1042" s="2" t="s">
        <v>5844</v>
      </c>
      <c r="J1042" s="2" t="s">
        <v>5862</v>
      </c>
      <c r="K1042" s="2" t="s">
        <v>5976</v>
      </c>
      <c r="L1042" s="2" t="s">
        <v>6398</v>
      </c>
      <c r="M1042" s="2" t="s">
        <v>5790</v>
      </c>
      <c r="N1042" s="1" t="s">
        <v>853</v>
      </c>
    </row>
    <row r="1043" spans="1:14" ht="43.5" x14ac:dyDescent="0.35">
      <c r="A1043" s="121" t="s">
        <v>855</v>
      </c>
      <c r="B1043" s="99" t="s">
        <v>5059</v>
      </c>
      <c r="C1043" s="121" t="str" cm="1">
        <f t="array" ref="C1043:G1043">_xlfn.TEXTSPLIT('איחוד שאלות'!$B1043,"_")</f>
        <v>perception</v>
      </c>
      <c r="D1043" s="99" t="str">
        <v>agreement</v>
      </c>
      <c r="E1043" s="99" t="str">
        <v>issues</v>
      </c>
      <c r="F1043" s="99" t="str">
        <v>corruption</v>
      </c>
      <c r="G1043" s="100" t="str">
        <v>2</v>
      </c>
      <c r="H1043" s="136" t="s">
        <v>3851</v>
      </c>
      <c r="I1043" s="2" t="s">
        <v>5844</v>
      </c>
      <c r="J1043" s="2" t="s">
        <v>5862</v>
      </c>
      <c r="K1043" s="2" t="s">
        <v>5976</v>
      </c>
      <c r="L1043" s="2" t="s">
        <v>6029</v>
      </c>
      <c r="M1043" s="2" t="s">
        <v>5790</v>
      </c>
      <c r="N1043" s="1" t="s">
        <v>855</v>
      </c>
    </row>
    <row r="1044" spans="1:14" ht="58" x14ac:dyDescent="0.35">
      <c r="A1044" s="113" t="s">
        <v>858</v>
      </c>
      <c r="B1044" s="102" t="s">
        <v>5060</v>
      </c>
      <c r="C1044" s="123" t="str" cm="1">
        <f t="array" ref="C1044:G1044">_xlfn.TEXTSPLIT('איחוד שאלות'!$B1044,"_")</f>
        <v>perception</v>
      </c>
      <c r="D1044" s="102" t="str">
        <v>agreement</v>
      </c>
      <c r="E1044" s="102" t="str">
        <v>issues</v>
      </c>
      <c r="F1044" s="102" t="str">
        <v>socioeconomic</v>
      </c>
      <c r="G1044" s="103" t="str">
        <v>5</v>
      </c>
      <c r="H1044" s="135" t="s">
        <v>3851</v>
      </c>
      <c r="I1044" s="2" t="s">
        <v>5844</v>
      </c>
      <c r="J1044" s="2" t="s">
        <v>5862</v>
      </c>
      <c r="K1044" s="2" t="s">
        <v>5976</v>
      </c>
      <c r="L1044" s="2" t="s">
        <v>6006</v>
      </c>
      <c r="M1044" s="2" t="s">
        <v>5896</v>
      </c>
      <c r="N1044" s="1" t="s">
        <v>858</v>
      </c>
    </row>
    <row r="1045" spans="1:14" ht="58" x14ac:dyDescent="0.35">
      <c r="A1045" s="121" t="s">
        <v>863</v>
      </c>
      <c r="B1045" s="99" t="s">
        <v>5061</v>
      </c>
      <c r="C1045" s="121" t="str" cm="1">
        <f t="array" ref="C1045:G1045">_xlfn.TEXTSPLIT('איחוד שאלות'!$B1045,"_")</f>
        <v>perception</v>
      </c>
      <c r="D1045" s="99" t="str">
        <v>agreement</v>
      </c>
      <c r="E1045" s="99" t="str">
        <v>issues</v>
      </c>
      <c r="F1045" s="99" t="str">
        <v>arabjewish</v>
      </c>
      <c r="G1045" s="100" t="str">
        <v>2</v>
      </c>
      <c r="H1045" s="136" t="s">
        <v>3851</v>
      </c>
      <c r="I1045" s="2" t="s">
        <v>5844</v>
      </c>
      <c r="J1045" s="2" t="s">
        <v>5862</v>
      </c>
      <c r="K1045" s="2" t="s">
        <v>5976</v>
      </c>
      <c r="L1045" s="2" t="s">
        <v>6397</v>
      </c>
      <c r="M1045" s="2" t="s">
        <v>5790</v>
      </c>
      <c r="N1045" s="1" t="s">
        <v>863</v>
      </c>
    </row>
    <row r="1046" spans="1:14" ht="43.5" x14ac:dyDescent="0.35">
      <c r="A1046" s="113" t="s">
        <v>861</v>
      </c>
      <c r="B1046" s="102" t="s">
        <v>5062</v>
      </c>
      <c r="C1046" s="123" t="str" cm="1">
        <f t="array" ref="C1046:F1046">_xlfn.TEXTSPLIT('איחוד שאלות'!$B1046,"_")</f>
        <v>perception</v>
      </c>
      <c r="D1046" s="102" t="str">
        <v>agreement</v>
      </c>
      <c r="E1046" s="102" t="str">
        <v>issues</v>
      </c>
      <c r="F1046" s="102" t="str">
        <v>kadima</v>
      </c>
      <c r="G1046" s="103"/>
      <c r="H1046" s="135" t="s">
        <v>3851</v>
      </c>
      <c r="I1046" s="2" t="s">
        <v>5844</v>
      </c>
      <c r="J1046" s="2" t="s">
        <v>5862</v>
      </c>
      <c r="K1046" s="2" t="s">
        <v>5976</v>
      </c>
      <c r="L1046" s="2" t="s">
        <v>6032</v>
      </c>
      <c r="N1046" s="1" t="s">
        <v>861</v>
      </c>
    </row>
    <row r="1047" spans="1:14" ht="58" x14ac:dyDescent="0.35">
      <c r="A1047" s="121" t="s">
        <v>865</v>
      </c>
      <c r="B1047" s="99" t="s">
        <v>5063</v>
      </c>
      <c r="C1047" s="121" t="str" cm="1">
        <f t="array" ref="C1047:F1047">_xlfn.TEXTSPLIT('איחוד שאלות'!$B1047,"_")</f>
        <v>perception</v>
      </c>
      <c r="D1047" s="99" t="str">
        <v>agreement</v>
      </c>
      <c r="E1047" s="99" t="str">
        <v>issues</v>
      </c>
      <c r="F1047" s="99" t="str">
        <v>femaleprimeminister</v>
      </c>
      <c r="G1047" s="100"/>
      <c r="H1047" s="136" t="s">
        <v>3851</v>
      </c>
      <c r="I1047" s="2" t="s">
        <v>5844</v>
      </c>
      <c r="J1047" s="2" t="s">
        <v>5862</v>
      </c>
      <c r="K1047" s="2" t="s">
        <v>5976</v>
      </c>
      <c r="L1047" s="2" t="s">
        <v>6400</v>
      </c>
      <c r="N1047" s="1" t="s">
        <v>865</v>
      </c>
    </row>
    <row r="1048" spans="1:14" ht="43.5" x14ac:dyDescent="0.35">
      <c r="A1048" s="113" t="s">
        <v>1135</v>
      </c>
      <c r="B1048" s="102" t="s">
        <v>5064</v>
      </c>
      <c r="C1048" s="123" t="str" cm="1">
        <f t="array" ref="C1048:G1048">_xlfn.TEXTSPLIT('איחוד שאלות'!$B1048,"_")</f>
        <v>perception</v>
      </c>
      <c r="D1048" s="102" t="str">
        <v>agreement</v>
      </c>
      <c r="E1048" s="102" t="str">
        <v>issues</v>
      </c>
      <c r="F1048" s="102" t="str">
        <v>socioeconomic</v>
      </c>
      <c r="G1048" s="103" t="str">
        <v>6</v>
      </c>
      <c r="H1048" s="135" t="s">
        <v>3851</v>
      </c>
      <c r="I1048" s="2" t="s">
        <v>5844</v>
      </c>
      <c r="J1048" s="2" t="s">
        <v>5862</v>
      </c>
      <c r="K1048" s="2" t="s">
        <v>5976</v>
      </c>
      <c r="L1048" s="2" t="s">
        <v>6006</v>
      </c>
      <c r="M1048" s="2" t="s">
        <v>5897</v>
      </c>
      <c r="N1048" s="1" t="s">
        <v>1135</v>
      </c>
    </row>
    <row r="1049" spans="1:14" ht="43.5" x14ac:dyDescent="0.35">
      <c r="A1049" s="121" t="s">
        <v>1137</v>
      </c>
      <c r="B1049" s="99" t="s">
        <v>5065</v>
      </c>
      <c r="C1049" s="121" t="str" cm="1">
        <f t="array" ref="C1049:G1049">_xlfn.TEXTSPLIT('איחוד שאלות'!$B1049,"_")</f>
        <v>perception</v>
      </c>
      <c r="D1049" s="99" t="str">
        <v>agreement</v>
      </c>
      <c r="E1049" s="99" t="str">
        <v>issues</v>
      </c>
      <c r="F1049" s="99" t="str">
        <v>peaceprocess</v>
      </c>
      <c r="G1049" s="100" t="str">
        <v>2</v>
      </c>
      <c r="H1049" s="136" t="s">
        <v>3851</v>
      </c>
      <c r="I1049" s="2" t="s">
        <v>5844</v>
      </c>
      <c r="J1049" s="2" t="s">
        <v>5862</v>
      </c>
      <c r="K1049" s="2" t="s">
        <v>5976</v>
      </c>
      <c r="L1049" s="2" t="s">
        <v>5874</v>
      </c>
      <c r="M1049" s="2" t="s">
        <v>5790</v>
      </c>
      <c r="N1049" s="1" t="s">
        <v>1137</v>
      </c>
    </row>
    <row r="1050" spans="1:14" ht="29" x14ac:dyDescent="0.35">
      <c r="A1050" s="113" t="s">
        <v>1142</v>
      </c>
      <c r="B1050" s="102" t="s">
        <v>5066</v>
      </c>
      <c r="C1050" s="123" t="str" cm="1">
        <f t="array" ref="C1050:F1050">_xlfn.TEXTSPLIT('איחוד שאלות'!$B1050,"_")</f>
        <v>perception</v>
      </c>
      <c r="D1050" s="102" t="str">
        <v>agreement</v>
      </c>
      <c r="E1050" s="102" t="str">
        <v>issues</v>
      </c>
      <c r="F1050" s="102" t="str">
        <v>protest</v>
      </c>
      <c r="G1050" s="103"/>
      <c r="H1050" s="135" t="s">
        <v>3851</v>
      </c>
      <c r="I1050" s="2" t="s">
        <v>5844</v>
      </c>
      <c r="J1050" s="2" t="s">
        <v>5862</v>
      </c>
      <c r="K1050" s="2" t="s">
        <v>5976</v>
      </c>
      <c r="L1050" s="2" t="s">
        <v>6011</v>
      </c>
      <c r="N1050" s="1" t="s">
        <v>1142</v>
      </c>
    </row>
    <row r="1051" spans="1:14" ht="87" x14ac:dyDescent="0.35">
      <c r="A1051" s="121" t="s">
        <v>867</v>
      </c>
      <c r="B1051" s="99" t="s">
        <v>5067</v>
      </c>
      <c r="C1051" s="121" t="str" cm="1">
        <f t="array" ref="C1051:F1051">_xlfn.TEXTSPLIT('איחוד שאלות'!$B1051,"_")</f>
        <v>perception</v>
      </c>
      <c r="D1051" s="99" t="str">
        <v>agreement</v>
      </c>
      <c r="E1051" s="99" t="str">
        <v>issues</v>
      </c>
      <c r="F1051" s="99" t="str">
        <v>electionsystem</v>
      </c>
      <c r="G1051" s="100"/>
      <c r="H1051" s="136" t="s">
        <v>3851</v>
      </c>
      <c r="I1051" s="2" t="s">
        <v>5844</v>
      </c>
      <c r="J1051" s="2" t="s">
        <v>5862</v>
      </c>
      <c r="K1051" s="2" t="s">
        <v>5976</v>
      </c>
      <c r="L1051" s="2" t="s">
        <v>5975</v>
      </c>
      <c r="N1051" s="1" t="s">
        <v>867</v>
      </c>
    </row>
    <row r="1052" spans="1:14" ht="43.5" x14ac:dyDescent="0.35">
      <c r="A1052" s="113" t="s">
        <v>1467</v>
      </c>
      <c r="B1052" s="102" t="s">
        <v>5068</v>
      </c>
      <c r="C1052" s="123" t="str" cm="1">
        <f t="array" ref="C1052:F1052">_xlfn.TEXTSPLIT('איחוד שאלות'!$B1052,"_")</f>
        <v>perception</v>
      </c>
      <c r="D1052" s="102" t="str">
        <v>agreement</v>
      </c>
      <c r="E1052" s="102" t="str">
        <v>issues</v>
      </c>
      <c r="F1052" s="102" t="str">
        <v>religioncleavage</v>
      </c>
      <c r="G1052" s="103"/>
      <c r="H1052" s="135" t="s">
        <v>3851</v>
      </c>
      <c r="I1052" s="2" t="s">
        <v>5844</v>
      </c>
      <c r="J1052" s="2" t="s">
        <v>5862</v>
      </c>
      <c r="K1052" s="2" t="s">
        <v>5976</v>
      </c>
      <c r="L1052" s="2" t="s">
        <v>6191</v>
      </c>
      <c r="N1052" s="1" t="s">
        <v>1467</v>
      </c>
    </row>
    <row r="1053" spans="1:14" ht="58" x14ac:dyDescent="0.35">
      <c r="A1053" s="121" t="s">
        <v>1468</v>
      </c>
      <c r="B1053" s="99" t="s">
        <v>5069</v>
      </c>
      <c r="C1053" s="121" t="str" cm="1">
        <f t="array" ref="C1053:F1053">_xlfn.TEXTSPLIT('איחוד שאלות'!$B1053,"_")</f>
        <v>perception</v>
      </c>
      <c r="D1053" s="99" t="str">
        <v>agreement</v>
      </c>
      <c r="E1053" s="99" t="str">
        <v>issues</v>
      </c>
      <c r="F1053" s="99" t="str">
        <v>ruleoflaw</v>
      </c>
      <c r="G1053" s="100"/>
      <c r="H1053" s="136" t="s">
        <v>3851</v>
      </c>
      <c r="I1053" s="2" t="s">
        <v>5844</v>
      </c>
      <c r="J1053" s="2" t="s">
        <v>5862</v>
      </c>
      <c r="K1053" s="2" t="s">
        <v>5976</v>
      </c>
      <c r="L1053" s="2" t="s">
        <v>6189</v>
      </c>
      <c r="N1053" s="1" t="s">
        <v>1468</v>
      </c>
    </row>
    <row r="1054" spans="1:14" ht="72.5" x14ac:dyDescent="0.35">
      <c r="A1054" s="113" t="s">
        <v>1469</v>
      </c>
      <c r="B1054" s="102" t="s">
        <v>5070</v>
      </c>
      <c r="C1054" s="123" t="str" cm="1">
        <f t="array" ref="C1054:G1054">_xlfn.TEXTSPLIT('איחוד שאלות'!$B1054,"_")</f>
        <v>perception</v>
      </c>
      <c r="D1054" s="102" t="str">
        <v>agreement</v>
      </c>
      <c r="E1054" s="102" t="str">
        <v>issues</v>
      </c>
      <c r="F1054" s="102" t="str">
        <v>peaceprocess</v>
      </c>
      <c r="G1054" s="103" t="str">
        <v>3</v>
      </c>
      <c r="H1054" s="135" t="s">
        <v>3851</v>
      </c>
      <c r="I1054" s="2" t="s">
        <v>5844</v>
      </c>
      <c r="J1054" s="2" t="s">
        <v>5862</v>
      </c>
      <c r="K1054" s="2" t="s">
        <v>5976</v>
      </c>
      <c r="L1054" s="2" t="s">
        <v>5874</v>
      </c>
      <c r="M1054" s="2" t="s">
        <v>5791</v>
      </c>
      <c r="N1054" s="1" t="s">
        <v>1469</v>
      </c>
    </row>
    <row r="1055" spans="1:14" ht="43.5" x14ac:dyDescent="0.35">
      <c r="A1055" s="121" t="s">
        <v>1470</v>
      </c>
      <c r="B1055" s="99" t="s">
        <v>5071</v>
      </c>
      <c r="C1055" s="121" t="str" cm="1">
        <f t="array" ref="C1055:G1055">_xlfn.TEXTSPLIT('איחוד שאלות'!$B1055,"_")</f>
        <v>perception</v>
      </c>
      <c r="D1055" s="99" t="str">
        <v>agreement</v>
      </c>
      <c r="E1055" s="99" t="str">
        <v>issues</v>
      </c>
      <c r="F1055" s="99" t="str">
        <v>socioeconomic</v>
      </c>
      <c r="G1055" s="100" t="str">
        <v>7</v>
      </c>
      <c r="H1055" s="136" t="s">
        <v>3851</v>
      </c>
      <c r="I1055" s="2" t="s">
        <v>5844</v>
      </c>
      <c r="J1055" s="2" t="s">
        <v>5862</v>
      </c>
      <c r="K1055" s="2" t="s">
        <v>5976</v>
      </c>
      <c r="L1055" s="2" t="s">
        <v>6006</v>
      </c>
      <c r="M1055" s="2" t="s">
        <v>5898</v>
      </c>
      <c r="N1055" s="1" t="s">
        <v>1470</v>
      </c>
    </row>
    <row r="1056" spans="1:14" ht="72.5" x14ac:dyDescent="0.35">
      <c r="A1056" s="113" t="s">
        <v>1471</v>
      </c>
      <c r="B1056" s="102" t="s">
        <v>5072</v>
      </c>
      <c r="C1056" s="123" t="str" cm="1">
        <f t="array" ref="C1056:G1056">_xlfn.TEXTSPLIT('איחוד שאלות'!$B1056,"_")</f>
        <v>perception</v>
      </c>
      <c r="D1056" s="102" t="str">
        <v>agreement</v>
      </c>
      <c r="E1056" s="102" t="str">
        <v>issues</v>
      </c>
      <c r="F1056" s="102" t="str">
        <v>peaceprocess</v>
      </c>
      <c r="G1056" s="103" t="str">
        <v>4</v>
      </c>
      <c r="H1056" s="135" t="s">
        <v>3851</v>
      </c>
      <c r="I1056" s="2" t="s">
        <v>5844</v>
      </c>
      <c r="J1056" s="2" t="s">
        <v>5862</v>
      </c>
      <c r="K1056" s="2" t="s">
        <v>5976</v>
      </c>
      <c r="L1056" s="2" t="s">
        <v>5874</v>
      </c>
      <c r="M1056" s="2" t="s">
        <v>5792</v>
      </c>
      <c r="N1056" s="1" t="s">
        <v>1471</v>
      </c>
    </row>
    <row r="1057" spans="1:14" ht="116" x14ac:dyDescent="0.35">
      <c r="A1057" s="121" t="s">
        <v>1146</v>
      </c>
      <c r="B1057" s="99" t="s">
        <v>5073</v>
      </c>
      <c r="C1057" s="121" t="str" cm="1">
        <f t="array" ref="C1057:G1057">_xlfn.TEXTSPLIT('איחוד שאלות'!$B1057,"_")</f>
        <v>perception</v>
      </c>
      <c r="D1057" s="99" t="str">
        <v>agreement</v>
      </c>
      <c r="E1057" s="99" t="str">
        <v>issues</v>
      </c>
      <c r="F1057" s="99" t="str">
        <v>peaceprocess</v>
      </c>
      <c r="G1057" s="100" t="str">
        <v>olmert</v>
      </c>
      <c r="H1057" s="136" t="s">
        <v>3851</v>
      </c>
      <c r="I1057" s="2" t="s">
        <v>5844</v>
      </c>
      <c r="J1057" s="2" t="s">
        <v>5862</v>
      </c>
      <c r="K1057" s="2" t="s">
        <v>5976</v>
      </c>
      <c r="L1057" s="2" t="s">
        <v>5874</v>
      </c>
      <c r="M1057" s="2" t="s">
        <v>6076</v>
      </c>
      <c r="N1057" s="1" t="s">
        <v>1146</v>
      </c>
    </row>
    <row r="1058" spans="1:14" ht="87" x14ac:dyDescent="0.35">
      <c r="A1058" s="113" t="s">
        <v>1249</v>
      </c>
      <c r="B1058" s="102" t="s">
        <v>4079</v>
      </c>
      <c r="C1058" s="123" t="str" cm="1">
        <f t="array" ref="C1058:E1058">_xlfn.TEXTSPLIT('איחוד שאלות'!$B1058,"_")</f>
        <v>preference</v>
      </c>
      <c r="D1058" s="102" t="str">
        <v>electionsystem</v>
      </c>
      <c r="E1058" s="102" t="str">
        <v>directelections</v>
      </c>
      <c r="F1058" s="102"/>
      <c r="G1058" s="103"/>
      <c r="H1058" s="135" t="s">
        <v>3851</v>
      </c>
      <c r="I1058" s="2" t="s">
        <v>5856</v>
      </c>
      <c r="J1058" s="2" t="s">
        <v>5975</v>
      </c>
      <c r="K1058" s="2" t="s">
        <v>6401</v>
      </c>
      <c r="N1058" s="1" t="s">
        <v>1249</v>
      </c>
    </row>
    <row r="1059" spans="1:14" ht="72.5" x14ac:dyDescent="0.35">
      <c r="A1059" s="121" t="s">
        <v>1612</v>
      </c>
      <c r="B1059" s="99" t="s">
        <v>4078</v>
      </c>
      <c r="C1059" s="121" t="str" cm="1">
        <f t="array" ref="C1059:E1059">_xlfn.TEXTSPLIT('איחוד שאלות'!$B1059,"_")</f>
        <v>preference</v>
      </c>
      <c r="D1059" s="99" t="str">
        <v>electionsystem</v>
      </c>
      <c r="E1059" s="99" t="str">
        <v>primaries</v>
      </c>
      <c r="F1059" s="99"/>
      <c r="G1059" s="100"/>
      <c r="H1059" s="136" t="s">
        <v>3851</v>
      </c>
      <c r="I1059" s="2" t="s">
        <v>5856</v>
      </c>
      <c r="J1059" s="2" t="s">
        <v>5975</v>
      </c>
      <c r="K1059" s="2" t="s">
        <v>6402</v>
      </c>
      <c r="N1059" s="1" t="s">
        <v>1612</v>
      </c>
    </row>
    <row r="1060" spans="1:14" ht="43.5" x14ac:dyDescent="0.35">
      <c r="A1060" s="113" t="s">
        <v>1614</v>
      </c>
      <c r="B1060" s="102" t="s">
        <v>5074</v>
      </c>
      <c r="C1060" s="123" t="str" cm="1">
        <f t="array" ref="C1060:E1060">_xlfn.TEXTSPLIT('איחוד שאלות'!$B1060,"_")</f>
        <v>behavior</v>
      </c>
      <c r="D1060" s="102" t="str">
        <v>voting</v>
      </c>
      <c r="E1060" s="102" t="str">
        <v>primaries</v>
      </c>
      <c r="F1060" s="102"/>
      <c r="G1060" s="103"/>
      <c r="H1060" s="135" t="s">
        <v>3851</v>
      </c>
      <c r="I1060" s="2" t="s">
        <v>5806</v>
      </c>
      <c r="J1060" s="2" t="s">
        <v>5967</v>
      </c>
      <c r="K1060" s="2" t="s">
        <v>6402</v>
      </c>
      <c r="N1060" s="1" t="s">
        <v>1614</v>
      </c>
    </row>
    <row r="1061" spans="1:14" ht="58" x14ac:dyDescent="0.35">
      <c r="A1061" s="121" t="s">
        <v>768</v>
      </c>
      <c r="B1061" s="99" t="s">
        <v>5075</v>
      </c>
      <c r="C1061" s="121" t="str" cm="1">
        <f t="array" ref="C1061:E1061">_xlfn.TEXTSPLIT('איחוד שאלות'!$B1061,"_")</f>
        <v>perception</v>
      </c>
      <c r="D1061" s="99" t="str">
        <v>issues</v>
      </c>
      <c r="E1061" s="99" t="str">
        <v>elections</v>
      </c>
      <c r="F1061" s="99"/>
      <c r="G1061" s="100"/>
      <c r="H1061" s="136" t="s">
        <v>3851</v>
      </c>
      <c r="I1061" s="2" t="s">
        <v>5844</v>
      </c>
      <c r="J1061" s="2" t="s">
        <v>5976</v>
      </c>
      <c r="K1061" s="2" t="s">
        <v>5954</v>
      </c>
      <c r="N1061" s="1" t="s">
        <v>768</v>
      </c>
    </row>
    <row r="1062" spans="1:14" ht="145" x14ac:dyDescent="0.35">
      <c r="A1062" s="113" t="s">
        <v>2170</v>
      </c>
      <c r="B1062" s="102" t="s">
        <v>4080</v>
      </c>
      <c r="C1062" s="123" t="str" cm="1">
        <f t="array" ref="C1062:E1062">_xlfn.TEXTSPLIT('איחוד שאלות'!$B1062,"_")</f>
        <v>preference</v>
      </c>
      <c r="D1062" s="102" t="str">
        <v>electionsystem</v>
      </c>
      <c r="E1062" s="102" t="str">
        <v>regional</v>
      </c>
      <c r="F1062" s="102"/>
      <c r="G1062" s="103"/>
      <c r="H1062" s="135" t="s">
        <v>3851</v>
      </c>
      <c r="I1062" s="2" t="s">
        <v>5856</v>
      </c>
      <c r="J1062" s="2" t="s">
        <v>5975</v>
      </c>
      <c r="K1062" s="2" t="s">
        <v>6403</v>
      </c>
      <c r="N1062" s="1" t="s">
        <v>2170</v>
      </c>
    </row>
    <row r="1063" spans="1:14" ht="87" x14ac:dyDescent="0.35">
      <c r="A1063" s="121" t="s">
        <v>2238</v>
      </c>
      <c r="B1063" s="99" t="s">
        <v>5076</v>
      </c>
      <c r="C1063" s="121" t="str" cm="1">
        <f t="array" ref="C1063:F1063">_xlfn.TEXTSPLIT('איחוד שאלות'!$B1063,"_")</f>
        <v>perception</v>
      </c>
      <c r="D1063" s="99" t="str">
        <v>saliency</v>
      </c>
      <c r="E1063" s="99" t="str">
        <v>peaceprocess</v>
      </c>
      <c r="F1063" s="99" t="str">
        <v>result</v>
      </c>
      <c r="G1063" s="100"/>
      <c r="H1063" s="136" t="s">
        <v>3851</v>
      </c>
      <c r="I1063" s="2" t="s">
        <v>5844</v>
      </c>
      <c r="J1063" s="2" t="s">
        <v>6139</v>
      </c>
      <c r="K1063" s="2" t="s">
        <v>5874</v>
      </c>
      <c r="L1063" s="2" t="s">
        <v>6404</v>
      </c>
      <c r="N1063" s="1" t="s">
        <v>2238</v>
      </c>
    </row>
    <row r="1064" spans="1:14" ht="87" x14ac:dyDescent="0.35">
      <c r="A1064" s="113" t="s">
        <v>2240</v>
      </c>
      <c r="B1064" s="102" t="s">
        <v>5077</v>
      </c>
      <c r="C1064" s="123" t="str" cm="1">
        <f t="array" ref="C1064:F1064">_xlfn.TEXTSPLIT('איחוד שאלות'!$B1064,"_")</f>
        <v>perception</v>
      </c>
      <c r="D1064" s="102" t="str">
        <v>saliency</v>
      </c>
      <c r="E1064" s="102" t="str">
        <v>inflation</v>
      </c>
      <c r="F1064" s="102" t="str">
        <v>result</v>
      </c>
      <c r="G1064" s="103"/>
      <c r="H1064" s="135" t="s">
        <v>3851</v>
      </c>
      <c r="I1064" s="2" t="s">
        <v>5844</v>
      </c>
      <c r="J1064" s="2" t="s">
        <v>6139</v>
      </c>
      <c r="K1064" s="2" t="s">
        <v>6336</v>
      </c>
      <c r="L1064" s="2" t="s">
        <v>6404</v>
      </c>
      <c r="N1064" s="1" t="s">
        <v>2240</v>
      </c>
    </row>
    <row r="1065" spans="1:14" ht="72.5" x14ac:dyDescent="0.35">
      <c r="A1065" s="121" t="s">
        <v>3848</v>
      </c>
      <c r="B1065" s="99" t="s">
        <v>5078</v>
      </c>
      <c r="C1065" s="121" t="str" cm="1">
        <f t="array" ref="C1065:F1065">_xlfn.TEXTSPLIT('איחוד שאלות'!$B1065,"_")</f>
        <v>perception</v>
      </c>
      <c r="D1065" s="99" t="str">
        <v>saliency</v>
      </c>
      <c r="E1065" s="99" t="str">
        <v>territories</v>
      </c>
      <c r="F1065" s="99" t="str">
        <v>result</v>
      </c>
      <c r="G1065" s="100"/>
      <c r="H1065" s="136" t="s">
        <v>3851</v>
      </c>
      <c r="I1065" s="2" t="s">
        <v>5844</v>
      </c>
      <c r="J1065" s="2" t="s">
        <v>6139</v>
      </c>
      <c r="K1065" s="2" t="s">
        <v>6048</v>
      </c>
      <c r="L1065" s="2" t="s">
        <v>6404</v>
      </c>
      <c r="N1065" s="1" t="s">
        <v>7413</v>
      </c>
    </row>
    <row r="1066" spans="1:14" ht="72.5" x14ac:dyDescent="0.35">
      <c r="A1066" s="113" t="s">
        <v>3849</v>
      </c>
      <c r="B1066" s="102" t="s">
        <v>5079</v>
      </c>
      <c r="C1066" s="123" t="str" cm="1">
        <f t="array" ref="C1066:F1066">_xlfn.TEXTSPLIT('איחוד שאלות'!$B1066,"_")</f>
        <v>perception</v>
      </c>
      <c r="D1066" s="102" t="str">
        <v>saliency</v>
      </c>
      <c r="E1066" s="102" t="str">
        <v>economic</v>
      </c>
      <c r="F1066" s="102" t="str">
        <v>result</v>
      </c>
      <c r="G1066" s="103"/>
      <c r="H1066" s="135" t="s">
        <v>3851</v>
      </c>
      <c r="I1066" s="2" t="s">
        <v>5844</v>
      </c>
      <c r="J1066" s="2" t="s">
        <v>6139</v>
      </c>
      <c r="K1066" s="2" t="s">
        <v>6008</v>
      </c>
      <c r="L1066" s="2" t="s">
        <v>6404</v>
      </c>
      <c r="N1066" s="1" t="s">
        <v>7414</v>
      </c>
    </row>
    <row r="1067" spans="1:14" ht="72.5" x14ac:dyDescent="0.35">
      <c r="A1067" s="121" t="s">
        <v>3850</v>
      </c>
      <c r="B1067" s="99" t="s">
        <v>5080</v>
      </c>
      <c r="C1067" s="121" t="str" cm="1">
        <f t="array" ref="C1067:F1067">_xlfn.TEXTSPLIT('איחוד שאלות'!$B1067,"_")</f>
        <v>perception</v>
      </c>
      <c r="D1067" s="99" t="str">
        <v>saliency</v>
      </c>
      <c r="E1067" s="99" t="str">
        <v>security</v>
      </c>
      <c r="F1067" s="99" t="str">
        <v>result</v>
      </c>
      <c r="G1067" s="100"/>
      <c r="H1067" s="136" t="s">
        <v>3851</v>
      </c>
      <c r="I1067" s="2" t="s">
        <v>5844</v>
      </c>
      <c r="J1067" s="2" t="s">
        <v>6139</v>
      </c>
      <c r="K1067" s="2" t="s">
        <v>5994</v>
      </c>
      <c r="L1067" s="2" t="s">
        <v>6404</v>
      </c>
      <c r="N1067" s="1" t="s">
        <v>7415</v>
      </c>
    </row>
    <row r="1068" spans="1:14" ht="87" x14ac:dyDescent="0.35">
      <c r="A1068" s="113" t="s">
        <v>2311</v>
      </c>
      <c r="B1068" s="102" t="s">
        <v>5081</v>
      </c>
      <c r="C1068" s="123" t="str" cm="1">
        <f t="array" ref="C1068:F1068">_xlfn.TEXTSPLIT('איחוד שאלות'!$B1068,"_")</f>
        <v>perception</v>
      </c>
      <c r="D1068" s="102" t="str">
        <v>saliency</v>
      </c>
      <c r="E1068" s="102" t="str">
        <v>aridorplan</v>
      </c>
      <c r="F1068" s="102" t="str">
        <v>result</v>
      </c>
      <c r="G1068" s="103"/>
      <c r="H1068" s="135" t="s">
        <v>3851</v>
      </c>
      <c r="I1068" s="2" t="s">
        <v>5844</v>
      </c>
      <c r="J1068" s="2" t="s">
        <v>6139</v>
      </c>
      <c r="K1068" s="2" t="s">
        <v>6338</v>
      </c>
      <c r="L1068" s="2" t="s">
        <v>6404</v>
      </c>
      <c r="N1068" s="1" t="s">
        <v>2311</v>
      </c>
    </row>
    <row r="1069" spans="1:14" ht="58" x14ac:dyDescent="0.35">
      <c r="A1069" s="121" t="s">
        <v>2417</v>
      </c>
      <c r="B1069" s="99" t="s">
        <v>5082</v>
      </c>
      <c r="C1069" s="121" t="str" cm="1">
        <f t="array" ref="C1069:E1069">_xlfn.TEXTSPLIT('איחוד שאלות'!$B1069,"_")</f>
        <v>preference</v>
      </c>
      <c r="D1069" s="99" t="str">
        <v>elections</v>
      </c>
      <c r="E1069" s="99" t="str">
        <v>securityincampaign</v>
      </c>
      <c r="F1069" s="99"/>
      <c r="G1069" s="100"/>
      <c r="H1069" s="136" t="s">
        <v>3851</v>
      </c>
      <c r="I1069" s="2" t="s">
        <v>5856</v>
      </c>
      <c r="J1069" s="2" t="s">
        <v>5954</v>
      </c>
      <c r="K1069" s="2" t="s">
        <v>6405</v>
      </c>
      <c r="N1069" s="1" t="s">
        <v>2417</v>
      </c>
    </row>
    <row r="1070" spans="1:14" ht="145" x14ac:dyDescent="0.35">
      <c r="A1070" s="113" t="s">
        <v>2555</v>
      </c>
      <c r="B1070" s="102" t="s">
        <v>5083</v>
      </c>
      <c r="C1070" s="123" t="str" cm="1">
        <f t="array" ref="C1070:F1070">_xlfn.TEXTSPLIT('איחוד שאלות'!$B1070,"_")</f>
        <v>perception</v>
      </c>
      <c r="D1070" s="102" t="str">
        <v>politician</v>
      </c>
      <c r="E1070" s="102" t="str">
        <v>dayan</v>
      </c>
      <c r="F1070" s="102" t="str">
        <v>leader</v>
      </c>
      <c r="G1070" s="103"/>
      <c r="H1070" s="135" t="s">
        <v>3851</v>
      </c>
      <c r="I1070" s="2" t="s">
        <v>5844</v>
      </c>
      <c r="J1070" s="2" t="s">
        <v>6151</v>
      </c>
      <c r="K1070" s="2" t="s">
        <v>6140</v>
      </c>
      <c r="L1070" s="2" t="s">
        <v>6406</v>
      </c>
      <c r="N1070" s="1" t="s">
        <v>2555</v>
      </c>
    </row>
    <row r="1071" spans="1:14" ht="58" x14ac:dyDescent="0.35">
      <c r="A1071" s="121" t="s">
        <v>2473</v>
      </c>
      <c r="B1071" s="99" t="s">
        <v>5084</v>
      </c>
      <c r="C1071" s="121" t="str" cm="1">
        <f t="array" ref="C1071:F1071">_xlfn.TEXTSPLIT('איחוד שאלות'!$B1071,"_")</f>
        <v>perception</v>
      </c>
      <c r="D1071" s="99" t="str">
        <v>party</v>
      </c>
      <c r="E1071" s="99" t="str">
        <v>likud</v>
      </c>
      <c r="F1071" s="99" t="str">
        <v>canrule</v>
      </c>
      <c r="G1071" s="100"/>
      <c r="H1071" s="136" t="s">
        <v>3851</v>
      </c>
      <c r="I1071" s="2" t="s">
        <v>5844</v>
      </c>
      <c r="J1071" s="2" t="s">
        <v>5853</v>
      </c>
      <c r="K1071" s="2" t="s">
        <v>6030</v>
      </c>
      <c r="L1071" s="2" t="s">
        <v>6407</v>
      </c>
      <c r="N1071" s="1" t="s">
        <v>2473</v>
      </c>
    </row>
    <row r="1072" spans="1:14" ht="87" x14ac:dyDescent="0.35">
      <c r="A1072" s="113" t="s">
        <v>2589</v>
      </c>
      <c r="B1072" s="102" t="s">
        <v>5085</v>
      </c>
      <c r="C1072" s="123" t="str" cm="1">
        <f t="array" ref="C1072:F1072">_xlfn.TEXTSPLIT('איחוד שאלות'!$B1072,"_")</f>
        <v>perception</v>
      </c>
      <c r="D1072" s="102" t="str">
        <v>saliency</v>
      </c>
      <c r="E1072" s="102" t="str">
        <v>corruption</v>
      </c>
      <c r="F1072" s="102" t="str">
        <v>results</v>
      </c>
      <c r="G1072" s="103"/>
      <c r="H1072" s="135" t="s">
        <v>3851</v>
      </c>
      <c r="I1072" s="2" t="s">
        <v>5844</v>
      </c>
      <c r="J1072" s="2" t="s">
        <v>6139</v>
      </c>
      <c r="K1072" s="2" t="s">
        <v>6029</v>
      </c>
      <c r="L1072" s="2" t="s">
        <v>6007</v>
      </c>
      <c r="N1072" s="1" t="s">
        <v>2589</v>
      </c>
    </row>
    <row r="1073" spans="1:14" ht="72.5" x14ac:dyDescent="0.35">
      <c r="A1073" s="121" t="s">
        <v>2631</v>
      </c>
      <c r="B1073" s="99" t="s">
        <v>5086</v>
      </c>
      <c r="C1073" s="121" t="str" cm="1">
        <f t="array" ref="C1073:F1073">_xlfn.TEXTSPLIT('איחוד שאלות'!$B1073,"_")</f>
        <v>perception</v>
      </c>
      <c r="D1073" s="99" t="str">
        <v>saliency</v>
      </c>
      <c r="E1073" s="99" t="str">
        <v>mapamresignation</v>
      </c>
      <c r="F1073" s="99" t="str">
        <v>results</v>
      </c>
      <c r="G1073" s="100"/>
      <c r="H1073" s="136" t="s">
        <v>3851</v>
      </c>
      <c r="I1073" s="2" t="s">
        <v>5844</v>
      </c>
      <c r="J1073" s="2" t="s">
        <v>6139</v>
      </c>
      <c r="K1073" s="2" t="s">
        <v>6408</v>
      </c>
      <c r="L1073" s="2" t="s">
        <v>6007</v>
      </c>
      <c r="N1073" s="1" t="s">
        <v>2631</v>
      </c>
    </row>
    <row r="1074" spans="1:14" ht="58" x14ac:dyDescent="0.35">
      <c r="A1074" s="113" t="s">
        <v>2632</v>
      </c>
      <c r="B1074" s="102" t="s">
        <v>5087</v>
      </c>
      <c r="C1074" s="123" t="str" cm="1">
        <f t="array" ref="C1074:G1074">_xlfn.TEXTSPLIT('איחוד שאלות'!$B1074,"_")</f>
        <v>perception</v>
      </c>
      <c r="D1074" s="102" t="str">
        <v>party</v>
      </c>
      <c r="E1074" s="102" t="str">
        <v>Hamaarakh</v>
      </c>
      <c r="F1074" s="102" t="str">
        <v>primaries</v>
      </c>
      <c r="G1074" s="103" t="str">
        <v>strengthened</v>
      </c>
      <c r="H1074" s="135" t="s">
        <v>3851</v>
      </c>
      <c r="I1074" s="2" t="s">
        <v>5844</v>
      </c>
      <c r="J1074" s="2" t="s">
        <v>5853</v>
      </c>
      <c r="K1074" s="2" t="s">
        <v>5978</v>
      </c>
      <c r="L1074" s="2" t="s">
        <v>6402</v>
      </c>
      <c r="M1074" s="2" t="s">
        <v>6409</v>
      </c>
      <c r="N1074" s="1" t="s">
        <v>2632</v>
      </c>
    </row>
    <row r="1075" spans="1:14" ht="72.5" x14ac:dyDescent="0.35">
      <c r="A1075" s="121" t="s">
        <v>2633</v>
      </c>
      <c r="B1075" s="99" t="s">
        <v>5088</v>
      </c>
      <c r="C1075" s="121" t="str" cm="1">
        <f t="array" ref="C1075:G1075">_xlfn.TEXTSPLIT('איחוד שאלות'!$B1075,"_")</f>
        <v>perception</v>
      </c>
      <c r="D1075" s="99" t="str">
        <v>party</v>
      </c>
      <c r="E1075" s="99" t="str">
        <v>Hamaarakh</v>
      </c>
      <c r="F1075" s="99" t="str">
        <v>primaries</v>
      </c>
      <c r="G1075" s="100" t="str">
        <v>democracy</v>
      </c>
      <c r="H1075" s="136" t="s">
        <v>3851</v>
      </c>
      <c r="I1075" s="2" t="s">
        <v>5844</v>
      </c>
      <c r="J1075" s="2" t="s">
        <v>5853</v>
      </c>
      <c r="K1075" s="2" t="s">
        <v>5978</v>
      </c>
      <c r="L1075" s="2" t="s">
        <v>6402</v>
      </c>
      <c r="M1075" s="2" t="s">
        <v>5883</v>
      </c>
      <c r="N1075" s="1" t="s">
        <v>2633</v>
      </c>
    </row>
    <row r="1076" spans="1:14" ht="72.5" x14ac:dyDescent="0.35">
      <c r="A1076" s="113" t="s">
        <v>2798</v>
      </c>
      <c r="B1076" s="102" t="s">
        <v>5089</v>
      </c>
      <c r="C1076" s="123" t="str" cm="1">
        <f t="array" ref="C1076:F1076">_xlfn.TEXTSPLIT('איחוד שאלות'!$B1076,"_")</f>
        <v>perception</v>
      </c>
      <c r="D1076" s="102" t="str">
        <v>politicians</v>
      </c>
      <c r="E1076" s="102" t="str">
        <v>haimbarlev</v>
      </c>
      <c r="F1076" s="102" t="str">
        <v>interview</v>
      </c>
      <c r="G1076" s="103"/>
      <c r="H1076" s="135" t="s">
        <v>3851</v>
      </c>
      <c r="I1076" s="2" t="s">
        <v>5844</v>
      </c>
      <c r="J1076" s="2" t="s">
        <v>6004</v>
      </c>
      <c r="K1076" s="2" t="s">
        <v>6143</v>
      </c>
      <c r="L1076" s="2" t="s">
        <v>6410</v>
      </c>
      <c r="N1076" s="1" t="s">
        <v>2798</v>
      </c>
    </row>
    <row r="1077" spans="1:14" ht="72.5" x14ac:dyDescent="0.35">
      <c r="A1077" s="121" t="s">
        <v>2799</v>
      </c>
      <c r="B1077" s="99" t="s">
        <v>5090</v>
      </c>
      <c r="C1077" s="121" t="str" cm="1">
        <f t="array" ref="C1077:F1077">_xlfn.TEXTSPLIT('איחוד שאלות'!$B1077,"_")</f>
        <v>preference</v>
      </c>
      <c r="D1077" s="99" t="str">
        <v>elections</v>
      </c>
      <c r="E1077" s="99" t="str">
        <v>delay73</v>
      </c>
      <c r="F1077" s="99" t="str">
        <v>1</v>
      </c>
      <c r="G1077" s="100"/>
      <c r="H1077" s="136" t="s">
        <v>3851</v>
      </c>
      <c r="I1077" s="2" t="s">
        <v>5856</v>
      </c>
      <c r="J1077" s="2" t="s">
        <v>5954</v>
      </c>
      <c r="K1077" s="2" t="s">
        <v>6411</v>
      </c>
      <c r="L1077" s="2" t="s">
        <v>5789</v>
      </c>
      <c r="N1077" s="1" t="s">
        <v>2799</v>
      </c>
    </row>
    <row r="1078" spans="1:14" ht="43.5" x14ac:dyDescent="0.35">
      <c r="A1078" s="113" t="s">
        <v>2800</v>
      </c>
      <c r="B1078" s="102" t="s">
        <v>5091</v>
      </c>
      <c r="C1078" s="123" t="str" cm="1">
        <f t="array" ref="C1078:F1078">_xlfn.TEXTSPLIT('איחוד שאלות'!$B1078,"_")</f>
        <v>preference</v>
      </c>
      <c r="D1078" s="102" t="str">
        <v>elections</v>
      </c>
      <c r="E1078" s="102" t="str">
        <v>delay73</v>
      </c>
      <c r="F1078" s="102" t="str">
        <v>2</v>
      </c>
      <c r="G1078" s="103"/>
      <c r="H1078" s="135" t="s">
        <v>3851</v>
      </c>
      <c r="I1078" s="2" t="s">
        <v>5856</v>
      </c>
      <c r="J1078" s="2" t="s">
        <v>5954</v>
      </c>
      <c r="K1078" s="2" t="s">
        <v>6411</v>
      </c>
      <c r="L1078" s="2" t="s">
        <v>5790</v>
      </c>
      <c r="N1078" s="1" t="s">
        <v>2800</v>
      </c>
    </row>
    <row r="1079" spans="1:14" ht="29" x14ac:dyDescent="0.35">
      <c r="A1079" s="121" t="s">
        <v>2882</v>
      </c>
      <c r="B1079" s="99" t="s">
        <v>5092</v>
      </c>
      <c r="C1079" s="121" t="str" cm="1">
        <f t="array" ref="C1079:F1079">_xlfn.TEXTSPLIT('איחוד שאלות'!$B1079,"_")</f>
        <v>perception</v>
      </c>
      <c r="D1079" s="99" t="str">
        <v>knowledge</v>
      </c>
      <c r="E1079" s="99" t="str">
        <v>newlikud</v>
      </c>
      <c r="F1079" s="99" t="str">
        <v>1</v>
      </c>
      <c r="G1079" s="100"/>
      <c r="H1079" s="136" t="s">
        <v>3851</v>
      </c>
      <c r="I1079" s="2" t="s">
        <v>5844</v>
      </c>
      <c r="J1079" s="2" t="s">
        <v>5942</v>
      </c>
      <c r="K1079" s="2" t="s">
        <v>6412</v>
      </c>
      <c r="L1079" s="2" t="s">
        <v>5789</v>
      </c>
      <c r="N1079" s="1" t="s">
        <v>2882</v>
      </c>
    </row>
    <row r="1080" spans="1:14" ht="43.5" x14ac:dyDescent="0.35">
      <c r="A1080" s="113" t="s">
        <v>2883</v>
      </c>
      <c r="B1080" s="102" t="s">
        <v>5093</v>
      </c>
      <c r="C1080" s="123" t="str" cm="1">
        <f t="array" ref="C1080:F1080">_xlfn.TEXTSPLIT('איחוד שאלות'!$B1080,"_")</f>
        <v>perception</v>
      </c>
      <c r="D1080" s="102" t="str">
        <v>knowledge</v>
      </c>
      <c r="E1080" s="102" t="str">
        <v>newlikud</v>
      </c>
      <c r="F1080" s="102" t="str">
        <v>2</v>
      </c>
      <c r="G1080" s="103"/>
      <c r="H1080" s="135" t="s">
        <v>3851</v>
      </c>
      <c r="I1080" s="2" t="s">
        <v>5844</v>
      </c>
      <c r="J1080" s="2" t="s">
        <v>5942</v>
      </c>
      <c r="K1080" s="2" t="s">
        <v>6412</v>
      </c>
      <c r="L1080" s="2" t="s">
        <v>5790</v>
      </c>
      <c r="N1080" s="1" t="s">
        <v>2883</v>
      </c>
    </row>
    <row r="1081" spans="1:14" ht="43.5" x14ac:dyDescent="0.35">
      <c r="A1081" s="121" t="s">
        <v>2885</v>
      </c>
      <c r="B1081" s="99" t="s">
        <v>5094</v>
      </c>
      <c r="C1081" s="121" t="str" cm="1">
        <f t="array" ref="C1081:F1081">_xlfn.TEXTSPLIT('איחוד שאלות'!$B1081,"_")</f>
        <v>perception</v>
      </c>
      <c r="D1081" s="99" t="str">
        <v>knowledge</v>
      </c>
      <c r="E1081" s="99" t="str">
        <v>newlikud</v>
      </c>
      <c r="F1081" s="99" t="str">
        <v>3</v>
      </c>
      <c r="G1081" s="100"/>
      <c r="H1081" s="136" t="s">
        <v>3851</v>
      </c>
      <c r="I1081" s="2" t="s">
        <v>5844</v>
      </c>
      <c r="J1081" s="2" t="s">
        <v>5942</v>
      </c>
      <c r="K1081" s="2" t="s">
        <v>6412</v>
      </c>
      <c r="L1081" s="2" t="s">
        <v>5791</v>
      </c>
      <c r="N1081" s="1" t="s">
        <v>2885</v>
      </c>
    </row>
    <row r="1082" spans="1:14" ht="58" x14ac:dyDescent="0.35">
      <c r="A1082" s="113" t="s">
        <v>2593</v>
      </c>
      <c r="B1082" s="102" t="s">
        <v>5095</v>
      </c>
      <c r="C1082" s="123" t="str" cm="1">
        <f t="array" ref="C1082:E1082">_xlfn.TEXTSPLIT('איחוד שאלות'!$B1082,"_")</f>
        <v>perception</v>
      </c>
      <c r="D1082" s="102" t="str">
        <v>knowledge</v>
      </c>
      <c r="E1082" s="102" t="str">
        <v>electionsystem</v>
      </c>
      <c r="F1082" s="102"/>
      <c r="G1082" s="103"/>
      <c r="H1082" s="135" t="s">
        <v>3851</v>
      </c>
      <c r="I1082" s="2" t="s">
        <v>5844</v>
      </c>
      <c r="J1082" s="2" t="s">
        <v>5942</v>
      </c>
      <c r="K1082" s="2" t="s">
        <v>5975</v>
      </c>
      <c r="N1082" s="1" t="s">
        <v>2593</v>
      </c>
    </row>
    <row r="1083" spans="1:14" ht="101.5" x14ac:dyDescent="0.35">
      <c r="A1083" s="121" t="s">
        <v>21</v>
      </c>
      <c r="B1083" s="99" t="s">
        <v>5097</v>
      </c>
      <c r="C1083" s="121" t="str" cm="1">
        <f t="array" ref="C1083:F1083">_xlfn.TEXTSPLIT('איחוד שאלות'!$B1083,"_")</f>
        <v>perception</v>
      </c>
      <c r="D1083" s="99" t="str">
        <v>elections</v>
      </c>
      <c r="E1083" s="99" t="str">
        <v>reelection</v>
      </c>
      <c r="F1083" s="99" t="str">
        <v>satisfaction</v>
      </c>
      <c r="G1083" s="100"/>
      <c r="H1083" s="136" t="s">
        <v>3851</v>
      </c>
      <c r="I1083" s="2" t="s">
        <v>5844</v>
      </c>
      <c r="J1083" s="2" t="s">
        <v>5954</v>
      </c>
      <c r="K1083" s="2" t="s">
        <v>6286</v>
      </c>
      <c r="L1083" s="2" t="s">
        <v>5847</v>
      </c>
      <c r="N1083" s="1" t="s">
        <v>21</v>
      </c>
    </row>
    <row r="1084" spans="1:14" ht="87" x14ac:dyDescent="0.35">
      <c r="A1084" s="113" t="s">
        <v>3143</v>
      </c>
      <c r="B1084" s="102" t="s">
        <v>5096</v>
      </c>
      <c r="C1084" s="123" t="str" cm="1">
        <f t="array" ref="C1084:F1084">_xlfn.TEXTSPLIT('איחוד שאלות'!$B1084,"_")</f>
        <v>perception</v>
      </c>
      <c r="D1084" s="102" t="str">
        <v>elections</v>
      </c>
      <c r="E1084" s="102" t="str">
        <v>reelection</v>
      </c>
      <c r="F1084" s="102" t="str">
        <v>reason</v>
      </c>
      <c r="G1084" s="103"/>
      <c r="H1084" s="135" t="s">
        <v>3851</v>
      </c>
      <c r="I1084" s="2" t="s">
        <v>5844</v>
      </c>
      <c r="J1084" s="2" t="s">
        <v>5954</v>
      </c>
      <c r="K1084" s="2" t="s">
        <v>6286</v>
      </c>
      <c r="L1084" s="2" t="s">
        <v>5935</v>
      </c>
      <c r="N1084" s="1" t="s">
        <v>3143</v>
      </c>
    </row>
    <row r="1085" spans="1:14" ht="58" x14ac:dyDescent="0.35">
      <c r="A1085" s="121" t="s">
        <v>3149</v>
      </c>
      <c r="B1085" s="99" t="s">
        <v>5098</v>
      </c>
      <c r="C1085" s="121" t="str" cm="1">
        <f t="array" ref="C1085:F1085">_xlfn.TEXTSPLIT('איחוד שאלות'!$B1085,"_")</f>
        <v>perception</v>
      </c>
      <c r="D1085" s="99" t="str">
        <v>satisfaction</v>
      </c>
      <c r="E1085" s="99" t="str">
        <v>policy</v>
      </c>
      <c r="F1085" s="99" t="str">
        <v>covid</v>
      </c>
      <c r="G1085" s="100"/>
      <c r="H1085" s="136" t="s">
        <v>3851</v>
      </c>
      <c r="I1085" s="2" t="s">
        <v>5844</v>
      </c>
      <c r="J1085" s="2" t="s">
        <v>5847</v>
      </c>
      <c r="K1085" s="2" t="s">
        <v>5882</v>
      </c>
      <c r="L1085" s="2" t="s">
        <v>5991</v>
      </c>
      <c r="N1085" s="1" t="s">
        <v>3149</v>
      </c>
    </row>
    <row r="1086" spans="1:14" ht="29" x14ac:dyDescent="0.35">
      <c r="A1086" s="113" t="s">
        <v>3156</v>
      </c>
      <c r="B1086" s="102" t="s">
        <v>5105</v>
      </c>
      <c r="C1086" s="123" t="str" cm="1">
        <f t="array" ref="C1086:F1086">_xlfn.TEXTSPLIT('איחוד שאלות'!$B1086,"_")</f>
        <v>preference</v>
      </c>
      <c r="D1086" s="102" t="str">
        <v>politicians</v>
      </c>
      <c r="E1086" s="102" t="str">
        <v>function</v>
      </c>
      <c r="F1086" s="102" t="str">
        <v>covid</v>
      </c>
      <c r="G1086" s="103"/>
      <c r="H1086" s="135" t="s">
        <v>3851</v>
      </c>
      <c r="I1086" s="2" t="s">
        <v>5856</v>
      </c>
      <c r="J1086" s="2" t="s">
        <v>6004</v>
      </c>
      <c r="K1086" s="2" t="s">
        <v>6413</v>
      </c>
      <c r="L1086" s="2" t="s">
        <v>5991</v>
      </c>
      <c r="N1086" s="1" t="s">
        <v>3156</v>
      </c>
    </row>
    <row r="1087" spans="1:14" ht="58" x14ac:dyDescent="0.35">
      <c r="A1087" s="121" t="s">
        <v>1251</v>
      </c>
      <c r="B1087" s="99" t="s">
        <v>5099</v>
      </c>
      <c r="C1087" s="121" t="str" cm="1">
        <f t="array" ref="C1087:F1087">_xlfn.TEXTSPLIT('איחוד שאלות'!$B1087,"_")</f>
        <v>preference</v>
      </c>
      <c r="D1087" s="99" t="str">
        <v>government</v>
      </c>
      <c r="E1087" s="99" t="str">
        <v>arabparty</v>
      </c>
      <c r="F1087" s="99" t="str">
        <v>minister</v>
      </c>
      <c r="G1087" s="100"/>
      <c r="H1087" s="136" t="s">
        <v>3851</v>
      </c>
      <c r="I1087" s="2" t="s">
        <v>5856</v>
      </c>
      <c r="J1087" s="2" t="s">
        <v>5848</v>
      </c>
      <c r="K1087" s="2" t="s">
        <v>5871</v>
      </c>
      <c r="L1087" s="2" t="s">
        <v>5872</v>
      </c>
      <c r="N1087" s="1" t="s">
        <v>1251</v>
      </c>
    </row>
    <row r="1088" spans="1:14" ht="58" x14ac:dyDescent="0.35">
      <c r="A1088" s="113" t="s">
        <v>3212</v>
      </c>
      <c r="B1088" s="102" t="s">
        <v>5099</v>
      </c>
      <c r="C1088" s="123" t="str" cm="1">
        <f t="array" ref="C1088:F1088">_xlfn.TEXTSPLIT('איחוד שאלות'!$B1088,"_")</f>
        <v>preference</v>
      </c>
      <c r="D1088" s="102" t="str">
        <v>government</v>
      </c>
      <c r="E1088" s="102" t="str">
        <v>arabparty</v>
      </c>
      <c r="F1088" s="102" t="str">
        <v>minister</v>
      </c>
      <c r="G1088" s="103"/>
      <c r="H1088" s="135" t="s">
        <v>3851</v>
      </c>
      <c r="I1088" s="2" t="s">
        <v>5856</v>
      </c>
      <c r="J1088" s="2" t="s">
        <v>5848</v>
      </c>
      <c r="K1088" s="2" t="s">
        <v>5871</v>
      </c>
      <c r="L1088" s="2" t="s">
        <v>5872</v>
      </c>
      <c r="N1088" s="1" t="s">
        <v>3212</v>
      </c>
    </row>
    <row r="1089" spans="1:14" ht="58" x14ac:dyDescent="0.35">
      <c r="A1089" s="121" t="s">
        <v>3267</v>
      </c>
      <c r="B1089" s="99" t="s">
        <v>5100</v>
      </c>
      <c r="C1089" s="121" t="str" cm="1">
        <f t="array" ref="C1089:F1089">_xlfn.TEXTSPLIT('איחוד שאלות'!$B1089,"_")</f>
        <v>perception</v>
      </c>
      <c r="D1089" s="99" t="str">
        <v>party</v>
      </c>
      <c r="E1089" s="99" t="str">
        <v>raam</v>
      </c>
      <c r="F1089" s="99" t="str">
        <v>incoalition</v>
      </c>
      <c r="G1089" s="100"/>
      <c r="H1089" s="136" t="s">
        <v>3851</v>
      </c>
      <c r="I1089" s="2" t="s">
        <v>5844</v>
      </c>
      <c r="J1089" s="2" t="s">
        <v>5853</v>
      </c>
      <c r="K1089" s="2" t="s">
        <v>6043</v>
      </c>
      <c r="L1089" s="2" t="s">
        <v>6414</v>
      </c>
      <c r="N1089" s="1" t="s">
        <v>3267</v>
      </c>
    </row>
    <row r="1090" spans="1:14" ht="72.5" x14ac:dyDescent="0.35">
      <c r="A1090" s="145" t="s">
        <v>30</v>
      </c>
      <c r="B1090" s="102" t="s">
        <v>5102</v>
      </c>
      <c r="C1090" s="123" t="str" cm="1">
        <f t="array" ref="C1090:G1090">_xlfn.TEXTSPLIT('איחוד שאלות'!$B1090,"_")</f>
        <v>preference</v>
      </c>
      <c r="D1090" s="102" t="str">
        <v>policy</v>
      </c>
      <c r="E1090" s="102" t="str">
        <v>socioeconomic</v>
      </c>
      <c r="F1090" s="102" t="str">
        <v>ideology</v>
      </c>
      <c r="G1090" s="103" t="str">
        <v>4</v>
      </c>
      <c r="H1090" s="135" t="s">
        <v>3308</v>
      </c>
      <c r="I1090" s="2" t="s">
        <v>5856</v>
      </c>
      <c r="J1090" s="2" t="s">
        <v>5882</v>
      </c>
      <c r="K1090" s="2" t="s">
        <v>6006</v>
      </c>
      <c r="L1090" s="2" t="s">
        <v>6415</v>
      </c>
      <c r="M1090" s="2" t="s">
        <v>5792</v>
      </c>
      <c r="N1090" s="1" t="s">
        <v>30</v>
      </c>
    </row>
    <row r="1091" spans="1:14" ht="58" x14ac:dyDescent="0.35">
      <c r="A1091" s="121" t="s">
        <v>3852</v>
      </c>
      <c r="B1091" s="99" t="s">
        <v>5103</v>
      </c>
      <c r="C1091" s="121" t="str" cm="1">
        <f t="array" ref="C1091:F1091">_xlfn.TEXTSPLIT('איחוד שאלות'!$B1091,"_")</f>
        <v>perception</v>
      </c>
      <c r="D1091" s="99" t="str">
        <v>party</v>
      </c>
      <c r="E1091" s="99" t="str">
        <v>similarity</v>
      </c>
      <c r="F1091" s="99" t="str">
        <v>socioeconomic</v>
      </c>
      <c r="G1091" s="100"/>
      <c r="H1091" s="136" t="s">
        <v>3308</v>
      </c>
      <c r="I1091" s="2" t="s">
        <v>5844</v>
      </c>
      <c r="J1091" s="2" t="s">
        <v>5853</v>
      </c>
      <c r="K1091" s="2" t="s">
        <v>5927</v>
      </c>
      <c r="L1091" s="2" t="s">
        <v>6006</v>
      </c>
      <c r="N1091" s="1" t="s">
        <v>7416</v>
      </c>
    </row>
    <row r="1092" spans="1:14" ht="58" x14ac:dyDescent="0.35">
      <c r="A1092" s="113" t="s">
        <v>2242</v>
      </c>
      <c r="B1092" s="102" t="s">
        <v>5103</v>
      </c>
      <c r="C1092" s="123" t="str" cm="1">
        <f t="array" ref="C1092:F1092">_xlfn.TEXTSPLIT('איחוד שאלות'!$B1092,"_")</f>
        <v>perception</v>
      </c>
      <c r="D1092" s="102" t="str">
        <v>party</v>
      </c>
      <c r="E1092" s="102" t="str">
        <v>similarity</v>
      </c>
      <c r="F1092" s="102" t="str">
        <v>socioeconomic</v>
      </c>
      <c r="G1092" s="103"/>
      <c r="H1092" s="135" t="s">
        <v>3308</v>
      </c>
      <c r="I1092" s="2" t="s">
        <v>5844</v>
      </c>
      <c r="J1092" s="2" t="s">
        <v>5853</v>
      </c>
      <c r="K1092" s="2" t="s">
        <v>5927</v>
      </c>
      <c r="L1092" s="2" t="s">
        <v>6006</v>
      </c>
      <c r="N1092" s="1" t="s">
        <v>2242</v>
      </c>
    </row>
    <row r="1093" spans="1:14" ht="43.5" x14ac:dyDescent="0.35">
      <c r="A1093" s="156" t="s">
        <v>3853</v>
      </c>
      <c r="B1093" s="99" t="s">
        <v>5104</v>
      </c>
      <c r="C1093" s="121" t="str" cm="1">
        <f t="array" ref="C1093:F1093">_xlfn.TEXTSPLIT('איחוד שאלות'!$B1093,"_")</f>
        <v>preference</v>
      </c>
      <c r="D1093" s="99" t="str">
        <v>party</v>
      </c>
      <c r="E1093" s="99" t="str">
        <v>function</v>
      </c>
      <c r="F1093" s="99" t="str">
        <v>socioeconomic</v>
      </c>
      <c r="G1093" s="100"/>
      <c r="H1093" s="136" t="s">
        <v>3308</v>
      </c>
      <c r="I1093" s="2" t="s">
        <v>5856</v>
      </c>
      <c r="J1093" s="2" t="s">
        <v>5853</v>
      </c>
      <c r="K1093" s="2" t="s">
        <v>6413</v>
      </c>
      <c r="L1093" s="2" t="s">
        <v>6006</v>
      </c>
      <c r="N1093" s="1" t="s">
        <v>7417</v>
      </c>
    </row>
    <row r="1094" spans="1:14" ht="43.5" x14ac:dyDescent="0.35">
      <c r="A1094" s="157" t="s">
        <v>3854</v>
      </c>
      <c r="B1094" s="102" t="s">
        <v>5104</v>
      </c>
      <c r="C1094" s="123" t="str" cm="1">
        <f t="array" ref="C1094:F1094">_xlfn.TEXTSPLIT('איחוד שאלות'!$B1094,"_")</f>
        <v>preference</v>
      </c>
      <c r="D1094" s="102" t="str">
        <v>party</v>
      </c>
      <c r="E1094" s="102" t="str">
        <v>function</v>
      </c>
      <c r="F1094" s="102" t="str">
        <v>socioeconomic</v>
      </c>
      <c r="G1094" s="103"/>
      <c r="H1094" s="135" t="s">
        <v>3308</v>
      </c>
      <c r="I1094" s="2" t="s">
        <v>5856</v>
      </c>
      <c r="J1094" s="2" t="s">
        <v>5853</v>
      </c>
      <c r="K1094" s="2" t="s">
        <v>6413</v>
      </c>
      <c r="L1094" s="2" t="s">
        <v>6006</v>
      </c>
      <c r="N1094" s="1" t="s">
        <v>7418</v>
      </c>
    </row>
    <row r="1095" spans="1:14" ht="43.5" x14ac:dyDescent="0.35">
      <c r="A1095" s="156" t="s">
        <v>736</v>
      </c>
      <c r="B1095" s="99" t="s">
        <v>5106</v>
      </c>
      <c r="C1095" s="121" t="str" cm="1">
        <f t="array" ref="C1095:G1095">_xlfn.TEXTSPLIT('איחוד שאלות'!$B1095,"_")</f>
        <v>preference</v>
      </c>
      <c r="D1095" s="99" t="str">
        <v>party</v>
      </c>
      <c r="E1095" s="99" t="str">
        <v>function</v>
      </c>
      <c r="F1095" s="99" t="str">
        <v>socioeconomic</v>
      </c>
      <c r="G1095" s="100" t="str">
        <v>2</v>
      </c>
      <c r="H1095" s="136" t="s">
        <v>3308</v>
      </c>
      <c r="I1095" s="2" t="s">
        <v>5856</v>
      </c>
      <c r="J1095" s="2" t="s">
        <v>5853</v>
      </c>
      <c r="K1095" s="2" t="s">
        <v>6413</v>
      </c>
      <c r="L1095" s="2" t="s">
        <v>6006</v>
      </c>
      <c r="M1095" s="2" t="s">
        <v>5790</v>
      </c>
      <c r="N1095" s="1" t="s">
        <v>736</v>
      </c>
    </row>
    <row r="1096" spans="1:14" ht="43.5" x14ac:dyDescent="0.35">
      <c r="A1096" s="157" t="s">
        <v>3855</v>
      </c>
      <c r="B1096" s="102" t="s">
        <v>5104</v>
      </c>
      <c r="C1096" s="123" t="str" cm="1">
        <f t="array" ref="C1096:F1096">_xlfn.TEXTSPLIT('איחוד שאלות'!$B1096,"_")</f>
        <v>preference</v>
      </c>
      <c r="D1096" s="102" t="str">
        <v>party</v>
      </c>
      <c r="E1096" s="102" t="str">
        <v>function</v>
      </c>
      <c r="F1096" s="102" t="str">
        <v>socioeconomic</v>
      </c>
      <c r="G1096" s="103"/>
      <c r="H1096" s="135" t="s">
        <v>3308</v>
      </c>
      <c r="I1096" s="2" t="s">
        <v>5856</v>
      </c>
      <c r="J1096" s="2" t="s">
        <v>5853</v>
      </c>
      <c r="K1096" s="2" t="s">
        <v>6413</v>
      </c>
      <c r="L1096" s="2" t="s">
        <v>6006</v>
      </c>
      <c r="N1096" s="1" t="s">
        <v>7419</v>
      </c>
    </row>
    <row r="1097" spans="1:14" ht="43.5" x14ac:dyDescent="0.35">
      <c r="A1097" s="156" t="s">
        <v>736</v>
      </c>
      <c r="B1097" s="99" t="s">
        <v>5106</v>
      </c>
      <c r="C1097" s="121" t="str" cm="1">
        <f t="array" ref="C1097:G1097">_xlfn.TEXTSPLIT('איחוד שאלות'!$B1097,"_")</f>
        <v>preference</v>
      </c>
      <c r="D1097" s="99" t="str">
        <v>party</v>
      </c>
      <c r="E1097" s="99" t="str">
        <v>function</v>
      </c>
      <c r="F1097" s="99" t="str">
        <v>socioeconomic</v>
      </c>
      <c r="G1097" s="100" t="str">
        <v>2</v>
      </c>
      <c r="H1097" s="136" t="s">
        <v>3308</v>
      </c>
      <c r="I1097" s="2" t="s">
        <v>5856</v>
      </c>
      <c r="J1097" s="2" t="s">
        <v>5853</v>
      </c>
      <c r="K1097" s="2" t="s">
        <v>6413</v>
      </c>
      <c r="L1097" s="2" t="s">
        <v>6006</v>
      </c>
      <c r="M1097" s="2" t="s">
        <v>5790</v>
      </c>
      <c r="N1097" s="1" t="s">
        <v>736</v>
      </c>
    </row>
    <row r="1098" spans="1:14" ht="58" x14ac:dyDescent="0.35">
      <c r="A1098" s="113" t="s">
        <v>2966</v>
      </c>
      <c r="B1098" s="102" t="s">
        <v>5107</v>
      </c>
      <c r="C1098" s="123" t="str" cm="1">
        <f t="array" ref="C1098:F1098">_xlfn.TEXTSPLIT('איחוד שאלות'!$B1098,"_")</f>
        <v>perception</v>
      </c>
      <c r="D1098" s="102" t="str">
        <v>party</v>
      </c>
      <c r="E1098" s="102" t="str">
        <v>difference</v>
      </c>
      <c r="F1098" s="102" t="str">
        <v>socioeconomic</v>
      </c>
      <c r="G1098" s="103"/>
      <c r="H1098" s="135" t="s">
        <v>3308</v>
      </c>
      <c r="I1098" s="2" t="s">
        <v>5844</v>
      </c>
      <c r="J1098" s="2" t="s">
        <v>5853</v>
      </c>
      <c r="K1098" s="2" t="s">
        <v>6024</v>
      </c>
      <c r="L1098" s="2" t="s">
        <v>6006</v>
      </c>
      <c r="N1098" s="1" t="s">
        <v>2966</v>
      </c>
    </row>
    <row r="1099" spans="1:14" ht="72.5" x14ac:dyDescent="0.35">
      <c r="A1099" s="121" t="s">
        <v>180</v>
      </c>
      <c r="B1099" s="99" t="s">
        <v>5229</v>
      </c>
      <c r="C1099" s="121" t="str" cm="1">
        <f t="array" ref="C1099:G1099">_xlfn.TEXTSPLIT('איחוד שאלות'!$B1099,"_")</f>
        <v>perception</v>
      </c>
      <c r="D1099" s="99" t="str">
        <v>israel</v>
      </c>
      <c r="E1099" s="99" t="str">
        <v>economic</v>
      </c>
      <c r="F1099" s="99" t="str">
        <v>change</v>
      </c>
      <c r="G1099" s="100" t="str">
        <v>last4years</v>
      </c>
      <c r="H1099" s="136" t="s">
        <v>3308</v>
      </c>
      <c r="I1099" s="2" t="s">
        <v>5844</v>
      </c>
      <c r="J1099" s="2" t="s">
        <v>5845</v>
      </c>
      <c r="K1099" s="2" t="s">
        <v>6008</v>
      </c>
      <c r="L1099" s="2" t="s">
        <v>6416</v>
      </c>
      <c r="M1099" s="2" t="s">
        <v>6417</v>
      </c>
      <c r="N1099" s="1" t="s">
        <v>180</v>
      </c>
    </row>
    <row r="1100" spans="1:14" ht="58" x14ac:dyDescent="0.35">
      <c r="A1100" s="113" t="s">
        <v>182</v>
      </c>
      <c r="B1100" s="102" t="s">
        <v>5211</v>
      </c>
      <c r="C1100" s="123" t="str" cm="1">
        <f t="array" ref="C1100:F1100">_xlfn.TEXTSPLIT('איחוד שאלות'!$B1100,"_")</f>
        <v>perception</v>
      </c>
      <c r="D1100" s="102" t="str">
        <v>personal</v>
      </c>
      <c r="E1100" s="102" t="str">
        <v>economic</v>
      </c>
      <c r="F1100" s="102" t="str">
        <v>condition</v>
      </c>
      <c r="G1100" s="103"/>
      <c r="H1100" s="135" t="s">
        <v>3308</v>
      </c>
      <c r="I1100" s="2" t="s">
        <v>5844</v>
      </c>
      <c r="J1100" s="2" t="s">
        <v>5866</v>
      </c>
      <c r="K1100" s="2" t="s">
        <v>6008</v>
      </c>
      <c r="L1100" s="2" t="s">
        <v>5846</v>
      </c>
      <c r="N1100" s="1" t="s">
        <v>182</v>
      </c>
    </row>
    <row r="1101" spans="1:14" ht="101.5" x14ac:dyDescent="0.35">
      <c r="A1101" s="121" t="s">
        <v>3856</v>
      </c>
      <c r="B1101" s="99" t="s">
        <v>5108</v>
      </c>
      <c r="C1101" s="121" t="str" cm="1">
        <f t="array" ref="C1101:F1101">_xlfn.TEXTSPLIT('איחוד שאלות'!$B1101,"_")</f>
        <v>preference</v>
      </c>
      <c r="D1101" s="99" t="str">
        <v>policy</v>
      </c>
      <c r="E1101" s="99" t="str">
        <v>socioeconomic</v>
      </c>
      <c r="F1101" s="99" t="str">
        <v>taxrich</v>
      </c>
      <c r="G1101" s="100"/>
      <c r="H1101" s="136" t="s">
        <v>3308</v>
      </c>
      <c r="I1101" s="2" t="s">
        <v>5856</v>
      </c>
      <c r="J1101" s="2" t="s">
        <v>5882</v>
      </c>
      <c r="K1101" s="2" t="s">
        <v>6006</v>
      </c>
      <c r="L1101" s="2" t="s">
        <v>6418</v>
      </c>
      <c r="N1101" s="1" t="s">
        <v>7420</v>
      </c>
    </row>
    <row r="1102" spans="1:14" ht="130.5" x14ac:dyDescent="0.35">
      <c r="A1102" s="113" t="s">
        <v>414</v>
      </c>
      <c r="B1102" s="102" t="s">
        <v>5109</v>
      </c>
      <c r="C1102" s="123" t="str" cm="1">
        <f t="array" ref="C1102:F1102">_xlfn.TEXTSPLIT('איחוד שאלות'!$B1102,"_")</f>
        <v>preference</v>
      </c>
      <c r="D1102" s="102" t="str">
        <v>policy</v>
      </c>
      <c r="E1102" s="102" t="str">
        <v>socioeconomic</v>
      </c>
      <c r="F1102" s="102" t="str">
        <v>govinvolvement</v>
      </c>
      <c r="G1102" s="103"/>
      <c r="H1102" s="135" t="s">
        <v>3308</v>
      </c>
      <c r="I1102" s="2" t="s">
        <v>5856</v>
      </c>
      <c r="J1102" s="2" t="s">
        <v>5882</v>
      </c>
      <c r="K1102" s="2" t="s">
        <v>6006</v>
      </c>
      <c r="L1102" s="2" t="s">
        <v>6419</v>
      </c>
      <c r="N1102" s="1" t="s">
        <v>414</v>
      </c>
    </row>
    <row r="1103" spans="1:14" ht="101.5" x14ac:dyDescent="0.35">
      <c r="A1103" s="121" t="s">
        <v>487</v>
      </c>
      <c r="B1103" s="99" t="s">
        <v>5110</v>
      </c>
      <c r="C1103" s="121" t="str" cm="1">
        <f t="array" ref="C1103:F1103">_xlfn.TEXTSPLIT('איחוד שאלות'!$B1103,"_")</f>
        <v>preference</v>
      </c>
      <c r="D1103" s="99" t="str">
        <v>policy</v>
      </c>
      <c r="E1103" s="99" t="str">
        <v>socioeconomic</v>
      </c>
      <c r="F1103" s="99" t="str">
        <v>raiseowntax</v>
      </c>
      <c r="G1103" s="100"/>
      <c r="H1103" s="136" t="s">
        <v>3308</v>
      </c>
      <c r="I1103" s="2" t="s">
        <v>5856</v>
      </c>
      <c r="J1103" s="2" t="s">
        <v>5882</v>
      </c>
      <c r="K1103" s="2" t="s">
        <v>6006</v>
      </c>
      <c r="L1103" s="2" t="s">
        <v>6420</v>
      </c>
      <c r="N1103" s="1" t="s">
        <v>487</v>
      </c>
    </row>
    <row r="1104" spans="1:14" ht="87" x14ac:dyDescent="0.35">
      <c r="A1104" s="113" t="s">
        <v>3857</v>
      </c>
      <c r="B1104" s="102" t="s">
        <v>5111</v>
      </c>
      <c r="C1104" s="123" t="str" cm="1">
        <f t="array" ref="C1104:F1104">_xlfn.TEXTSPLIT('איחוד שאלות'!$B1104,"_")</f>
        <v>preference</v>
      </c>
      <c r="D1104" s="102" t="str">
        <v>policy</v>
      </c>
      <c r="E1104" s="102" t="str">
        <v>budget</v>
      </c>
      <c r="F1104" s="102" t="str">
        <v>education</v>
      </c>
      <c r="G1104" s="103"/>
      <c r="H1104" s="135" t="s">
        <v>3308</v>
      </c>
      <c r="I1104" s="2" t="s">
        <v>5856</v>
      </c>
      <c r="J1104" s="2" t="s">
        <v>5882</v>
      </c>
      <c r="K1104" s="2" t="s">
        <v>6421</v>
      </c>
      <c r="L1104" s="2" t="s">
        <v>6422</v>
      </c>
      <c r="N1104" s="1" t="s">
        <v>7421</v>
      </c>
    </row>
    <row r="1105" spans="1:14" ht="29" x14ac:dyDescent="0.35">
      <c r="A1105" s="121" t="s">
        <v>489</v>
      </c>
      <c r="B1105" s="99" t="s">
        <v>5112</v>
      </c>
      <c r="C1105" s="121" t="str" cm="1">
        <f t="array" ref="C1105:F1105">_xlfn.TEXTSPLIT('איחוד שאלות'!$B1105,"_")</f>
        <v>preference</v>
      </c>
      <c r="D1105" s="99" t="str">
        <v>policy</v>
      </c>
      <c r="E1105" s="99" t="str">
        <v>budget</v>
      </c>
      <c r="F1105" s="99" t="str">
        <v>religion</v>
      </c>
      <c r="G1105" s="100"/>
      <c r="H1105" s="136" t="s">
        <v>3308</v>
      </c>
      <c r="I1105" s="2" t="s">
        <v>5856</v>
      </c>
      <c r="J1105" s="2" t="s">
        <v>5882</v>
      </c>
      <c r="K1105" s="2" t="s">
        <v>6421</v>
      </c>
      <c r="L1105" s="2" t="s">
        <v>5804</v>
      </c>
      <c r="N1105" s="1" t="s">
        <v>489</v>
      </c>
    </row>
    <row r="1106" spans="1:14" ht="29" x14ac:dyDescent="0.35">
      <c r="A1106" s="113" t="s">
        <v>491</v>
      </c>
      <c r="B1106" s="102" t="s">
        <v>5113</v>
      </c>
      <c r="C1106" s="123" t="str" cm="1">
        <f t="array" ref="C1106:F1106">_xlfn.TEXTSPLIT('איחוד שאלות'!$B1106,"_")</f>
        <v>preference</v>
      </c>
      <c r="D1106" s="102" t="str">
        <v>policy</v>
      </c>
      <c r="E1106" s="102" t="str">
        <v>budget</v>
      </c>
      <c r="F1106" s="102" t="str">
        <v>health</v>
      </c>
      <c r="G1106" s="103"/>
      <c r="H1106" s="135" t="s">
        <v>3308</v>
      </c>
      <c r="I1106" s="2" t="s">
        <v>5856</v>
      </c>
      <c r="J1106" s="2" t="s">
        <v>5882</v>
      </c>
      <c r="K1106" s="2" t="s">
        <v>6421</v>
      </c>
      <c r="L1106" s="2" t="s">
        <v>6423</v>
      </c>
      <c r="N1106" s="1" t="s">
        <v>491</v>
      </c>
    </row>
    <row r="1107" spans="1:14" ht="29" x14ac:dyDescent="0.35">
      <c r="A1107" s="121" t="s">
        <v>492</v>
      </c>
      <c r="B1107" s="99" t="s">
        <v>5114</v>
      </c>
      <c r="C1107" s="121" t="str" cm="1">
        <f t="array" ref="C1107:F1107">_xlfn.TEXTSPLIT('איחוד שאלות'!$B1107,"_")</f>
        <v>preference</v>
      </c>
      <c r="D1107" s="99" t="str">
        <v>policy</v>
      </c>
      <c r="E1107" s="99" t="str">
        <v>budget</v>
      </c>
      <c r="F1107" s="99" t="str">
        <v>police</v>
      </c>
      <c r="G1107" s="100"/>
      <c r="H1107" s="136" t="s">
        <v>3308</v>
      </c>
      <c r="I1107" s="2" t="s">
        <v>5856</v>
      </c>
      <c r="J1107" s="2" t="s">
        <v>5882</v>
      </c>
      <c r="K1107" s="2" t="s">
        <v>6421</v>
      </c>
      <c r="L1107" s="2" t="s">
        <v>6424</v>
      </c>
      <c r="N1107" s="1" t="s">
        <v>492</v>
      </c>
    </row>
    <row r="1108" spans="1:14" ht="29" x14ac:dyDescent="0.35">
      <c r="A1108" s="113" t="s">
        <v>493</v>
      </c>
      <c r="B1108" s="102" t="s">
        <v>5115</v>
      </c>
      <c r="C1108" s="123" t="str" cm="1">
        <f t="array" ref="C1108:F1108">_xlfn.TEXTSPLIT('איחוד שאלות'!$B1108,"_")</f>
        <v>preference</v>
      </c>
      <c r="D1108" s="102" t="str">
        <v>policy</v>
      </c>
      <c r="E1108" s="102" t="str">
        <v>budget</v>
      </c>
      <c r="F1108" s="102" t="str">
        <v>security</v>
      </c>
      <c r="G1108" s="103"/>
      <c r="H1108" s="135" t="s">
        <v>3308</v>
      </c>
      <c r="I1108" s="2" t="s">
        <v>5856</v>
      </c>
      <c r="J1108" s="2" t="s">
        <v>5882</v>
      </c>
      <c r="K1108" s="2" t="s">
        <v>6421</v>
      </c>
      <c r="L1108" s="2" t="s">
        <v>5994</v>
      </c>
      <c r="N1108" s="1" t="s">
        <v>493</v>
      </c>
    </row>
    <row r="1109" spans="1:14" ht="29" x14ac:dyDescent="0.35">
      <c r="A1109" s="121" t="s">
        <v>494</v>
      </c>
      <c r="B1109" s="99" t="s">
        <v>5116</v>
      </c>
      <c r="C1109" s="121" t="str" cm="1">
        <f t="array" ref="C1109:F1109">_xlfn.TEXTSPLIT('איחוד שאלות'!$B1109,"_")</f>
        <v>preference</v>
      </c>
      <c r="D1109" s="99" t="str">
        <v>policy</v>
      </c>
      <c r="E1109" s="99" t="str">
        <v>budget</v>
      </c>
      <c r="F1109" s="99" t="str">
        <v>welfare</v>
      </c>
      <c r="G1109" s="100"/>
      <c r="H1109" s="136" t="s">
        <v>3308</v>
      </c>
      <c r="I1109" s="2" t="s">
        <v>5856</v>
      </c>
      <c r="J1109" s="2" t="s">
        <v>5882</v>
      </c>
      <c r="K1109" s="2" t="s">
        <v>6421</v>
      </c>
      <c r="L1109" s="2" t="s">
        <v>5836</v>
      </c>
      <c r="N1109" s="1" t="s">
        <v>494</v>
      </c>
    </row>
    <row r="1110" spans="1:14" ht="43.5" x14ac:dyDescent="0.35">
      <c r="A1110" s="113" t="s">
        <v>651</v>
      </c>
      <c r="B1110" s="102" t="s">
        <v>5117</v>
      </c>
      <c r="C1110" s="123" t="str" cm="1">
        <f t="array" ref="C1110:G1110">_xlfn.TEXTSPLIT('איחוד שאלות'!$B1110,"_")</f>
        <v>preference</v>
      </c>
      <c r="D1110" s="102" t="str">
        <v>policy</v>
      </c>
      <c r="E1110" s="102" t="str">
        <v>budget</v>
      </c>
      <c r="F1110" s="102" t="str">
        <v>welfare</v>
      </c>
      <c r="G1110" s="103" t="str">
        <v>unemployment</v>
      </c>
      <c r="H1110" s="135" t="s">
        <v>3308</v>
      </c>
      <c r="I1110" s="2" t="s">
        <v>5856</v>
      </c>
      <c r="J1110" s="2" t="s">
        <v>5882</v>
      </c>
      <c r="K1110" s="2" t="s">
        <v>6421</v>
      </c>
      <c r="L1110" s="2" t="s">
        <v>5836</v>
      </c>
      <c r="M1110" s="2" t="s">
        <v>6328</v>
      </c>
      <c r="N1110" s="1" t="s">
        <v>651</v>
      </c>
    </row>
    <row r="1111" spans="1:14" ht="43.5" x14ac:dyDescent="0.35">
      <c r="A1111" s="121" t="s">
        <v>652</v>
      </c>
      <c r="B1111" s="99" t="s">
        <v>5118</v>
      </c>
      <c r="C1111" s="121" t="str" cm="1">
        <f t="array" ref="C1111:G1111">_xlfn.TEXTSPLIT('איחוד שאלות'!$B1111,"_")</f>
        <v>preference</v>
      </c>
      <c r="D1111" s="99" t="str">
        <v>policy</v>
      </c>
      <c r="E1111" s="99" t="str">
        <v>budget</v>
      </c>
      <c r="F1111" s="99" t="str">
        <v>welfare</v>
      </c>
      <c r="G1111" s="100" t="str">
        <v>oldage</v>
      </c>
      <c r="H1111" s="136" t="s">
        <v>3308</v>
      </c>
      <c r="I1111" s="2" t="s">
        <v>5856</v>
      </c>
      <c r="J1111" s="2" t="s">
        <v>5882</v>
      </c>
      <c r="K1111" s="2" t="s">
        <v>6421</v>
      </c>
      <c r="L1111" s="2" t="s">
        <v>5836</v>
      </c>
      <c r="M1111" s="2" t="s">
        <v>6425</v>
      </c>
      <c r="N1111" s="1" t="s">
        <v>652</v>
      </c>
    </row>
    <row r="1112" spans="1:14" ht="43.5" x14ac:dyDescent="0.35">
      <c r="A1112" s="113" t="s">
        <v>653</v>
      </c>
      <c r="B1112" s="102" t="s">
        <v>5119</v>
      </c>
      <c r="C1112" s="123" t="str" cm="1">
        <f t="array" ref="C1112:G1112">_xlfn.TEXTSPLIT('איחוד שאלות'!$B1112,"_")</f>
        <v>preference</v>
      </c>
      <c r="D1112" s="102" t="str">
        <v>policy</v>
      </c>
      <c r="E1112" s="102" t="str">
        <v>budget</v>
      </c>
      <c r="F1112" s="102" t="str">
        <v>welfare</v>
      </c>
      <c r="G1112" s="103" t="str">
        <v>children</v>
      </c>
      <c r="H1112" s="135" t="s">
        <v>3308</v>
      </c>
      <c r="I1112" s="2" t="s">
        <v>5856</v>
      </c>
      <c r="J1112" s="2" t="s">
        <v>5882</v>
      </c>
      <c r="K1112" s="2" t="s">
        <v>6421</v>
      </c>
      <c r="L1112" s="2" t="s">
        <v>5836</v>
      </c>
      <c r="M1112" s="2" t="s">
        <v>5818</v>
      </c>
      <c r="N1112" s="1" t="s">
        <v>653</v>
      </c>
    </row>
    <row r="1113" spans="1:14" ht="29" x14ac:dyDescent="0.35">
      <c r="A1113" s="121" t="s">
        <v>495</v>
      </c>
      <c r="B1113" s="99" t="s">
        <v>5120</v>
      </c>
      <c r="C1113" s="121" t="str" cm="1">
        <f t="array" ref="C1113:F1113">_xlfn.TEXTSPLIT('איחוד שאלות'!$B1113,"_")</f>
        <v>preference</v>
      </c>
      <c r="D1113" s="99" t="str">
        <v>policy</v>
      </c>
      <c r="E1113" s="99" t="str">
        <v>budget</v>
      </c>
      <c r="F1113" s="99" t="str">
        <v>settlements</v>
      </c>
      <c r="G1113" s="100"/>
      <c r="H1113" s="136" t="s">
        <v>3308</v>
      </c>
      <c r="I1113" s="2" t="s">
        <v>5856</v>
      </c>
      <c r="J1113" s="2" t="s">
        <v>5882</v>
      </c>
      <c r="K1113" s="2" t="s">
        <v>6421</v>
      </c>
      <c r="L1113" s="2" t="s">
        <v>6426</v>
      </c>
      <c r="N1113" s="1" t="s">
        <v>495</v>
      </c>
    </row>
    <row r="1114" spans="1:14" ht="29" x14ac:dyDescent="0.35">
      <c r="A1114" s="113" t="s">
        <v>496</v>
      </c>
      <c r="B1114" s="102" t="s">
        <v>5121</v>
      </c>
      <c r="C1114" s="123" t="str" cm="1">
        <f t="array" ref="C1114:F1114">_xlfn.TEXTSPLIT('איחוד שאלות'!$B1114,"_")</f>
        <v>preference</v>
      </c>
      <c r="D1114" s="102" t="str">
        <v>policy</v>
      </c>
      <c r="E1114" s="102" t="str">
        <v>budget</v>
      </c>
      <c r="F1114" s="102" t="str">
        <v>arabsector</v>
      </c>
      <c r="G1114" s="103"/>
      <c r="H1114" s="135" t="s">
        <v>3308</v>
      </c>
      <c r="I1114" s="2" t="s">
        <v>5856</v>
      </c>
      <c r="J1114" s="2" t="s">
        <v>5882</v>
      </c>
      <c r="K1114" s="2" t="s">
        <v>6421</v>
      </c>
      <c r="L1114" s="2" t="s">
        <v>6427</v>
      </c>
      <c r="N1114" s="1" t="s">
        <v>496</v>
      </c>
    </row>
    <row r="1115" spans="1:14" ht="43.5" x14ac:dyDescent="0.35">
      <c r="A1115" s="121" t="s">
        <v>655</v>
      </c>
      <c r="B1115" s="99" t="s">
        <v>5123</v>
      </c>
      <c r="C1115" s="121" t="str" cm="1">
        <f t="array" ref="C1115:F1115">_xlfn.TEXTSPLIT('איחוד שאלות'!$B1115,"_")</f>
        <v>preference</v>
      </c>
      <c r="D1115" s="99" t="str">
        <v>policy</v>
      </c>
      <c r="E1115" s="99" t="str">
        <v>budget</v>
      </c>
      <c r="F1115" s="99" t="str">
        <v>createnewjobs</v>
      </c>
      <c r="G1115" s="100"/>
      <c r="H1115" s="136" t="s">
        <v>3308</v>
      </c>
      <c r="I1115" s="2" t="s">
        <v>5856</v>
      </c>
      <c r="J1115" s="2" t="s">
        <v>5882</v>
      </c>
      <c r="K1115" s="2" t="s">
        <v>6421</v>
      </c>
      <c r="L1115" s="2" t="s">
        <v>6428</v>
      </c>
      <c r="N1115" s="1" t="s">
        <v>655</v>
      </c>
    </row>
    <row r="1116" spans="1:14" ht="29" x14ac:dyDescent="0.35">
      <c r="A1116" s="113" t="s">
        <v>654</v>
      </c>
      <c r="B1116" s="102" t="s">
        <v>5122</v>
      </c>
      <c r="C1116" s="123" t="str" cm="1">
        <f t="array" ref="C1116:F1116">_xlfn.TEXTSPLIT('איחוד שאלות'!$B1116,"_")</f>
        <v>preference</v>
      </c>
      <c r="D1116" s="102" t="str">
        <v>policy</v>
      </c>
      <c r="E1116" s="102" t="str">
        <v>budget</v>
      </c>
      <c r="F1116" s="102" t="str">
        <v>housing</v>
      </c>
      <c r="G1116" s="103"/>
      <c r="H1116" s="135" t="s">
        <v>3308</v>
      </c>
      <c r="I1116" s="2" t="s">
        <v>5856</v>
      </c>
      <c r="J1116" s="2" t="s">
        <v>5882</v>
      </c>
      <c r="K1116" s="2" t="s">
        <v>6421</v>
      </c>
      <c r="L1116" s="2" t="s">
        <v>6429</v>
      </c>
      <c r="N1116" s="1" t="s">
        <v>654</v>
      </c>
    </row>
    <row r="1117" spans="1:14" ht="29" x14ac:dyDescent="0.35">
      <c r="A1117" s="121" t="s">
        <v>751</v>
      </c>
      <c r="B1117" s="99" t="s">
        <v>5124</v>
      </c>
      <c r="C1117" s="121" t="str" cm="1">
        <f t="array" ref="C1117:F1117">_xlfn.TEXTSPLIT('איחוד שאלות'!$B1117,"_")</f>
        <v>preference</v>
      </c>
      <c r="D1117" s="99" t="str">
        <v>policy</v>
      </c>
      <c r="E1117" s="99" t="str">
        <v>budget</v>
      </c>
      <c r="F1117" s="99" t="str">
        <v>ecology</v>
      </c>
      <c r="G1117" s="100"/>
      <c r="H1117" s="136" t="s">
        <v>3308</v>
      </c>
      <c r="I1117" s="2" t="s">
        <v>5856</v>
      </c>
      <c r="J1117" s="2" t="s">
        <v>5882</v>
      </c>
      <c r="K1117" s="2" t="s">
        <v>6421</v>
      </c>
      <c r="L1117" s="2" t="s">
        <v>6430</v>
      </c>
      <c r="N1117" s="1" t="s">
        <v>751</v>
      </c>
    </row>
    <row r="1118" spans="1:14" ht="29" x14ac:dyDescent="0.35">
      <c r="A1118" s="113" t="s">
        <v>752</v>
      </c>
      <c r="B1118" s="102" t="s">
        <v>5125</v>
      </c>
      <c r="C1118" s="123" t="str" cm="1">
        <f t="array" ref="C1118:F1118">_xlfn.TEXTSPLIT('איחוד שאלות'!$B1118,"_")</f>
        <v>preference</v>
      </c>
      <c r="D1118" s="102" t="str">
        <v>policy</v>
      </c>
      <c r="E1118" s="102" t="str">
        <v>budget</v>
      </c>
      <c r="F1118" s="102" t="str">
        <v>roadsafty</v>
      </c>
      <c r="G1118" s="103"/>
      <c r="H1118" s="135" t="s">
        <v>3308</v>
      </c>
      <c r="I1118" s="2" t="s">
        <v>5856</v>
      </c>
      <c r="J1118" s="2" t="s">
        <v>5882</v>
      </c>
      <c r="K1118" s="2" t="s">
        <v>6421</v>
      </c>
      <c r="L1118" s="2" t="s">
        <v>6431</v>
      </c>
      <c r="N1118" s="1" t="s">
        <v>752</v>
      </c>
    </row>
    <row r="1119" spans="1:14" ht="43.5" x14ac:dyDescent="0.35">
      <c r="A1119" s="121" t="s">
        <v>1374</v>
      </c>
      <c r="B1119" s="99" t="s">
        <v>5126</v>
      </c>
      <c r="C1119" s="121" t="str" cm="1">
        <f t="array" ref="C1119:F1119">_xlfn.TEXTSPLIT('איחוד שאלות'!$B1119,"_")</f>
        <v>preference</v>
      </c>
      <c r="D1119" s="99" t="str">
        <v>policy</v>
      </c>
      <c r="E1119" s="99" t="str">
        <v>budget</v>
      </c>
      <c r="F1119" s="99" t="str">
        <v>integrateimmigrants</v>
      </c>
      <c r="G1119" s="100"/>
      <c r="H1119" s="136" t="s">
        <v>3308</v>
      </c>
      <c r="I1119" s="2" t="s">
        <v>5856</v>
      </c>
      <c r="J1119" s="2" t="s">
        <v>5882</v>
      </c>
      <c r="K1119" s="2" t="s">
        <v>6421</v>
      </c>
      <c r="L1119" s="2" t="s">
        <v>6166</v>
      </c>
      <c r="N1119" s="1" t="s">
        <v>1374</v>
      </c>
    </row>
    <row r="1120" spans="1:14" ht="87" x14ac:dyDescent="0.35">
      <c r="A1120" s="113" t="s">
        <v>498</v>
      </c>
      <c r="B1120" s="102" t="s">
        <v>5127</v>
      </c>
      <c r="C1120" s="123" t="str" cm="1">
        <f t="array" ref="C1120:F1120">_xlfn.TEXTSPLIT('איחוד שאלות'!$B1120,"_")</f>
        <v>preference</v>
      </c>
      <c r="D1120" s="102" t="str">
        <v>policy</v>
      </c>
      <c r="E1120" s="102" t="str">
        <v>budget</v>
      </c>
      <c r="F1120" s="102" t="str">
        <v>securitytoservices</v>
      </c>
      <c r="G1120" s="103"/>
      <c r="H1120" s="135" t="s">
        <v>3308</v>
      </c>
      <c r="I1120" s="2" t="s">
        <v>5856</v>
      </c>
      <c r="J1120" s="2" t="s">
        <v>5882</v>
      </c>
      <c r="K1120" s="2" t="s">
        <v>6421</v>
      </c>
      <c r="L1120" s="2" t="s">
        <v>6432</v>
      </c>
      <c r="N1120" s="1" t="s">
        <v>498</v>
      </c>
    </row>
    <row r="1121" spans="1:14" ht="72.5" x14ac:dyDescent="0.35">
      <c r="A1121" s="121" t="s">
        <v>1859</v>
      </c>
      <c r="B1121" s="99" t="s">
        <v>5128</v>
      </c>
      <c r="C1121" s="121" t="str" cm="1">
        <f t="array" ref="C1121:F1121">_xlfn.TEXTSPLIT('איחוד שאלות'!$B1121,"_")</f>
        <v>preference</v>
      </c>
      <c r="D1121" s="99" t="str">
        <v>policy</v>
      </c>
      <c r="E1121" s="99" t="str">
        <v>budget</v>
      </c>
      <c r="F1121" s="99" t="str">
        <v>servicestosecurity</v>
      </c>
      <c r="G1121" s="100"/>
      <c r="H1121" s="136" t="s">
        <v>3308</v>
      </c>
      <c r="I1121" s="2" t="s">
        <v>5856</v>
      </c>
      <c r="J1121" s="2" t="s">
        <v>5882</v>
      </c>
      <c r="K1121" s="2" t="s">
        <v>6421</v>
      </c>
      <c r="L1121" s="2" t="s">
        <v>6433</v>
      </c>
      <c r="N1121" s="1" t="s">
        <v>1859</v>
      </c>
    </row>
    <row r="1122" spans="1:14" ht="58" x14ac:dyDescent="0.35">
      <c r="A1122" s="113" t="s">
        <v>509</v>
      </c>
      <c r="B1122" s="102" t="s">
        <v>4082</v>
      </c>
      <c r="C1122" s="123" t="str" cm="1">
        <f t="array" ref="C1122:E1122">_xlfn.TEXTSPLIT('איחוד שאלות'!$B1122,"_")</f>
        <v>behavior</v>
      </c>
      <c r="D1122" s="102" t="str">
        <v>protest</v>
      </c>
      <c r="E1122" s="102" t="str">
        <v>2011</v>
      </c>
      <c r="F1122" s="102"/>
      <c r="G1122" s="103"/>
      <c r="H1122" s="135" t="s">
        <v>3308</v>
      </c>
      <c r="I1122" s="2" t="s">
        <v>5806</v>
      </c>
      <c r="J1122" s="2" t="s">
        <v>6011</v>
      </c>
      <c r="K1122" s="2" t="s">
        <v>6434</v>
      </c>
      <c r="N1122" s="1" t="s">
        <v>509</v>
      </c>
    </row>
    <row r="1123" spans="1:14" ht="145" x14ac:dyDescent="0.35">
      <c r="A1123" s="121" t="s">
        <v>650</v>
      </c>
      <c r="B1123" s="99" t="s">
        <v>5129</v>
      </c>
      <c r="C1123" s="121" t="str" cm="1">
        <f t="array" ref="C1123:G1123">_xlfn.TEXTSPLIT('איחוד שאלות'!$B1123,"_")</f>
        <v>preference</v>
      </c>
      <c r="D1123" s="99" t="str">
        <v>policy</v>
      </c>
      <c r="E1123" s="99" t="str">
        <v>socioeconomic</v>
      </c>
      <c r="F1123" s="99" t="str">
        <v>ideology</v>
      </c>
      <c r="G1123" s="100" t="str">
        <v>10</v>
      </c>
      <c r="H1123" s="136" t="s">
        <v>3308</v>
      </c>
      <c r="I1123" s="2" t="s">
        <v>5856</v>
      </c>
      <c r="J1123" s="2" t="s">
        <v>5882</v>
      </c>
      <c r="K1123" s="2" t="s">
        <v>6006</v>
      </c>
      <c r="L1123" s="2" t="s">
        <v>6415</v>
      </c>
      <c r="M1123" s="2" t="s">
        <v>6020</v>
      </c>
      <c r="N1123" s="1" t="s">
        <v>650</v>
      </c>
    </row>
    <row r="1124" spans="1:14" ht="72.5" x14ac:dyDescent="0.35">
      <c r="A1124" s="113" t="s">
        <v>1381</v>
      </c>
      <c r="B1124" s="102" t="s">
        <v>5130</v>
      </c>
      <c r="C1124" s="123" t="str" cm="1">
        <f t="array" ref="C1124:F1124">_xlfn.TEXTSPLIT('איחוד שאלות'!$B1124,"_")</f>
        <v>perception</v>
      </c>
      <c r="D1124" s="102" t="str">
        <v>agreement</v>
      </c>
      <c r="E1124" s="102" t="str">
        <v>socioeconomic</v>
      </c>
      <c r="F1124" s="102" t="str">
        <v>inequality</v>
      </c>
      <c r="G1124" s="103"/>
      <c r="H1124" s="135" t="s">
        <v>3308</v>
      </c>
      <c r="I1124" s="2" t="s">
        <v>5844</v>
      </c>
      <c r="J1124" s="2" t="s">
        <v>5862</v>
      </c>
      <c r="K1124" s="2" t="s">
        <v>6006</v>
      </c>
      <c r="L1124" s="2" t="s">
        <v>6005</v>
      </c>
      <c r="N1124" s="1" t="s">
        <v>1381</v>
      </c>
    </row>
    <row r="1125" spans="1:14" ht="43.5" x14ac:dyDescent="0.35">
      <c r="A1125" s="121" t="s">
        <v>1383</v>
      </c>
      <c r="B1125" s="99" t="s">
        <v>5131</v>
      </c>
      <c r="C1125" s="121" t="str" cm="1">
        <f t="array" ref="C1125:E1125">_xlfn.TEXTSPLIT('איחוד שאלות'!$B1125,"_")</f>
        <v>perception</v>
      </c>
      <c r="D1125" s="99" t="str">
        <v>socioeconomic</v>
      </c>
      <c r="E1125" s="99" t="str">
        <v>jewishethniccleavage</v>
      </c>
      <c r="F1125" s="99"/>
      <c r="G1125" s="100"/>
      <c r="H1125" s="136" t="s">
        <v>3308</v>
      </c>
      <c r="I1125" s="2" t="s">
        <v>5844</v>
      </c>
      <c r="J1125" s="2" t="s">
        <v>6006</v>
      </c>
      <c r="K1125" s="2" t="s">
        <v>6435</v>
      </c>
      <c r="N1125" s="1" t="s">
        <v>1383</v>
      </c>
    </row>
    <row r="1126" spans="1:14" ht="43.5" x14ac:dyDescent="0.35">
      <c r="A1126" s="113" t="s">
        <v>1386</v>
      </c>
      <c r="B1126" s="102" t="s">
        <v>5132</v>
      </c>
      <c r="C1126" s="123" t="str" cm="1">
        <f t="array" ref="C1126:E1126">_xlfn.TEXTSPLIT('איחוד שאלות'!$B1126,"_")</f>
        <v>experience</v>
      </c>
      <c r="D1126" s="102" t="str">
        <v>socioeconomic</v>
      </c>
      <c r="E1126" s="102" t="str">
        <v>jewishethniccleavage</v>
      </c>
      <c r="F1126" s="102"/>
      <c r="G1126" s="103"/>
      <c r="H1126" s="135" t="s">
        <v>3308</v>
      </c>
      <c r="I1126" s="2" t="s">
        <v>6202</v>
      </c>
      <c r="J1126" s="2" t="s">
        <v>6006</v>
      </c>
      <c r="K1126" s="2" t="s">
        <v>6435</v>
      </c>
      <c r="N1126" s="1" t="s">
        <v>1386</v>
      </c>
    </row>
    <row r="1127" spans="1:14" ht="58" x14ac:dyDescent="0.35">
      <c r="A1127" s="121" t="s">
        <v>1857</v>
      </c>
      <c r="B1127" s="99" t="s">
        <v>5115</v>
      </c>
      <c r="C1127" s="121" t="str" cm="1">
        <f t="array" ref="C1127:F1127">_xlfn.TEXTSPLIT('איחוד שאלות'!$B1127,"_")</f>
        <v>preference</v>
      </c>
      <c r="D1127" s="99" t="str">
        <v>policy</v>
      </c>
      <c r="E1127" s="99" t="str">
        <v>budget</v>
      </c>
      <c r="F1127" s="99" t="str">
        <v>security</v>
      </c>
      <c r="G1127" s="100"/>
      <c r="H1127" s="136" t="s">
        <v>3308</v>
      </c>
      <c r="I1127" s="2" t="s">
        <v>5856</v>
      </c>
      <c r="J1127" s="2" t="s">
        <v>5882</v>
      </c>
      <c r="K1127" s="2" t="s">
        <v>6421</v>
      </c>
      <c r="L1127" s="2" t="s">
        <v>5994</v>
      </c>
      <c r="N1127" s="1" t="s">
        <v>1857</v>
      </c>
    </row>
    <row r="1128" spans="1:14" ht="87" x14ac:dyDescent="0.35">
      <c r="A1128" s="113" t="s">
        <v>1858</v>
      </c>
      <c r="B1128" s="102" t="s">
        <v>5133</v>
      </c>
      <c r="C1128" s="123" t="str" cm="1">
        <f t="array" ref="C1128:F1128">_xlfn.TEXTSPLIT('איחוד שאלות'!$B1128,"_")</f>
        <v>preference</v>
      </c>
      <c r="D1128" s="102" t="str">
        <v>policy</v>
      </c>
      <c r="E1128" s="102" t="str">
        <v>scenario</v>
      </c>
      <c r="F1128" s="102" t="str">
        <v>securitybudgetcutdepression</v>
      </c>
      <c r="G1128" s="103"/>
      <c r="H1128" s="135" t="s">
        <v>3308</v>
      </c>
      <c r="I1128" s="2" t="s">
        <v>5856</v>
      </c>
      <c r="J1128" s="2" t="s">
        <v>5882</v>
      </c>
      <c r="K1128" s="2" t="s">
        <v>6290</v>
      </c>
      <c r="L1128" s="2" t="s">
        <v>6436</v>
      </c>
      <c r="N1128" s="1" t="s">
        <v>1858</v>
      </c>
    </row>
    <row r="1129" spans="1:14" ht="72.5" x14ac:dyDescent="0.35">
      <c r="A1129" s="121" t="s">
        <v>1907</v>
      </c>
      <c r="B1129" s="99" t="s">
        <v>5134</v>
      </c>
      <c r="C1129" s="121" t="str" cm="1">
        <f t="array" ref="C1129:E1129">_xlfn.TEXTSPLIT('איחוד שאלות'!$B1129,"_")</f>
        <v>preference</v>
      </c>
      <c r="D1129" s="99" t="str">
        <v>policy</v>
      </c>
      <c r="E1129" s="99" t="str">
        <v>radicalvsconservative</v>
      </c>
      <c r="F1129" s="99"/>
      <c r="G1129" s="100"/>
      <c r="H1129" s="136" t="s">
        <v>3308</v>
      </c>
      <c r="I1129" s="2" t="s">
        <v>5856</v>
      </c>
      <c r="J1129" s="2" t="s">
        <v>5882</v>
      </c>
      <c r="K1129" s="2" t="s">
        <v>6437</v>
      </c>
      <c r="N1129" s="1" t="s">
        <v>1907</v>
      </c>
    </row>
    <row r="1130" spans="1:14" ht="72.5" x14ac:dyDescent="0.35">
      <c r="A1130" s="113" t="s">
        <v>2189</v>
      </c>
      <c r="B1130" s="102" t="s">
        <v>5135</v>
      </c>
      <c r="C1130" s="123" t="str" cm="1">
        <f t="array" ref="C1130:E1130">_xlfn.TEXTSPLIT('איחוד שאלות'!$B1130,"_")</f>
        <v>preference</v>
      </c>
      <c r="D1130" s="102" t="str">
        <v>policy</v>
      </c>
      <c r="E1130" s="102" t="str">
        <v>arabmunicipalitystatus</v>
      </c>
      <c r="F1130" s="102"/>
      <c r="G1130" s="103"/>
      <c r="H1130" s="135" t="s">
        <v>3308</v>
      </c>
      <c r="I1130" s="2" t="s">
        <v>5856</v>
      </c>
      <c r="J1130" s="2" t="s">
        <v>5882</v>
      </c>
      <c r="K1130" s="2" t="s">
        <v>6438</v>
      </c>
      <c r="N1130" s="1" t="s">
        <v>2189</v>
      </c>
    </row>
    <row r="1131" spans="1:14" ht="72.5" x14ac:dyDescent="0.35">
      <c r="A1131" s="121" t="s">
        <v>2190</v>
      </c>
      <c r="B1131" s="99" t="s">
        <v>5136</v>
      </c>
      <c r="C1131" s="121" t="str" cm="1">
        <f t="array" ref="C1131:F1131">_xlfn.TEXTSPLIT('איחוד שאלות'!$B1131,"_")</f>
        <v>perception</v>
      </c>
      <c r="D1131" s="99" t="str">
        <v>public</v>
      </c>
      <c r="E1131" s="99" t="str">
        <v>policy</v>
      </c>
      <c r="F1131" s="99" t="str">
        <v>arabmunicipalitystatus</v>
      </c>
      <c r="G1131" s="100"/>
      <c r="H1131" s="136" t="s">
        <v>3308</v>
      </c>
      <c r="I1131" s="2" t="s">
        <v>5844</v>
      </c>
      <c r="J1131" s="2" t="s">
        <v>5912</v>
      </c>
      <c r="K1131" s="2" t="s">
        <v>5882</v>
      </c>
      <c r="L1131" s="2" t="s">
        <v>6438</v>
      </c>
      <c r="N1131" s="1" t="s">
        <v>2190</v>
      </c>
    </row>
    <row r="1132" spans="1:14" ht="87" x14ac:dyDescent="0.35">
      <c r="A1132" s="113" t="s">
        <v>2187</v>
      </c>
      <c r="B1132" s="102" t="s">
        <v>5140</v>
      </c>
      <c r="C1132" s="123" t="str" cm="1">
        <f t="array" ref="C1132:F1132">_xlfn.TEXTSPLIT('איחוד שאלות'!$B1132,"_")</f>
        <v>attribute</v>
      </c>
      <c r="D1132" s="102" t="str">
        <v>knowledge</v>
      </c>
      <c r="E1132" s="102" t="str">
        <v>policy</v>
      </c>
      <c r="F1132" s="102" t="str">
        <v>arabmunicipalitystatus</v>
      </c>
      <c r="G1132" s="103"/>
      <c r="H1132" s="135" t="s">
        <v>3308</v>
      </c>
      <c r="I1132" s="2" t="s">
        <v>5775</v>
      </c>
      <c r="J1132" s="2" t="s">
        <v>5942</v>
      </c>
      <c r="K1132" s="2" t="s">
        <v>5882</v>
      </c>
      <c r="L1132" s="2" t="s">
        <v>6438</v>
      </c>
      <c r="N1132" s="1" t="s">
        <v>2187</v>
      </c>
    </row>
    <row r="1133" spans="1:14" ht="72.5" x14ac:dyDescent="0.35">
      <c r="A1133" s="151" t="s">
        <v>2203</v>
      </c>
      <c r="B1133" s="99" t="s">
        <v>5137</v>
      </c>
      <c r="C1133" s="121" t="str" cm="1">
        <f t="array" ref="C1133:F1133">_xlfn.TEXTSPLIT('איחוד שאלות'!$B1133,"_")</f>
        <v>perception</v>
      </c>
      <c r="D1133" s="99" t="str">
        <v>satisfaction</v>
      </c>
      <c r="E1133" s="99" t="str">
        <v>IDF</v>
      </c>
      <c r="F1133" s="99" t="str">
        <v>equalreserve</v>
      </c>
      <c r="G1133" s="100"/>
      <c r="H1133" s="136" t="s">
        <v>3308</v>
      </c>
      <c r="I1133" s="2" t="s">
        <v>5844</v>
      </c>
      <c r="J1133" s="2" t="s">
        <v>5847</v>
      </c>
      <c r="K1133" s="2" t="s">
        <v>5825</v>
      </c>
      <c r="L1133" s="2" t="s">
        <v>6439</v>
      </c>
      <c r="N1133" s="1" t="s">
        <v>2203</v>
      </c>
    </row>
    <row r="1134" spans="1:14" ht="72.5" x14ac:dyDescent="0.35">
      <c r="A1134" s="113" t="s">
        <v>2204</v>
      </c>
      <c r="B1134" s="102" t="s">
        <v>5138</v>
      </c>
      <c r="C1134" s="123" t="str" cm="1">
        <f t="array" ref="C1134:G1134">_xlfn.TEXTSPLIT('איחוד שאלות'!$B1134,"_")</f>
        <v>perception</v>
      </c>
      <c r="D1134" s="102" t="str">
        <v>public</v>
      </c>
      <c r="E1134" s="102" t="str">
        <v>satisfaction</v>
      </c>
      <c r="F1134" s="102" t="str">
        <v>IDF</v>
      </c>
      <c r="G1134" s="103" t="str">
        <v>equalreserve</v>
      </c>
      <c r="H1134" s="135" t="s">
        <v>3308</v>
      </c>
      <c r="I1134" s="2" t="s">
        <v>5844</v>
      </c>
      <c r="J1134" s="2" t="s">
        <v>5912</v>
      </c>
      <c r="K1134" s="2" t="s">
        <v>5847</v>
      </c>
      <c r="L1134" s="2" t="s">
        <v>5825</v>
      </c>
      <c r="M1134" s="2" t="s">
        <v>6439</v>
      </c>
      <c r="N1134" s="1" t="s">
        <v>2204</v>
      </c>
    </row>
    <row r="1135" spans="1:14" ht="87" x14ac:dyDescent="0.35">
      <c r="A1135" s="121" t="s">
        <v>2187</v>
      </c>
      <c r="B1135" s="99" t="s">
        <v>5139</v>
      </c>
      <c r="C1135" s="121" t="str" cm="1">
        <f t="array" ref="C1135:G1135">_xlfn.TEXTSPLIT('איחוד שאלות'!$B1135,"_")</f>
        <v>attribute</v>
      </c>
      <c r="D1135" s="99" t="str">
        <v>knowledge</v>
      </c>
      <c r="E1135" s="99" t="str">
        <v>satisfaction</v>
      </c>
      <c r="F1135" s="99" t="str">
        <v>IDF</v>
      </c>
      <c r="G1135" s="100" t="str">
        <v>equalreserve</v>
      </c>
      <c r="H1135" s="136" t="s">
        <v>3308</v>
      </c>
      <c r="I1135" s="2" t="s">
        <v>5775</v>
      </c>
      <c r="J1135" s="2" t="s">
        <v>5942</v>
      </c>
      <c r="K1135" s="2" t="s">
        <v>5847</v>
      </c>
      <c r="L1135" s="2" t="s">
        <v>5825</v>
      </c>
      <c r="M1135" s="2" t="s">
        <v>6439</v>
      </c>
      <c r="N1135" s="1" t="s">
        <v>2187</v>
      </c>
    </row>
    <row r="1136" spans="1:14" ht="58" x14ac:dyDescent="0.35">
      <c r="A1136" s="113" t="s">
        <v>2239</v>
      </c>
      <c r="B1136" s="102" t="s">
        <v>5141</v>
      </c>
      <c r="C1136" s="123" t="str" cm="1">
        <f t="array" ref="C1136:F1136">_xlfn.TEXTSPLIT('איחוד שאלות'!$B1136,"_")</f>
        <v>perception</v>
      </c>
      <c r="D1136" s="102" t="str">
        <v>satisfaction</v>
      </c>
      <c r="E1136" s="102" t="str">
        <v>government</v>
      </c>
      <c r="F1136" s="102" t="str">
        <v>socioeconomic</v>
      </c>
      <c r="G1136" s="103"/>
      <c r="H1136" s="135" t="s">
        <v>3308</v>
      </c>
      <c r="I1136" s="2" t="s">
        <v>5844</v>
      </c>
      <c r="J1136" s="2" t="s">
        <v>5847</v>
      </c>
      <c r="K1136" s="2" t="s">
        <v>5848</v>
      </c>
      <c r="L1136" s="2" t="s">
        <v>6006</v>
      </c>
      <c r="N1136" s="1" t="s">
        <v>2239</v>
      </c>
    </row>
    <row r="1137" spans="1:14" ht="72.5" x14ac:dyDescent="0.35">
      <c r="A1137" s="121" t="s">
        <v>3858</v>
      </c>
      <c r="B1137" s="99" t="s">
        <v>5142</v>
      </c>
      <c r="C1137" s="121" t="str" cm="1">
        <f t="array" ref="C1137:F1137">_xlfn.TEXTSPLIT('איחוד שאלות'!$B1137,"_")</f>
        <v>perception</v>
      </c>
      <c r="D1137" s="99" t="str">
        <v>responsibility</v>
      </c>
      <c r="E1137" s="99" t="str">
        <v>party</v>
      </c>
      <c r="F1137" s="99" t="str">
        <v>violence</v>
      </c>
      <c r="G1137" s="100"/>
      <c r="H1137" s="136" t="s">
        <v>3308</v>
      </c>
      <c r="I1137" s="2" t="s">
        <v>5844</v>
      </c>
      <c r="J1137" s="2" t="s">
        <v>5961</v>
      </c>
      <c r="K1137" s="2" t="s">
        <v>5853</v>
      </c>
      <c r="L1137" s="2" t="s">
        <v>6440</v>
      </c>
      <c r="N1137" s="1" t="s">
        <v>7422</v>
      </c>
    </row>
    <row r="1138" spans="1:14" ht="72.5" x14ac:dyDescent="0.35">
      <c r="A1138" s="113" t="s">
        <v>3859</v>
      </c>
      <c r="B1138" s="102" t="s">
        <v>5143</v>
      </c>
      <c r="C1138" s="123" t="str" cm="1">
        <f t="array" ref="C1138:F1138">_xlfn.TEXTSPLIT('איחוד שאלות'!$B1138,"_")</f>
        <v>perception</v>
      </c>
      <c r="D1138" s="102" t="str">
        <v>responsibility</v>
      </c>
      <c r="E1138" s="102" t="str">
        <v>party</v>
      </c>
      <c r="F1138" s="102" t="str">
        <v>emigration</v>
      </c>
      <c r="G1138" s="103"/>
      <c r="H1138" s="135" t="s">
        <v>3308</v>
      </c>
      <c r="I1138" s="2" t="s">
        <v>5844</v>
      </c>
      <c r="J1138" s="2" t="s">
        <v>5961</v>
      </c>
      <c r="K1138" s="2" t="s">
        <v>5853</v>
      </c>
      <c r="L1138" s="2" t="s">
        <v>6441</v>
      </c>
      <c r="N1138" s="1" t="s">
        <v>7423</v>
      </c>
    </row>
    <row r="1139" spans="1:14" ht="72.5" x14ac:dyDescent="0.35">
      <c r="A1139" s="121" t="s">
        <v>3860</v>
      </c>
      <c r="B1139" s="99" t="s">
        <v>5144</v>
      </c>
      <c r="C1139" s="121" t="str" cm="1">
        <f t="array" ref="C1139:F1139">_xlfn.TEXTSPLIT('איחוד שאלות'!$B1139,"_")</f>
        <v>perception</v>
      </c>
      <c r="D1139" s="99" t="str">
        <v>responsibility</v>
      </c>
      <c r="E1139" s="99" t="str">
        <v>party</v>
      </c>
      <c r="F1139" s="99" t="str">
        <v>inflation</v>
      </c>
      <c r="G1139" s="100"/>
      <c r="H1139" s="136" t="s">
        <v>3308</v>
      </c>
      <c r="I1139" s="2" t="s">
        <v>5844</v>
      </c>
      <c r="J1139" s="2" t="s">
        <v>5961</v>
      </c>
      <c r="K1139" s="2" t="s">
        <v>5853</v>
      </c>
      <c r="L1139" s="2" t="s">
        <v>6336</v>
      </c>
      <c r="N1139" s="1" t="s">
        <v>7424</v>
      </c>
    </row>
    <row r="1140" spans="1:14" ht="87" x14ac:dyDescent="0.35">
      <c r="A1140" s="113" t="s">
        <v>3861</v>
      </c>
      <c r="B1140" s="102" t="s">
        <v>5145</v>
      </c>
      <c r="C1140" s="123" t="str" cm="1">
        <f t="array" ref="C1140:F1140">_xlfn.TEXTSPLIT('איחוד שאלות'!$B1140,"_")</f>
        <v>perception</v>
      </c>
      <c r="D1140" s="102" t="str">
        <v>responsibility</v>
      </c>
      <c r="E1140" s="102" t="str">
        <v>party</v>
      </c>
      <c r="F1140" s="102" t="str">
        <v>corruption</v>
      </c>
      <c r="G1140" s="103"/>
      <c r="H1140" s="135" t="s">
        <v>3308</v>
      </c>
      <c r="I1140" s="2" t="s">
        <v>5844</v>
      </c>
      <c r="J1140" s="2" t="s">
        <v>5961</v>
      </c>
      <c r="K1140" s="2" t="s">
        <v>5853</v>
      </c>
      <c r="L1140" s="2" t="s">
        <v>6029</v>
      </c>
      <c r="N1140" s="1" t="s">
        <v>7425</v>
      </c>
    </row>
    <row r="1141" spans="1:14" ht="72.5" x14ac:dyDescent="0.35">
      <c r="A1141" s="121" t="s">
        <v>3862</v>
      </c>
      <c r="B1141" s="99" t="s">
        <v>5146</v>
      </c>
      <c r="C1141" s="121" t="str" cm="1">
        <f t="array" ref="C1141:F1141">_xlfn.TEXTSPLIT('איחוד שאלות'!$B1141,"_")</f>
        <v>perception</v>
      </c>
      <c r="D1141" s="99" t="str">
        <v>responsibility</v>
      </c>
      <c r="E1141" s="99" t="str">
        <v>party</v>
      </c>
      <c r="F1141" s="99" t="str">
        <v>crime</v>
      </c>
      <c r="G1141" s="100"/>
      <c r="H1141" s="136" t="s">
        <v>3308</v>
      </c>
      <c r="I1141" s="2" t="s">
        <v>5844</v>
      </c>
      <c r="J1141" s="2" t="s">
        <v>5961</v>
      </c>
      <c r="K1141" s="2" t="s">
        <v>5853</v>
      </c>
      <c r="L1141" s="2" t="s">
        <v>6442</v>
      </c>
      <c r="N1141" s="1" t="s">
        <v>7426</v>
      </c>
    </row>
    <row r="1142" spans="1:14" ht="72.5" x14ac:dyDescent="0.35">
      <c r="A1142" s="113" t="s">
        <v>3863</v>
      </c>
      <c r="B1142" s="102" t="s">
        <v>5147</v>
      </c>
      <c r="C1142" s="123" t="str" cm="1">
        <f t="array" ref="C1142:F1142">_xlfn.TEXTSPLIT('איחוד שאלות'!$B1142,"_")</f>
        <v>perception</v>
      </c>
      <c r="D1142" s="102" t="str">
        <v>responsibility</v>
      </c>
      <c r="E1142" s="102" t="str">
        <v>party</v>
      </c>
      <c r="F1142" s="102" t="str">
        <v>jewishethniccleavage</v>
      </c>
      <c r="G1142" s="103"/>
      <c r="H1142" s="135" t="s">
        <v>3308</v>
      </c>
      <c r="I1142" s="2" t="s">
        <v>5844</v>
      </c>
      <c r="J1142" s="2" t="s">
        <v>5961</v>
      </c>
      <c r="K1142" s="2" t="s">
        <v>5853</v>
      </c>
      <c r="L1142" s="2" t="s">
        <v>6435</v>
      </c>
      <c r="N1142" s="1" t="s">
        <v>7427</v>
      </c>
    </row>
    <row r="1143" spans="1:14" ht="72.5" x14ac:dyDescent="0.35">
      <c r="A1143" s="121" t="s">
        <v>2296</v>
      </c>
      <c r="B1143" s="99" t="s">
        <v>5148</v>
      </c>
      <c r="C1143" s="121" t="str" cm="1">
        <f t="array" ref="C1143:F1143">_xlfn.TEXTSPLIT('איחוד שאלות'!$B1143,"_")</f>
        <v>perception</v>
      </c>
      <c r="D1143" s="99" t="str">
        <v>occupation</v>
      </c>
      <c r="E1143" s="99" t="str">
        <v>evaluation</v>
      </c>
      <c r="F1143" s="99" t="str">
        <v>1</v>
      </c>
      <c r="G1143" s="100"/>
      <c r="H1143" s="136" t="s">
        <v>3308</v>
      </c>
      <c r="I1143" s="2" t="s">
        <v>5844</v>
      </c>
      <c r="J1143" s="2" t="s">
        <v>5810</v>
      </c>
      <c r="K1143" s="2" t="s">
        <v>6443</v>
      </c>
      <c r="L1143" s="2" t="s">
        <v>5789</v>
      </c>
      <c r="N1143" s="1" t="s">
        <v>2296</v>
      </c>
    </row>
    <row r="1144" spans="1:14" ht="72.5" x14ac:dyDescent="0.35">
      <c r="A1144" s="113" t="s">
        <v>2297</v>
      </c>
      <c r="B1144" s="102" t="s">
        <v>5149</v>
      </c>
      <c r="C1144" s="123" t="str" cm="1">
        <f t="array" ref="C1144:F1144">_xlfn.TEXTSPLIT('איחוד שאלות'!$B1144,"_")</f>
        <v>perception</v>
      </c>
      <c r="D1144" s="102" t="str">
        <v>occupation</v>
      </c>
      <c r="E1144" s="102" t="str">
        <v>evaluation</v>
      </c>
      <c r="F1144" s="102" t="str">
        <v>2</v>
      </c>
      <c r="G1144" s="103"/>
      <c r="H1144" s="135" t="s">
        <v>3308</v>
      </c>
      <c r="I1144" s="2" t="s">
        <v>5844</v>
      </c>
      <c r="J1144" s="2" t="s">
        <v>5810</v>
      </c>
      <c r="K1144" s="2" t="s">
        <v>6443</v>
      </c>
      <c r="L1144" s="2" t="s">
        <v>5790</v>
      </c>
      <c r="N1144" s="1" t="s">
        <v>2297</v>
      </c>
    </row>
    <row r="1145" spans="1:14" ht="72.5" x14ac:dyDescent="0.35">
      <c r="A1145" s="121" t="s">
        <v>2298</v>
      </c>
      <c r="B1145" s="99" t="s">
        <v>5150</v>
      </c>
      <c r="C1145" s="121" t="str" cm="1">
        <f t="array" ref="C1145:F1145">_xlfn.TEXTSPLIT('איחוד שאלות'!$B1145,"_")</f>
        <v>perception</v>
      </c>
      <c r="D1145" s="99" t="str">
        <v>occupation</v>
      </c>
      <c r="E1145" s="99" t="str">
        <v>evaluation</v>
      </c>
      <c r="F1145" s="99" t="str">
        <v>3</v>
      </c>
      <c r="G1145" s="100"/>
      <c r="H1145" s="136" t="s">
        <v>3308</v>
      </c>
      <c r="I1145" s="2" t="s">
        <v>5844</v>
      </c>
      <c r="J1145" s="2" t="s">
        <v>5810</v>
      </c>
      <c r="K1145" s="2" t="s">
        <v>6443</v>
      </c>
      <c r="L1145" s="2" t="s">
        <v>5791</v>
      </c>
      <c r="N1145" s="1" t="s">
        <v>2298</v>
      </c>
    </row>
    <row r="1146" spans="1:14" ht="72.5" x14ac:dyDescent="0.35">
      <c r="A1146" s="113" t="s">
        <v>2299</v>
      </c>
      <c r="B1146" s="102" t="s">
        <v>5151</v>
      </c>
      <c r="C1146" s="123" t="str" cm="1">
        <f t="array" ref="C1146:F1146">_xlfn.TEXTSPLIT('איחוד שאלות'!$B1146,"_")</f>
        <v>perception</v>
      </c>
      <c r="D1146" s="102" t="str">
        <v>occupation</v>
      </c>
      <c r="E1146" s="102" t="str">
        <v>evaluation</v>
      </c>
      <c r="F1146" s="102" t="str">
        <v>4</v>
      </c>
      <c r="G1146" s="103"/>
      <c r="H1146" s="135" t="s">
        <v>3308</v>
      </c>
      <c r="I1146" s="2" t="s">
        <v>5844</v>
      </c>
      <c r="J1146" s="2" t="s">
        <v>5810</v>
      </c>
      <c r="K1146" s="2" t="s">
        <v>6443</v>
      </c>
      <c r="L1146" s="2" t="s">
        <v>5792</v>
      </c>
      <c r="N1146" s="1" t="s">
        <v>2299</v>
      </c>
    </row>
    <row r="1147" spans="1:14" ht="43.5" x14ac:dyDescent="0.35">
      <c r="A1147" s="121" t="s">
        <v>2305</v>
      </c>
      <c r="B1147" s="99" t="s">
        <v>5152</v>
      </c>
      <c r="C1147" s="121" t="str" cm="1">
        <f t="array" ref="C1147:F1147">_xlfn.TEXTSPLIT('איחוד שאלות'!$B1147,"_")</f>
        <v>attribute</v>
      </c>
      <c r="D1147" s="99" t="str">
        <v>knowledge</v>
      </c>
      <c r="E1147" s="99" t="str">
        <v>plan</v>
      </c>
      <c r="F1147" s="99" t="str">
        <v>aridor</v>
      </c>
      <c r="G1147" s="100"/>
      <c r="H1147" s="136" t="s">
        <v>3308</v>
      </c>
      <c r="I1147" s="2" t="s">
        <v>5775</v>
      </c>
      <c r="J1147" s="2" t="s">
        <v>5942</v>
      </c>
      <c r="K1147" s="2" t="s">
        <v>6444</v>
      </c>
      <c r="L1147" s="2" t="s">
        <v>6445</v>
      </c>
      <c r="N1147" s="1" t="s">
        <v>2305</v>
      </c>
    </row>
    <row r="1148" spans="1:14" ht="72.5" x14ac:dyDescent="0.35">
      <c r="A1148" s="113" t="s">
        <v>2306</v>
      </c>
      <c r="B1148" s="102" t="s">
        <v>5153</v>
      </c>
      <c r="C1148" s="123" t="str" cm="1">
        <f t="array" ref="C1148:F1148">_xlfn.TEXTSPLIT('איחוד שאלות'!$B1148,"_")</f>
        <v>attribute</v>
      </c>
      <c r="D1148" s="102" t="str">
        <v>knowledge</v>
      </c>
      <c r="E1148" s="102" t="str">
        <v>plan</v>
      </c>
      <c r="F1148" s="102" t="str">
        <v>benshahar</v>
      </c>
      <c r="G1148" s="103"/>
      <c r="H1148" s="135" t="s">
        <v>3308</v>
      </c>
      <c r="I1148" s="2" t="s">
        <v>5775</v>
      </c>
      <c r="J1148" s="2" t="s">
        <v>5942</v>
      </c>
      <c r="K1148" s="2" t="s">
        <v>6444</v>
      </c>
      <c r="L1148" s="2" t="s">
        <v>6446</v>
      </c>
      <c r="N1148" s="1" t="s">
        <v>2306</v>
      </c>
    </row>
    <row r="1149" spans="1:14" ht="58" x14ac:dyDescent="0.35">
      <c r="A1149" s="121" t="s">
        <v>2307</v>
      </c>
      <c r="B1149" s="99" t="s">
        <v>5154</v>
      </c>
      <c r="C1149" s="121" t="str" cm="1">
        <f t="array" ref="C1149:G1149">_xlfn.TEXTSPLIT('איחוד שאלות'!$B1149,"_")</f>
        <v>perception</v>
      </c>
      <c r="D1149" s="99" t="str">
        <v>policy</v>
      </c>
      <c r="E1149" s="99" t="str">
        <v>plan</v>
      </c>
      <c r="F1149" s="99" t="str">
        <v>aridor</v>
      </c>
      <c r="G1149" s="100" t="str">
        <v>helppersonally</v>
      </c>
      <c r="H1149" s="136" t="s">
        <v>3308</v>
      </c>
      <c r="I1149" s="2" t="s">
        <v>5844</v>
      </c>
      <c r="J1149" s="2" t="s">
        <v>5882</v>
      </c>
      <c r="K1149" s="2" t="s">
        <v>6444</v>
      </c>
      <c r="L1149" s="2" t="s">
        <v>6445</v>
      </c>
      <c r="M1149" s="2" t="s">
        <v>6240</v>
      </c>
      <c r="N1149" s="1" t="s">
        <v>2307</v>
      </c>
    </row>
    <row r="1150" spans="1:14" ht="58" x14ac:dyDescent="0.35">
      <c r="A1150" s="113" t="s">
        <v>2308</v>
      </c>
      <c r="B1150" s="102" t="s">
        <v>5155</v>
      </c>
      <c r="C1150" s="123" t="str" cm="1">
        <f t="array" ref="C1150:G1150">_xlfn.TEXTSPLIT('איחוד שאלות'!$B1150,"_")</f>
        <v>perception</v>
      </c>
      <c r="D1150" s="102" t="str">
        <v>policy</v>
      </c>
      <c r="E1150" s="102" t="str">
        <v>plan</v>
      </c>
      <c r="F1150" s="102" t="str">
        <v>benshahar</v>
      </c>
      <c r="G1150" s="103" t="str">
        <v>helppersonally</v>
      </c>
      <c r="H1150" s="135" t="s">
        <v>3308</v>
      </c>
      <c r="I1150" s="2" t="s">
        <v>5844</v>
      </c>
      <c r="J1150" s="2" t="s">
        <v>5882</v>
      </c>
      <c r="K1150" s="2" t="s">
        <v>6444</v>
      </c>
      <c r="L1150" s="2" t="s">
        <v>6446</v>
      </c>
      <c r="M1150" s="2" t="s">
        <v>6240</v>
      </c>
      <c r="N1150" s="1" t="s">
        <v>2308</v>
      </c>
    </row>
    <row r="1151" spans="1:14" ht="72.5" x14ac:dyDescent="0.35">
      <c r="A1151" s="121" t="s">
        <v>2309</v>
      </c>
      <c r="B1151" s="99" t="s">
        <v>5156</v>
      </c>
      <c r="C1151" s="121" t="str" cm="1">
        <f t="array" ref="C1151:G1151">_xlfn.TEXTSPLIT('איחוד שאלות'!$B1151,"_")</f>
        <v>perception</v>
      </c>
      <c r="D1151" s="99" t="str">
        <v>policy</v>
      </c>
      <c r="E1151" s="99" t="str">
        <v>plan</v>
      </c>
      <c r="F1151" s="99" t="str">
        <v>aridor</v>
      </c>
      <c r="G1151" s="100" t="str">
        <v>helpeconomy</v>
      </c>
      <c r="H1151" s="136" t="s">
        <v>3308</v>
      </c>
      <c r="I1151" s="2" t="s">
        <v>5844</v>
      </c>
      <c r="J1151" s="2" t="s">
        <v>5882</v>
      </c>
      <c r="K1151" s="2" t="s">
        <v>6444</v>
      </c>
      <c r="L1151" s="2" t="s">
        <v>6445</v>
      </c>
      <c r="M1151" s="2" t="s">
        <v>6447</v>
      </c>
      <c r="N1151" s="1" t="s">
        <v>2309</v>
      </c>
    </row>
    <row r="1152" spans="1:14" ht="72.5" x14ac:dyDescent="0.35">
      <c r="A1152" s="113" t="s">
        <v>2310</v>
      </c>
      <c r="B1152" s="102" t="s">
        <v>5157</v>
      </c>
      <c r="C1152" s="123" t="str" cm="1">
        <f t="array" ref="C1152:G1152">_xlfn.TEXTSPLIT('איחוד שאלות'!$B1152,"_")</f>
        <v>perception</v>
      </c>
      <c r="D1152" s="102" t="str">
        <v>policy</v>
      </c>
      <c r="E1152" s="102" t="str">
        <v>plan</v>
      </c>
      <c r="F1152" s="102" t="str">
        <v>benshahar</v>
      </c>
      <c r="G1152" s="103" t="str">
        <v>helpeconomy</v>
      </c>
      <c r="H1152" s="135" t="s">
        <v>3308</v>
      </c>
      <c r="I1152" s="2" t="s">
        <v>5844</v>
      </c>
      <c r="J1152" s="2" t="s">
        <v>5882</v>
      </c>
      <c r="K1152" s="2" t="s">
        <v>6444</v>
      </c>
      <c r="L1152" s="2" t="s">
        <v>6446</v>
      </c>
      <c r="M1152" s="2" t="s">
        <v>6447</v>
      </c>
      <c r="N1152" s="1" t="s">
        <v>2310</v>
      </c>
    </row>
    <row r="1153" spans="1:14" ht="72.5" x14ac:dyDescent="0.35">
      <c r="A1153" s="121" t="s">
        <v>2547</v>
      </c>
      <c r="B1153" s="99" t="s">
        <v>5158</v>
      </c>
      <c r="C1153" s="121" t="str" cm="1">
        <f t="array" ref="C1153:G1153">_xlfn.TEXTSPLIT('איחוד שאלות'!$B1153,"_")</f>
        <v>perception</v>
      </c>
      <c r="D1153" s="99" t="str">
        <v>expectation</v>
      </c>
      <c r="E1153" s="99" t="str">
        <v>plan</v>
      </c>
      <c r="F1153" s="99" t="str">
        <v>aridor</v>
      </c>
      <c r="G1153" s="100" t="str">
        <v>helpeconomy</v>
      </c>
      <c r="H1153" s="136" t="s">
        <v>3308</v>
      </c>
      <c r="I1153" s="2" t="s">
        <v>5844</v>
      </c>
      <c r="J1153" s="2" t="s">
        <v>5850</v>
      </c>
      <c r="K1153" s="2" t="s">
        <v>6444</v>
      </c>
      <c r="L1153" s="2" t="s">
        <v>6445</v>
      </c>
      <c r="M1153" s="2" t="s">
        <v>6447</v>
      </c>
      <c r="N1153" s="1" t="s">
        <v>2547</v>
      </c>
    </row>
    <row r="1154" spans="1:14" ht="87" x14ac:dyDescent="0.35">
      <c r="A1154" s="113" t="s">
        <v>2548</v>
      </c>
      <c r="B1154" s="102" t="s">
        <v>5159</v>
      </c>
      <c r="C1154" s="123" t="str" cm="1">
        <f t="array" ref="C1154:G1154">_xlfn.TEXTSPLIT('איחוד שאלות'!$B1154,"_")</f>
        <v>perception</v>
      </c>
      <c r="D1154" s="102" t="str">
        <v>scenario</v>
      </c>
      <c r="E1154" s="102" t="str">
        <v>plan</v>
      </c>
      <c r="F1154" s="102" t="str">
        <v>aridor</v>
      </c>
      <c r="G1154" s="103" t="str">
        <v>likudwin</v>
      </c>
      <c r="H1154" s="135" t="s">
        <v>3308</v>
      </c>
      <c r="I1154" s="2" t="s">
        <v>5844</v>
      </c>
      <c r="J1154" s="2" t="s">
        <v>6290</v>
      </c>
      <c r="K1154" s="2" t="s">
        <v>6444</v>
      </c>
      <c r="L1154" s="2" t="s">
        <v>6445</v>
      </c>
      <c r="M1154" s="2" t="s">
        <v>6448</v>
      </c>
      <c r="N1154" s="1" t="s">
        <v>2548</v>
      </c>
    </row>
    <row r="1155" spans="1:14" ht="72.5" x14ac:dyDescent="0.35">
      <c r="A1155" s="121" t="s">
        <v>2549</v>
      </c>
      <c r="B1155" s="99" t="s">
        <v>5160</v>
      </c>
      <c r="C1155" s="121" t="str" cm="1">
        <f t="array" ref="C1155:G1155">_xlfn.TEXTSPLIT('איחוד שאלות'!$B1155,"_")</f>
        <v>perception</v>
      </c>
      <c r="D1155" s="99" t="str">
        <v>policy</v>
      </c>
      <c r="E1155" s="99" t="str">
        <v>plan</v>
      </c>
      <c r="F1155" s="99" t="str">
        <v>aridor</v>
      </c>
      <c r="G1155" s="100" t="str">
        <v>helpclass</v>
      </c>
      <c r="H1155" s="136" t="s">
        <v>3308</v>
      </c>
      <c r="I1155" s="2" t="s">
        <v>5844</v>
      </c>
      <c r="J1155" s="2" t="s">
        <v>5882</v>
      </c>
      <c r="K1155" s="2" t="s">
        <v>6444</v>
      </c>
      <c r="L1155" s="2" t="s">
        <v>6445</v>
      </c>
      <c r="M1155" s="2" t="s">
        <v>6449</v>
      </c>
      <c r="N1155" s="1" t="s">
        <v>2549</v>
      </c>
    </row>
    <row r="1156" spans="1:14" ht="116" x14ac:dyDescent="0.35">
      <c r="A1156" s="113" t="s">
        <v>2550</v>
      </c>
      <c r="B1156" s="102" t="s">
        <v>5161</v>
      </c>
      <c r="C1156" s="123" t="str" cm="1">
        <f t="array" ref="C1156:F1156">_xlfn.TEXTSPLIT('איחוד שאלות'!$B1156,"_")</f>
        <v>behavior</v>
      </c>
      <c r="D1156" s="102" t="str">
        <v>economic</v>
      </c>
      <c r="E1156" s="102" t="str">
        <v>buy</v>
      </c>
      <c r="F1156" s="102" t="str">
        <v>influencedbypolicy</v>
      </c>
      <c r="G1156" s="103"/>
      <c r="H1156" s="135" t="s">
        <v>3308</v>
      </c>
      <c r="I1156" s="2" t="s">
        <v>5806</v>
      </c>
      <c r="J1156" s="2" t="s">
        <v>6008</v>
      </c>
      <c r="K1156" s="2" t="s">
        <v>6450</v>
      </c>
      <c r="L1156" s="2" t="s">
        <v>6451</v>
      </c>
      <c r="N1156" s="1" t="s">
        <v>2550</v>
      </c>
    </row>
    <row r="1157" spans="1:14" ht="72.5" x14ac:dyDescent="0.35">
      <c r="A1157" s="121" t="s">
        <v>3864</v>
      </c>
      <c r="B1157" s="99" t="s">
        <v>5162</v>
      </c>
      <c r="C1157" s="121" t="str" cm="1">
        <f t="array" ref="C1157:G1157">_xlfn.TEXTSPLIT('איחוד שאלות'!$B1157,"_")</f>
        <v>perception</v>
      </c>
      <c r="D1157" s="99" t="str">
        <v>party</v>
      </c>
      <c r="E1157" s="99" t="str">
        <v>similarity</v>
      </c>
      <c r="F1157" s="99" t="str">
        <v>socioeconomic</v>
      </c>
      <c r="G1157" s="100" t="str">
        <v>haavoda</v>
      </c>
      <c r="H1157" s="136" t="s">
        <v>3308</v>
      </c>
      <c r="I1157" s="2" t="s">
        <v>5844</v>
      </c>
      <c r="J1157" s="2" t="s">
        <v>5853</v>
      </c>
      <c r="K1157" s="2" t="s">
        <v>5927</v>
      </c>
      <c r="L1157" s="2" t="s">
        <v>6006</v>
      </c>
      <c r="M1157" s="2" t="s">
        <v>6031</v>
      </c>
      <c r="N1157" s="1" t="s">
        <v>7428</v>
      </c>
    </row>
    <row r="1158" spans="1:14" ht="72.5" x14ac:dyDescent="0.35">
      <c r="A1158" s="113" t="s">
        <v>3865</v>
      </c>
      <c r="B1158" s="102" t="s">
        <v>5163</v>
      </c>
      <c r="C1158" s="123" t="str" cm="1">
        <f t="array" ref="C1158:G1158">_xlfn.TEXTSPLIT('איחוד שאלות'!$B1158,"_")</f>
        <v>perception</v>
      </c>
      <c r="D1158" s="102" t="str">
        <v>party</v>
      </c>
      <c r="E1158" s="102" t="str">
        <v>similarity</v>
      </c>
      <c r="F1158" s="102" t="str">
        <v>socioeconomic</v>
      </c>
      <c r="G1158" s="103" t="str">
        <v>likud</v>
      </c>
      <c r="H1158" s="135" t="s">
        <v>3308</v>
      </c>
      <c r="I1158" s="2" t="s">
        <v>5844</v>
      </c>
      <c r="J1158" s="2" t="s">
        <v>5853</v>
      </c>
      <c r="K1158" s="2" t="s">
        <v>5927</v>
      </c>
      <c r="L1158" s="2" t="s">
        <v>6006</v>
      </c>
      <c r="M1158" s="2" t="s">
        <v>6030</v>
      </c>
      <c r="N1158" s="1" t="s">
        <v>7429</v>
      </c>
    </row>
    <row r="1159" spans="1:14" ht="72.5" x14ac:dyDescent="0.35">
      <c r="A1159" s="121" t="s">
        <v>3866</v>
      </c>
      <c r="B1159" s="99" t="s">
        <v>5164</v>
      </c>
      <c r="C1159" s="121" t="str" cm="1">
        <f t="array" ref="C1159:G1159">_xlfn.TEXTSPLIT('איחוד שאלות'!$B1159,"_")</f>
        <v>perception</v>
      </c>
      <c r="D1159" s="99" t="str">
        <v>party</v>
      </c>
      <c r="E1159" s="99" t="str">
        <v>similarity</v>
      </c>
      <c r="F1159" s="99" t="str">
        <v>socioeconomic</v>
      </c>
      <c r="G1159" s="100" t="str">
        <v>shinui</v>
      </c>
      <c r="H1159" s="136" t="s">
        <v>3308</v>
      </c>
      <c r="I1159" s="2" t="s">
        <v>5844</v>
      </c>
      <c r="J1159" s="2" t="s">
        <v>5853</v>
      </c>
      <c r="K1159" s="2" t="s">
        <v>5927</v>
      </c>
      <c r="L1159" s="2" t="s">
        <v>6006</v>
      </c>
      <c r="M1159" s="2" t="s">
        <v>6049</v>
      </c>
      <c r="N1159" s="1" t="s">
        <v>7430</v>
      </c>
    </row>
    <row r="1160" spans="1:14" ht="58" x14ac:dyDescent="0.35">
      <c r="A1160" s="113" t="s">
        <v>3867</v>
      </c>
      <c r="B1160" s="102" t="s">
        <v>5165</v>
      </c>
      <c r="C1160" s="123" t="str" cm="1">
        <f t="array" ref="C1160:G1160">_xlfn.TEXTSPLIT('איחוד שאלות'!$B1160,"_")</f>
        <v>perception</v>
      </c>
      <c r="D1160" s="102" t="str">
        <v>politician</v>
      </c>
      <c r="E1160" s="102" t="str">
        <v>similarity</v>
      </c>
      <c r="F1160" s="102" t="str">
        <v>socioeconomic</v>
      </c>
      <c r="G1160" s="103" t="str">
        <v>netanyahu</v>
      </c>
      <c r="H1160" s="135" t="s">
        <v>3308</v>
      </c>
      <c r="I1160" s="2" t="s">
        <v>5844</v>
      </c>
      <c r="J1160" s="2" t="s">
        <v>6151</v>
      </c>
      <c r="K1160" s="2" t="s">
        <v>5927</v>
      </c>
      <c r="L1160" s="2" t="s">
        <v>6006</v>
      </c>
      <c r="M1160" s="2" t="s">
        <v>6072</v>
      </c>
      <c r="N1160" s="1" t="s">
        <v>7431</v>
      </c>
    </row>
    <row r="1161" spans="1:14" ht="58" x14ac:dyDescent="0.35">
      <c r="A1161" s="121" t="s">
        <v>3868</v>
      </c>
      <c r="B1161" s="99" t="s">
        <v>5166</v>
      </c>
      <c r="C1161" s="121" t="str" cm="1">
        <f t="array" ref="C1161:G1161">_xlfn.TEXTSPLIT('איחוד שאלות'!$B1161,"_")</f>
        <v>perception</v>
      </c>
      <c r="D1161" s="99" t="str">
        <v>politician</v>
      </c>
      <c r="E1161" s="99" t="str">
        <v>similarity</v>
      </c>
      <c r="F1161" s="99" t="str">
        <v>socioeconomic</v>
      </c>
      <c r="G1161" s="100" t="str">
        <v>barak</v>
      </c>
      <c r="H1161" s="136" t="s">
        <v>3308</v>
      </c>
      <c r="I1161" s="2" t="s">
        <v>5844</v>
      </c>
      <c r="J1161" s="2" t="s">
        <v>6151</v>
      </c>
      <c r="K1161" s="2" t="s">
        <v>5927</v>
      </c>
      <c r="L1161" s="2" t="s">
        <v>6006</v>
      </c>
      <c r="M1161" s="2" t="s">
        <v>6087</v>
      </c>
      <c r="N1161" s="1" t="s">
        <v>7432</v>
      </c>
    </row>
    <row r="1162" spans="1:14" ht="58" x14ac:dyDescent="0.35">
      <c r="A1162" s="113" t="s">
        <v>3869</v>
      </c>
      <c r="B1162" s="102" t="s">
        <v>5167</v>
      </c>
      <c r="C1162" s="123" t="str" cm="1">
        <f t="array" ref="C1162:G1162">_xlfn.TEXTSPLIT('איחוד שאלות'!$B1162,"_")</f>
        <v>perception</v>
      </c>
      <c r="D1162" s="102" t="str">
        <v>politician</v>
      </c>
      <c r="E1162" s="102" t="str">
        <v>similarity</v>
      </c>
      <c r="F1162" s="102" t="str">
        <v>socioeconomic</v>
      </c>
      <c r="G1162" s="103" t="str">
        <v>yitzhakmordechai</v>
      </c>
      <c r="H1162" s="135" t="s">
        <v>3308</v>
      </c>
      <c r="I1162" s="2" t="s">
        <v>5844</v>
      </c>
      <c r="J1162" s="2" t="s">
        <v>6151</v>
      </c>
      <c r="K1162" s="2" t="s">
        <v>5927</v>
      </c>
      <c r="L1162" s="2" t="s">
        <v>6006</v>
      </c>
      <c r="M1162" s="2" t="s">
        <v>6078</v>
      </c>
      <c r="N1162" s="1" t="s">
        <v>7433</v>
      </c>
    </row>
    <row r="1163" spans="1:14" ht="58" x14ac:dyDescent="0.35">
      <c r="A1163" s="121" t="s">
        <v>3870</v>
      </c>
      <c r="B1163" s="99" t="s">
        <v>5168</v>
      </c>
      <c r="C1163" s="121" t="str" cm="1">
        <f t="array" ref="C1163:G1163">_xlfn.TEXTSPLIT('איחוד שאלות'!$B1163,"_")</f>
        <v>perception</v>
      </c>
      <c r="D1163" s="99" t="str">
        <v>politician</v>
      </c>
      <c r="E1163" s="99" t="str">
        <v>similarity</v>
      </c>
      <c r="F1163" s="99" t="str">
        <v>socioeconomic</v>
      </c>
      <c r="G1163" s="100" t="str">
        <v>bennybegin</v>
      </c>
      <c r="H1163" s="136" t="s">
        <v>3308</v>
      </c>
      <c r="I1163" s="2" t="s">
        <v>5844</v>
      </c>
      <c r="J1163" s="2" t="s">
        <v>6151</v>
      </c>
      <c r="K1163" s="2" t="s">
        <v>5927</v>
      </c>
      <c r="L1163" s="2" t="s">
        <v>6006</v>
      </c>
      <c r="M1163" s="2" t="s">
        <v>6077</v>
      </c>
      <c r="N1163" s="1" t="s">
        <v>7434</v>
      </c>
    </row>
    <row r="1164" spans="1:14" ht="58" x14ac:dyDescent="0.35">
      <c r="A1164" s="113" t="s">
        <v>3871</v>
      </c>
      <c r="B1164" s="102" t="s">
        <v>5169</v>
      </c>
      <c r="C1164" s="123" t="str" cm="1">
        <f t="array" ref="C1164:G1164">_xlfn.TEXTSPLIT('איחוד שאלות'!$B1164,"_")</f>
        <v>perception</v>
      </c>
      <c r="D1164" s="102" t="str">
        <v>politician</v>
      </c>
      <c r="E1164" s="102" t="str">
        <v>similarity</v>
      </c>
      <c r="F1164" s="102" t="str">
        <v>socioeconomic</v>
      </c>
      <c r="G1164" s="103" t="str">
        <v>azmibishara</v>
      </c>
      <c r="H1164" s="135" t="s">
        <v>3308</v>
      </c>
      <c r="I1164" s="2" t="s">
        <v>5844</v>
      </c>
      <c r="J1164" s="2" t="s">
        <v>6151</v>
      </c>
      <c r="K1164" s="2" t="s">
        <v>5927</v>
      </c>
      <c r="L1164" s="2" t="s">
        <v>6006</v>
      </c>
      <c r="M1164" s="2" t="s">
        <v>6118</v>
      </c>
      <c r="N1164" s="1" t="s">
        <v>7435</v>
      </c>
    </row>
    <row r="1165" spans="1:14" ht="43.5" x14ac:dyDescent="0.35">
      <c r="A1165" s="121" t="s">
        <v>2338</v>
      </c>
      <c r="B1165" s="99" t="s">
        <v>5170</v>
      </c>
      <c r="C1165" s="121" t="str" cm="1">
        <f t="array" ref="C1165:F1165">_xlfn.TEXTSPLIT('איחוד שאלות'!$B1165,"_")</f>
        <v>perception</v>
      </c>
      <c r="D1165" s="99" t="str">
        <v>israel</v>
      </c>
      <c r="E1165" s="99" t="str">
        <v>economic</v>
      </c>
      <c r="F1165" s="99" t="str">
        <v>condition</v>
      </c>
      <c r="G1165" s="100"/>
      <c r="H1165" s="136" t="s">
        <v>3308</v>
      </c>
      <c r="I1165" s="2" t="s">
        <v>5844</v>
      </c>
      <c r="J1165" s="2" t="s">
        <v>5845</v>
      </c>
      <c r="K1165" s="2" t="s">
        <v>6008</v>
      </c>
      <c r="L1165" s="2" t="s">
        <v>5846</v>
      </c>
      <c r="N1165" s="1" t="s">
        <v>2338</v>
      </c>
    </row>
    <row r="1166" spans="1:14" ht="43.5" x14ac:dyDescent="0.35">
      <c r="A1166" s="113" t="s">
        <v>2339</v>
      </c>
      <c r="B1166" s="102" t="s">
        <v>5171</v>
      </c>
      <c r="C1166" s="123" t="str" cm="1">
        <f t="array" ref="C1166:G1166">_xlfn.TEXTSPLIT('איחוד שאלות'!$B1166,"_")</f>
        <v>perception</v>
      </c>
      <c r="D1166" s="102" t="str">
        <v>israel</v>
      </c>
      <c r="E1166" s="102" t="str">
        <v>economic</v>
      </c>
      <c r="F1166" s="102" t="str">
        <v>condition</v>
      </c>
      <c r="G1166" s="103" t="str">
        <v>last4years</v>
      </c>
      <c r="H1166" s="135" t="s">
        <v>3308</v>
      </c>
      <c r="I1166" s="2" t="s">
        <v>5844</v>
      </c>
      <c r="J1166" s="2" t="s">
        <v>5845</v>
      </c>
      <c r="K1166" s="2" t="s">
        <v>6008</v>
      </c>
      <c r="L1166" s="2" t="s">
        <v>5846</v>
      </c>
      <c r="M1166" s="2" t="s">
        <v>6417</v>
      </c>
      <c r="N1166" s="1" t="s">
        <v>2339</v>
      </c>
    </row>
    <row r="1167" spans="1:14" ht="43.5" x14ac:dyDescent="0.35">
      <c r="A1167" s="121" t="s">
        <v>2340</v>
      </c>
      <c r="B1167" s="99" t="s">
        <v>5172</v>
      </c>
      <c r="C1167" s="121" t="str" cm="1">
        <f t="array" ref="C1167:G1167">_xlfn.TEXTSPLIT('איחוד שאלות'!$B1167,"_")</f>
        <v>perception</v>
      </c>
      <c r="D1167" s="99" t="str">
        <v>israel</v>
      </c>
      <c r="E1167" s="99" t="str">
        <v>economic</v>
      </c>
      <c r="F1167" s="99" t="str">
        <v>condition</v>
      </c>
      <c r="G1167" s="100" t="str">
        <v>next4years</v>
      </c>
      <c r="H1167" s="136" t="s">
        <v>3308</v>
      </c>
      <c r="I1167" s="2" t="s">
        <v>5844</v>
      </c>
      <c r="J1167" s="2" t="s">
        <v>5845</v>
      </c>
      <c r="K1167" s="2" t="s">
        <v>6008</v>
      </c>
      <c r="L1167" s="2" t="s">
        <v>5846</v>
      </c>
      <c r="M1167" s="2" t="s">
        <v>6452</v>
      </c>
      <c r="N1167" s="1" t="s">
        <v>2340</v>
      </c>
    </row>
    <row r="1168" spans="1:14" ht="43.5" x14ac:dyDescent="0.35">
      <c r="A1168" s="113" t="s">
        <v>3082</v>
      </c>
      <c r="B1168" s="102" t="s">
        <v>5173</v>
      </c>
      <c r="C1168" s="123" t="str" cm="1">
        <f t="array" ref="C1168:F1168">_xlfn.TEXTSPLIT('איחוד שאלות'!$B1168,"_")</f>
        <v>perception</v>
      </c>
      <c r="D1168" s="102" t="str">
        <v>israel</v>
      </c>
      <c r="E1168" s="102" t="str">
        <v>socio</v>
      </c>
      <c r="F1168" s="102" t="str">
        <v>condition</v>
      </c>
      <c r="G1168" s="103"/>
      <c r="H1168" s="135" t="s">
        <v>3308</v>
      </c>
      <c r="I1168" s="2" t="s">
        <v>5844</v>
      </c>
      <c r="J1168" s="2" t="s">
        <v>5845</v>
      </c>
      <c r="K1168" s="2" t="s">
        <v>6009</v>
      </c>
      <c r="L1168" s="2" t="s">
        <v>5846</v>
      </c>
      <c r="N1168" s="1" t="s">
        <v>3082</v>
      </c>
    </row>
    <row r="1169" spans="1:14" ht="58" x14ac:dyDescent="0.35">
      <c r="A1169" s="121" t="s">
        <v>3084</v>
      </c>
      <c r="B1169" s="99" t="s">
        <v>5174</v>
      </c>
      <c r="C1169" s="121" t="str" cm="1">
        <f t="array" ref="C1169:G1169">_xlfn.TEXTSPLIT('איחוד שאלות'!$B1169,"_")</f>
        <v>perception</v>
      </c>
      <c r="D1169" s="99" t="str">
        <v>israel</v>
      </c>
      <c r="E1169" s="99" t="str">
        <v>socio</v>
      </c>
      <c r="F1169" s="99" t="str">
        <v>condition</v>
      </c>
      <c r="G1169" s="100" t="str">
        <v>last4years</v>
      </c>
      <c r="H1169" s="136" t="s">
        <v>3308</v>
      </c>
      <c r="I1169" s="2" t="s">
        <v>5844</v>
      </c>
      <c r="J1169" s="2" t="s">
        <v>5845</v>
      </c>
      <c r="K1169" s="2" t="s">
        <v>6009</v>
      </c>
      <c r="L1169" s="2" t="s">
        <v>5846</v>
      </c>
      <c r="M1169" s="2" t="s">
        <v>6417</v>
      </c>
      <c r="N1169" s="1" t="s">
        <v>3084</v>
      </c>
    </row>
    <row r="1170" spans="1:14" ht="43.5" x14ac:dyDescent="0.35">
      <c r="A1170" s="113" t="s">
        <v>3083</v>
      </c>
      <c r="B1170" s="102" t="s">
        <v>5175</v>
      </c>
      <c r="C1170" s="123" t="str" cm="1">
        <f t="array" ref="C1170:G1170">_xlfn.TEXTSPLIT('איחוד שאלות'!$B1170,"_")</f>
        <v>perception</v>
      </c>
      <c r="D1170" s="102" t="str">
        <v>israel</v>
      </c>
      <c r="E1170" s="102" t="str">
        <v>socio</v>
      </c>
      <c r="F1170" s="102" t="str">
        <v>condition</v>
      </c>
      <c r="G1170" s="103" t="str">
        <v>next4years</v>
      </c>
      <c r="H1170" s="135" t="s">
        <v>3308</v>
      </c>
      <c r="I1170" s="2" t="s">
        <v>5844</v>
      </c>
      <c r="J1170" s="2" t="s">
        <v>5845</v>
      </c>
      <c r="K1170" s="2" t="s">
        <v>6009</v>
      </c>
      <c r="L1170" s="2" t="s">
        <v>5846</v>
      </c>
      <c r="M1170" s="2" t="s">
        <v>6452</v>
      </c>
      <c r="N1170" s="1" t="s">
        <v>3083</v>
      </c>
    </row>
    <row r="1171" spans="1:14" ht="29" x14ac:dyDescent="0.35">
      <c r="A1171" s="121" t="s">
        <v>2909</v>
      </c>
      <c r="B1171" s="99" t="s">
        <v>5176</v>
      </c>
      <c r="C1171" s="121" t="str" cm="1">
        <f t="array" ref="C1171:F1171">_xlfn.TEXTSPLIT('איחוד שאלות'!$B1171,"_")</f>
        <v>behavior</v>
      </c>
      <c r="D1171" s="99" t="str">
        <v>voting</v>
      </c>
      <c r="E1171" s="99" t="str">
        <v>intention</v>
      </c>
      <c r="F1171" s="99" t="str">
        <v>histadrut</v>
      </c>
      <c r="G1171" s="100"/>
      <c r="H1171" s="136" t="s">
        <v>3308</v>
      </c>
      <c r="I1171" s="2" t="s">
        <v>5806</v>
      </c>
      <c r="J1171" s="2" t="s">
        <v>5967</v>
      </c>
      <c r="K1171" s="2" t="s">
        <v>6304</v>
      </c>
      <c r="L1171" s="2" t="s">
        <v>5835</v>
      </c>
      <c r="N1171" s="1" t="s">
        <v>2909</v>
      </c>
    </row>
    <row r="1172" spans="1:14" ht="43.5" x14ac:dyDescent="0.35">
      <c r="A1172" s="113" t="s">
        <v>1630</v>
      </c>
      <c r="B1172" s="102" t="s">
        <v>5177</v>
      </c>
      <c r="C1172" s="123" t="str" cm="1">
        <f t="array" ref="C1172:F1172">_xlfn.TEXTSPLIT('איחוד שאלות'!$B1172,"_")</f>
        <v>behavior</v>
      </c>
      <c r="D1172" s="102" t="str">
        <v>voting</v>
      </c>
      <c r="E1172" s="102" t="str">
        <v>lastelections</v>
      </c>
      <c r="F1172" s="102" t="str">
        <v>histadrut</v>
      </c>
      <c r="G1172" s="103"/>
      <c r="H1172" s="135" t="s">
        <v>3308</v>
      </c>
      <c r="I1172" s="2" t="s">
        <v>5806</v>
      </c>
      <c r="J1172" s="2" t="s">
        <v>5967</v>
      </c>
      <c r="K1172" s="2" t="s">
        <v>5840</v>
      </c>
      <c r="L1172" s="2" t="s">
        <v>5835</v>
      </c>
      <c r="N1172" s="1" t="s">
        <v>1630</v>
      </c>
    </row>
    <row r="1173" spans="1:14" ht="43.5" x14ac:dyDescent="0.35">
      <c r="A1173" s="121" t="s">
        <v>2577</v>
      </c>
      <c r="B1173" s="99" t="s">
        <v>5178</v>
      </c>
      <c r="C1173" s="121" t="str" cm="1">
        <f t="array" ref="C1173:G1173">_xlfn.TEXTSPLIT('איחוד שאלות'!$B1173,"_")</f>
        <v>behavior</v>
      </c>
      <c r="D1173" s="99" t="str">
        <v>voting</v>
      </c>
      <c r="E1173" s="99" t="str">
        <v>lastelections</v>
      </c>
      <c r="F1173" s="99" t="str">
        <v>histadrut</v>
      </c>
      <c r="G1173" s="100" t="str">
        <v>2</v>
      </c>
      <c r="H1173" s="136" t="s">
        <v>3308</v>
      </c>
      <c r="I1173" s="2" t="s">
        <v>5806</v>
      </c>
      <c r="J1173" s="2" t="s">
        <v>5967</v>
      </c>
      <c r="K1173" s="2" t="s">
        <v>5840</v>
      </c>
      <c r="L1173" s="2" t="s">
        <v>5835</v>
      </c>
      <c r="M1173" s="2" t="s">
        <v>5790</v>
      </c>
      <c r="N1173" s="1" t="s">
        <v>2577</v>
      </c>
    </row>
    <row r="1174" spans="1:14" ht="43.5" x14ac:dyDescent="0.35">
      <c r="A1174" s="113" t="s">
        <v>2484</v>
      </c>
      <c r="B1174" s="102" t="s">
        <v>5179</v>
      </c>
      <c r="C1174" s="123" t="str" cm="1">
        <f t="array" ref="C1174:G1174">_xlfn.TEXTSPLIT('איחוד שאלות'!$B1174,"_")</f>
        <v>perception</v>
      </c>
      <c r="D1174" s="102" t="str">
        <v>voting</v>
      </c>
      <c r="E1174" s="102" t="str">
        <v>reason</v>
      </c>
      <c r="F1174" s="102" t="str">
        <v>histadrut</v>
      </c>
      <c r="G1174" s="103" t="str">
        <v>1</v>
      </c>
      <c r="H1174" s="135" t="s">
        <v>3308</v>
      </c>
      <c r="I1174" s="2" t="s">
        <v>5844</v>
      </c>
      <c r="J1174" s="2" t="s">
        <v>5967</v>
      </c>
      <c r="K1174" s="2" t="s">
        <v>5935</v>
      </c>
      <c r="L1174" s="2" t="s">
        <v>5835</v>
      </c>
      <c r="M1174" s="2" t="s">
        <v>5789</v>
      </c>
      <c r="N1174" s="1" t="s">
        <v>2484</v>
      </c>
    </row>
    <row r="1175" spans="1:14" ht="43.5" x14ac:dyDescent="0.35">
      <c r="A1175" s="121" t="s">
        <v>2485</v>
      </c>
      <c r="B1175" s="99" t="s">
        <v>5180</v>
      </c>
      <c r="C1175" s="121" t="str" cm="1">
        <f t="array" ref="C1175:G1175">_xlfn.TEXTSPLIT('איחוד שאלות'!$B1175,"_")</f>
        <v>perception</v>
      </c>
      <c r="D1175" s="99" t="str">
        <v>voting</v>
      </c>
      <c r="E1175" s="99" t="str">
        <v>reason</v>
      </c>
      <c r="F1175" s="99" t="str">
        <v>histadrut</v>
      </c>
      <c r="G1175" s="100" t="str">
        <v>2</v>
      </c>
      <c r="H1175" s="136" t="s">
        <v>3308</v>
      </c>
      <c r="I1175" s="2" t="s">
        <v>5844</v>
      </c>
      <c r="J1175" s="2" t="s">
        <v>5967</v>
      </c>
      <c r="K1175" s="2" t="s">
        <v>5935</v>
      </c>
      <c r="L1175" s="2" t="s">
        <v>5835</v>
      </c>
      <c r="M1175" s="2" t="s">
        <v>5790</v>
      </c>
      <c r="N1175" s="1" t="s">
        <v>2485</v>
      </c>
    </row>
    <row r="1176" spans="1:14" ht="43.5" x14ac:dyDescent="0.35">
      <c r="A1176" s="113" t="s">
        <v>2488</v>
      </c>
      <c r="B1176" s="102" t="s">
        <v>5181</v>
      </c>
      <c r="C1176" s="123" t="str" cm="1">
        <f t="array" ref="C1176:G1176">_xlfn.TEXTSPLIT('איחוד שאלות'!$B1176,"_")</f>
        <v>perception</v>
      </c>
      <c r="D1176" s="102" t="str">
        <v>voting</v>
      </c>
      <c r="E1176" s="102" t="str">
        <v>notvoting</v>
      </c>
      <c r="F1176" s="102" t="str">
        <v>reason</v>
      </c>
      <c r="G1176" s="103" t="str">
        <v>histadrut</v>
      </c>
      <c r="H1176" s="135" t="s">
        <v>3308</v>
      </c>
      <c r="I1176" s="2" t="s">
        <v>5844</v>
      </c>
      <c r="J1176" s="2" t="s">
        <v>5967</v>
      </c>
      <c r="K1176" s="2" t="s">
        <v>6314</v>
      </c>
      <c r="L1176" s="2" t="s">
        <v>5935</v>
      </c>
      <c r="M1176" s="2" t="s">
        <v>5835</v>
      </c>
      <c r="N1176" s="1" t="s">
        <v>2488</v>
      </c>
    </row>
    <row r="1177" spans="1:14" ht="58" x14ac:dyDescent="0.35">
      <c r="A1177" s="121" t="s">
        <v>3872</v>
      </c>
      <c r="B1177" s="99" t="s">
        <v>5182</v>
      </c>
      <c r="C1177" s="121" t="str" cm="1">
        <f t="array" ref="C1177:G1177">_xlfn.TEXTSPLIT('איחוד שאלות'!$B1177,"_")</f>
        <v>perception</v>
      </c>
      <c r="D1177" s="99" t="str">
        <v>voting</v>
      </c>
      <c r="E1177" s="99" t="str">
        <v>decision</v>
      </c>
      <c r="F1177" s="99" t="str">
        <v>campaign</v>
      </c>
      <c r="G1177" s="100" t="str">
        <v>histadrut</v>
      </c>
      <c r="H1177" s="136" t="s">
        <v>3308</v>
      </c>
      <c r="I1177" s="2" t="s">
        <v>5844</v>
      </c>
      <c r="J1177" s="2" t="s">
        <v>5967</v>
      </c>
      <c r="K1177" s="2" t="s">
        <v>5928</v>
      </c>
      <c r="L1177" s="2" t="s">
        <v>6369</v>
      </c>
      <c r="M1177" s="2" t="s">
        <v>5835</v>
      </c>
      <c r="N1177" s="1" t="s">
        <v>7436</v>
      </c>
    </row>
    <row r="1178" spans="1:14" ht="58" x14ac:dyDescent="0.35">
      <c r="A1178" s="113" t="s">
        <v>2369</v>
      </c>
      <c r="B1178" s="102" t="s">
        <v>5183</v>
      </c>
      <c r="C1178" s="123" t="str" cm="1">
        <f t="array" ref="C1178:F1178">_xlfn.TEXTSPLIT('איחוד שאלות'!$B1178,"_")</f>
        <v>perception</v>
      </c>
      <c r="D1178" s="102" t="str">
        <v>expectation</v>
      </c>
      <c r="E1178" s="102" t="str">
        <v>histadrut</v>
      </c>
      <c r="F1178" s="102" t="str">
        <v>win</v>
      </c>
      <c r="G1178" s="103"/>
      <c r="H1178" s="135" t="s">
        <v>3308</v>
      </c>
      <c r="I1178" s="2" t="s">
        <v>5844</v>
      </c>
      <c r="J1178" s="2" t="s">
        <v>5850</v>
      </c>
      <c r="K1178" s="2" t="s">
        <v>5835</v>
      </c>
      <c r="L1178" s="2" t="s">
        <v>6371</v>
      </c>
      <c r="N1178" s="1" t="s">
        <v>2369</v>
      </c>
    </row>
    <row r="1179" spans="1:14" ht="130.5" x14ac:dyDescent="0.35">
      <c r="A1179" s="156" t="s">
        <v>2032</v>
      </c>
      <c r="B1179" s="99" t="s">
        <v>5184</v>
      </c>
      <c r="C1179" s="121" t="str" cm="1">
        <f t="array" ref="C1179:F1179">_xlfn.TEXTSPLIT('איחוד שאלות'!$B1179,"_")</f>
        <v>preference</v>
      </c>
      <c r="D1179" s="99" t="str">
        <v>policy</v>
      </c>
      <c r="E1179" s="99" t="str">
        <v>histadrut</v>
      </c>
      <c r="F1179" s="99" t="str">
        <v>enterprises</v>
      </c>
      <c r="G1179" s="100"/>
      <c r="H1179" s="136" t="s">
        <v>3308</v>
      </c>
      <c r="I1179" s="2" t="s">
        <v>5856</v>
      </c>
      <c r="J1179" s="2" t="s">
        <v>5882</v>
      </c>
      <c r="K1179" s="2" t="s">
        <v>5835</v>
      </c>
      <c r="L1179" s="2" t="s">
        <v>6453</v>
      </c>
      <c r="N1179" s="1" t="s">
        <v>2032</v>
      </c>
    </row>
    <row r="1180" spans="1:14" ht="72.5" x14ac:dyDescent="0.35">
      <c r="A1180" s="157" t="s">
        <v>2561</v>
      </c>
      <c r="B1180" s="102" t="s">
        <v>5184</v>
      </c>
      <c r="C1180" s="123" t="str" cm="1">
        <f t="array" ref="C1180:F1180">_xlfn.TEXTSPLIT('איחוד שאלות'!$B1180,"_")</f>
        <v>preference</v>
      </c>
      <c r="D1180" s="102" t="str">
        <v>policy</v>
      </c>
      <c r="E1180" s="102" t="str">
        <v>histadrut</v>
      </c>
      <c r="F1180" s="102" t="str">
        <v>enterprises</v>
      </c>
      <c r="G1180" s="103"/>
      <c r="H1180" s="135" t="s">
        <v>3308</v>
      </c>
      <c r="I1180" s="2" t="s">
        <v>5856</v>
      </c>
      <c r="J1180" s="2" t="s">
        <v>5882</v>
      </c>
      <c r="K1180" s="2" t="s">
        <v>5835</v>
      </c>
      <c r="L1180" s="2" t="s">
        <v>6453</v>
      </c>
      <c r="N1180" s="1" t="s">
        <v>2561</v>
      </c>
    </row>
    <row r="1181" spans="1:14" ht="72.5" x14ac:dyDescent="0.35">
      <c r="A1181" s="121" t="s">
        <v>3109</v>
      </c>
      <c r="B1181" s="99" t="s">
        <v>5184</v>
      </c>
      <c r="C1181" s="121" t="str" cm="1">
        <f t="array" ref="C1181:F1181">_xlfn.TEXTSPLIT('איחוד שאלות'!$B1181,"_")</f>
        <v>preference</v>
      </c>
      <c r="D1181" s="99" t="str">
        <v>policy</v>
      </c>
      <c r="E1181" s="99" t="str">
        <v>histadrut</v>
      </c>
      <c r="F1181" s="99" t="str">
        <v>enterprises</v>
      </c>
      <c r="G1181" s="100"/>
      <c r="H1181" s="136" t="s">
        <v>3308</v>
      </c>
      <c r="I1181" s="2" t="s">
        <v>5856</v>
      </c>
      <c r="J1181" s="2" t="s">
        <v>5882</v>
      </c>
      <c r="K1181" s="2" t="s">
        <v>5835</v>
      </c>
      <c r="L1181" s="2" t="s">
        <v>6453</v>
      </c>
      <c r="N1181" s="1" t="s">
        <v>3109</v>
      </c>
    </row>
    <row r="1182" spans="1:14" ht="58" x14ac:dyDescent="0.35">
      <c r="A1182" s="113" t="s">
        <v>2563</v>
      </c>
      <c r="B1182" s="102" t="s">
        <v>5185</v>
      </c>
      <c r="C1182" s="123" t="str" cm="1">
        <f t="array" ref="C1182:F1182">_xlfn.TEXTSPLIT('איחוד שאלות'!$B1182,"_")</f>
        <v>behavior</v>
      </c>
      <c r="D1182" s="102" t="str">
        <v>voting</v>
      </c>
      <c r="E1182" s="102" t="str">
        <v>today</v>
      </c>
      <c r="F1182" s="102" t="str">
        <v>histadrut</v>
      </c>
      <c r="G1182" s="103"/>
      <c r="H1182" s="135" t="s">
        <v>3308</v>
      </c>
      <c r="I1182" s="2" t="s">
        <v>5806</v>
      </c>
      <c r="J1182" s="2" t="s">
        <v>5967</v>
      </c>
      <c r="K1182" s="2" t="s">
        <v>6288</v>
      </c>
      <c r="L1182" s="2" t="s">
        <v>5835</v>
      </c>
      <c r="N1182" s="1" t="s">
        <v>2563</v>
      </c>
    </row>
    <row r="1183" spans="1:14" ht="72.5" x14ac:dyDescent="0.35">
      <c r="A1183" s="121" t="s">
        <v>2571</v>
      </c>
      <c r="B1183" s="99" t="s">
        <v>5186</v>
      </c>
      <c r="C1183" s="121" t="str" cm="1">
        <f t="array" ref="C1183:F1183">_xlfn.TEXTSPLIT('איחוד שאלות'!$B1183,"_")</f>
        <v>perception</v>
      </c>
      <c r="D1183" s="99" t="str">
        <v>expectation</v>
      </c>
      <c r="E1183" s="99" t="str">
        <v>likud</v>
      </c>
      <c r="F1183" s="99" t="str">
        <v>strengtheneconomy</v>
      </c>
      <c r="G1183" s="100"/>
      <c r="H1183" s="136" t="s">
        <v>3308</v>
      </c>
      <c r="I1183" s="2" t="s">
        <v>5844</v>
      </c>
      <c r="J1183" s="2" t="s">
        <v>5850</v>
      </c>
      <c r="K1183" s="2" t="s">
        <v>6030</v>
      </c>
      <c r="L1183" s="2" t="s">
        <v>6454</v>
      </c>
      <c r="N1183" s="1" t="s">
        <v>2571</v>
      </c>
    </row>
    <row r="1184" spans="1:14" ht="72.5" x14ac:dyDescent="0.35">
      <c r="A1184" s="113" t="s">
        <v>2891</v>
      </c>
      <c r="B1184" s="102" t="s">
        <v>5187</v>
      </c>
      <c r="C1184" s="123" t="str" cm="1">
        <f t="array" ref="C1184:F1184">_xlfn.TEXTSPLIT('איחוד שאלות'!$B1184,"_")</f>
        <v>perception</v>
      </c>
      <c r="D1184" s="102" t="str">
        <v>expectation</v>
      </c>
      <c r="E1184" s="102" t="str">
        <v>likud</v>
      </c>
      <c r="F1184" s="102" t="str">
        <v>economicinequality</v>
      </c>
      <c r="G1184" s="103"/>
      <c r="H1184" s="135" t="s">
        <v>3308</v>
      </c>
      <c r="I1184" s="2" t="s">
        <v>5844</v>
      </c>
      <c r="J1184" s="2" t="s">
        <v>5850</v>
      </c>
      <c r="K1184" s="2" t="s">
        <v>6030</v>
      </c>
      <c r="L1184" s="2" t="s">
        <v>6455</v>
      </c>
      <c r="N1184" s="1" t="s">
        <v>2891</v>
      </c>
    </row>
    <row r="1185" spans="1:14" ht="159.5" x14ac:dyDescent="0.35">
      <c r="A1185" s="121" t="s">
        <v>2582</v>
      </c>
      <c r="B1185" s="99" t="s">
        <v>5188</v>
      </c>
      <c r="C1185" s="121" t="str" cm="1">
        <f t="array" ref="C1185:F1185">_xlfn.TEXTSPLIT('איחוד שאלות'!$B1185,"_")</f>
        <v>preference</v>
      </c>
      <c r="D1185" s="99" t="str">
        <v>policy</v>
      </c>
      <c r="E1185" s="99" t="str">
        <v>socioeconomic</v>
      </c>
      <c r="F1185" s="99" t="str">
        <v>inflationvsunemployment</v>
      </c>
      <c r="G1185" s="100"/>
      <c r="H1185" s="136" t="s">
        <v>3308</v>
      </c>
      <c r="I1185" s="2" t="s">
        <v>5856</v>
      </c>
      <c r="J1185" s="2" t="s">
        <v>5882</v>
      </c>
      <c r="K1185" s="2" t="s">
        <v>6006</v>
      </c>
      <c r="L1185" s="2" t="s">
        <v>6456</v>
      </c>
      <c r="N1185" s="1" t="s">
        <v>2582</v>
      </c>
    </row>
    <row r="1186" spans="1:14" ht="116" x14ac:dyDescent="0.35">
      <c r="A1186" s="113" t="s">
        <v>2583</v>
      </c>
      <c r="B1186" s="102" t="s">
        <v>5189</v>
      </c>
      <c r="C1186" s="123" t="str" cm="1">
        <f t="array" ref="C1186:F1186">_xlfn.TEXTSPLIT('איחוד שאלות'!$B1186,"_")</f>
        <v>perception</v>
      </c>
      <c r="D1186" s="102" t="str">
        <v>government</v>
      </c>
      <c r="E1186" s="102" t="str">
        <v>function</v>
      </c>
      <c r="F1186" s="102" t="str">
        <v>socioeconomic</v>
      </c>
      <c r="G1186" s="103"/>
      <c r="H1186" s="135" t="s">
        <v>3308</v>
      </c>
      <c r="I1186" s="2" t="s">
        <v>5844</v>
      </c>
      <c r="J1186" s="2" t="s">
        <v>5848</v>
      </c>
      <c r="K1186" s="2" t="s">
        <v>6413</v>
      </c>
      <c r="L1186" s="2" t="s">
        <v>6006</v>
      </c>
      <c r="N1186" s="1" t="s">
        <v>2583</v>
      </c>
    </row>
    <row r="1187" spans="1:14" ht="58" x14ac:dyDescent="0.35">
      <c r="A1187" s="121" t="s">
        <v>2863</v>
      </c>
      <c r="B1187" s="99" t="s">
        <v>5190</v>
      </c>
      <c r="C1187" s="121" t="str" cm="1">
        <f t="array" ref="C1187:F1187">_xlfn.TEXTSPLIT('איחוד שאלות'!$B1187,"_")</f>
        <v>perception</v>
      </c>
      <c r="D1187" s="99" t="str">
        <v>groups</v>
      </c>
      <c r="E1187" s="99" t="str">
        <v>socioeconomic</v>
      </c>
      <c r="F1187" s="99" t="str">
        <v>economicinequality</v>
      </c>
      <c r="G1187" s="100"/>
      <c r="H1187" s="136" t="s">
        <v>3308</v>
      </c>
      <c r="I1187" s="2" t="s">
        <v>5844</v>
      </c>
      <c r="J1187" s="2" t="s">
        <v>6457</v>
      </c>
      <c r="K1187" s="2" t="s">
        <v>6006</v>
      </c>
      <c r="L1187" s="2" t="s">
        <v>6455</v>
      </c>
      <c r="N1187" s="1" t="s">
        <v>2863</v>
      </c>
    </row>
    <row r="1188" spans="1:14" ht="72.5" x14ac:dyDescent="0.35">
      <c r="A1188" s="113" t="s">
        <v>2949</v>
      </c>
      <c r="B1188" s="102" t="s">
        <v>5191</v>
      </c>
      <c r="C1188" s="123" t="str" cm="1">
        <f t="array" ref="C1188:F1188">_xlfn.TEXTSPLIT('איחוד שאלות'!$B1188,"_")</f>
        <v>preference</v>
      </c>
      <c r="D1188" s="102" t="str">
        <v>policy</v>
      </c>
      <c r="E1188" s="102" t="str">
        <v>municipality</v>
      </c>
      <c r="F1188" s="102" t="str">
        <v>services</v>
      </c>
      <c r="G1188" s="103"/>
      <c r="H1188" s="135" t="s">
        <v>3308</v>
      </c>
      <c r="I1188" s="2" t="s">
        <v>5856</v>
      </c>
      <c r="J1188" s="2" t="s">
        <v>5882</v>
      </c>
      <c r="K1188" s="2" t="s">
        <v>5970</v>
      </c>
      <c r="L1188" s="2" t="s">
        <v>5972</v>
      </c>
      <c r="N1188" s="1" t="s">
        <v>2949</v>
      </c>
    </row>
    <row r="1189" spans="1:14" ht="58" x14ac:dyDescent="0.35">
      <c r="A1189" s="121" t="s">
        <v>3060</v>
      </c>
      <c r="B1189" s="99" t="s">
        <v>5192</v>
      </c>
      <c r="C1189" s="121" t="str" cm="1">
        <f t="array" ref="C1189:F1189">_xlfn.TEXTSPLIT('איחוד שאלות'!$B1189,"_")</f>
        <v>preference</v>
      </c>
      <c r="D1189" s="99" t="str">
        <v>policy</v>
      </c>
      <c r="E1189" s="99" t="str">
        <v>histadrut</v>
      </c>
      <c r="F1189" s="99" t="str">
        <v>restrict</v>
      </c>
      <c r="G1189" s="100"/>
      <c r="H1189" s="136" t="s">
        <v>3308</v>
      </c>
      <c r="I1189" s="2" t="s">
        <v>5856</v>
      </c>
      <c r="J1189" s="2" t="s">
        <v>5882</v>
      </c>
      <c r="K1189" s="2" t="s">
        <v>5835</v>
      </c>
      <c r="L1189" s="2" t="s">
        <v>6458</v>
      </c>
      <c r="N1189" s="1" t="s">
        <v>3060</v>
      </c>
    </row>
    <row r="1190" spans="1:14" ht="87" x14ac:dyDescent="0.35">
      <c r="A1190" s="113" t="s">
        <v>3873</v>
      </c>
      <c r="B1190" s="102" t="s">
        <v>5193</v>
      </c>
      <c r="C1190" s="123" t="str" cm="1">
        <f t="array" ref="C1190:F1190">_xlfn.TEXTSPLIT('איחוד שאלות'!$B1190,"_")</f>
        <v>preference</v>
      </c>
      <c r="D1190" s="102" t="str">
        <v>policy</v>
      </c>
      <c r="E1190" s="102" t="str">
        <v>privatization</v>
      </c>
      <c r="F1190" s="102" t="str">
        <v>mail</v>
      </c>
      <c r="G1190" s="103"/>
      <c r="H1190" s="135" t="s">
        <v>3308</v>
      </c>
      <c r="I1190" s="2" t="s">
        <v>5856</v>
      </c>
      <c r="J1190" s="2" t="s">
        <v>5882</v>
      </c>
      <c r="K1190" s="2" t="s">
        <v>6459</v>
      </c>
      <c r="L1190" s="2" t="s">
        <v>6460</v>
      </c>
      <c r="N1190" s="1" t="s">
        <v>7437</v>
      </c>
    </row>
    <row r="1191" spans="1:14" ht="87" x14ac:dyDescent="0.35">
      <c r="A1191" s="121" t="s">
        <v>3874</v>
      </c>
      <c r="B1191" s="99" t="s">
        <v>5194</v>
      </c>
      <c r="C1191" s="121" t="str" cm="1">
        <f t="array" ref="C1191:F1191">_xlfn.TEXTSPLIT('איחוד שאלות'!$B1191,"_")</f>
        <v>preference</v>
      </c>
      <c r="D1191" s="99" t="str">
        <v>policy</v>
      </c>
      <c r="E1191" s="99" t="str">
        <v>privatization</v>
      </c>
      <c r="F1191" s="99" t="str">
        <v>trains</v>
      </c>
      <c r="G1191" s="100"/>
      <c r="H1191" s="136" t="s">
        <v>3308</v>
      </c>
      <c r="I1191" s="2" t="s">
        <v>5856</v>
      </c>
      <c r="J1191" s="2" t="s">
        <v>5882</v>
      </c>
      <c r="K1191" s="2" t="s">
        <v>6459</v>
      </c>
      <c r="L1191" s="2" t="s">
        <v>6461</v>
      </c>
      <c r="N1191" s="1" t="s">
        <v>7438</v>
      </c>
    </row>
    <row r="1192" spans="1:14" ht="101.5" x14ac:dyDescent="0.35">
      <c r="A1192" s="113" t="s">
        <v>3875</v>
      </c>
      <c r="B1192" s="102" t="s">
        <v>5195</v>
      </c>
      <c r="C1192" s="123" t="str" cm="1">
        <f t="array" ref="C1192:F1192">_xlfn.TEXTSPLIT('איחוד שאלות'!$B1192,"_")</f>
        <v>preference</v>
      </c>
      <c r="D1192" s="102" t="str">
        <v>policy</v>
      </c>
      <c r="E1192" s="102" t="str">
        <v>privatization</v>
      </c>
      <c r="F1192" s="102" t="str">
        <v>electricity</v>
      </c>
      <c r="G1192" s="103"/>
      <c r="H1192" s="135" t="s">
        <v>3308</v>
      </c>
      <c r="I1192" s="2" t="s">
        <v>5856</v>
      </c>
      <c r="J1192" s="2" t="s">
        <v>5882</v>
      </c>
      <c r="K1192" s="2" t="s">
        <v>6459</v>
      </c>
      <c r="L1192" s="2" t="s">
        <v>6462</v>
      </c>
      <c r="N1192" s="1" t="s">
        <v>7439</v>
      </c>
    </row>
    <row r="1193" spans="1:14" ht="101.5" x14ac:dyDescent="0.35">
      <c r="A1193" s="121" t="s">
        <v>3876</v>
      </c>
      <c r="B1193" s="99" t="s">
        <v>5196</v>
      </c>
      <c r="C1193" s="121" t="str" cm="1">
        <f t="array" ref="C1193:F1193">_xlfn.TEXTSPLIT('איחוד שאלות'!$B1193,"_")</f>
        <v>preference</v>
      </c>
      <c r="D1193" s="99" t="str">
        <v>policy</v>
      </c>
      <c r="E1193" s="99" t="str">
        <v>privatization</v>
      </c>
      <c r="F1193" s="99" t="str">
        <v>foodproducts</v>
      </c>
      <c r="G1193" s="100"/>
      <c r="H1193" s="136" t="s">
        <v>3308</v>
      </c>
      <c r="I1193" s="2" t="s">
        <v>5856</v>
      </c>
      <c r="J1193" s="2" t="s">
        <v>5882</v>
      </c>
      <c r="K1193" s="2" t="s">
        <v>6459</v>
      </c>
      <c r="L1193" s="2" t="s">
        <v>6463</v>
      </c>
      <c r="N1193" s="1" t="s">
        <v>7440</v>
      </c>
    </row>
    <row r="1194" spans="1:14" ht="101.5" x14ac:dyDescent="0.35">
      <c r="A1194" s="113" t="s">
        <v>3877</v>
      </c>
      <c r="B1194" s="102" t="s">
        <v>5197</v>
      </c>
      <c r="C1194" s="123" t="str" cm="1">
        <f t="array" ref="C1194:F1194">_xlfn.TEXTSPLIT('איחוד שאלות'!$B1194,"_")</f>
        <v>preference</v>
      </c>
      <c r="D1194" s="102" t="str">
        <v>policy</v>
      </c>
      <c r="E1194" s="102" t="str">
        <v>privatization</v>
      </c>
      <c r="F1194" s="102" t="str">
        <v>radiotv</v>
      </c>
      <c r="G1194" s="103"/>
      <c r="H1194" s="135" t="s">
        <v>3308</v>
      </c>
      <c r="I1194" s="2" t="s">
        <v>5856</v>
      </c>
      <c r="J1194" s="2" t="s">
        <v>5882</v>
      </c>
      <c r="K1194" s="2" t="s">
        <v>6459</v>
      </c>
      <c r="L1194" s="2" t="s">
        <v>6464</v>
      </c>
      <c r="N1194" s="1" t="s">
        <v>7441</v>
      </c>
    </row>
    <row r="1195" spans="1:14" ht="101.5" x14ac:dyDescent="0.35">
      <c r="A1195" s="121" t="s">
        <v>3878</v>
      </c>
      <c r="B1195" s="99" t="s">
        <v>5198</v>
      </c>
      <c r="C1195" s="121" t="str" cm="1">
        <f t="array" ref="C1195:F1195">_xlfn.TEXTSPLIT('איחוד שאלות'!$B1195,"_")</f>
        <v>preference</v>
      </c>
      <c r="D1195" s="99" t="str">
        <v>policy</v>
      </c>
      <c r="E1195" s="99" t="str">
        <v>privatization</v>
      </c>
      <c r="F1195" s="99" t="str">
        <v>healthcare</v>
      </c>
      <c r="G1195" s="100"/>
      <c r="H1195" s="136" t="s">
        <v>3308</v>
      </c>
      <c r="I1195" s="2" t="s">
        <v>5856</v>
      </c>
      <c r="J1195" s="2" t="s">
        <v>5882</v>
      </c>
      <c r="K1195" s="2" t="s">
        <v>6459</v>
      </c>
      <c r="L1195" s="2" t="s">
        <v>5837</v>
      </c>
      <c r="N1195" s="1" t="s">
        <v>7442</v>
      </c>
    </row>
    <row r="1196" spans="1:14" ht="101.5" x14ac:dyDescent="0.35">
      <c r="A1196" s="113" t="s">
        <v>3879</v>
      </c>
      <c r="B1196" s="102" t="s">
        <v>5199</v>
      </c>
      <c r="C1196" s="123" t="str" cm="1">
        <f t="array" ref="C1196:F1196">_xlfn.TEXTSPLIT('איחוד שאלות'!$B1196,"_")</f>
        <v>preference</v>
      </c>
      <c r="D1196" s="102" t="str">
        <v>policy</v>
      </c>
      <c r="E1196" s="102" t="str">
        <v>privatization</v>
      </c>
      <c r="F1196" s="102" t="str">
        <v>phone</v>
      </c>
      <c r="G1196" s="103"/>
      <c r="H1196" s="135" t="s">
        <v>3308</v>
      </c>
      <c r="I1196" s="2" t="s">
        <v>5856</v>
      </c>
      <c r="J1196" s="2" t="s">
        <v>5882</v>
      </c>
      <c r="K1196" s="2" t="s">
        <v>6459</v>
      </c>
      <c r="L1196" s="2" t="s">
        <v>6465</v>
      </c>
      <c r="N1196" s="1" t="s">
        <v>7443</v>
      </c>
    </row>
    <row r="1197" spans="1:14" ht="87" x14ac:dyDescent="0.35">
      <c r="A1197" s="121" t="s">
        <v>3118</v>
      </c>
      <c r="B1197" s="99" t="s">
        <v>5200</v>
      </c>
      <c r="C1197" s="121" t="str" cm="1">
        <f t="array" ref="C1197:G1197">_xlfn.TEXTSPLIT('איחוד שאלות'!$B1197,"_")</f>
        <v>preference</v>
      </c>
      <c r="D1197" s="99" t="str">
        <v>policy</v>
      </c>
      <c r="E1197" s="99" t="str">
        <v>socioeconomic</v>
      </c>
      <c r="F1197" s="99" t="str">
        <v>histadrut</v>
      </c>
      <c r="G1197" s="100" t="str">
        <v>subsidy</v>
      </c>
      <c r="H1197" s="136" t="s">
        <v>3308</v>
      </c>
      <c r="I1197" s="2" t="s">
        <v>5856</v>
      </c>
      <c r="J1197" s="2" t="s">
        <v>5882</v>
      </c>
      <c r="K1197" s="2" t="s">
        <v>6006</v>
      </c>
      <c r="L1197" s="2" t="s">
        <v>5835</v>
      </c>
      <c r="M1197" s="2" t="s">
        <v>6466</v>
      </c>
      <c r="N1197" s="1" t="s">
        <v>3118</v>
      </c>
    </row>
    <row r="1198" spans="1:14" ht="58" x14ac:dyDescent="0.35">
      <c r="A1198" s="113" t="s">
        <v>3119</v>
      </c>
      <c r="B1198" s="102" t="s">
        <v>5201</v>
      </c>
      <c r="C1198" s="123" t="str" cm="1">
        <f t="array" ref="C1198:F1198">_xlfn.TEXTSPLIT('איחוד שאלות'!$B1198,"_")</f>
        <v>preference</v>
      </c>
      <c r="D1198" s="102" t="str">
        <v>policy</v>
      </c>
      <c r="E1198" s="102" t="str">
        <v>socioeconomic</v>
      </c>
      <c r="F1198" s="102" t="str">
        <v>USSRvsUSA</v>
      </c>
      <c r="G1198" s="103"/>
      <c r="H1198" s="135" t="s">
        <v>3308</v>
      </c>
      <c r="I1198" s="2" t="s">
        <v>5856</v>
      </c>
      <c r="J1198" s="2" t="s">
        <v>5882</v>
      </c>
      <c r="K1198" s="2" t="s">
        <v>6006</v>
      </c>
      <c r="L1198" s="2" t="s">
        <v>6467</v>
      </c>
      <c r="N1198" s="1" t="s">
        <v>3119</v>
      </c>
    </row>
    <row r="1199" spans="1:14" ht="43.5" x14ac:dyDescent="0.35">
      <c r="A1199" s="154" t="s">
        <v>3121</v>
      </c>
      <c r="B1199" s="99" t="s">
        <v>5202</v>
      </c>
      <c r="C1199" s="121" t="str" cm="1">
        <f t="array" ref="C1199:F1199">_xlfn.TEXTSPLIT('איחוד שאלות'!$B1199,"_")</f>
        <v>XXX</v>
      </c>
      <c r="D1199" s="99" t="str">
        <v>behavior</v>
      </c>
      <c r="E1199" s="99" t="str">
        <v>association</v>
      </c>
      <c r="F1199" s="99" t="str">
        <v>histadrut</v>
      </c>
      <c r="G1199" s="100"/>
      <c r="H1199" s="136" t="s">
        <v>3308</v>
      </c>
      <c r="I1199" s="2" t="s">
        <v>4061</v>
      </c>
      <c r="J1199" s="2" t="s">
        <v>5806</v>
      </c>
      <c r="K1199" s="2" t="s">
        <v>5834</v>
      </c>
      <c r="L1199" s="2" t="s">
        <v>5835</v>
      </c>
      <c r="N1199" s="1" t="s">
        <v>3121</v>
      </c>
    </row>
    <row r="1200" spans="1:14" ht="72.5" x14ac:dyDescent="0.35">
      <c r="A1200" s="113" t="s">
        <v>3122</v>
      </c>
      <c r="B1200" s="102" t="s">
        <v>5203</v>
      </c>
      <c r="C1200" s="123" t="str" cm="1">
        <f t="array" ref="C1200:G1200">_xlfn.TEXTSPLIT('איחוד שאלות'!$B1200,"_")</f>
        <v>preference</v>
      </c>
      <c r="D1200" s="102" t="str">
        <v>policy</v>
      </c>
      <c r="E1200" s="102" t="str">
        <v>socioeconomic</v>
      </c>
      <c r="F1200" s="102" t="str">
        <v>privatesector</v>
      </c>
      <c r="G1200" s="103" t="str">
        <v>subsidy</v>
      </c>
      <c r="H1200" s="135" t="s">
        <v>3308</v>
      </c>
      <c r="I1200" s="2" t="s">
        <v>5856</v>
      </c>
      <c r="J1200" s="2" t="s">
        <v>5882</v>
      </c>
      <c r="K1200" s="2" t="s">
        <v>6006</v>
      </c>
      <c r="L1200" s="2" t="s">
        <v>6468</v>
      </c>
      <c r="M1200" s="2" t="s">
        <v>6466</v>
      </c>
      <c r="N1200" s="1" t="s">
        <v>3122</v>
      </c>
    </row>
    <row r="1201" spans="1:14" ht="58" x14ac:dyDescent="0.35">
      <c r="A1201" s="121" t="s">
        <v>3123</v>
      </c>
      <c r="B1201" s="99" t="s">
        <v>5205</v>
      </c>
      <c r="C1201" s="121" t="str" cm="1">
        <f t="array" ref="C1201:F1201">_xlfn.TEXTSPLIT('איחוד שאלות'!$B1201,"_")</f>
        <v>preference</v>
      </c>
      <c r="D1201" s="99" t="str">
        <v>policy</v>
      </c>
      <c r="E1201" s="99" t="str">
        <v>socioeconomic</v>
      </c>
      <c r="F1201" s="99" t="str">
        <v>limitstrike</v>
      </c>
      <c r="G1201" s="100"/>
      <c r="H1201" s="136" t="s">
        <v>3308</v>
      </c>
      <c r="I1201" s="2" t="s">
        <v>5856</v>
      </c>
      <c r="J1201" s="2" t="s">
        <v>5882</v>
      </c>
      <c r="K1201" s="2" t="s">
        <v>6006</v>
      </c>
      <c r="L1201" s="2" t="s">
        <v>6469</v>
      </c>
      <c r="N1201" s="1" t="s">
        <v>3123</v>
      </c>
    </row>
    <row r="1202" spans="1:14" ht="43.5" x14ac:dyDescent="0.35">
      <c r="A1202" s="113" t="s">
        <v>3125</v>
      </c>
      <c r="B1202" s="102" t="s">
        <v>5206</v>
      </c>
      <c r="C1202" s="123" t="str" cm="1">
        <f t="array" ref="C1202:F1202">_xlfn.TEXTSPLIT('איחוד שאלות'!$B1202,"_")</f>
        <v>preference</v>
      </c>
      <c r="D1202" s="102" t="str">
        <v>groups</v>
      </c>
      <c r="E1202" s="102" t="str">
        <v>jewishetnicity</v>
      </c>
      <c r="F1202" s="102" t="str">
        <v>household</v>
      </c>
      <c r="G1202" s="103"/>
      <c r="H1202" s="135" t="s">
        <v>3308</v>
      </c>
      <c r="I1202" s="2" t="s">
        <v>5856</v>
      </c>
      <c r="J1202" s="2" t="s">
        <v>6457</v>
      </c>
      <c r="K1202" s="2" t="s">
        <v>5768</v>
      </c>
      <c r="L1202" s="2" t="s">
        <v>5795</v>
      </c>
      <c r="N1202" s="1" t="s">
        <v>3125</v>
      </c>
    </row>
    <row r="1203" spans="1:14" ht="43.5" x14ac:dyDescent="0.35">
      <c r="A1203" s="121" t="s">
        <v>3124</v>
      </c>
      <c r="B1203" s="99" t="s">
        <v>5207</v>
      </c>
      <c r="C1203" s="121" t="str" cm="1">
        <f t="array" ref="C1203:F1203">_xlfn.TEXTSPLIT('איחוד שאלות'!$B1203,"_")</f>
        <v>preference</v>
      </c>
      <c r="D1203" s="99" t="str">
        <v>groups</v>
      </c>
      <c r="E1203" s="99" t="str">
        <v>jewishetnicity</v>
      </c>
      <c r="F1203" s="99" t="str">
        <v>friends</v>
      </c>
      <c r="G1203" s="100"/>
      <c r="H1203" s="136" t="s">
        <v>3308</v>
      </c>
      <c r="I1203" s="2" t="s">
        <v>5856</v>
      </c>
      <c r="J1203" s="2" t="s">
        <v>6457</v>
      </c>
      <c r="K1203" s="2" t="s">
        <v>5768</v>
      </c>
      <c r="L1203" s="2" t="s">
        <v>5787</v>
      </c>
      <c r="N1203" s="1" t="s">
        <v>3124</v>
      </c>
    </row>
    <row r="1204" spans="1:14" ht="58" x14ac:dyDescent="0.35">
      <c r="A1204" s="113" t="s">
        <v>3126</v>
      </c>
      <c r="B1204" s="102" t="s">
        <v>5208</v>
      </c>
      <c r="C1204" s="123" t="str" cm="1">
        <f t="array" ref="C1204:E1204">_xlfn.TEXTSPLIT('איחוד שאלות'!$B1204,"_")</f>
        <v>???</v>
      </c>
      <c r="D1204" s="102" t="str">
        <v>friends</v>
      </c>
      <c r="E1204" s="102" t="str">
        <v>jewishetnicity</v>
      </c>
      <c r="F1204" s="102"/>
      <c r="G1204" s="103"/>
      <c r="H1204" s="135" t="s">
        <v>3308</v>
      </c>
      <c r="I1204" s="2" t="s">
        <v>5786</v>
      </c>
      <c r="J1204" s="2" t="s">
        <v>5787</v>
      </c>
      <c r="K1204" s="2" t="s">
        <v>5768</v>
      </c>
      <c r="N1204" s="1" t="s">
        <v>3126</v>
      </c>
    </row>
    <row r="1205" spans="1:14" ht="43.5" x14ac:dyDescent="0.35">
      <c r="A1205" s="121" t="s">
        <v>3127</v>
      </c>
      <c r="B1205" s="99" t="s">
        <v>5209</v>
      </c>
      <c r="C1205" s="121" t="str" cm="1">
        <f t="array" ref="C1205:F1205">_xlfn.TEXTSPLIT('איחוד שאלות'!$B1205,"_")</f>
        <v>preference</v>
      </c>
      <c r="D1205" s="99" t="str">
        <v>groups</v>
      </c>
      <c r="E1205" s="99" t="str">
        <v>jewishetnicity</v>
      </c>
      <c r="F1205" s="99" t="str">
        <v>marriage</v>
      </c>
      <c r="G1205" s="100"/>
      <c r="H1205" s="136" t="s">
        <v>3308</v>
      </c>
      <c r="I1205" s="2" t="s">
        <v>5856</v>
      </c>
      <c r="J1205" s="2" t="s">
        <v>6457</v>
      </c>
      <c r="K1205" s="2" t="s">
        <v>5768</v>
      </c>
      <c r="L1205" s="2" t="s">
        <v>6470</v>
      </c>
      <c r="N1205" s="1" t="s">
        <v>3127</v>
      </c>
    </row>
    <row r="1206" spans="1:14" ht="87" x14ac:dyDescent="0.35">
      <c r="A1206" s="113" t="s">
        <v>3145</v>
      </c>
      <c r="B1206" s="102" t="s">
        <v>5210</v>
      </c>
      <c r="C1206" s="123" t="str" cm="1">
        <f t="array" ref="C1206:G1206">_xlfn.TEXTSPLIT('איחוד שאלות'!$B1206,"_")</f>
        <v>perception</v>
      </c>
      <c r="D1206" s="102" t="str">
        <v>satisfaction</v>
      </c>
      <c r="E1206" s="102" t="str">
        <v>economic</v>
      </c>
      <c r="F1206" s="102" t="str">
        <v>condition</v>
      </c>
      <c r="G1206" s="103" t="str">
        <v>covid</v>
      </c>
      <c r="H1206" s="135" t="s">
        <v>3308</v>
      </c>
      <c r="I1206" s="2" t="s">
        <v>5844</v>
      </c>
      <c r="J1206" s="2" t="s">
        <v>5847</v>
      </c>
      <c r="K1206" s="2" t="s">
        <v>6008</v>
      </c>
      <c r="L1206" s="2" t="s">
        <v>5846</v>
      </c>
      <c r="M1206" s="2" t="s">
        <v>5991</v>
      </c>
      <c r="N1206" s="1" t="s">
        <v>3145</v>
      </c>
    </row>
    <row r="1207" spans="1:14" ht="130.5" x14ac:dyDescent="0.35">
      <c r="A1207" s="121" t="s">
        <v>3290</v>
      </c>
      <c r="B1207" s="99" t="s">
        <v>5218</v>
      </c>
      <c r="C1207" s="121" t="str" cm="1">
        <f t="array" ref="C1207:F1207">_xlfn.TEXTSPLIT('איחוד שאלות'!$B1207,"_")</f>
        <v>perception</v>
      </c>
      <c r="D1207" s="99" t="str">
        <v>personal</v>
      </c>
      <c r="E1207" s="99" t="str">
        <v>socioeconomic</v>
      </c>
      <c r="F1207" s="99" t="str">
        <v>relativeposition</v>
      </c>
      <c r="G1207" s="100"/>
      <c r="H1207" s="136" t="s">
        <v>3308</v>
      </c>
      <c r="I1207" s="2" t="s">
        <v>5844</v>
      </c>
      <c r="J1207" s="2" t="s">
        <v>5866</v>
      </c>
      <c r="K1207" s="2" t="s">
        <v>6006</v>
      </c>
      <c r="L1207" s="2" t="s">
        <v>6471</v>
      </c>
      <c r="N1207" s="1" t="s">
        <v>3290</v>
      </c>
    </row>
    <row r="1208" spans="1:14" ht="159.5" x14ac:dyDescent="0.35">
      <c r="A1208" s="113" t="s">
        <v>3880</v>
      </c>
      <c r="B1208" s="102" t="s">
        <v>4960</v>
      </c>
      <c r="C1208" s="123" t="str" cm="1">
        <f t="array" ref="C1208:F1208">_xlfn.TEXTSPLIT('איחוד שאלות'!$B1208,"_")</f>
        <v>preference</v>
      </c>
      <c r="D1208" s="102" t="str">
        <v>importance</v>
      </c>
      <c r="E1208" s="102" t="str">
        <v>value</v>
      </c>
      <c r="F1208" s="102" t="str">
        <v>1</v>
      </c>
      <c r="G1208" s="103"/>
      <c r="H1208" s="135" t="s">
        <v>3895</v>
      </c>
      <c r="I1208" s="2" t="s">
        <v>5856</v>
      </c>
      <c r="J1208" s="2" t="s">
        <v>5857</v>
      </c>
      <c r="K1208" s="2" t="s">
        <v>5914</v>
      </c>
      <c r="L1208" s="2" t="s">
        <v>5789</v>
      </c>
      <c r="N1208" s="1" t="s">
        <v>7444</v>
      </c>
    </row>
    <row r="1209" spans="1:14" ht="29" x14ac:dyDescent="0.35">
      <c r="A1209" s="121" t="s">
        <v>28</v>
      </c>
      <c r="B1209" s="99" t="s">
        <v>4961</v>
      </c>
      <c r="C1209" s="121" t="str" cm="1">
        <f t="array" ref="C1209:F1209">_xlfn.TEXTSPLIT('איחוד שאלות'!$B1209,"_")</f>
        <v>preference</v>
      </c>
      <c r="D1209" s="99" t="str">
        <v>importance</v>
      </c>
      <c r="E1209" s="99" t="str">
        <v>value</v>
      </c>
      <c r="F1209" s="99" t="str">
        <v>2</v>
      </c>
      <c r="G1209" s="100"/>
      <c r="H1209" s="136" t="s">
        <v>3895</v>
      </c>
      <c r="I1209" s="2" t="s">
        <v>5856</v>
      </c>
      <c r="J1209" s="2" t="s">
        <v>5857</v>
      </c>
      <c r="K1209" s="2" t="s">
        <v>5914</v>
      </c>
      <c r="L1209" s="2" t="s">
        <v>5790</v>
      </c>
      <c r="N1209" s="1" t="s">
        <v>28</v>
      </c>
    </row>
    <row r="1210" spans="1:14" ht="29" x14ac:dyDescent="0.35">
      <c r="A1210" s="113" t="s">
        <v>188</v>
      </c>
      <c r="B1210" s="102" t="s">
        <v>4962</v>
      </c>
      <c r="C1210" s="123" t="str" cm="1">
        <f t="array" ref="C1210:F1210">_xlfn.TEXTSPLIT('איחוד שאלות'!$B1210,"_")</f>
        <v>preference</v>
      </c>
      <c r="D1210" s="102" t="str">
        <v>importance</v>
      </c>
      <c r="E1210" s="102" t="str">
        <v>value</v>
      </c>
      <c r="F1210" s="102" t="str">
        <v>3</v>
      </c>
      <c r="G1210" s="103"/>
      <c r="H1210" s="135" t="s">
        <v>3895</v>
      </c>
      <c r="I1210" s="2" t="s">
        <v>5856</v>
      </c>
      <c r="J1210" s="2" t="s">
        <v>5857</v>
      </c>
      <c r="K1210" s="2" t="s">
        <v>5914</v>
      </c>
      <c r="L1210" s="2" t="s">
        <v>5791</v>
      </c>
      <c r="N1210" s="1" t="s">
        <v>188</v>
      </c>
    </row>
    <row r="1211" spans="1:14" ht="29" x14ac:dyDescent="0.35">
      <c r="A1211" s="121" t="s">
        <v>1278</v>
      </c>
      <c r="B1211" s="99" t="s">
        <v>4963</v>
      </c>
      <c r="C1211" s="121" t="str" cm="1">
        <f t="array" ref="C1211:F1211">_xlfn.TEXTSPLIT('איחוד שאלות'!$B1211,"_")</f>
        <v>preference</v>
      </c>
      <c r="D1211" s="99" t="str">
        <v>importance</v>
      </c>
      <c r="E1211" s="99" t="str">
        <v>value</v>
      </c>
      <c r="F1211" s="99" t="str">
        <v>4</v>
      </c>
      <c r="G1211" s="100"/>
      <c r="H1211" s="136" t="s">
        <v>3895</v>
      </c>
      <c r="I1211" s="2" t="s">
        <v>5856</v>
      </c>
      <c r="J1211" s="2" t="s">
        <v>5857</v>
      </c>
      <c r="K1211" s="2" t="s">
        <v>5914</v>
      </c>
      <c r="L1211" s="2" t="s">
        <v>5792</v>
      </c>
      <c r="N1211" s="1" t="s">
        <v>1278</v>
      </c>
    </row>
    <row r="1212" spans="1:14" ht="101.5" x14ac:dyDescent="0.35">
      <c r="A1212" s="113" t="s">
        <v>31</v>
      </c>
      <c r="B1212" s="102" t="s">
        <v>4975</v>
      </c>
      <c r="C1212" s="123" t="str" cm="1">
        <f t="array" ref="C1212:F1212">_xlfn.TEXTSPLIT('איחוד שאלות'!$B1212,"_")</f>
        <v>preference</v>
      </c>
      <c r="D1212" s="102" t="str">
        <v>policy</v>
      </c>
      <c r="E1212" s="102" t="str">
        <v>religion</v>
      </c>
      <c r="F1212" s="102" t="str">
        <v>jewishpubliclife</v>
      </c>
      <c r="G1212" s="103"/>
      <c r="H1212" s="135" t="s">
        <v>3895</v>
      </c>
      <c r="I1212" s="2" t="s">
        <v>5856</v>
      </c>
      <c r="J1212" s="2" t="s">
        <v>5882</v>
      </c>
      <c r="K1212" s="2" t="s">
        <v>5804</v>
      </c>
      <c r="L1212" s="2" t="s">
        <v>6472</v>
      </c>
      <c r="N1212" s="1" t="s">
        <v>31</v>
      </c>
    </row>
    <row r="1213" spans="1:14" ht="29" x14ac:dyDescent="0.35">
      <c r="A1213" s="121" t="s">
        <v>288</v>
      </c>
      <c r="B1213" s="99" t="s">
        <v>4959</v>
      </c>
      <c r="C1213" s="121" t="str" cm="1">
        <f t="array" ref="C1213:F1213">_xlfn.TEXTSPLIT('איחוד שאלות'!$B1213,"_")</f>
        <v>affect</v>
      </c>
      <c r="D1213" s="99" t="str">
        <v>importance</v>
      </c>
      <c r="E1213" s="99" t="str">
        <v>polidentity</v>
      </c>
      <c r="F1213" s="99" t="str">
        <v>israeli</v>
      </c>
      <c r="G1213" s="100"/>
      <c r="H1213" s="136" t="s">
        <v>3895</v>
      </c>
      <c r="I1213" s="2" t="s">
        <v>5815</v>
      </c>
      <c r="J1213" s="2" t="s">
        <v>5857</v>
      </c>
      <c r="K1213" s="2" t="s">
        <v>6017</v>
      </c>
      <c r="L1213" s="2" t="s">
        <v>6121</v>
      </c>
      <c r="N1213" s="1" t="s">
        <v>288</v>
      </c>
    </row>
    <row r="1214" spans="1:14" ht="43.5" x14ac:dyDescent="0.35">
      <c r="A1214" s="113" t="s">
        <v>291</v>
      </c>
      <c r="B1214" s="102" t="s">
        <v>5219</v>
      </c>
      <c r="C1214" s="123" t="str" cm="1">
        <f t="array" ref="C1214:F1214">_xlfn.TEXTSPLIT('איחוד שאלות'!$B1214,"_")</f>
        <v>affect</v>
      </c>
      <c r="D1214" s="102" t="str">
        <v>importance</v>
      </c>
      <c r="E1214" s="102" t="str">
        <v>polidentity</v>
      </c>
      <c r="F1214" s="102" t="str">
        <v>national</v>
      </c>
      <c r="G1214" s="103"/>
      <c r="H1214" s="135" t="s">
        <v>3895</v>
      </c>
      <c r="I1214" s="2" t="s">
        <v>5815</v>
      </c>
      <c r="J1214" s="2" t="s">
        <v>5857</v>
      </c>
      <c r="K1214" s="2" t="s">
        <v>6017</v>
      </c>
      <c r="L1214" s="2" t="s">
        <v>6172</v>
      </c>
      <c r="N1214" s="1" t="s">
        <v>291</v>
      </c>
    </row>
    <row r="1215" spans="1:14" ht="145" x14ac:dyDescent="0.35">
      <c r="A1215" s="121" t="s">
        <v>413</v>
      </c>
      <c r="B1215" s="99" t="s">
        <v>4974</v>
      </c>
      <c r="C1215" s="121" t="str" cm="1">
        <f t="array" ref="C1215:F1215">_xlfn.TEXTSPLIT('איחוד שאלות'!$B1215,"_")</f>
        <v>preference</v>
      </c>
      <c r="D1215" s="99" t="str">
        <v>policy</v>
      </c>
      <c r="E1215" s="99" t="str">
        <v>religion</v>
      </c>
      <c r="F1215" s="99" t="str">
        <v>jewishvsdemocratic</v>
      </c>
      <c r="G1215" s="100"/>
      <c r="H1215" s="136" t="s">
        <v>3895</v>
      </c>
      <c r="I1215" s="2" t="s">
        <v>5856</v>
      </c>
      <c r="J1215" s="2" t="s">
        <v>5882</v>
      </c>
      <c r="K1215" s="2" t="s">
        <v>5804</v>
      </c>
      <c r="L1215" s="2" t="s">
        <v>6473</v>
      </c>
      <c r="N1215" s="1" t="s">
        <v>413</v>
      </c>
    </row>
    <row r="1216" spans="1:14" ht="101.5" x14ac:dyDescent="0.35">
      <c r="A1216" s="113" t="s">
        <v>3881</v>
      </c>
      <c r="B1216" s="102" t="s">
        <v>4973</v>
      </c>
      <c r="C1216" s="123" t="str" cm="1">
        <f t="array" ref="C1216:G1216">_xlfn.TEXTSPLIT('איחוד שאלות'!$B1216,"_")</f>
        <v>preference</v>
      </c>
      <c r="D1216" s="102" t="str">
        <v>agreement</v>
      </c>
      <c r="E1216" s="102" t="str">
        <v>policy</v>
      </c>
      <c r="F1216" s="102" t="str">
        <v>religion</v>
      </c>
      <c r="G1216" s="103" t="str">
        <v>civilmarrige</v>
      </c>
      <c r="H1216" s="135" t="s">
        <v>3895</v>
      </c>
      <c r="I1216" s="2" t="s">
        <v>5856</v>
      </c>
      <c r="J1216" s="2" t="s">
        <v>5862</v>
      </c>
      <c r="K1216" s="2" t="s">
        <v>5882</v>
      </c>
      <c r="L1216" s="2" t="s">
        <v>5804</v>
      </c>
      <c r="M1216" s="2" t="s">
        <v>6474</v>
      </c>
      <c r="N1216" s="1" t="s">
        <v>7445</v>
      </c>
    </row>
    <row r="1217" spans="1:14" ht="87" x14ac:dyDescent="0.35">
      <c r="A1217" s="121" t="s">
        <v>3882</v>
      </c>
      <c r="B1217" s="99" t="s">
        <v>4977</v>
      </c>
      <c r="C1217" s="121" t="str" cm="1">
        <f t="array" ref="C1217:G1217">_xlfn.TEXTSPLIT('איחוד שאלות'!$B1217,"_")</f>
        <v>preference</v>
      </c>
      <c r="D1217" s="99" t="str">
        <v>agreement</v>
      </c>
      <c r="E1217" s="99" t="str">
        <v>policy</v>
      </c>
      <c r="F1217" s="99" t="str">
        <v>religion</v>
      </c>
      <c r="G1217" s="100" t="str">
        <v>uoserve</v>
      </c>
      <c r="H1217" s="136" t="s">
        <v>3895</v>
      </c>
      <c r="I1217" s="2" t="s">
        <v>5856</v>
      </c>
      <c r="J1217" s="2" t="s">
        <v>5862</v>
      </c>
      <c r="K1217" s="2" t="s">
        <v>5882</v>
      </c>
      <c r="L1217" s="2" t="s">
        <v>5804</v>
      </c>
      <c r="M1217" s="2" t="s">
        <v>6475</v>
      </c>
      <c r="N1217" s="1" t="s">
        <v>7446</v>
      </c>
    </row>
    <row r="1218" spans="1:14" ht="72.5" x14ac:dyDescent="0.35">
      <c r="A1218" s="113" t="s">
        <v>3883</v>
      </c>
      <c r="B1218" s="102" t="s">
        <v>4972</v>
      </c>
      <c r="C1218" s="123" t="str" cm="1">
        <f t="array" ref="C1218:G1218">_xlfn.TEXTSPLIT('איחוד שאלות'!$B1218,"_")</f>
        <v>preference</v>
      </c>
      <c r="D1218" s="102" t="str">
        <v>agreement</v>
      </c>
      <c r="E1218" s="102" t="str">
        <v>policy</v>
      </c>
      <c r="F1218" s="102" t="str">
        <v>religion</v>
      </c>
      <c r="G1218" s="103" t="str">
        <v>separatereligionstate</v>
      </c>
      <c r="H1218" s="135" t="s">
        <v>3895</v>
      </c>
      <c r="I1218" s="2" t="s">
        <v>5856</v>
      </c>
      <c r="J1218" s="2" t="s">
        <v>5862</v>
      </c>
      <c r="K1218" s="2" t="s">
        <v>5882</v>
      </c>
      <c r="L1218" s="2" t="s">
        <v>5804</v>
      </c>
      <c r="M1218" s="2" t="s">
        <v>6476</v>
      </c>
      <c r="N1218" s="1" t="s">
        <v>7447</v>
      </c>
    </row>
    <row r="1219" spans="1:14" ht="145" x14ac:dyDescent="0.35">
      <c r="A1219" s="121" t="s">
        <v>614</v>
      </c>
      <c r="B1219" s="99" t="s">
        <v>4971</v>
      </c>
      <c r="C1219" s="121" t="str" cm="1">
        <f t="array" ref="C1219:F1219">_xlfn.TEXTSPLIT('איחוד שאלות'!$B1219,"_")</f>
        <v>preference</v>
      </c>
      <c r="D1219" s="99" t="str">
        <v>policy</v>
      </c>
      <c r="E1219" s="99" t="str">
        <v>religion</v>
      </c>
      <c r="F1219" s="99" t="str">
        <v>jewishvscivic</v>
      </c>
      <c r="G1219" s="100"/>
      <c r="H1219" s="136" t="s">
        <v>3895</v>
      </c>
      <c r="I1219" s="2" t="s">
        <v>5856</v>
      </c>
      <c r="J1219" s="2" t="s">
        <v>5882</v>
      </c>
      <c r="K1219" s="2" t="s">
        <v>5804</v>
      </c>
      <c r="L1219" s="2" t="s">
        <v>6477</v>
      </c>
      <c r="N1219" s="1" t="s">
        <v>614</v>
      </c>
    </row>
    <row r="1220" spans="1:14" ht="72.5" x14ac:dyDescent="0.35">
      <c r="A1220" s="113" t="s">
        <v>3884</v>
      </c>
      <c r="B1220" s="102" t="s">
        <v>4964</v>
      </c>
      <c r="C1220" s="123" t="str" cm="1">
        <f t="array" ref="C1220:F1220">_xlfn.TEXTSPLIT('איחוד שאלות'!$B1220,"_")</f>
        <v>perception</v>
      </c>
      <c r="D1220" s="102" t="str">
        <v>similarity</v>
      </c>
      <c r="E1220" s="102" t="str">
        <v>religion</v>
      </c>
      <c r="F1220" s="102" t="str">
        <v>aavoda</v>
      </c>
      <c r="G1220" s="103"/>
      <c r="H1220" s="135" t="s">
        <v>3895</v>
      </c>
      <c r="I1220" s="2" t="s">
        <v>5844</v>
      </c>
      <c r="J1220" s="2" t="s">
        <v>5927</v>
      </c>
      <c r="K1220" s="2" t="s">
        <v>5804</v>
      </c>
      <c r="L1220" s="2" t="s">
        <v>6478</v>
      </c>
      <c r="N1220" s="1" t="s">
        <v>7448</v>
      </c>
    </row>
    <row r="1221" spans="1:14" ht="72.5" x14ac:dyDescent="0.35">
      <c r="A1221" s="121" t="s">
        <v>3885</v>
      </c>
      <c r="B1221" s="99" t="s">
        <v>4965</v>
      </c>
      <c r="C1221" s="121" t="str" cm="1">
        <f t="array" ref="C1221:F1221">_xlfn.TEXTSPLIT('איחוד שאלות'!$B1221,"_")</f>
        <v>perception</v>
      </c>
      <c r="D1221" s="99" t="str">
        <v>similarity</v>
      </c>
      <c r="E1221" s="99" t="str">
        <v>religion</v>
      </c>
      <c r="F1221" s="99" t="str">
        <v>likud</v>
      </c>
      <c r="G1221" s="100"/>
      <c r="H1221" s="136" t="s">
        <v>3895</v>
      </c>
      <c r="I1221" s="2" t="s">
        <v>5844</v>
      </c>
      <c r="J1221" s="2" t="s">
        <v>5927</v>
      </c>
      <c r="K1221" s="2" t="s">
        <v>5804</v>
      </c>
      <c r="L1221" s="2" t="s">
        <v>6030</v>
      </c>
      <c r="N1221" s="1" t="s">
        <v>7449</v>
      </c>
    </row>
    <row r="1222" spans="1:14" ht="72.5" x14ac:dyDescent="0.35">
      <c r="A1222" s="113" t="s">
        <v>3886</v>
      </c>
      <c r="B1222" s="102" t="s">
        <v>4966</v>
      </c>
      <c r="C1222" s="123" t="str" cm="1">
        <f t="array" ref="C1222:F1222">_xlfn.TEXTSPLIT('איחוד שאלות'!$B1222,"_")</f>
        <v>perception</v>
      </c>
      <c r="D1222" s="102" t="str">
        <v>similarity</v>
      </c>
      <c r="E1222" s="102" t="str">
        <v>religion</v>
      </c>
      <c r="F1222" s="102" t="str">
        <v>shinui</v>
      </c>
      <c r="G1222" s="103"/>
      <c r="H1222" s="135" t="s">
        <v>3895</v>
      </c>
      <c r="I1222" s="2" t="s">
        <v>5844</v>
      </c>
      <c r="J1222" s="2" t="s">
        <v>5927</v>
      </c>
      <c r="K1222" s="2" t="s">
        <v>5804</v>
      </c>
      <c r="L1222" s="2" t="s">
        <v>6049</v>
      </c>
      <c r="N1222" s="1" t="s">
        <v>7450</v>
      </c>
    </row>
    <row r="1223" spans="1:14" ht="174" x14ac:dyDescent="0.35">
      <c r="A1223" s="121" t="s">
        <v>3887</v>
      </c>
      <c r="B1223" s="99" t="s">
        <v>4967</v>
      </c>
      <c r="C1223" s="121" t="str" cm="1">
        <f t="array" ref="C1223:G1223">_xlfn.TEXTSPLIT('איחוד שאלות'!$B1223,"_")</f>
        <v>post</v>
      </c>
      <c r="D1223" s="99" t="str">
        <v>preference</v>
      </c>
      <c r="E1223" s="99" t="str">
        <v>importance</v>
      </c>
      <c r="F1223" s="99" t="str">
        <v>value</v>
      </c>
      <c r="G1223" s="100" t="str">
        <v>1</v>
      </c>
      <c r="H1223" s="136" t="s">
        <v>3895</v>
      </c>
      <c r="I1223" s="2" t="s">
        <v>5763</v>
      </c>
      <c r="J1223" s="2" t="s">
        <v>5856</v>
      </c>
      <c r="K1223" s="2" t="s">
        <v>5857</v>
      </c>
      <c r="L1223" s="2" t="s">
        <v>5914</v>
      </c>
      <c r="M1223" s="2" t="s">
        <v>5789</v>
      </c>
      <c r="N1223" s="1" t="s">
        <v>7451</v>
      </c>
    </row>
    <row r="1224" spans="1:14" ht="29" x14ac:dyDescent="0.35">
      <c r="A1224" s="113" t="s">
        <v>3888</v>
      </c>
      <c r="B1224" s="102" t="s">
        <v>4968</v>
      </c>
      <c r="C1224" s="123" t="str" cm="1">
        <f t="array" ref="C1224:G1224">_xlfn.TEXTSPLIT('איחוד שאלות'!$B1224,"_")</f>
        <v>post</v>
      </c>
      <c r="D1224" s="102" t="str">
        <v>preference</v>
      </c>
      <c r="E1224" s="102" t="str">
        <v>importance</v>
      </c>
      <c r="F1224" s="102" t="str">
        <v>value</v>
      </c>
      <c r="G1224" s="103" t="str">
        <v>2</v>
      </c>
      <c r="H1224" s="135" t="s">
        <v>3895</v>
      </c>
      <c r="I1224" s="2" t="s">
        <v>5763</v>
      </c>
      <c r="J1224" s="2" t="s">
        <v>5856</v>
      </c>
      <c r="K1224" s="2" t="s">
        <v>5857</v>
      </c>
      <c r="L1224" s="2" t="s">
        <v>5914</v>
      </c>
      <c r="M1224" s="2" t="s">
        <v>5790</v>
      </c>
      <c r="N1224" s="1" t="s">
        <v>7452</v>
      </c>
    </row>
    <row r="1225" spans="1:14" ht="43.5" x14ac:dyDescent="0.35">
      <c r="A1225" s="121" t="s">
        <v>3889</v>
      </c>
      <c r="B1225" s="99" t="s">
        <v>4969</v>
      </c>
      <c r="C1225" s="121" t="str" cm="1">
        <f t="array" ref="C1225:G1225">_xlfn.TEXTSPLIT('איחוד שאלות'!$B1225,"_")</f>
        <v>post</v>
      </c>
      <c r="D1225" s="99" t="str">
        <v>preference</v>
      </c>
      <c r="E1225" s="99" t="str">
        <v>importance</v>
      </c>
      <c r="F1225" s="99" t="str">
        <v>value</v>
      </c>
      <c r="G1225" s="100" t="str">
        <v>3</v>
      </c>
      <c r="H1225" s="136" t="s">
        <v>3895</v>
      </c>
      <c r="I1225" s="2" t="s">
        <v>5763</v>
      </c>
      <c r="J1225" s="2" t="s">
        <v>5856</v>
      </c>
      <c r="K1225" s="2" t="s">
        <v>5857</v>
      </c>
      <c r="L1225" s="2" t="s">
        <v>5914</v>
      </c>
      <c r="M1225" s="2" t="s">
        <v>5791</v>
      </c>
      <c r="N1225" s="1" t="s">
        <v>7453</v>
      </c>
    </row>
    <row r="1226" spans="1:14" ht="43.5" x14ac:dyDescent="0.35">
      <c r="A1226" s="113" t="s">
        <v>3890</v>
      </c>
      <c r="B1226" s="102" t="s">
        <v>4970</v>
      </c>
      <c r="C1226" s="123" t="str" cm="1">
        <f t="array" ref="C1226:G1226">_xlfn.TEXTSPLIT('איחוד שאלות'!$B1226,"_")</f>
        <v>post</v>
      </c>
      <c r="D1226" s="102" t="str">
        <v>preference</v>
      </c>
      <c r="E1226" s="102" t="str">
        <v>importance</v>
      </c>
      <c r="F1226" s="102" t="str">
        <v>value</v>
      </c>
      <c r="G1226" s="103" t="str">
        <v>4</v>
      </c>
      <c r="H1226" s="135" t="s">
        <v>3895</v>
      </c>
      <c r="I1226" s="2" t="s">
        <v>5763</v>
      </c>
      <c r="J1226" s="2" t="s">
        <v>5856</v>
      </c>
      <c r="K1226" s="2" t="s">
        <v>5857</v>
      </c>
      <c r="L1226" s="2" t="s">
        <v>5914</v>
      </c>
      <c r="M1226" s="2" t="s">
        <v>5792</v>
      </c>
      <c r="N1226" s="1" t="s">
        <v>7454</v>
      </c>
    </row>
    <row r="1227" spans="1:14" ht="72.5" x14ac:dyDescent="0.35">
      <c r="A1227" s="121" t="s">
        <v>1704</v>
      </c>
      <c r="B1227" s="99" t="s">
        <v>4976</v>
      </c>
      <c r="C1227" s="121" t="str" cm="1">
        <f t="array" ref="C1227:F1227">_xlfn.TEXTSPLIT('איחוד שאלות'!$B1227,"_")</f>
        <v>preference</v>
      </c>
      <c r="D1227" s="99" t="str">
        <v>policy</v>
      </c>
      <c r="E1227" s="99" t="str">
        <v>religion</v>
      </c>
      <c r="F1227" s="99" t="str">
        <v>publicpool</v>
      </c>
      <c r="G1227" s="100"/>
      <c r="H1227" s="136" t="s">
        <v>3895</v>
      </c>
      <c r="I1227" s="2" t="s">
        <v>5856</v>
      </c>
      <c r="J1227" s="2" t="s">
        <v>5882</v>
      </c>
      <c r="K1227" s="2" t="s">
        <v>5804</v>
      </c>
      <c r="L1227" s="2" t="s">
        <v>6479</v>
      </c>
      <c r="N1227" s="1" t="s">
        <v>1704</v>
      </c>
    </row>
    <row r="1228" spans="1:14" ht="72.5" x14ac:dyDescent="0.35">
      <c r="A1228" s="113" t="s">
        <v>1705</v>
      </c>
      <c r="B1228" s="102" t="s">
        <v>4977</v>
      </c>
      <c r="C1228" s="123" t="str" cm="1">
        <f t="array" ref="C1228:G1228">_xlfn.TEXTSPLIT('איחוד שאלות'!$B1228,"_")</f>
        <v>preference</v>
      </c>
      <c r="D1228" s="102" t="str">
        <v>agreement</v>
      </c>
      <c r="E1228" s="102" t="str">
        <v>policy</v>
      </c>
      <c r="F1228" s="102" t="str">
        <v>religion</v>
      </c>
      <c r="G1228" s="103" t="str">
        <v>uoserve</v>
      </c>
      <c r="H1228" s="135" t="s">
        <v>3895</v>
      </c>
      <c r="I1228" s="2" t="s">
        <v>5856</v>
      </c>
      <c r="J1228" s="2" t="s">
        <v>5862</v>
      </c>
      <c r="K1228" s="2" t="s">
        <v>5882</v>
      </c>
      <c r="L1228" s="2" t="s">
        <v>5804</v>
      </c>
      <c r="M1228" s="2" t="s">
        <v>6475</v>
      </c>
      <c r="N1228" s="1" t="s">
        <v>1705</v>
      </c>
    </row>
    <row r="1229" spans="1:14" ht="72.5" x14ac:dyDescent="0.35">
      <c r="A1229" s="121" t="s">
        <v>1706</v>
      </c>
      <c r="B1229" s="99" t="s">
        <v>4978</v>
      </c>
      <c r="C1229" s="121" t="str" cm="1">
        <f t="array" ref="C1229:G1229">_xlfn.TEXTSPLIT('איחוד שאלות'!$B1229,"_")</f>
        <v>preference</v>
      </c>
      <c r="D1229" s="99" t="str">
        <v>agreement</v>
      </c>
      <c r="E1229" s="99" t="str">
        <v>policy</v>
      </c>
      <c r="F1229" s="99" t="str">
        <v>religion</v>
      </c>
      <c r="G1229" s="100" t="str">
        <v>yeshivaexemption</v>
      </c>
      <c r="H1229" s="136" t="s">
        <v>3895</v>
      </c>
      <c r="I1229" s="2" t="s">
        <v>5856</v>
      </c>
      <c r="J1229" s="2" t="s">
        <v>5862</v>
      </c>
      <c r="K1229" s="2" t="s">
        <v>5882</v>
      </c>
      <c r="L1229" s="2" t="s">
        <v>5804</v>
      </c>
      <c r="M1229" s="2" t="s">
        <v>6480</v>
      </c>
      <c r="N1229" s="1" t="s">
        <v>1706</v>
      </c>
    </row>
    <row r="1230" spans="1:14" ht="58" x14ac:dyDescent="0.35">
      <c r="A1230" s="113" t="s">
        <v>1707</v>
      </c>
      <c r="B1230" s="102" t="s">
        <v>4979</v>
      </c>
      <c r="C1230" s="123" t="str" cm="1">
        <f t="array" ref="C1230:G1230">_xlfn.TEXTSPLIT('איחוד שאלות'!$B1230,"_")</f>
        <v>preference</v>
      </c>
      <c r="D1230" s="102" t="str">
        <v>agreement</v>
      </c>
      <c r="E1230" s="102" t="str">
        <v>policy</v>
      </c>
      <c r="F1230" s="102" t="str">
        <v>religion</v>
      </c>
      <c r="G1230" s="103" t="str">
        <v>transportationshabbat</v>
      </c>
      <c r="H1230" s="135" t="s">
        <v>3895</v>
      </c>
      <c r="I1230" s="2" t="s">
        <v>5856</v>
      </c>
      <c r="J1230" s="2" t="s">
        <v>5862</v>
      </c>
      <c r="K1230" s="2" t="s">
        <v>5882</v>
      </c>
      <c r="L1230" s="2" t="s">
        <v>5804</v>
      </c>
      <c r="M1230" s="2" t="s">
        <v>6481</v>
      </c>
      <c r="N1230" s="1" t="s">
        <v>1707</v>
      </c>
    </row>
    <row r="1231" spans="1:14" ht="58" x14ac:dyDescent="0.35">
      <c r="A1231" s="121" t="s">
        <v>3891</v>
      </c>
      <c r="B1231" s="99" t="s">
        <v>4980</v>
      </c>
      <c r="C1231" s="121" t="str" cm="1">
        <f t="array" ref="C1231:F1231">_xlfn.TEXTSPLIT('איחוד שאלות'!$B1231,"_")</f>
        <v>affect</v>
      </c>
      <c r="D1231" s="99" t="str">
        <v>threat</v>
      </c>
      <c r="E1231" s="99" t="str">
        <v>religion</v>
      </c>
      <c r="F1231" s="99" t="str">
        <v>religiousstate</v>
      </c>
      <c r="G1231" s="100"/>
      <c r="H1231" s="136" t="s">
        <v>3895</v>
      </c>
      <c r="I1231" s="2" t="s">
        <v>5815</v>
      </c>
      <c r="J1231" s="2" t="s">
        <v>5816</v>
      </c>
      <c r="K1231" s="2" t="s">
        <v>5804</v>
      </c>
      <c r="L1231" s="2" t="s">
        <v>6482</v>
      </c>
      <c r="N1231" s="1" t="s">
        <v>7455</v>
      </c>
    </row>
    <row r="1232" spans="1:14" ht="58" x14ac:dyDescent="0.35">
      <c r="A1232" s="113" t="s">
        <v>3892</v>
      </c>
      <c r="B1232" s="102" t="s">
        <v>4981</v>
      </c>
      <c r="C1232" s="123" t="str" cm="1">
        <f t="array" ref="C1232:F1232">_xlfn.TEXTSPLIT('איחוד שאלות'!$B1232,"_")</f>
        <v>affect</v>
      </c>
      <c r="D1232" s="102" t="str">
        <v>threat</v>
      </c>
      <c r="E1232" s="102" t="str">
        <v>religion</v>
      </c>
      <c r="F1232" s="102" t="str">
        <v>separatereligionstate</v>
      </c>
      <c r="G1232" s="103"/>
      <c r="H1232" s="135" t="s">
        <v>3895</v>
      </c>
      <c r="I1232" s="2" t="s">
        <v>5815</v>
      </c>
      <c r="J1232" s="2" t="s">
        <v>5816</v>
      </c>
      <c r="K1232" s="2" t="s">
        <v>5804</v>
      </c>
      <c r="L1232" s="2" t="s">
        <v>6476</v>
      </c>
      <c r="N1232" s="1" t="s">
        <v>7456</v>
      </c>
    </row>
    <row r="1233" spans="1:14" ht="72.5" x14ac:dyDescent="0.35">
      <c r="A1233" s="121" t="s">
        <v>3893</v>
      </c>
      <c r="B1233" s="99" t="s">
        <v>4982</v>
      </c>
      <c r="C1233" s="121" t="str" cm="1">
        <f t="array" ref="C1233:F1233">_xlfn.TEXTSPLIT('איחוד שאלות'!$B1233,"_")</f>
        <v>perception</v>
      </c>
      <c r="D1233" s="99" t="str">
        <v>expectation</v>
      </c>
      <c r="E1233" s="99" t="str">
        <v>religion</v>
      </c>
      <c r="F1233" s="99" t="str">
        <v>religiousstate</v>
      </c>
      <c r="G1233" s="100"/>
      <c r="H1233" s="136" t="s">
        <v>3895</v>
      </c>
      <c r="I1233" s="2" t="s">
        <v>5844</v>
      </c>
      <c r="J1233" s="2" t="s">
        <v>5850</v>
      </c>
      <c r="K1233" s="2" t="s">
        <v>5804</v>
      </c>
      <c r="L1233" s="2" t="s">
        <v>6482</v>
      </c>
      <c r="N1233" s="1" t="s">
        <v>7457</v>
      </c>
    </row>
    <row r="1234" spans="1:14" ht="72.5" x14ac:dyDescent="0.35">
      <c r="A1234" s="113" t="s">
        <v>3894</v>
      </c>
      <c r="B1234" s="102" t="s">
        <v>4983</v>
      </c>
      <c r="C1234" s="123" t="str" cm="1">
        <f t="array" ref="C1234:F1234">_xlfn.TEXTSPLIT('איחוד שאלות'!$B1234,"_")</f>
        <v>perception</v>
      </c>
      <c r="D1234" s="102" t="str">
        <v>expectation</v>
      </c>
      <c r="E1234" s="102" t="str">
        <v>religion</v>
      </c>
      <c r="F1234" s="102" t="str">
        <v>separatereligionstate</v>
      </c>
      <c r="G1234" s="103"/>
      <c r="H1234" s="135" t="s">
        <v>3895</v>
      </c>
      <c r="I1234" s="2" t="s">
        <v>5844</v>
      </c>
      <c r="J1234" s="2" t="s">
        <v>5850</v>
      </c>
      <c r="K1234" s="2" t="s">
        <v>5804</v>
      </c>
      <c r="L1234" s="2" t="s">
        <v>6476</v>
      </c>
      <c r="N1234" s="1" t="s">
        <v>7458</v>
      </c>
    </row>
    <row r="1235" spans="1:14" ht="43.5" x14ac:dyDescent="0.35">
      <c r="A1235" s="121" t="s">
        <v>2183</v>
      </c>
      <c r="B1235" s="99" t="s">
        <v>4984</v>
      </c>
      <c r="C1235" s="121" t="str" cm="1">
        <f t="array" ref="C1235:G1235">_xlfn.TEXTSPLIT('איחוד שאלות'!$B1235,"_")</f>
        <v>preference</v>
      </c>
      <c r="D1235" s="99" t="str">
        <v>agreement</v>
      </c>
      <c r="E1235" s="99" t="str">
        <v>policy</v>
      </c>
      <c r="F1235" s="99" t="str">
        <v>religion</v>
      </c>
      <c r="G1235" s="100" t="str">
        <v>footballshabbat</v>
      </c>
      <c r="H1235" s="136" t="s">
        <v>3895</v>
      </c>
      <c r="I1235" s="2" t="s">
        <v>5856</v>
      </c>
      <c r="J1235" s="2" t="s">
        <v>5862</v>
      </c>
      <c r="K1235" s="2" t="s">
        <v>5882</v>
      </c>
      <c r="L1235" s="2" t="s">
        <v>5804</v>
      </c>
      <c r="M1235" s="2" t="s">
        <v>6483</v>
      </c>
      <c r="N1235" s="1" t="s">
        <v>2183</v>
      </c>
    </row>
    <row r="1236" spans="1:14" ht="58" x14ac:dyDescent="0.35">
      <c r="A1236" s="113" t="s">
        <v>2184</v>
      </c>
      <c r="B1236" s="102" t="s">
        <v>4985</v>
      </c>
      <c r="C1236" s="123" t="str" cm="1">
        <f t="array" ref="C1236:G1236">_xlfn.TEXTSPLIT('איחוד שאלות'!$B1236,"_")</f>
        <v>perception</v>
      </c>
      <c r="D1236" s="102" t="str">
        <v>public</v>
      </c>
      <c r="E1236" s="102" t="str">
        <v>policy</v>
      </c>
      <c r="F1236" s="102" t="str">
        <v>religion</v>
      </c>
      <c r="G1236" s="103" t="str">
        <v>footballshabbat</v>
      </c>
      <c r="H1236" s="135" t="s">
        <v>3895</v>
      </c>
      <c r="I1236" s="2" t="s">
        <v>5844</v>
      </c>
      <c r="J1236" s="2" t="s">
        <v>5912</v>
      </c>
      <c r="K1236" s="2" t="s">
        <v>5882</v>
      </c>
      <c r="L1236" s="2" t="s">
        <v>5804</v>
      </c>
      <c r="M1236" s="2" t="s">
        <v>6483</v>
      </c>
      <c r="N1236" s="1" t="s">
        <v>2184</v>
      </c>
    </row>
    <row r="1237" spans="1:14" ht="87" x14ac:dyDescent="0.35">
      <c r="A1237" s="154" t="s">
        <v>2187</v>
      </c>
      <c r="B1237" s="99" t="s">
        <v>5220</v>
      </c>
      <c r="C1237" s="121" t="str" cm="1">
        <f t="array" ref="C1237:G1237">_xlfn.TEXTSPLIT('איחוד שאלות'!$B1237,"_")</f>
        <v>attribute</v>
      </c>
      <c r="D1237" s="99" t="str">
        <v>knowledge</v>
      </c>
      <c r="E1237" s="99" t="str">
        <v>policy</v>
      </c>
      <c r="F1237" s="99" t="str">
        <v>religion</v>
      </c>
      <c r="G1237" s="100" t="str">
        <v>footballshabbat</v>
      </c>
      <c r="H1237" s="136" t="s">
        <v>3895</v>
      </c>
      <c r="I1237" s="2" t="s">
        <v>5775</v>
      </c>
      <c r="J1237" s="2" t="s">
        <v>5942</v>
      </c>
      <c r="K1237" s="2" t="s">
        <v>5882</v>
      </c>
      <c r="L1237" s="2" t="s">
        <v>5804</v>
      </c>
      <c r="M1237" s="2" t="s">
        <v>6483</v>
      </c>
      <c r="N1237" s="1" t="s">
        <v>2187</v>
      </c>
    </row>
    <row r="1238" spans="1:14" ht="43.5" x14ac:dyDescent="0.35">
      <c r="A1238" s="113" t="s">
        <v>2333</v>
      </c>
      <c r="B1238" s="102" t="s">
        <v>5223</v>
      </c>
      <c r="C1238" s="123" t="str" cm="1">
        <f t="array" ref="C1238:F1238">_xlfn.TEXTSPLIT('איחוד שאלות'!$B1238,"_")</f>
        <v>perception</v>
      </c>
      <c r="D1238" s="102" t="str">
        <v>groups</v>
      </c>
      <c r="E1238" s="102" t="str">
        <v>jews</v>
      </c>
      <c r="F1238" s="102" t="str">
        <v>diaspora mustimmigrate</v>
      </c>
      <c r="G1238" s="103"/>
      <c r="H1238" s="135" t="s">
        <v>3895</v>
      </c>
      <c r="I1238" s="2" t="s">
        <v>5844</v>
      </c>
      <c r="J1238" s="2" t="s">
        <v>6457</v>
      </c>
      <c r="K1238" s="2" t="s">
        <v>6484</v>
      </c>
      <c r="L1238" s="2" t="s">
        <v>6485</v>
      </c>
      <c r="N1238" s="1" t="s">
        <v>2333</v>
      </c>
    </row>
    <row r="1239" spans="1:14" ht="72.5" x14ac:dyDescent="0.35">
      <c r="A1239" s="121" t="s">
        <v>2334</v>
      </c>
      <c r="B1239" s="99" t="s">
        <v>4972</v>
      </c>
      <c r="C1239" s="121" t="str" cm="1">
        <f t="array" ref="C1239:G1239">_xlfn.TEXTSPLIT('איחוד שאלות'!$B1239,"_")</f>
        <v>preference</v>
      </c>
      <c r="D1239" s="99" t="str">
        <v>agreement</v>
      </c>
      <c r="E1239" s="99" t="str">
        <v>policy</v>
      </c>
      <c r="F1239" s="99" t="str">
        <v>religion</v>
      </c>
      <c r="G1239" s="100" t="str">
        <v>separatereligionstate</v>
      </c>
      <c r="H1239" s="136" t="s">
        <v>3895</v>
      </c>
      <c r="I1239" s="2" t="s">
        <v>5856</v>
      </c>
      <c r="J1239" s="2" t="s">
        <v>5862</v>
      </c>
      <c r="K1239" s="2" t="s">
        <v>5882</v>
      </c>
      <c r="L1239" s="2" t="s">
        <v>5804</v>
      </c>
      <c r="M1239" s="2" t="s">
        <v>6476</v>
      </c>
      <c r="N1239" s="1" t="s">
        <v>2334</v>
      </c>
    </row>
    <row r="1240" spans="1:14" ht="72.5" x14ac:dyDescent="0.35">
      <c r="A1240" s="113" t="s">
        <v>2554</v>
      </c>
      <c r="B1240" s="102" t="s">
        <v>5221</v>
      </c>
      <c r="C1240" s="123" t="str" cm="1">
        <f t="array" ref="C1240:F1240">_xlfn.TEXTSPLIT('איחוד שאלות'!$B1240,"_")</f>
        <v>preference</v>
      </c>
      <c r="D1240" s="102" t="str">
        <v>policy</v>
      </c>
      <c r="E1240" s="102" t="str">
        <v>religion</v>
      </c>
      <c r="F1240" s="102" t="str">
        <v>statusquo</v>
      </c>
      <c r="G1240" s="103"/>
      <c r="H1240" s="135" t="s">
        <v>3895</v>
      </c>
      <c r="I1240" s="2" t="s">
        <v>5856</v>
      </c>
      <c r="J1240" s="2" t="s">
        <v>5882</v>
      </c>
      <c r="K1240" s="2" t="s">
        <v>5804</v>
      </c>
      <c r="L1240" s="2" t="s">
        <v>6486</v>
      </c>
      <c r="N1240" s="1" t="s">
        <v>2554</v>
      </c>
    </row>
    <row r="1241" spans="1:14" ht="58" x14ac:dyDescent="0.35">
      <c r="A1241" s="121" t="s">
        <v>3022</v>
      </c>
      <c r="B1241" s="99" t="s">
        <v>4972</v>
      </c>
      <c r="C1241" s="121" t="str" cm="1">
        <f t="array" ref="C1241:G1241">_xlfn.TEXTSPLIT('איחוד שאלות'!$B1241,"_")</f>
        <v>preference</v>
      </c>
      <c r="D1241" s="99" t="str">
        <v>agreement</v>
      </c>
      <c r="E1241" s="99" t="str">
        <v>policy</v>
      </c>
      <c r="F1241" s="99" t="str">
        <v>religion</v>
      </c>
      <c r="G1241" s="100" t="str">
        <v>separatereligionstate</v>
      </c>
      <c r="H1241" s="136" t="s">
        <v>3895</v>
      </c>
      <c r="I1241" s="2" t="s">
        <v>5856</v>
      </c>
      <c r="J1241" s="2" t="s">
        <v>5862</v>
      </c>
      <c r="K1241" s="2" t="s">
        <v>5882</v>
      </c>
      <c r="L1241" s="2" t="s">
        <v>5804</v>
      </c>
      <c r="M1241" s="2" t="s">
        <v>6476</v>
      </c>
      <c r="N1241" s="1" t="s">
        <v>3022</v>
      </c>
    </row>
    <row r="1242" spans="1:14" ht="72.5" x14ac:dyDescent="0.35">
      <c r="A1242" s="113" t="s">
        <v>3105</v>
      </c>
      <c r="B1242" s="102" t="s">
        <v>5222</v>
      </c>
      <c r="C1242" s="123" t="str" cm="1">
        <f t="array" ref="C1242:F1242">_xlfn.TEXTSPLIT('איחוד שאלות'!$B1242,"_")</f>
        <v>preference</v>
      </c>
      <c r="D1242" s="102" t="str">
        <v>policy</v>
      </c>
      <c r="E1242" s="102" t="str">
        <v>religion</v>
      </c>
      <c r="F1242" s="102" t="str">
        <v>koshermeat</v>
      </c>
      <c r="G1242" s="103"/>
      <c r="H1242" s="135" t="s">
        <v>3895</v>
      </c>
      <c r="I1242" s="2" t="s">
        <v>5856</v>
      </c>
      <c r="J1242" s="2" t="s">
        <v>5882</v>
      </c>
      <c r="K1242" s="2" t="s">
        <v>5804</v>
      </c>
      <c r="L1242" s="2" t="s">
        <v>6487</v>
      </c>
      <c r="N1242" s="1" t="s">
        <v>3105</v>
      </c>
    </row>
    <row r="1243" spans="1:14" ht="43.5" x14ac:dyDescent="0.35">
      <c r="A1243" s="121" t="s">
        <v>3106</v>
      </c>
      <c r="B1243" s="99" t="s">
        <v>5224</v>
      </c>
      <c r="C1243" s="121" t="str" cm="1">
        <f t="array" ref="C1243:F1243">_xlfn.TEXTSPLIT('איחוד שאלות'!$B1243,"_")</f>
        <v>perception</v>
      </c>
      <c r="D1243" s="99" t="str">
        <v>groups</v>
      </c>
      <c r="E1243" s="99" t="str">
        <v>jews</v>
      </c>
      <c r="F1243" s="99" t="str">
        <v>unity</v>
      </c>
      <c r="G1243" s="100"/>
      <c r="H1243" s="136" t="s">
        <v>3895</v>
      </c>
      <c r="I1243" s="2" t="s">
        <v>5844</v>
      </c>
      <c r="J1243" s="2" t="s">
        <v>6457</v>
      </c>
      <c r="K1243" s="2" t="s">
        <v>6484</v>
      </c>
      <c r="L1243" s="2" t="s">
        <v>6488</v>
      </c>
      <c r="N1243" s="1" t="s">
        <v>3106</v>
      </c>
    </row>
    <row r="1244" spans="1:14" ht="87" x14ac:dyDescent="0.35">
      <c r="A1244" s="113" t="s">
        <v>3120</v>
      </c>
      <c r="B1244" s="102" t="s">
        <v>4973</v>
      </c>
      <c r="C1244" s="123" t="str" cm="1">
        <f t="array" ref="C1244:G1244">_xlfn.TEXTSPLIT('איחוד שאלות'!$B1244,"_")</f>
        <v>preference</v>
      </c>
      <c r="D1244" s="102" t="str">
        <v>agreement</v>
      </c>
      <c r="E1244" s="102" t="str">
        <v>policy</v>
      </c>
      <c r="F1244" s="102" t="str">
        <v>religion</v>
      </c>
      <c r="G1244" s="103" t="str">
        <v>civilmarrige</v>
      </c>
      <c r="H1244" s="135" t="s">
        <v>3895</v>
      </c>
      <c r="I1244" s="2" t="s">
        <v>5856</v>
      </c>
      <c r="J1244" s="2" t="s">
        <v>5862</v>
      </c>
      <c r="K1244" s="2" t="s">
        <v>5882</v>
      </c>
      <c r="L1244" s="2" t="s">
        <v>5804</v>
      </c>
      <c r="M1244" s="2" t="s">
        <v>6474</v>
      </c>
      <c r="N1244" s="1" t="s">
        <v>3120</v>
      </c>
    </row>
    <row r="1245" spans="1:14" ht="43.5" x14ac:dyDescent="0.35">
      <c r="A1245" s="121" t="s">
        <v>1840</v>
      </c>
      <c r="B1245" s="99" t="s">
        <v>5225</v>
      </c>
      <c r="C1245" s="121" t="str" cm="1">
        <f t="array" ref="C1245:G1245">_xlfn.TEXTSPLIT('איחוד שאלות'!$B1245,"_")</f>
        <v>preference</v>
      </c>
      <c r="D1245" s="99" t="str">
        <v>party</v>
      </c>
      <c r="E1245" s="99" t="str">
        <v>function</v>
      </c>
      <c r="F1245" s="99" t="str">
        <v>security</v>
      </c>
      <c r="G1245" s="100" t="str">
        <v>1</v>
      </c>
      <c r="H1245" s="136" t="s">
        <v>3920</v>
      </c>
      <c r="I1245" s="2" t="s">
        <v>5856</v>
      </c>
      <c r="J1245" s="2" t="s">
        <v>5853</v>
      </c>
      <c r="K1245" s="2" t="s">
        <v>6413</v>
      </c>
      <c r="L1245" s="2" t="s">
        <v>5994</v>
      </c>
      <c r="M1245" s="2" t="s">
        <v>5789</v>
      </c>
      <c r="N1245" s="1" t="s">
        <v>1840</v>
      </c>
    </row>
    <row r="1246" spans="1:14" ht="29" x14ac:dyDescent="0.35">
      <c r="A1246" s="113" t="s">
        <v>736</v>
      </c>
      <c r="B1246" s="102" t="s">
        <v>5226</v>
      </c>
      <c r="C1246" s="123" t="str" cm="1">
        <f t="array" ref="C1246:G1246">_xlfn.TEXTSPLIT('איחוד שאלות'!$B1246,"_")</f>
        <v>preference</v>
      </c>
      <c r="D1246" s="102" t="str">
        <v>party</v>
      </c>
      <c r="E1246" s="102" t="str">
        <v>function</v>
      </c>
      <c r="F1246" s="102" t="str">
        <v>security</v>
      </c>
      <c r="G1246" s="103" t="str">
        <v>2</v>
      </c>
      <c r="H1246" s="135" t="s">
        <v>3920</v>
      </c>
      <c r="I1246" s="2" t="s">
        <v>5856</v>
      </c>
      <c r="J1246" s="2" t="s">
        <v>5853</v>
      </c>
      <c r="K1246" s="2" t="s">
        <v>6413</v>
      </c>
      <c r="L1246" s="2" t="s">
        <v>5994</v>
      </c>
      <c r="M1246" s="2" t="s">
        <v>5790</v>
      </c>
      <c r="N1246" s="1" t="s">
        <v>736</v>
      </c>
    </row>
    <row r="1247" spans="1:14" ht="58" x14ac:dyDescent="0.35">
      <c r="A1247" s="121" t="s">
        <v>3896</v>
      </c>
      <c r="B1247" s="99" t="s">
        <v>5227</v>
      </c>
      <c r="C1247" s="121" t="str" cm="1">
        <f t="array" ref="C1247:F1247">_xlfn.TEXTSPLIT('איחוד שאלות'!$B1247,"_")</f>
        <v>perception</v>
      </c>
      <c r="D1247" s="99" t="str">
        <v>party</v>
      </c>
      <c r="E1247" s="99" t="str">
        <v>similarity</v>
      </c>
      <c r="F1247" s="99" t="str">
        <v>security</v>
      </c>
      <c r="G1247" s="100"/>
      <c r="H1247" s="136" t="s">
        <v>3920</v>
      </c>
      <c r="I1247" s="2" t="s">
        <v>5844</v>
      </c>
      <c r="J1247" s="2" t="s">
        <v>5853</v>
      </c>
      <c r="K1247" s="2" t="s">
        <v>5927</v>
      </c>
      <c r="L1247" s="2" t="s">
        <v>5994</v>
      </c>
      <c r="N1247" s="1" t="s">
        <v>7459</v>
      </c>
    </row>
    <row r="1248" spans="1:14" ht="58" x14ac:dyDescent="0.35">
      <c r="A1248" s="113" t="s">
        <v>2243</v>
      </c>
      <c r="B1248" s="102" t="s">
        <v>5227</v>
      </c>
      <c r="C1248" s="123" t="str" cm="1">
        <f t="array" ref="C1248:F1248">_xlfn.TEXTSPLIT('איחוד שאלות'!$B1248,"_")</f>
        <v>perception</v>
      </c>
      <c r="D1248" s="102" t="str">
        <v>party</v>
      </c>
      <c r="E1248" s="102" t="str">
        <v>similarity</v>
      </c>
      <c r="F1248" s="102" t="str">
        <v>security</v>
      </c>
      <c r="G1248" s="103"/>
      <c r="H1248" s="135" t="s">
        <v>3920</v>
      </c>
      <c r="I1248" s="2" t="s">
        <v>5844</v>
      </c>
      <c r="J1248" s="2" t="s">
        <v>5853</v>
      </c>
      <c r="K1248" s="2" t="s">
        <v>5927</v>
      </c>
      <c r="L1248" s="2" t="s">
        <v>5994</v>
      </c>
      <c r="N1248" s="1" t="s">
        <v>2243</v>
      </c>
    </row>
    <row r="1249" spans="1:14" ht="87" x14ac:dyDescent="0.35">
      <c r="A1249" s="121" t="s">
        <v>184</v>
      </c>
      <c r="B1249" s="99" t="s">
        <v>5228</v>
      </c>
      <c r="C1249" s="121" t="str" cm="1">
        <f t="array" ref="C1249:G1249">_xlfn.TEXTSPLIT('איחוד שאלות'!$B1249,"_")</f>
        <v>perception</v>
      </c>
      <c r="D1249" s="99" t="str">
        <v>israel</v>
      </c>
      <c r="E1249" s="99" t="str">
        <v>security</v>
      </c>
      <c r="F1249" s="99" t="str">
        <v>change</v>
      </c>
      <c r="G1249" s="100" t="str">
        <v>last4years</v>
      </c>
      <c r="H1249" s="136" t="s">
        <v>3920</v>
      </c>
      <c r="I1249" s="2" t="s">
        <v>5844</v>
      </c>
      <c r="J1249" s="2" t="s">
        <v>5845</v>
      </c>
      <c r="K1249" s="2" t="s">
        <v>5994</v>
      </c>
      <c r="L1249" s="2" t="s">
        <v>6416</v>
      </c>
      <c r="M1249" s="2" t="s">
        <v>6417</v>
      </c>
      <c r="N1249" s="1" t="s">
        <v>184</v>
      </c>
    </row>
    <row r="1250" spans="1:14" ht="87" x14ac:dyDescent="0.35">
      <c r="A1250" s="113" t="s">
        <v>186</v>
      </c>
      <c r="B1250" s="102" t="s">
        <v>5230</v>
      </c>
      <c r="C1250" s="123" t="str" cm="1">
        <f t="array" ref="C1250:F1250">_xlfn.TEXTSPLIT('איחוד שאלות'!$B1250,"_")</f>
        <v>affect</v>
      </c>
      <c r="D1250" s="102" t="str">
        <v>emotion</v>
      </c>
      <c r="E1250" s="102" t="str">
        <v>fear</v>
      </c>
      <c r="F1250" s="102" t="str">
        <v>terrorism</v>
      </c>
      <c r="G1250" s="103"/>
      <c r="H1250" s="135" t="s">
        <v>3920</v>
      </c>
      <c r="I1250" s="2" t="s">
        <v>5815</v>
      </c>
      <c r="J1250" s="2" t="s">
        <v>5936</v>
      </c>
      <c r="K1250" s="2" t="s">
        <v>6136</v>
      </c>
      <c r="L1250" s="2" t="s">
        <v>6489</v>
      </c>
      <c r="N1250" s="1" t="s">
        <v>186</v>
      </c>
    </row>
    <row r="1251" spans="1:14" ht="87" x14ac:dyDescent="0.35">
      <c r="A1251" s="121" t="s">
        <v>412</v>
      </c>
      <c r="B1251" s="99" t="s">
        <v>5231</v>
      </c>
      <c r="C1251" s="121" t="str" cm="1">
        <f t="array" ref="C1251:F1251">_xlfn.TEXTSPLIT('איחוד שאלות'!$B1251,"_")</f>
        <v>affect</v>
      </c>
      <c r="D1251" s="99" t="str">
        <v>emotion</v>
      </c>
      <c r="E1251" s="99" t="str">
        <v>fear</v>
      </c>
      <c r="F1251" s="99" t="str">
        <v>crime</v>
      </c>
      <c r="G1251" s="100"/>
      <c r="H1251" s="136" t="s">
        <v>3920</v>
      </c>
      <c r="I1251" s="2" t="s">
        <v>5815</v>
      </c>
      <c r="J1251" s="2" t="s">
        <v>5936</v>
      </c>
      <c r="K1251" s="2" t="s">
        <v>6136</v>
      </c>
      <c r="L1251" s="2" t="s">
        <v>6442</v>
      </c>
      <c r="N1251" s="1" t="s">
        <v>412</v>
      </c>
    </row>
    <row r="1252" spans="1:14" ht="159.5" x14ac:dyDescent="0.35">
      <c r="A1252" s="113" t="s">
        <v>415</v>
      </c>
      <c r="B1252" s="102" t="s">
        <v>5232</v>
      </c>
      <c r="C1252" s="123" t="str" cm="1">
        <f t="array" ref="C1252:F1252">_xlfn.TEXTSPLIT('איחוד שאלות'!$B1252,"_")</f>
        <v>preference</v>
      </c>
      <c r="D1252" s="102" t="str">
        <v>policy</v>
      </c>
      <c r="E1252" s="102" t="str">
        <v>security</v>
      </c>
      <c r="F1252" s="102" t="str">
        <v>lawvssecurity</v>
      </c>
      <c r="G1252" s="103"/>
      <c r="H1252" s="135" t="s">
        <v>3920</v>
      </c>
      <c r="I1252" s="2" t="s">
        <v>5856</v>
      </c>
      <c r="J1252" s="2" t="s">
        <v>5882</v>
      </c>
      <c r="K1252" s="2" t="s">
        <v>5994</v>
      </c>
      <c r="L1252" s="2" t="s">
        <v>6490</v>
      </c>
      <c r="N1252" s="1" t="s">
        <v>415</v>
      </c>
    </row>
    <row r="1253" spans="1:14" ht="130.5" x14ac:dyDescent="0.35">
      <c r="A1253" s="121" t="s">
        <v>1866</v>
      </c>
      <c r="B1253" s="99" t="s">
        <v>5233</v>
      </c>
      <c r="C1253" s="121" t="str" cm="1">
        <f t="array" ref="C1253:F1253">_xlfn.TEXTSPLIT('איחוד שאלות'!$B1253,"_")</f>
        <v>perception</v>
      </c>
      <c r="D1253" s="99" t="str">
        <v>government</v>
      </c>
      <c r="E1253" s="99" t="str">
        <v>security</v>
      </c>
      <c r="F1253" s="99" t="str">
        <v>lawvssecurity</v>
      </c>
      <c r="G1253" s="100"/>
      <c r="H1253" s="136" t="s">
        <v>3920</v>
      </c>
      <c r="I1253" s="2" t="s">
        <v>5844</v>
      </c>
      <c r="J1253" s="2" t="s">
        <v>5848</v>
      </c>
      <c r="K1253" s="2" t="s">
        <v>5994</v>
      </c>
      <c r="L1253" s="2" t="s">
        <v>6490</v>
      </c>
      <c r="N1253" s="1" t="s">
        <v>1866</v>
      </c>
    </row>
    <row r="1254" spans="1:14" ht="58" x14ac:dyDescent="0.35">
      <c r="A1254" s="113" t="s">
        <v>1867</v>
      </c>
      <c r="B1254" s="102" t="s">
        <v>5234</v>
      </c>
      <c r="C1254" s="123" t="str" cm="1">
        <f t="array" ref="C1254:G1254">_xlfn.TEXTSPLIT('איחוד שאלות'!$B1254,"_")</f>
        <v>perception</v>
      </c>
      <c r="D1254" s="102" t="str">
        <v>government</v>
      </c>
      <c r="E1254" s="102" t="str">
        <v>security</v>
      </c>
      <c r="F1254" s="102" t="str">
        <v>lawvssecurity</v>
      </c>
      <c r="G1254" s="103" t="str">
        <v>founders</v>
      </c>
      <c r="H1254" s="135" t="s">
        <v>3920</v>
      </c>
      <c r="I1254" s="2" t="s">
        <v>5844</v>
      </c>
      <c r="J1254" s="2" t="s">
        <v>5848</v>
      </c>
      <c r="K1254" s="2" t="s">
        <v>5994</v>
      </c>
      <c r="L1254" s="2" t="s">
        <v>6490</v>
      </c>
      <c r="M1254" s="2" t="s">
        <v>6491</v>
      </c>
      <c r="N1254" s="1" t="s">
        <v>1867</v>
      </c>
    </row>
    <row r="1255" spans="1:14" ht="43.5" x14ac:dyDescent="0.35">
      <c r="A1255" s="121" t="s">
        <v>417</v>
      </c>
      <c r="B1255" s="99" t="s">
        <v>5235</v>
      </c>
      <c r="C1255" s="121" t="str" cm="1">
        <f t="array" ref="C1255:F1255">_xlfn.TEXTSPLIT('איחוד שאלות'!$B1255,"_")</f>
        <v>perception</v>
      </c>
      <c r="D1255" s="99" t="str">
        <v>satisfaction</v>
      </c>
      <c r="E1255" s="99" t="str">
        <v>security</v>
      </c>
      <c r="F1255" s="99" t="str">
        <v>protectiveedge</v>
      </c>
      <c r="G1255" s="100"/>
      <c r="H1255" s="136" t="s">
        <v>3920</v>
      </c>
      <c r="I1255" s="2" t="s">
        <v>5844</v>
      </c>
      <c r="J1255" s="2" t="s">
        <v>5847</v>
      </c>
      <c r="K1255" s="2" t="s">
        <v>5994</v>
      </c>
      <c r="L1255" s="2" t="s">
        <v>6492</v>
      </c>
      <c r="N1255" s="1" t="s">
        <v>417</v>
      </c>
    </row>
    <row r="1256" spans="1:14" ht="58" x14ac:dyDescent="0.35">
      <c r="A1256" s="113" t="s">
        <v>712</v>
      </c>
      <c r="B1256" s="102" t="s">
        <v>5236</v>
      </c>
      <c r="C1256" s="123" t="str" cm="1">
        <f t="array" ref="C1256:F1256">_xlfn.TEXTSPLIT('איחוד שאלות'!$B1256,"_")</f>
        <v>perception</v>
      </c>
      <c r="D1256" s="102" t="str">
        <v>satisfaction</v>
      </c>
      <c r="E1256" s="102" t="str">
        <v>security</v>
      </c>
      <c r="F1256" s="102" t="str">
        <v>castlead</v>
      </c>
      <c r="G1256" s="103"/>
      <c r="H1256" s="135" t="s">
        <v>3920</v>
      </c>
      <c r="I1256" s="2" t="s">
        <v>5844</v>
      </c>
      <c r="J1256" s="2" t="s">
        <v>5847</v>
      </c>
      <c r="K1256" s="2" t="s">
        <v>5994</v>
      </c>
      <c r="L1256" s="2" t="s">
        <v>6493</v>
      </c>
      <c r="N1256" s="1" t="s">
        <v>712</v>
      </c>
    </row>
    <row r="1257" spans="1:14" ht="58" x14ac:dyDescent="0.35">
      <c r="A1257" s="121" t="s">
        <v>714</v>
      </c>
      <c r="B1257" s="99" t="s">
        <v>5278</v>
      </c>
      <c r="C1257" s="121" t="str" cm="1">
        <f t="array" ref="C1257:G1257">_xlfn.TEXTSPLIT('איחוד שאלות'!$B1257,"_")</f>
        <v>preference</v>
      </c>
      <c r="D1257" s="99" t="str">
        <v>policy</v>
      </c>
      <c r="E1257" s="99" t="str">
        <v>security</v>
      </c>
      <c r="F1257" s="99" t="str">
        <v>responsetorockets</v>
      </c>
      <c r="G1257" s="100" t="str">
        <v>gaza</v>
      </c>
      <c r="H1257" s="136" t="s">
        <v>3920</v>
      </c>
      <c r="I1257" s="2" t="s">
        <v>5856</v>
      </c>
      <c r="J1257" s="2" t="s">
        <v>5882</v>
      </c>
      <c r="K1257" s="2" t="s">
        <v>5994</v>
      </c>
      <c r="L1257" s="2" t="s">
        <v>6494</v>
      </c>
      <c r="M1257" s="2" t="s">
        <v>6495</v>
      </c>
      <c r="N1257" s="1" t="s">
        <v>714</v>
      </c>
    </row>
    <row r="1258" spans="1:14" ht="116" x14ac:dyDescent="0.35">
      <c r="A1258" s="113" t="s">
        <v>3897</v>
      </c>
      <c r="B1258" s="102" t="s">
        <v>5237</v>
      </c>
      <c r="C1258" s="123" t="str" cm="1">
        <f t="array" ref="C1258:F1258">_xlfn.TEXTSPLIT('איחוד שאלות'!$B1258,"_")</f>
        <v>preference</v>
      </c>
      <c r="D1258" s="102" t="str">
        <v>policy</v>
      </c>
      <c r="E1258" s="102" t="str">
        <v>security</v>
      </c>
      <c r="F1258" s="102" t="str">
        <v>confrontationwithUSA</v>
      </c>
      <c r="G1258" s="103"/>
      <c r="H1258" s="135" t="s">
        <v>3920</v>
      </c>
      <c r="I1258" s="2" t="s">
        <v>5856</v>
      </c>
      <c r="J1258" s="2" t="s">
        <v>5882</v>
      </c>
      <c r="K1258" s="2" t="s">
        <v>5994</v>
      </c>
      <c r="L1258" s="2" t="s">
        <v>6496</v>
      </c>
      <c r="N1258" s="1" t="s">
        <v>7460</v>
      </c>
    </row>
    <row r="1259" spans="1:14" ht="87" x14ac:dyDescent="0.35">
      <c r="A1259" s="121" t="s">
        <v>3898</v>
      </c>
      <c r="B1259" s="99" t="s">
        <v>5238</v>
      </c>
      <c r="C1259" s="121" t="str" cm="1">
        <f t="array" ref="C1259:F1259">_xlfn.TEXTSPLIT('איחוד שאלות'!$B1259,"_")</f>
        <v>preference</v>
      </c>
      <c r="D1259" s="99" t="str">
        <v>policy</v>
      </c>
      <c r="E1259" s="99" t="str">
        <v>security</v>
      </c>
      <c r="F1259" s="99" t="str">
        <v>attackingciviliens</v>
      </c>
      <c r="G1259" s="100"/>
      <c r="H1259" s="136" t="s">
        <v>3920</v>
      </c>
      <c r="I1259" s="2" t="s">
        <v>5856</v>
      </c>
      <c r="J1259" s="2" t="s">
        <v>5882</v>
      </c>
      <c r="K1259" s="2" t="s">
        <v>5994</v>
      </c>
      <c r="L1259" s="2" t="s">
        <v>6497</v>
      </c>
      <c r="N1259" s="1" t="s">
        <v>7461</v>
      </c>
    </row>
    <row r="1260" spans="1:14" ht="116" x14ac:dyDescent="0.35">
      <c r="A1260" s="113" t="s">
        <v>3899</v>
      </c>
      <c r="B1260" s="102" t="s">
        <v>5239</v>
      </c>
      <c r="C1260" s="123" t="str" cm="1">
        <f t="array" ref="C1260:F1260">_xlfn.TEXTSPLIT('איחוד שאלות'!$B1260,"_")</f>
        <v>preference</v>
      </c>
      <c r="D1260" s="102" t="str">
        <v>policy</v>
      </c>
      <c r="E1260" s="102" t="str">
        <v>security</v>
      </c>
      <c r="F1260" s="102" t="str">
        <v>attacknuclearfacility</v>
      </c>
      <c r="G1260" s="103"/>
      <c r="H1260" s="135" t="s">
        <v>3920</v>
      </c>
      <c r="I1260" s="2" t="s">
        <v>5856</v>
      </c>
      <c r="J1260" s="2" t="s">
        <v>5882</v>
      </c>
      <c r="K1260" s="2" t="s">
        <v>5994</v>
      </c>
      <c r="L1260" s="2" t="s">
        <v>6498</v>
      </c>
      <c r="N1260" s="1" t="s">
        <v>7462</v>
      </c>
    </row>
    <row r="1261" spans="1:14" ht="101.5" x14ac:dyDescent="0.35">
      <c r="A1261" s="121" t="s">
        <v>3900</v>
      </c>
      <c r="B1261" s="99" t="s">
        <v>5240</v>
      </c>
      <c r="C1261" s="121" t="str" cm="1">
        <f t="array" ref="C1261:F1261">_xlfn.TEXTSPLIT('איחוד שאלות'!$B1261,"_")</f>
        <v>preference</v>
      </c>
      <c r="D1261" s="99" t="str">
        <v>policy</v>
      </c>
      <c r="E1261" s="99" t="str">
        <v>security</v>
      </c>
      <c r="F1261" s="99" t="str">
        <v>expandpolicepowers</v>
      </c>
      <c r="G1261" s="100"/>
      <c r="H1261" s="136" t="s">
        <v>3920</v>
      </c>
      <c r="I1261" s="2" t="s">
        <v>5856</v>
      </c>
      <c r="J1261" s="2" t="s">
        <v>5882</v>
      </c>
      <c r="K1261" s="2" t="s">
        <v>5994</v>
      </c>
      <c r="L1261" s="2" t="s">
        <v>6499</v>
      </c>
      <c r="N1261" s="1" t="s">
        <v>7463</v>
      </c>
    </row>
    <row r="1262" spans="1:14" ht="43.5" x14ac:dyDescent="0.35">
      <c r="A1262" s="113" t="s">
        <v>3081</v>
      </c>
      <c r="B1262" s="102" t="s">
        <v>5241</v>
      </c>
      <c r="C1262" s="123" t="str" cm="1">
        <f t="array" ref="C1262:F1262">_xlfn.TEXTSPLIT('איחוד שאלות'!$B1262,"_")</f>
        <v>perception</v>
      </c>
      <c r="D1262" s="102" t="str">
        <v>israel</v>
      </c>
      <c r="E1262" s="102" t="str">
        <v>security</v>
      </c>
      <c r="F1262" s="102" t="str">
        <v>condition</v>
      </c>
      <c r="G1262" s="103"/>
      <c r="H1262" s="135" t="s">
        <v>3920</v>
      </c>
      <c r="I1262" s="2" t="s">
        <v>5844</v>
      </c>
      <c r="J1262" s="2" t="s">
        <v>5845</v>
      </c>
      <c r="K1262" s="2" t="s">
        <v>5994</v>
      </c>
      <c r="L1262" s="2" t="s">
        <v>5846</v>
      </c>
      <c r="N1262" s="1" t="s">
        <v>3081</v>
      </c>
    </row>
    <row r="1263" spans="1:14" ht="58" x14ac:dyDescent="0.35">
      <c r="A1263" s="121" t="s">
        <v>708</v>
      </c>
      <c r="B1263" s="99" t="s">
        <v>5242</v>
      </c>
      <c r="C1263" s="121" t="str" cm="1">
        <f t="array" ref="C1263:G1263">_xlfn.TEXTSPLIT('איחוד שאלות'!$B1263,"_")</f>
        <v>perception</v>
      </c>
      <c r="D1263" s="99" t="str">
        <v>israel</v>
      </c>
      <c r="E1263" s="99" t="str">
        <v>security</v>
      </c>
      <c r="F1263" s="99" t="str">
        <v>condition</v>
      </c>
      <c r="G1263" s="100" t="str">
        <v>last5years</v>
      </c>
      <c r="H1263" s="136" t="s">
        <v>3920</v>
      </c>
      <c r="I1263" s="2" t="s">
        <v>5844</v>
      </c>
      <c r="J1263" s="2" t="s">
        <v>5845</v>
      </c>
      <c r="K1263" s="2" t="s">
        <v>5994</v>
      </c>
      <c r="L1263" s="2" t="s">
        <v>5846</v>
      </c>
      <c r="M1263" s="2" t="s">
        <v>5867</v>
      </c>
      <c r="N1263" s="1" t="s">
        <v>708</v>
      </c>
    </row>
    <row r="1264" spans="1:14" ht="58" x14ac:dyDescent="0.35">
      <c r="A1264" s="113" t="s">
        <v>709</v>
      </c>
      <c r="B1264" s="102" t="s">
        <v>5243</v>
      </c>
      <c r="C1264" s="123" t="str" cm="1">
        <f t="array" ref="C1264:G1264">_xlfn.TEXTSPLIT('איחוד שאלות'!$B1264,"_")</f>
        <v>perception</v>
      </c>
      <c r="D1264" s="102" t="str">
        <v>israel</v>
      </c>
      <c r="E1264" s="102" t="str">
        <v>security</v>
      </c>
      <c r="F1264" s="102" t="str">
        <v>condition</v>
      </c>
      <c r="G1264" s="103" t="str">
        <v>next5years</v>
      </c>
      <c r="H1264" s="135" t="s">
        <v>3920</v>
      </c>
      <c r="I1264" s="2" t="s">
        <v>5844</v>
      </c>
      <c r="J1264" s="2" t="s">
        <v>5845</v>
      </c>
      <c r="K1264" s="2" t="s">
        <v>5994</v>
      </c>
      <c r="L1264" s="2" t="s">
        <v>5846</v>
      </c>
      <c r="M1264" s="2" t="s">
        <v>5868</v>
      </c>
      <c r="N1264" s="1" t="s">
        <v>709</v>
      </c>
    </row>
    <row r="1265" spans="1:14" ht="43.5" x14ac:dyDescent="0.35">
      <c r="A1265" s="121" t="s">
        <v>2335</v>
      </c>
      <c r="B1265" s="99" t="s">
        <v>5244</v>
      </c>
      <c r="C1265" s="121" t="str" cm="1">
        <f t="array" ref="C1265:F1265">_xlfn.TEXTSPLIT('איחוד שאלות'!$B1265,"_")</f>
        <v>perception</v>
      </c>
      <c r="D1265" s="99" t="str">
        <v>israel</v>
      </c>
      <c r="E1265" s="99" t="str">
        <v>foreignaffairs</v>
      </c>
      <c r="F1265" s="99" t="str">
        <v>condition</v>
      </c>
      <c r="G1265" s="100"/>
      <c r="H1265" s="136" t="s">
        <v>3920</v>
      </c>
      <c r="I1265" s="2" t="s">
        <v>5844</v>
      </c>
      <c r="J1265" s="2" t="s">
        <v>5845</v>
      </c>
      <c r="K1265" s="2" t="s">
        <v>6021</v>
      </c>
      <c r="L1265" s="2" t="s">
        <v>5846</v>
      </c>
      <c r="N1265" s="1" t="s">
        <v>2335</v>
      </c>
    </row>
    <row r="1266" spans="1:14" ht="43.5" x14ac:dyDescent="0.35">
      <c r="A1266" s="113" t="s">
        <v>2336</v>
      </c>
      <c r="B1266" s="102" t="s">
        <v>5245</v>
      </c>
      <c r="C1266" s="123" t="str" cm="1">
        <f t="array" ref="C1266:G1266">_xlfn.TEXTSPLIT('איחוד שאלות'!$B1266,"_")</f>
        <v>perception</v>
      </c>
      <c r="D1266" s="102" t="str">
        <v>israel</v>
      </c>
      <c r="E1266" s="102" t="str">
        <v>foreignaffairs</v>
      </c>
      <c r="F1266" s="102" t="str">
        <v>condition</v>
      </c>
      <c r="G1266" s="103" t="str">
        <v>last4years</v>
      </c>
      <c r="H1266" s="135" t="s">
        <v>3920</v>
      </c>
      <c r="I1266" s="2" t="s">
        <v>5844</v>
      </c>
      <c r="J1266" s="2" t="s">
        <v>5845</v>
      </c>
      <c r="K1266" s="2" t="s">
        <v>6021</v>
      </c>
      <c r="L1266" s="2" t="s">
        <v>5846</v>
      </c>
      <c r="M1266" s="2" t="s">
        <v>6417</v>
      </c>
      <c r="N1266" s="1" t="s">
        <v>2336</v>
      </c>
    </row>
    <row r="1267" spans="1:14" ht="43.5" x14ac:dyDescent="0.35">
      <c r="A1267" s="121" t="s">
        <v>2337</v>
      </c>
      <c r="B1267" s="99" t="s">
        <v>5246</v>
      </c>
      <c r="C1267" s="121" t="str" cm="1">
        <f t="array" ref="C1267:G1267">_xlfn.TEXTSPLIT('איחוד שאלות'!$B1267,"_")</f>
        <v>perception</v>
      </c>
      <c r="D1267" s="99" t="str">
        <v>israel</v>
      </c>
      <c r="E1267" s="99" t="str">
        <v>foreignaffairs</v>
      </c>
      <c r="F1267" s="99" t="str">
        <v>condition</v>
      </c>
      <c r="G1267" s="100" t="str">
        <v>next4years</v>
      </c>
      <c r="H1267" s="136" t="s">
        <v>3920</v>
      </c>
      <c r="I1267" s="2" t="s">
        <v>5844</v>
      </c>
      <c r="J1267" s="2" t="s">
        <v>5845</v>
      </c>
      <c r="K1267" s="2" t="s">
        <v>6021</v>
      </c>
      <c r="L1267" s="2" t="s">
        <v>5846</v>
      </c>
      <c r="M1267" s="2" t="s">
        <v>6452</v>
      </c>
      <c r="N1267" s="1" t="s">
        <v>2337</v>
      </c>
    </row>
    <row r="1268" spans="1:14" ht="130.5" x14ac:dyDescent="0.35">
      <c r="A1268" s="113" t="s">
        <v>3901</v>
      </c>
      <c r="B1268" s="102" t="s">
        <v>5247</v>
      </c>
      <c r="C1268" s="123" t="str" cm="1">
        <f t="array" ref="C1268:F1268">_xlfn.TEXTSPLIT('איחוד שאלות'!$B1268,"_")</f>
        <v>affect</v>
      </c>
      <c r="D1268" s="102" t="str">
        <v>threat</v>
      </c>
      <c r="E1268" s="102" t="str">
        <v>security</v>
      </c>
      <c r="F1268" s="102" t="str">
        <v>biochemicalenemy</v>
      </c>
      <c r="G1268" s="103"/>
      <c r="H1268" s="135" t="s">
        <v>3920</v>
      </c>
      <c r="I1268" s="2" t="s">
        <v>5815</v>
      </c>
      <c r="J1268" s="2" t="s">
        <v>5816</v>
      </c>
      <c r="K1268" s="2" t="s">
        <v>5994</v>
      </c>
      <c r="L1268" s="2" t="s">
        <v>6500</v>
      </c>
      <c r="N1268" s="1" t="s">
        <v>7464</v>
      </c>
    </row>
    <row r="1269" spans="1:14" ht="29" x14ac:dyDescent="0.35">
      <c r="A1269" s="121" t="s">
        <v>720</v>
      </c>
      <c r="B1269" s="99" t="s">
        <v>5248</v>
      </c>
      <c r="C1269" s="121" t="str" cm="1">
        <f t="array" ref="C1269:F1269">_xlfn.TEXTSPLIT('איחוד שאלות'!$B1269,"_")</f>
        <v>affect</v>
      </c>
      <c r="D1269" s="99" t="str">
        <v>threat</v>
      </c>
      <c r="E1269" s="99" t="str">
        <v>security</v>
      </c>
      <c r="F1269" s="99" t="str">
        <v>nuclearenemy</v>
      </c>
      <c r="G1269" s="100"/>
      <c r="H1269" s="136" t="s">
        <v>3920</v>
      </c>
      <c r="I1269" s="2" t="s">
        <v>5815</v>
      </c>
      <c r="J1269" s="2" t="s">
        <v>5816</v>
      </c>
      <c r="K1269" s="2" t="s">
        <v>5994</v>
      </c>
      <c r="L1269" s="2" t="s">
        <v>6501</v>
      </c>
      <c r="N1269" s="1" t="s">
        <v>720</v>
      </c>
    </row>
    <row r="1270" spans="1:14" ht="29" x14ac:dyDescent="0.35">
      <c r="A1270" s="113" t="s">
        <v>717</v>
      </c>
      <c r="B1270" s="102" t="s">
        <v>5249</v>
      </c>
      <c r="C1270" s="123" t="str" cm="1">
        <f t="array" ref="C1270:F1270">_xlfn.TEXTSPLIT('איחוד שאלות'!$B1270,"_")</f>
        <v>affect</v>
      </c>
      <c r="D1270" s="102" t="str">
        <v>threat</v>
      </c>
      <c r="E1270" s="102" t="str">
        <v>security</v>
      </c>
      <c r="F1270" s="102" t="str">
        <v>warinnorth</v>
      </c>
      <c r="G1270" s="103"/>
      <c r="H1270" s="135" t="s">
        <v>3920</v>
      </c>
      <c r="I1270" s="2" t="s">
        <v>5815</v>
      </c>
      <c r="J1270" s="2" t="s">
        <v>5816</v>
      </c>
      <c r="K1270" s="2" t="s">
        <v>5994</v>
      </c>
      <c r="L1270" s="2" t="s">
        <v>6502</v>
      </c>
      <c r="N1270" s="1" t="s">
        <v>717</v>
      </c>
    </row>
    <row r="1271" spans="1:14" ht="101.5" x14ac:dyDescent="0.35">
      <c r="A1271" s="121" t="s">
        <v>1208</v>
      </c>
      <c r="B1271" s="99" t="s">
        <v>5250</v>
      </c>
      <c r="C1271" s="121" t="str" cm="1">
        <f t="array" ref="C1271:G1271">_xlfn.TEXTSPLIT('איחוד שאלות'!$B1271,"_")</f>
        <v>perception</v>
      </c>
      <c r="D1271" s="99" t="str">
        <v>security</v>
      </c>
      <c r="E1271" s="99" t="str">
        <v>personal</v>
      </c>
      <c r="F1271" s="99" t="str">
        <v>change</v>
      </c>
      <c r="G1271" s="100" t="str">
        <v>peaceprocess</v>
      </c>
      <c r="H1271" s="136" t="s">
        <v>3920</v>
      </c>
      <c r="I1271" s="2" t="s">
        <v>5844</v>
      </c>
      <c r="J1271" s="2" t="s">
        <v>5994</v>
      </c>
      <c r="K1271" s="2" t="s">
        <v>5866</v>
      </c>
      <c r="L1271" s="2" t="s">
        <v>6416</v>
      </c>
      <c r="M1271" s="2" t="s">
        <v>5874</v>
      </c>
      <c r="N1271" s="1" t="s">
        <v>1208</v>
      </c>
    </row>
    <row r="1272" spans="1:14" ht="145" x14ac:dyDescent="0.35">
      <c r="A1272" s="113" t="s">
        <v>1270</v>
      </c>
      <c r="B1272" s="102" t="s">
        <v>5251</v>
      </c>
      <c r="C1272" s="123" t="str" cm="1">
        <f t="array" ref="C1272:G1272">_xlfn.TEXTSPLIT('איחוד שאלות'!$B1272,"_")</f>
        <v>perception</v>
      </c>
      <c r="D1272" s="102" t="str">
        <v>security</v>
      </c>
      <c r="E1272" s="102" t="str">
        <v>personal</v>
      </c>
      <c r="F1272" s="102" t="str">
        <v>change</v>
      </c>
      <c r="G1272" s="103" t="str">
        <v>netanyahu</v>
      </c>
      <c r="H1272" s="135" t="s">
        <v>3920</v>
      </c>
      <c r="I1272" s="2" t="s">
        <v>5844</v>
      </c>
      <c r="J1272" s="2" t="s">
        <v>5994</v>
      </c>
      <c r="K1272" s="2" t="s">
        <v>5866</v>
      </c>
      <c r="L1272" s="2" t="s">
        <v>6416</v>
      </c>
      <c r="M1272" s="2" t="s">
        <v>6072</v>
      </c>
      <c r="N1272" s="1" t="s">
        <v>1270</v>
      </c>
    </row>
    <row r="1273" spans="1:14" ht="72.5" x14ac:dyDescent="0.35">
      <c r="A1273" s="121" t="s">
        <v>1266</v>
      </c>
      <c r="B1273" s="99" t="s">
        <v>5255</v>
      </c>
      <c r="C1273" s="121" t="str" cm="1">
        <f t="array" ref="C1273:G1273">_xlfn.TEXTSPLIT('איחוד שאלות'!$B1273,"_")</f>
        <v>perception</v>
      </c>
      <c r="D1273" s="99" t="str">
        <v>security</v>
      </c>
      <c r="E1273" s="99" t="str">
        <v>arabstats</v>
      </c>
      <c r="F1273" s="99" t="str">
        <v>change</v>
      </c>
      <c r="G1273" s="100" t="str">
        <v>peaceprocess</v>
      </c>
      <c r="H1273" s="136" t="s">
        <v>3920</v>
      </c>
      <c r="I1273" s="2" t="s">
        <v>5844</v>
      </c>
      <c r="J1273" s="2" t="s">
        <v>5994</v>
      </c>
      <c r="K1273" s="2" t="s">
        <v>6503</v>
      </c>
      <c r="L1273" s="2" t="s">
        <v>6416</v>
      </c>
      <c r="M1273" s="2" t="s">
        <v>5874</v>
      </c>
      <c r="N1273" s="1" t="s">
        <v>1266</v>
      </c>
    </row>
    <row r="1274" spans="1:14" ht="130.5" x14ac:dyDescent="0.35">
      <c r="A1274" s="113" t="s">
        <v>1267</v>
      </c>
      <c r="B1274" s="102" t="s">
        <v>5254</v>
      </c>
      <c r="C1274" s="123" t="str" cm="1">
        <f t="array" ref="C1274:G1274">_xlfn.TEXTSPLIT('איחוד שאלות'!$B1274,"_")</f>
        <v>perception</v>
      </c>
      <c r="D1274" s="102" t="str">
        <v>security</v>
      </c>
      <c r="E1274" s="102" t="str">
        <v>arabstats</v>
      </c>
      <c r="F1274" s="102" t="str">
        <v>change</v>
      </c>
      <c r="G1274" s="103" t="str">
        <v>netanyahu</v>
      </c>
      <c r="H1274" s="135" t="s">
        <v>3920</v>
      </c>
      <c r="I1274" s="2" t="s">
        <v>5844</v>
      </c>
      <c r="J1274" s="2" t="s">
        <v>5994</v>
      </c>
      <c r="K1274" s="2" t="s">
        <v>6503</v>
      </c>
      <c r="L1274" s="2" t="s">
        <v>6416</v>
      </c>
      <c r="M1274" s="2" t="s">
        <v>6072</v>
      </c>
      <c r="N1274" s="1" t="s">
        <v>1267</v>
      </c>
    </row>
    <row r="1275" spans="1:14" ht="72.5" x14ac:dyDescent="0.35">
      <c r="A1275" s="121" t="s">
        <v>1493</v>
      </c>
      <c r="B1275" s="99" t="s">
        <v>5252</v>
      </c>
      <c r="C1275" s="121" t="str" cm="1">
        <f t="array" ref="C1275:F1275">_xlfn.TEXTSPLIT('איחוד שאלות'!$B1275,"_")</f>
        <v>perception</v>
      </c>
      <c r="D1275" s="99" t="str">
        <v>security</v>
      </c>
      <c r="E1275" s="99" t="str">
        <v>peaceprocess</v>
      </c>
      <c r="F1275" s="99" t="str">
        <v>osloII</v>
      </c>
      <c r="G1275" s="100"/>
      <c r="H1275" s="136" t="s">
        <v>3920</v>
      </c>
      <c r="I1275" s="2" t="s">
        <v>5844</v>
      </c>
      <c r="J1275" s="2" t="s">
        <v>5994</v>
      </c>
      <c r="K1275" s="2" t="s">
        <v>5874</v>
      </c>
      <c r="L1275" s="2" t="s">
        <v>6504</v>
      </c>
      <c r="N1275" s="1" t="s">
        <v>1493</v>
      </c>
    </row>
    <row r="1276" spans="1:14" ht="72.5" x14ac:dyDescent="0.35">
      <c r="A1276" s="113" t="s">
        <v>1682</v>
      </c>
      <c r="B1276" s="102" t="s">
        <v>5253</v>
      </c>
      <c r="C1276" s="123" t="str" cm="1">
        <f t="array" ref="C1276:F1276">_xlfn.TEXTSPLIT('איחוד שאלות'!$B1276,"_")</f>
        <v>perception</v>
      </c>
      <c r="D1276" s="102" t="str">
        <v>policy</v>
      </c>
      <c r="E1276" s="102" t="str">
        <v>security</v>
      </c>
      <c r="F1276" s="102" t="str">
        <v>territories</v>
      </c>
      <c r="G1276" s="103"/>
      <c r="H1276" s="135" t="s">
        <v>3920</v>
      </c>
      <c r="I1276" s="2" t="s">
        <v>5844</v>
      </c>
      <c r="J1276" s="2" t="s">
        <v>5882</v>
      </c>
      <c r="K1276" s="2" t="s">
        <v>5994</v>
      </c>
      <c r="L1276" s="2" t="s">
        <v>6048</v>
      </c>
      <c r="N1276" s="1" t="s">
        <v>1682</v>
      </c>
    </row>
    <row r="1277" spans="1:14" ht="58" x14ac:dyDescent="0.35">
      <c r="A1277" s="121" t="s">
        <v>3013</v>
      </c>
      <c r="B1277" s="99" t="s">
        <v>5256</v>
      </c>
      <c r="C1277" s="121" t="str" cm="1">
        <f t="array" ref="C1277:F1277">_xlfn.TEXTSPLIT('איחוד שאלות'!$B1277,"_")</f>
        <v>perception</v>
      </c>
      <c r="D1277" s="99" t="str">
        <v>policy</v>
      </c>
      <c r="E1277" s="99" t="str">
        <v>security</v>
      </c>
      <c r="F1277" s="99" t="str">
        <v>arabstats</v>
      </c>
      <c r="G1277" s="100"/>
      <c r="H1277" s="136" t="s">
        <v>3920</v>
      </c>
      <c r="I1277" s="2" t="s">
        <v>5844</v>
      </c>
      <c r="J1277" s="2" t="s">
        <v>5882</v>
      </c>
      <c r="K1277" s="2" t="s">
        <v>5994</v>
      </c>
      <c r="L1277" s="2" t="s">
        <v>6503</v>
      </c>
      <c r="N1277" s="1" t="s">
        <v>3013</v>
      </c>
    </row>
    <row r="1278" spans="1:14" ht="101.5" x14ac:dyDescent="0.35">
      <c r="A1278" s="113" t="s">
        <v>3902</v>
      </c>
      <c r="B1278" s="102" t="s">
        <v>5257</v>
      </c>
      <c r="C1278" s="123" t="str" cm="1">
        <f t="array" ref="C1278:G1278">_xlfn.TEXTSPLIT('איחוד שאלות'!$B1278,"_")</f>
        <v>perception</v>
      </c>
      <c r="D1278" s="102" t="str">
        <v>expectation</v>
      </c>
      <c r="E1278" s="102" t="str">
        <v>security</v>
      </c>
      <c r="F1278" s="102" t="str">
        <v>startwar</v>
      </c>
      <c r="G1278" s="103" t="str">
        <v>returnterritoriestojordan</v>
      </c>
      <c r="H1278" s="135" t="s">
        <v>3920</v>
      </c>
      <c r="I1278" s="2" t="s">
        <v>5844</v>
      </c>
      <c r="J1278" s="2" t="s">
        <v>5850</v>
      </c>
      <c r="K1278" s="2" t="s">
        <v>5994</v>
      </c>
      <c r="L1278" s="2" t="s">
        <v>6505</v>
      </c>
      <c r="M1278" s="2" t="s">
        <v>6506</v>
      </c>
      <c r="N1278" s="1" t="s">
        <v>7465</v>
      </c>
    </row>
    <row r="1279" spans="1:14" ht="58" x14ac:dyDescent="0.35">
      <c r="A1279" s="121" t="s">
        <v>1687</v>
      </c>
      <c r="B1279" s="99" t="s">
        <v>5258</v>
      </c>
      <c r="C1279" s="121" t="str" cm="1">
        <f t="array" ref="C1279:G1279">_xlfn.TEXTSPLIT('איחוד שאלות'!$B1279,"_")</f>
        <v>perception</v>
      </c>
      <c r="D1279" s="99" t="str">
        <v>expectation</v>
      </c>
      <c r="E1279" s="99" t="str">
        <v>security</v>
      </c>
      <c r="F1279" s="99" t="str">
        <v>startwar</v>
      </c>
      <c r="G1279" s="100" t="str">
        <v>palestinianstate</v>
      </c>
      <c r="H1279" s="136" t="s">
        <v>3920</v>
      </c>
      <c r="I1279" s="2" t="s">
        <v>5844</v>
      </c>
      <c r="J1279" s="2" t="s">
        <v>5850</v>
      </c>
      <c r="K1279" s="2" t="s">
        <v>5994</v>
      </c>
      <c r="L1279" s="2" t="s">
        <v>6505</v>
      </c>
      <c r="M1279" s="2" t="s">
        <v>6250</v>
      </c>
      <c r="N1279" s="1" t="s">
        <v>1687</v>
      </c>
    </row>
    <row r="1280" spans="1:14" ht="58" x14ac:dyDescent="0.35">
      <c r="A1280" s="113" t="s">
        <v>1688</v>
      </c>
      <c r="B1280" s="102" t="s">
        <v>5259</v>
      </c>
      <c r="C1280" s="123" t="str" cm="1">
        <f t="array" ref="C1280:G1280">_xlfn.TEXTSPLIT('איחוד שאלות'!$B1280,"_")</f>
        <v>perception</v>
      </c>
      <c r="D1280" s="102" t="str">
        <v>expectation</v>
      </c>
      <c r="E1280" s="102" t="str">
        <v>security</v>
      </c>
      <c r="F1280" s="102" t="str">
        <v>startwar</v>
      </c>
      <c r="G1280" s="103" t="str">
        <v>palestinianautonomy</v>
      </c>
      <c r="H1280" s="135" t="s">
        <v>3920</v>
      </c>
      <c r="I1280" s="2" t="s">
        <v>5844</v>
      </c>
      <c r="J1280" s="2" t="s">
        <v>5850</v>
      </c>
      <c r="K1280" s="2" t="s">
        <v>5994</v>
      </c>
      <c r="L1280" s="2" t="s">
        <v>6505</v>
      </c>
      <c r="M1280" s="2" t="s">
        <v>6507</v>
      </c>
      <c r="N1280" s="1" t="s">
        <v>1688</v>
      </c>
    </row>
    <row r="1281" spans="1:14" ht="43.5" x14ac:dyDescent="0.35">
      <c r="A1281" s="121" t="s">
        <v>1689</v>
      </c>
      <c r="B1281" s="99" t="s">
        <v>5260</v>
      </c>
      <c r="C1281" s="121" t="str" cm="1">
        <f t="array" ref="C1281:G1281">_xlfn.TEXTSPLIT('איחוד שאלות'!$B1281,"_")</f>
        <v>perception</v>
      </c>
      <c r="D1281" s="99" t="str">
        <v>expectation</v>
      </c>
      <c r="E1281" s="99" t="str">
        <v>security</v>
      </c>
      <c r="F1281" s="99" t="str">
        <v>startwar</v>
      </c>
      <c r="G1281" s="100" t="str">
        <v>annexation</v>
      </c>
      <c r="H1281" s="136" t="s">
        <v>3920</v>
      </c>
      <c r="I1281" s="2" t="s">
        <v>5844</v>
      </c>
      <c r="J1281" s="2" t="s">
        <v>5850</v>
      </c>
      <c r="K1281" s="2" t="s">
        <v>5994</v>
      </c>
      <c r="L1281" s="2" t="s">
        <v>6505</v>
      </c>
      <c r="M1281" s="2" t="s">
        <v>6508</v>
      </c>
      <c r="N1281" s="1" t="s">
        <v>1689</v>
      </c>
    </row>
    <row r="1282" spans="1:14" ht="43.5" x14ac:dyDescent="0.35">
      <c r="A1282" s="113" t="s">
        <v>1690</v>
      </c>
      <c r="B1282" s="102" t="s">
        <v>5261</v>
      </c>
      <c r="C1282" s="123" t="str" cm="1">
        <f t="array" ref="C1282:G1282">_xlfn.TEXTSPLIT('איחוד שאלות'!$B1282,"_")</f>
        <v>perception</v>
      </c>
      <c r="D1282" s="102" t="str">
        <v>expectation</v>
      </c>
      <c r="E1282" s="102" t="str">
        <v>security</v>
      </c>
      <c r="F1282" s="102" t="str">
        <v>startwar</v>
      </c>
      <c r="G1282" s="103" t="str">
        <v>nochange</v>
      </c>
      <c r="H1282" s="135" t="s">
        <v>3920</v>
      </c>
      <c r="I1282" s="2" t="s">
        <v>5844</v>
      </c>
      <c r="J1282" s="2" t="s">
        <v>5850</v>
      </c>
      <c r="K1282" s="2" t="s">
        <v>5994</v>
      </c>
      <c r="L1282" s="2" t="s">
        <v>6505</v>
      </c>
      <c r="M1282" s="2" t="s">
        <v>6509</v>
      </c>
      <c r="N1282" s="1" t="s">
        <v>1690</v>
      </c>
    </row>
    <row r="1283" spans="1:14" ht="87" x14ac:dyDescent="0.35">
      <c r="A1283" s="121" t="s">
        <v>3903</v>
      </c>
      <c r="B1283" s="99" t="s">
        <v>5265</v>
      </c>
      <c r="C1283" s="121" t="str" cm="1">
        <f t="array" ref="C1283:G1283">_xlfn.TEXTSPLIT('איחוד שאלות'!$B1283,"_")</f>
        <v>perception</v>
      </c>
      <c r="D1283" s="99" t="str">
        <v>expectation</v>
      </c>
      <c r="E1283" s="99" t="str">
        <v>security</v>
      </c>
      <c r="F1283" s="99" t="str">
        <v>getby</v>
      </c>
      <c r="G1283" s="100" t="str">
        <v>warallarabstats</v>
      </c>
      <c r="H1283" s="136" t="s">
        <v>3920</v>
      </c>
      <c r="I1283" s="2" t="s">
        <v>5844</v>
      </c>
      <c r="J1283" s="2" t="s">
        <v>5850</v>
      </c>
      <c r="K1283" s="2" t="s">
        <v>5994</v>
      </c>
      <c r="L1283" s="2" t="s">
        <v>6510</v>
      </c>
      <c r="M1283" s="2" t="s">
        <v>6511</v>
      </c>
      <c r="N1283" s="1" t="s">
        <v>7466</v>
      </c>
    </row>
    <row r="1284" spans="1:14" ht="58" x14ac:dyDescent="0.35">
      <c r="A1284" s="113" t="s">
        <v>1697</v>
      </c>
      <c r="B1284" s="102" t="s">
        <v>5266</v>
      </c>
      <c r="C1284" s="123" t="str" cm="1">
        <f t="array" ref="C1284:G1284">_xlfn.TEXTSPLIT('איחוד שאלות'!$B1284,"_")</f>
        <v>perception</v>
      </c>
      <c r="D1284" s="102" t="str">
        <v>expectation</v>
      </c>
      <c r="E1284" s="102" t="str">
        <v>security</v>
      </c>
      <c r="F1284" s="102" t="str">
        <v>getby</v>
      </c>
      <c r="G1284" s="103" t="str">
        <v>wareastfront</v>
      </c>
      <c r="H1284" s="135" t="s">
        <v>3920</v>
      </c>
      <c r="I1284" s="2" t="s">
        <v>5844</v>
      </c>
      <c r="J1284" s="2" t="s">
        <v>5850</v>
      </c>
      <c r="K1284" s="2" t="s">
        <v>5994</v>
      </c>
      <c r="L1284" s="2" t="s">
        <v>6510</v>
      </c>
      <c r="M1284" s="2" t="s">
        <v>6512</v>
      </c>
      <c r="N1284" s="1" t="s">
        <v>1697</v>
      </c>
    </row>
    <row r="1285" spans="1:14" ht="43.5" x14ac:dyDescent="0.35">
      <c r="A1285" s="121" t="s">
        <v>1692</v>
      </c>
      <c r="B1285" s="99" t="s">
        <v>5267</v>
      </c>
      <c r="C1285" s="121" t="str" cm="1">
        <f t="array" ref="C1285:G1285">_xlfn.TEXTSPLIT('איחוד שאלות'!$B1285,"_")</f>
        <v>perception</v>
      </c>
      <c r="D1285" s="99" t="str">
        <v>expectation</v>
      </c>
      <c r="E1285" s="99" t="str">
        <v>security</v>
      </c>
      <c r="F1285" s="99" t="str">
        <v>getby</v>
      </c>
      <c r="G1285" s="100" t="str">
        <v>warsyria</v>
      </c>
      <c r="H1285" s="136" t="s">
        <v>3920</v>
      </c>
      <c r="I1285" s="2" t="s">
        <v>5844</v>
      </c>
      <c r="J1285" s="2" t="s">
        <v>5850</v>
      </c>
      <c r="K1285" s="2" t="s">
        <v>5994</v>
      </c>
      <c r="L1285" s="2" t="s">
        <v>6510</v>
      </c>
      <c r="M1285" s="2" t="s">
        <v>6513</v>
      </c>
      <c r="N1285" s="1" t="s">
        <v>1692</v>
      </c>
    </row>
    <row r="1286" spans="1:14" ht="43.5" x14ac:dyDescent="0.35">
      <c r="A1286" s="113" t="s">
        <v>1836</v>
      </c>
      <c r="B1286" s="102" t="s">
        <v>5264</v>
      </c>
      <c r="C1286" s="123" t="str" cm="1">
        <f t="array" ref="C1286:G1286">_xlfn.TEXTSPLIT('איחוד שאלות'!$B1286,"_")</f>
        <v>perception</v>
      </c>
      <c r="D1286" s="102" t="str">
        <v>expectation</v>
      </c>
      <c r="E1286" s="102" t="str">
        <v>security</v>
      </c>
      <c r="F1286" s="102" t="str">
        <v>getby</v>
      </c>
      <c r="G1286" s="103" t="str">
        <v>increaseterrorism</v>
      </c>
      <c r="H1286" s="135" t="s">
        <v>3920</v>
      </c>
      <c r="I1286" s="2" t="s">
        <v>5844</v>
      </c>
      <c r="J1286" s="2" t="s">
        <v>5850</v>
      </c>
      <c r="K1286" s="2" t="s">
        <v>5994</v>
      </c>
      <c r="L1286" s="2" t="s">
        <v>6510</v>
      </c>
      <c r="M1286" s="2" t="s">
        <v>6514</v>
      </c>
      <c r="N1286" s="1" t="s">
        <v>1836</v>
      </c>
    </row>
    <row r="1287" spans="1:14" ht="43.5" x14ac:dyDescent="0.35">
      <c r="A1287" s="121" t="s">
        <v>1693</v>
      </c>
      <c r="B1287" s="99" t="s">
        <v>5262</v>
      </c>
      <c r="C1287" s="121" t="str" cm="1">
        <f t="array" ref="C1287:G1287">_xlfn.TEXTSPLIT('איחוד שאלות'!$B1287,"_")</f>
        <v>perception</v>
      </c>
      <c r="D1287" s="99" t="str">
        <v>expectation</v>
      </c>
      <c r="E1287" s="99" t="str">
        <v>security</v>
      </c>
      <c r="F1287" s="99" t="str">
        <v>getby</v>
      </c>
      <c r="G1287" s="100" t="str">
        <v>pcirebellion</v>
      </c>
      <c r="H1287" s="136" t="s">
        <v>3920</v>
      </c>
      <c r="I1287" s="2" t="s">
        <v>5844</v>
      </c>
      <c r="J1287" s="2" t="s">
        <v>5850</v>
      </c>
      <c r="K1287" s="2" t="s">
        <v>5994</v>
      </c>
      <c r="L1287" s="2" t="s">
        <v>6510</v>
      </c>
      <c r="M1287" s="2" t="s">
        <v>6515</v>
      </c>
      <c r="N1287" s="1" t="s">
        <v>1693</v>
      </c>
    </row>
    <row r="1288" spans="1:14" ht="43.5" x14ac:dyDescent="0.35">
      <c r="A1288" s="113" t="s">
        <v>1837</v>
      </c>
      <c r="B1288" s="102" t="s">
        <v>5263</v>
      </c>
      <c r="C1288" s="123" t="str" cm="1">
        <f t="array" ref="C1288:G1288">_xlfn.TEXTSPLIT('איחוד שאלות'!$B1288,"_")</f>
        <v>perception</v>
      </c>
      <c r="D1288" s="102" t="str">
        <v>expectation</v>
      </c>
      <c r="E1288" s="102" t="str">
        <v>security</v>
      </c>
      <c r="F1288" s="102" t="str">
        <v>getby</v>
      </c>
      <c r="G1288" s="103" t="str">
        <v>territoriesrebellion</v>
      </c>
      <c r="H1288" s="135" t="s">
        <v>3920</v>
      </c>
      <c r="I1288" s="2" t="s">
        <v>5844</v>
      </c>
      <c r="J1288" s="2" t="s">
        <v>5850</v>
      </c>
      <c r="K1288" s="2" t="s">
        <v>5994</v>
      </c>
      <c r="L1288" s="2" t="s">
        <v>6510</v>
      </c>
      <c r="M1288" s="2" t="s">
        <v>6516</v>
      </c>
      <c r="N1288" s="1" t="s">
        <v>1837</v>
      </c>
    </row>
    <row r="1289" spans="1:14" ht="58" x14ac:dyDescent="0.35">
      <c r="A1289" s="121" t="s">
        <v>1694</v>
      </c>
      <c r="B1289" s="99" t="s">
        <v>5268</v>
      </c>
      <c r="C1289" s="121" t="str" cm="1">
        <f t="array" ref="C1289:G1289">_xlfn.TEXTSPLIT('איחוד שאלות'!$B1289,"_")</f>
        <v>perception</v>
      </c>
      <c r="D1289" s="99" t="str">
        <v>expectation</v>
      </c>
      <c r="E1289" s="99" t="str">
        <v>security</v>
      </c>
      <c r="F1289" s="99" t="str">
        <v>getby</v>
      </c>
      <c r="G1289" s="100" t="str">
        <v>UNsanctions</v>
      </c>
      <c r="H1289" s="136" t="s">
        <v>3920</v>
      </c>
      <c r="I1289" s="2" t="s">
        <v>5844</v>
      </c>
      <c r="J1289" s="2" t="s">
        <v>5850</v>
      </c>
      <c r="K1289" s="2" t="s">
        <v>5994</v>
      </c>
      <c r="L1289" s="2" t="s">
        <v>6510</v>
      </c>
      <c r="M1289" s="2" t="s">
        <v>6517</v>
      </c>
      <c r="N1289" s="1" t="s">
        <v>1694</v>
      </c>
    </row>
    <row r="1290" spans="1:14" ht="58" x14ac:dyDescent="0.35">
      <c r="A1290" s="113" t="s">
        <v>1695</v>
      </c>
      <c r="B1290" s="102" t="s">
        <v>5269</v>
      </c>
      <c r="C1290" s="123" t="str" cm="1">
        <f t="array" ref="C1290:G1290">_xlfn.TEXTSPLIT('איחוד שאלות'!$B1290,"_")</f>
        <v>perception</v>
      </c>
      <c r="D1290" s="102" t="str">
        <v>expectation</v>
      </c>
      <c r="E1290" s="102" t="str">
        <v>security</v>
      </c>
      <c r="F1290" s="102" t="str">
        <v>getby</v>
      </c>
      <c r="G1290" s="103" t="str">
        <v>USAdecreasesupport</v>
      </c>
      <c r="H1290" s="135" t="s">
        <v>3920</v>
      </c>
      <c r="I1290" s="2" t="s">
        <v>5844</v>
      </c>
      <c r="J1290" s="2" t="s">
        <v>5850</v>
      </c>
      <c r="K1290" s="2" t="s">
        <v>5994</v>
      </c>
      <c r="L1290" s="2" t="s">
        <v>6510</v>
      </c>
      <c r="M1290" s="2" t="s">
        <v>6518</v>
      </c>
      <c r="N1290" s="1" t="s">
        <v>1695</v>
      </c>
    </row>
    <row r="1291" spans="1:14" ht="43.5" x14ac:dyDescent="0.35">
      <c r="A1291" s="121" t="s">
        <v>1696</v>
      </c>
      <c r="B1291" s="99" t="s">
        <v>5270</v>
      </c>
      <c r="C1291" s="121" t="str" cm="1">
        <f t="array" ref="C1291:G1291">_xlfn.TEXTSPLIT('איחוד שאלות'!$B1291,"_")</f>
        <v>perception</v>
      </c>
      <c r="D1291" s="99" t="str">
        <v>expectation</v>
      </c>
      <c r="E1291" s="99" t="str">
        <v>security</v>
      </c>
      <c r="F1291" s="99" t="str">
        <v>getby</v>
      </c>
      <c r="G1291" s="100" t="str">
        <v>USAstopsupport</v>
      </c>
      <c r="H1291" s="136" t="s">
        <v>3920</v>
      </c>
      <c r="I1291" s="2" t="s">
        <v>5844</v>
      </c>
      <c r="J1291" s="2" t="s">
        <v>5850</v>
      </c>
      <c r="K1291" s="2" t="s">
        <v>5994</v>
      </c>
      <c r="L1291" s="2" t="s">
        <v>6510</v>
      </c>
      <c r="M1291" s="2" t="s">
        <v>6519</v>
      </c>
      <c r="N1291" s="1" t="s">
        <v>1696</v>
      </c>
    </row>
    <row r="1292" spans="1:14" ht="58" x14ac:dyDescent="0.35">
      <c r="A1292" s="113" t="s">
        <v>1838</v>
      </c>
      <c r="B1292" s="102" t="s">
        <v>5271</v>
      </c>
      <c r="C1292" s="123" t="str" cm="1">
        <f t="array" ref="C1292:G1292">_xlfn.TEXTSPLIT('איחוד שאלות'!$B1292,"_")</f>
        <v>perception</v>
      </c>
      <c r="D1292" s="102" t="str">
        <v>expectation</v>
      </c>
      <c r="E1292" s="102" t="str">
        <v>security</v>
      </c>
      <c r="F1292" s="102" t="str">
        <v>getby</v>
      </c>
      <c r="G1292" s="103" t="str">
        <v>USSRsupportenemys</v>
      </c>
      <c r="H1292" s="135" t="s">
        <v>3920</v>
      </c>
      <c r="I1292" s="2" t="s">
        <v>5844</v>
      </c>
      <c r="J1292" s="2" t="s">
        <v>5850</v>
      </c>
      <c r="K1292" s="2" t="s">
        <v>5994</v>
      </c>
      <c r="L1292" s="2" t="s">
        <v>6510</v>
      </c>
      <c r="M1292" s="2" t="s">
        <v>6520</v>
      </c>
      <c r="N1292" s="1" t="s">
        <v>1838</v>
      </c>
    </row>
    <row r="1293" spans="1:14" ht="188.5" x14ac:dyDescent="0.35">
      <c r="A1293" s="121" t="s">
        <v>1698</v>
      </c>
      <c r="B1293" s="99" t="s">
        <v>5272</v>
      </c>
      <c r="C1293" s="121" t="str" cm="1">
        <f t="array" ref="C1293:G1293">_xlfn.TEXTSPLIT('איחוד שאלות'!$B1293,"_")</f>
        <v>perception</v>
      </c>
      <c r="D1293" s="99" t="str">
        <v>policy</v>
      </c>
      <c r="E1293" s="99" t="str">
        <v>security</v>
      </c>
      <c r="F1293" s="99" t="str">
        <v>territories</v>
      </c>
      <c r="G1293" s="100" t="str">
        <v>IDFmorality</v>
      </c>
      <c r="H1293" s="136" t="s">
        <v>3920</v>
      </c>
      <c r="I1293" s="2" t="s">
        <v>5844</v>
      </c>
      <c r="J1293" s="2" t="s">
        <v>5882</v>
      </c>
      <c r="K1293" s="2" t="s">
        <v>5994</v>
      </c>
      <c r="L1293" s="2" t="s">
        <v>6048</v>
      </c>
      <c r="M1293" s="2" t="s">
        <v>6521</v>
      </c>
      <c r="N1293" s="1" t="s">
        <v>1698</v>
      </c>
    </row>
    <row r="1294" spans="1:14" ht="217.5" x14ac:dyDescent="0.35">
      <c r="A1294" s="113" t="s">
        <v>1784</v>
      </c>
      <c r="B1294" s="102" t="s">
        <v>5273</v>
      </c>
      <c r="C1294" s="123" t="str" cm="1">
        <f t="array" ref="C1294:G1294">_xlfn.TEXTSPLIT('איחוד שאלות'!$B1294,"_")</f>
        <v>perception</v>
      </c>
      <c r="D1294" s="102" t="str">
        <v>policy</v>
      </c>
      <c r="E1294" s="102" t="str">
        <v>security</v>
      </c>
      <c r="F1294" s="102" t="str">
        <v>territories</v>
      </c>
      <c r="G1294" s="103" t="str">
        <v>settlementshelpsecurity</v>
      </c>
      <c r="H1294" s="135" t="s">
        <v>3920</v>
      </c>
      <c r="I1294" s="2" t="s">
        <v>5844</v>
      </c>
      <c r="J1294" s="2" t="s">
        <v>5882</v>
      </c>
      <c r="K1294" s="2" t="s">
        <v>5994</v>
      </c>
      <c r="L1294" s="2" t="s">
        <v>6048</v>
      </c>
      <c r="M1294" s="2" t="s">
        <v>6522</v>
      </c>
      <c r="N1294" s="1" t="s">
        <v>1784</v>
      </c>
    </row>
    <row r="1295" spans="1:14" ht="101.5" x14ac:dyDescent="0.35">
      <c r="A1295" s="121" t="s">
        <v>1785</v>
      </c>
      <c r="B1295" s="99" t="s">
        <v>5274</v>
      </c>
      <c r="C1295" s="121" t="str" cm="1">
        <f t="array" ref="C1295:F1295">_xlfn.TEXTSPLIT('איחוד שאלות'!$B1295,"_")</f>
        <v>preference</v>
      </c>
      <c r="D1295" s="99" t="str">
        <v>groups</v>
      </c>
      <c r="E1295" s="99" t="str">
        <v>opinion</v>
      </c>
      <c r="F1295" s="99" t="str">
        <v>territories</v>
      </c>
      <c r="G1295" s="100"/>
      <c r="H1295" s="136" t="s">
        <v>3920</v>
      </c>
      <c r="I1295" s="2" t="s">
        <v>5856</v>
      </c>
      <c r="J1295" s="2" t="s">
        <v>6457</v>
      </c>
      <c r="K1295" s="2" t="s">
        <v>5920</v>
      </c>
      <c r="L1295" s="2" t="s">
        <v>6048</v>
      </c>
      <c r="N1295" s="1" t="s">
        <v>1785</v>
      </c>
    </row>
    <row r="1296" spans="1:14" ht="58" x14ac:dyDescent="0.35">
      <c r="A1296" s="113" t="s">
        <v>1790</v>
      </c>
      <c r="B1296" s="102" t="s">
        <v>5275</v>
      </c>
      <c r="C1296" s="123" t="str" cm="1">
        <f t="array" ref="C1296:G1296">_xlfn.TEXTSPLIT('איחוד שאלות'!$B1296,"_")</f>
        <v>perception</v>
      </c>
      <c r="D1296" s="102" t="str">
        <v>policy</v>
      </c>
      <c r="E1296" s="102" t="str">
        <v>security</v>
      </c>
      <c r="F1296" s="102" t="str">
        <v>terrorism</v>
      </c>
      <c r="G1296" s="103" t="str">
        <v>winbyforce</v>
      </c>
      <c r="H1296" s="135" t="s">
        <v>3920</v>
      </c>
      <c r="I1296" s="2" t="s">
        <v>5844</v>
      </c>
      <c r="J1296" s="2" t="s">
        <v>5882</v>
      </c>
      <c r="K1296" s="2" t="s">
        <v>5994</v>
      </c>
      <c r="L1296" s="2" t="s">
        <v>6489</v>
      </c>
      <c r="M1296" s="2" t="s">
        <v>6523</v>
      </c>
      <c r="N1296" s="1" t="s">
        <v>1790</v>
      </c>
    </row>
    <row r="1297" spans="1:14" ht="72.5" x14ac:dyDescent="0.35">
      <c r="A1297" s="121" t="s">
        <v>1791</v>
      </c>
      <c r="B1297" s="99" t="s">
        <v>5276</v>
      </c>
      <c r="C1297" s="121" t="str" cm="1">
        <f t="array" ref="C1297:G1297">_xlfn.TEXTSPLIT('איחוד שאלות'!$B1297,"_")</f>
        <v>preference</v>
      </c>
      <c r="D1297" s="99" t="str">
        <v>policy</v>
      </c>
      <c r="E1297" s="99" t="str">
        <v>security</v>
      </c>
      <c r="F1297" s="99" t="str">
        <v>terrorism</v>
      </c>
      <c r="G1297" s="100" t="str">
        <v>offensevsdefence</v>
      </c>
      <c r="H1297" s="136" t="s">
        <v>3920</v>
      </c>
      <c r="I1297" s="2" t="s">
        <v>5856</v>
      </c>
      <c r="J1297" s="2" t="s">
        <v>5882</v>
      </c>
      <c r="K1297" s="2" t="s">
        <v>5994</v>
      </c>
      <c r="L1297" s="2" t="s">
        <v>6489</v>
      </c>
      <c r="M1297" s="2" t="s">
        <v>6524</v>
      </c>
      <c r="N1297" s="1" t="s">
        <v>1791</v>
      </c>
    </row>
    <row r="1298" spans="1:14" ht="72.5" x14ac:dyDescent="0.35">
      <c r="A1298" s="113" t="s">
        <v>1792</v>
      </c>
      <c r="B1298" s="102" t="s">
        <v>5277</v>
      </c>
      <c r="C1298" s="123" t="str" cm="1">
        <f t="array" ref="C1298:G1298">_xlfn.TEXTSPLIT('איחוד שאלות'!$B1298,"_")</f>
        <v>preference</v>
      </c>
      <c r="D1298" s="102" t="str">
        <v>policy</v>
      </c>
      <c r="E1298" s="102" t="str">
        <v>security</v>
      </c>
      <c r="F1298" s="102" t="str">
        <v>responsetorockets</v>
      </c>
      <c r="G1298" s="103" t="str">
        <v>north</v>
      </c>
      <c r="H1298" s="135" t="s">
        <v>3920</v>
      </c>
      <c r="I1298" s="2" t="s">
        <v>5856</v>
      </c>
      <c r="J1298" s="2" t="s">
        <v>5882</v>
      </c>
      <c r="K1298" s="2" t="s">
        <v>5994</v>
      </c>
      <c r="L1298" s="2" t="s">
        <v>6494</v>
      </c>
      <c r="M1298" s="2" t="s">
        <v>6525</v>
      </c>
      <c r="N1298" s="1" t="s">
        <v>1792</v>
      </c>
    </row>
    <row r="1299" spans="1:14" ht="145" x14ac:dyDescent="0.35">
      <c r="A1299" s="121" t="s">
        <v>1793</v>
      </c>
      <c r="B1299" s="99" t="s">
        <v>5279</v>
      </c>
      <c r="C1299" s="121" t="str" cm="1">
        <f t="array" ref="C1299:F1299">_xlfn.TEXTSPLIT('איחוד שאלות'!$B1299,"_")</f>
        <v>perception</v>
      </c>
      <c r="D1299" s="99" t="str">
        <v>satisfaction</v>
      </c>
      <c r="E1299" s="99" t="str">
        <v>security</v>
      </c>
      <c r="F1299" s="99" t="str">
        <v>firstlebanonwar</v>
      </c>
      <c r="G1299" s="100"/>
      <c r="H1299" s="136" t="s">
        <v>3920</v>
      </c>
      <c r="I1299" s="2" t="s">
        <v>5844</v>
      </c>
      <c r="J1299" s="2" t="s">
        <v>5847</v>
      </c>
      <c r="K1299" s="2" t="s">
        <v>5994</v>
      </c>
      <c r="L1299" s="2" t="s">
        <v>6526</v>
      </c>
      <c r="N1299" s="1" t="s">
        <v>1793</v>
      </c>
    </row>
    <row r="1300" spans="1:14" ht="130.5" x14ac:dyDescent="0.35">
      <c r="A1300" s="113" t="s">
        <v>3904</v>
      </c>
      <c r="B1300" s="102" t="s">
        <v>5280</v>
      </c>
      <c r="C1300" s="123" t="str" cm="1">
        <f t="array" ref="C1300:G1300">_xlfn.TEXTSPLIT('איחוד שאלות'!$B1300,"_")</f>
        <v>preference</v>
      </c>
      <c r="D1300" s="102" t="str">
        <v>policy</v>
      </c>
      <c r="E1300" s="102" t="str">
        <v>security</v>
      </c>
      <c r="F1300" s="102" t="str">
        <v>terrorism</v>
      </c>
      <c r="G1300" s="103" t="str">
        <v>destroyhouses</v>
      </c>
      <c r="H1300" s="135" t="s">
        <v>3920</v>
      </c>
      <c r="I1300" s="2" t="s">
        <v>5856</v>
      </c>
      <c r="J1300" s="2" t="s">
        <v>5882</v>
      </c>
      <c r="K1300" s="2" t="s">
        <v>5994</v>
      </c>
      <c r="L1300" s="2" t="s">
        <v>6489</v>
      </c>
      <c r="M1300" s="2" t="s">
        <v>6527</v>
      </c>
      <c r="N1300" s="1" t="s">
        <v>7467</v>
      </c>
    </row>
    <row r="1301" spans="1:14" ht="43.5" x14ac:dyDescent="0.35">
      <c r="A1301" s="121" t="s">
        <v>1796</v>
      </c>
      <c r="B1301" s="99" t="s">
        <v>5281</v>
      </c>
      <c r="C1301" s="121" t="str" cm="1">
        <f t="array" ref="C1301:G1301">_xlfn.TEXTSPLIT('איחוד שאלות'!$B1301,"_")</f>
        <v>preference</v>
      </c>
      <c r="D1301" s="99" t="str">
        <v>policy</v>
      </c>
      <c r="E1301" s="99" t="str">
        <v>security</v>
      </c>
      <c r="F1301" s="99" t="str">
        <v>terrorism</v>
      </c>
      <c r="G1301" s="100" t="str">
        <v>deportcollaborators</v>
      </c>
      <c r="H1301" s="136" t="s">
        <v>3920</v>
      </c>
      <c r="I1301" s="2" t="s">
        <v>5856</v>
      </c>
      <c r="J1301" s="2" t="s">
        <v>5882</v>
      </c>
      <c r="K1301" s="2" t="s">
        <v>5994</v>
      </c>
      <c r="L1301" s="2" t="s">
        <v>6489</v>
      </c>
      <c r="M1301" s="2" t="s">
        <v>6528</v>
      </c>
      <c r="N1301" s="1" t="s">
        <v>1796</v>
      </c>
    </row>
    <row r="1302" spans="1:14" ht="58" x14ac:dyDescent="0.35">
      <c r="A1302" s="113" t="s">
        <v>1797</v>
      </c>
      <c r="B1302" s="102" t="s">
        <v>5282</v>
      </c>
      <c r="C1302" s="123" t="str" cm="1">
        <f t="array" ref="C1302:G1302">_xlfn.TEXTSPLIT('איחוד שאלות'!$B1302,"_")</f>
        <v>preference</v>
      </c>
      <c r="D1302" s="102" t="str">
        <v>policy</v>
      </c>
      <c r="E1302" s="102" t="str">
        <v>security</v>
      </c>
      <c r="F1302" s="102" t="str">
        <v>terrorism</v>
      </c>
      <c r="G1302" s="103" t="str">
        <v>avoidciviliancasualties</v>
      </c>
      <c r="H1302" s="135" t="s">
        <v>3920</v>
      </c>
      <c r="I1302" s="2" t="s">
        <v>5856</v>
      </c>
      <c r="J1302" s="2" t="s">
        <v>5882</v>
      </c>
      <c r="K1302" s="2" t="s">
        <v>5994</v>
      </c>
      <c r="L1302" s="2" t="s">
        <v>6489</v>
      </c>
      <c r="M1302" s="2" t="s">
        <v>6529</v>
      </c>
      <c r="N1302" s="1" t="s">
        <v>1797</v>
      </c>
    </row>
    <row r="1303" spans="1:14" ht="58" x14ac:dyDescent="0.35">
      <c r="A1303" s="121" t="s">
        <v>1798</v>
      </c>
      <c r="B1303" s="99" t="s">
        <v>5283</v>
      </c>
      <c r="C1303" s="121" t="str" cm="1">
        <f t="array" ref="C1303:G1303">_xlfn.TEXTSPLIT('איחוד שאלות'!$B1303,"_")</f>
        <v>preference</v>
      </c>
      <c r="D1303" s="99" t="str">
        <v>policy</v>
      </c>
      <c r="E1303" s="99" t="str">
        <v>security</v>
      </c>
      <c r="F1303" s="99" t="str">
        <v>terrorism</v>
      </c>
      <c r="G1303" s="100" t="str">
        <v>tolerateciviliancasualties</v>
      </c>
      <c r="H1303" s="136" t="s">
        <v>3920</v>
      </c>
      <c r="I1303" s="2" t="s">
        <v>5856</v>
      </c>
      <c r="J1303" s="2" t="s">
        <v>5882</v>
      </c>
      <c r="K1303" s="2" t="s">
        <v>5994</v>
      </c>
      <c r="L1303" s="2" t="s">
        <v>6489</v>
      </c>
      <c r="M1303" s="2" t="s">
        <v>6530</v>
      </c>
      <c r="N1303" s="1" t="s">
        <v>1798</v>
      </c>
    </row>
    <row r="1304" spans="1:14" ht="43.5" x14ac:dyDescent="0.35">
      <c r="A1304" s="113" t="s">
        <v>1799</v>
      </c>
      <c r="B1304" s="102" t="s">
        <v>5284</v>
      </c>
      <c r="C1304" s="123" t="str" cm="1">
        <f t="array" ref="C1304:G1304">_xlfn.TEXTSPLIT('איחוד שאלות'!$B1304,"_")</f>
        <v>preference</v>
      </c>
      <c r="D1304" s="102" t="str">
        <v>policy</v>
      </c>
      <c r="E1304" s="102" t="str">
        <v>security</v>
      </c>
      <c r="F1304" s="102" t="str">
        <v>terrorism</v>
      </c>
      <c r="G1304" s="103" t="str">
        <v>assassinateleaders</v>
      </c>
      <c r="H1304" s="135" t="s">
        <v>3920</v>
      </c>
      <c r="I1304" s="2" t="s">
        <v>5856</v>
      </c>
      <c r="J1304" s="2" t="s">
        <v>5882</v>
      </c>
      <c r="K1304" s="2" t="s">
        <v>5994</v>
      </c>
      <c r="L1304" s="2" t="s">
        <v>6489</v>
      </c>
      <c r="M1304" s="2" t="s">
        <v>6531</v>
      </c>
      <c r="N1304" s="1" t="s">
        <v>1799</v>
      </c>
    </row>
    <row r="1305" spans="1:14" ht="58" x14ac:dyDescent="0.35">
      <c r="A1305" s="121" t="s">
        <v>1800</v>
      </c>
      <c r="B1305" s="99" t="s">
        <v>5285</v>
      </c>
      <c r="C1305" s="121" t="str" cm="1">
        <f t="array" ref="C1305:G1305">_xlfn.TEXTSPLIT('איחוד שאלות'!$B1305,"_")</f>
        <v>preference</v>
      </c>
      <c r="D1305" s="99" t="str">
        <v>policy</v>
      </c>
      <c r="E1305" s="99" t="str">
        <v>security</v>
      </c>
      <c r="F1305" s="99" t="str">
        <v>terrorism</v>
      </c>
      <c r="G1305" s="100" t="str">
        <v>retaliatecollaboratingstates</v>
      </c>
      <c r="H1305" s="136" t="s">
        <v>3920</v>
      </c>
      <c r="I1305" s="2" t="s">
        <v>5856</v>
      </c>
      <c r="J1305" s="2" t="s">
        <v>5882</v>
      </c>
      <c r="K1305" s="2" t="s">
        <v>5994</v>
      </c>
      <c r="L1305" s="2" t="s">
        <v>6489</v>
      </c>
      <c r="M1305" s="2" t="s">
        <v>6532</v>
      </c>
      <c r="N1305" s="1" t="s">
        <v>1800</v>
      </c>
    </row>
    <row r="1306" spans="1:14" ht="116" x14ac:dyDescent="0.35">
      <c r="A1306" s="113" t="s">
        <v>1801</v>
      </c>
      <c r="B1306" s="102" t="s">
        <v>5286</v>
      </c>
      <c r="C1306" s="123" t="str" cm="1">
        <f t="array" ref="C1306:F1306">_xlfn.TEXTSPLIT('איחוד שאלות'!$B1306,"_")</f>
        <v>preference</v>
      </c>
      <c r="D1306" s="102" t="str">
        <v>policy</v>
      </c>
      <c r="E1306" s="102" t="str">
        <v>security</v>
      </c>
      <c r="F1306" s="102" t="str">
        <v>terroristsforcivilhostages</v>
      </c>
      <c r="G1306" s="103"/>
      <c r="H1306" s="135" t="s">
        <v>3920</v>
      </c>
      <c r="I1306" s="2" t="s">
        <v>5856</v>
      </c>
      <c r="J1306" s="2" t="s">
        <v>5882</v>
      </c>
      <c r="K1306" s="2" t="s">
        <v>5994</v>
      </c>
      <c r="L1306" s="2" t="s">
        <v>6533</v>
      </c>
      <c r="N1306" s="1" t="s">
        <v>1801</v>
      </c>
    </row>
    <row r="1307" spans="1:14" ht="116" x14ac:dyDescent="0.35">
      <c r="A1307" s="121" t="s">
        <v>1802</v>
      </c>
      <c r="B1307" s="99" t="s">
        <v>5287</v>
      </c>
      <c r="C1307" s="121" t="str" cm="1">
        <f t="array" ref="C1307:F1307">_xlfn.TEXTSPLIT('איחוד שאלות'!$B1307,"_")</f>
        <v>preference</v>
      </c>
      <c r="D1307" s="99" t="str">
        <v>policy</v>
      </c>
      <c r="E1307" s="99" t="str">
        <v>security</v>
      </c>
      <c r="F1307" s="99" t="str">
        <v>terroristsforIDFhostages</v>
      </c>
      <c r="G1307" s="100"/>
      <c r="H1307" s="136" t="s">
        <v>3920</v>
      </c>
      <c r="I1307" s="2" t="s">
        <v>5856</v>
      </c>
      <c r="J1307" s="2" t="s">
        <v>5882</v>
      </c>
      <c r="K1307" s="2" t="s">
        <v>5994</v>
      </c>
      <c r="L1307" s="2" t="s">
        <v>6534</v>
      </c>
      <c r="N1307" s="1" t="s">
        <v>1802</v>
      </c>
    </row>
    <row r="1308" spans="1:14" ht="116" x14ac:dyDescent="0.35">
      <c r="A1308" s="113" t="s">
        <v>3905</v>
      </c>
      <c r="B1308" s="102" t="s">
        <v>5288</v>
      </c>
      <c r="C1308" s="123" t="str" cm="1">
        <f t="array" ref="C1308:G1308">_xlfn.TEXTSPLIT('איחוד שאלות'!$B1308,"_")</f>
        <v>preference</v>
      </c>
      <c r="D1308" s="102" t="str">
        <v>policy</v>
      </c>
      <c r="E1308" s="102" t="str">
        <v>security</v>
      </c>
      <c r="F1308" s="102" t="str">
        <v>startwar</v>
      </c>
      <c r="G1308" s="103" t="str">
        <v>defendagainstdestruction</v>
      </c>
      <c r="H1308" s="135" t="s">
        <v>3920</v>
      </c>
      <c r="I1308" s="2" t="s">
        <v>5856</v>
      </c>
      <c r="J1308" s="2" t="s">
        <v>5882</v>
      </c>
      <c r="K1308" s="2" t="s">
        <v>5994</v>
      </c>
      <c r="L1308" s="2" t="s">
        <v>6505</v>
      </c>
      <c r="M1308" s="2" t="s">
        <v>6535</v>
      </c>
      <c r="N1308" s="1" t="s">
        <v>7468</v>
      </c>
    </row>
    <row r="1309" spans="1:14" ht="43.5" x14ac:dyDescent="0.35">
      <c r="A1309" s="121" t="s">
        <v>1804</v>
      </c>
      <c r="B1309" s="99" t="s">
        <v>5289</v>
      </c>
      <c r="C1309" s="121" t="str" cm="1">
        <f t="array" ref="C1309:G1309">_xlfn.TEXTSPLIT('איחוד שאלות'!$B1309,"_")</f>
        <v>preference</v>
      </c>
      <c r="D1309" s="99" t="str">
        <v>policy</v>
      </c>
      <c r="E1309" s="99" t="str">
        <v>security</v>
      </c>
      <c r="F1309" s="99" t="str">
        <v>startwar</v>
      </c>
      <c r="G1309" s="100" t="str">
        <v>defendagainstlandloss</v>
      </c>
      <c r="H1309" s="136" t="s">
        <v>3920</v>
      </c>
      <c r="I1309" s="2" t="s">
        <v>5856</v>
      </c>
      <c r="J1309" s="2" t="s">
        <v>5882</v>
      </c>
      <c r="K1309" s="2" t="s">
        <v>5994</v>
      </c>
      <c r="L1309" s="2" t="s">
        <v>6505</v>
      </c>
      <c r="M1309" s="2" t="s">
        <v>6536</v>
      </c>
      <c r="N1309" s="1" t="s">
        <v>1804</v>
      </c>
    </row>
    <row r="1310" spans="1:14" ht="43.5" x14ac:dyDescent="0.35">
      <c r="A1310" s="113" t="s">
        <v>1805</v>
      </c>
      <c r="B1310" s="102" t="s">
        <v>5290</v>
      </c>
      <c r="C1310" s="123" t="str" cm="1">
        <f t="array" ref="C1310:G1310">_xlfn.TEXTSPLIT('איחוד שאלות'!$B1310,"_")</f>
        <v>preference</v>
      </c>
      <c r="D1310" s="102" t="str">
        <v>policy</v>
      </c>
      <c r="E1310" s="102" t="str">
        <v>security</v>
      </c>
      <c r="F1310" s="102" t="str">
        <v>startwar</v>
      </c>
      <c r="G1310" s="103" t="str">
        <v>stopattritionwarfare</v>
      </c>
      <c r="H1310" s="135" t="s">
        <v>3920</v>
      </c>
      <c r="I1310" s="2" t="s">
        <v>5856</v>
      </c>
      <c r="J1310" s="2" t="s">
        <v>5882</v>
      </c>
      <c r="K1310" s="2" t="s">
        <v>5994</v>
      </c>
      <c r="L1310" s="2" t="s">
        <v>6505</v>
      </c>
      <c r="M1310" s="2" t="s">
        <v>6537</v>
      </c>
      <c r="N1310" s="1" t="s">
        <v>1805</v>
      </c>
    </row>
    <row r="1311" spans="1:14" ht="72.5" x14ac:dyDescent="0.35">
      <c r="A1311" s="121" t="s">
        <v>1806</v>
      </c>
      <c r="B1311" s="99" t="s">
        <v>5291</v>
      </c>
      <c r="C1311" s="121" t="str" cm="1">
        <f t="array" ref="C1311:G1311">_xlfn.TEXTSPLIT('איחוד שאלות'!$B1311,"_")</f>
        <v>preference</v>
      </c>
      <c r="D1311" s="99" t="str">
        <v>policy</v>
      </c>
      <c r="E1311" s="99" t="str">
        <v>security</v>
      </c>
      <c r="F1311" s="99" t="str">
        <v>startwar</v>
      </c>
      <c r="G1311" s="100" t="str">
        <v>preventpowerfulenemy</v>
      </c>
      <c r="H1311" s="136" t="s">
        <v>3920</v>
      </c>
      <c r="I1311" s="2" t="s">
        <v>5856</v>
      </c>
      <c r="J1311" s="2" t="s">
        <v>5882</v>
      </c>
      <c r="K1311" s="2" t="s">
        <v>5994</v>
      </c>
      <c r="L1311" s="2" t="s">
        <v>6505</v>
      </c>
      <c r="M1311" s="2" t="s">
        <v>6538</v>
      </c>
      <c r="N1311" s="1" t="s">
        <v>1806</v>
      </c>
    </row>
    <row r="1312" spans="1:14" ht="58" x14ac:dyDescent="0.35">
      <c r="A1312" s="113" t="s">
        <v>1807</v>
      </c>
      <c r="B1312" s="102" t="s">
        <v>5292</v>
      </c>
      <c r="C1312" s="123" t="str" cm="1">
        <f t="array" ref="C1312:G1312">_xlfn.TEXTSPLIT('איחוד שאלות'!$B1312,"_")</f>
        <v>preference</v>
      </c>
      <c r="D1312" s="102" t="str">
        <v>policy</v>
      </c>
      <c r="E1312" s="102" t="str">
        <v>security</v>
      </c>
      <c r="F1312" s="102" t="str">
        <v>startwar</v>
      </c>
      <c r="G1312" s="103" t="str">
        <v>replaceregime</v>
      </c>
      <c r="H1312" s="135" t="s">
        <v>3920</v>
      </c>
      <c r="I1312" s="2" t="s">
        <v>5856</v>
      </c>
      <c r="J1312" s="2" t="s">
        <v>5882</v>
      </c>
      <c r="K1312" s="2" t="s">
        <v>5994</v>
      </c>
      <c r="L1312" s="2" t="s">
        <v>6505</v>
      </c>
      <c r="M1312" s="2" t="s">
        <v>6539</v>
      </c>
      <c r="N1312" s="1" t="s">
        <v>1807</v>
      </c>
    </row>
    <row r="1313" spans="1:14" ht="43.5" x14ac:dyDescent="0.35">
      <c r="A1313" s="121" t="s">
        <v>1808</v>
      </c>
      <c r="B1313" s="99" t="s">
        <v>5293</v>
      </c>
      <c r="C1313" s="121" t="str" cm="1">
        <f t="array" ref="C1313:G1313">_xlfn.TEXTSPLIT('איחוד שאלות'!$B1313,"_")</f>
        <v>preference</v>
      </c>
      <c r="D1313" s="99" t="str">
        <v>policy</v>
      </c>
      <c r="E1313" s="99" t="str">
        <v>security</v>
      </c>
      <c r="F1313" s="99" t="str">
        <v>startwar</v>
      </c>
      <c r="G1313" s="100" t="str">
        <v>conquerterritories</v>
      </c>
      <c r="H1313" s="136" t="s">
        <v>3920</v>
      </c>
      <c r="I1313" s="2" t="s">
        <v>5856</v>
      </c>
      <c r="J1313" s="2" t="s">
        <v>5882</v>
      </c>
      <c r="K1313" s="2" t="s">
        <v>5994</v>
      </c>
      <c r="L1313" s="2" t="s">
        <v>6505</v>
      </c>
      <c r="M1313" s="2" t="s">
        <v>6540</v>
      </c>
      <c r="N1313" s="1" t="s">
        <v>1808</v>
      </c>
    </row>
    <row r="1314" spans="1:14" ht="58" x14ac:dyDescent="0.35">
      <c r="A1314" s="113" t="s">
        <v>1809</v>
      </c>
      <c r="B1314" s="102" t="s">
        <v>5294</v>
      </c>
      <c r="C1314" s="123" t="str" cm="1">
        <f t="array" ref="C1314:G1314">_xlfn.TEXTSPLIT('איחוד שאלות'!$B1314,"_")</f>
        <v>preference</v>
      </c>
      <c r="D1314" s="102" t="str">
        <v>policy</v>
      </c>
      <c r="E1314" s="102" t="str">
        <v>security</v>
      </c>
      <c r="F1314" s="102" t="str">
        <v>startwar</v>
      </c>
      <c r="G1314" s="103" t="str">
        <v>intelligence</v>
      </c>
      <c r="H1314" s="135" t="s">
        <v>3920</v>
      </c>
      <c r="I1314" s="2" t="s">
        <v>5856</v>
      </c>
      <c r="J1314" s="2" t="s">
        <v>5882</v>
      </c>
      <c r="K1314" s="2" t="s">
        <v>5994</v>
      </c>
      <c r="L1314" s="2" t="s">
        <v>6505</v>
      </c>
      <c r="M1314" s="2" t="s">
        <v>6541</v>
      </c>
      <c r="N1314" s="1" t="s">
        <v>1809</v>
      </c>
    </row>
    <row r="1315" spans="1:14" ht="58" x14ac:dyDescent="0.35">
      <c r="A1315" s="121" t="s">
        <v>1810</v>
      </c>
      <c r="B1315" s="99" t="s">
        <v>5295</v>
      </c>
      <c r="C1315" s="121" t="str" cm="1">
        <f t="array" ref="C1315:G1315">_xlfn.TEXTSPLIT('איחוד שאלות'!$B1315,"_")</f>
        <v>preference</v>
      </c>
      <c r="D1315" s="99" t="str">
        <v>policy</v>
      </c>
      <c r="E1315" s="99" t="str">
        <v>security</v>
      </c>
      <c r="F1315" s="99" t="str">
        <v>startwar</v>
      </c>
      <c r="G1315" s="100" t="str">
        <v>helpUSA</v>
      </c>
      <c r="H1315" s="136" t="s">
        <v>3920</v>
      </c>
      <c r="I1315" s="2" t="s">
        <v>5856</v>
      </c>
      <c r="J1315" s="2" t="s">
        <v>5882</v>
      </c>
      <c r="K1315" s="2" t="s">
        <v>5994</v>
      </c>
      <c r="L1315" s="2" t="s">
        <v>6505</v>
      </c>
      <c r="M1315" s="2" t="s">
        <v>6542</v>
      </c>
      <c r="N1315" s="1" t="s">
        <v>1810</v>
      </c>
    </row>
    <row r="1316" spans="1:14" ht="43.5" x14ac:dyDescent="0.35">
      <c r="A1316" s="113" t="s">
        <v>1811</v>
      </c>
      <c r="B1316" s="102" t="s">
        <v>5296</v>
      </c>
      <c r="C1316" s="123" t="str" cm="1">
        <f t="array" ref="C1316:G1316">_xlfn.TEXTSPLIT('איחוד שאלות'!$B1316,"_")</f>
        <v>preference</v>
      </c>
      <c r="D1316" s="102" t="str">
        <v>policy</v>
      </c>
      <c r="E1316" s="102" t="str">
        <v>security</v>
      </c>
      <c r="F1316" s="102" t="str">
        <v>startwar</v>
      </c>
      <c r="G1316" s="103" t="str">
        <v>helplocalally</v>
      </c>
      <c r="H1316" s="135" t="s">
        <v>3920</v>
      </c>
      <c r="I1316" s="2" t="s">
        <v>5856</v>
      </c>
      <c r="J1316" s="2" t="s">
        <v>5882</v>
      </c>
      <c r="K1316" s="2" t="s">
        <v>5994</v>
      </c>
      <c r="L1316" s="2" t="s">
        <v>6505</v>
      </c>
      <c r="M1316" s="2" t="s">
        <v>6543</v>
      </c>
      <c r="N1316" s="1" t="s">
        <v>1811</v>
      </c>
    </row>
    <row r="1317" spans="1:14" ht="43.5" x14ac:dyDescent="0.35">
      <c r="A1317" s="121" t="s">
        <v>1812</v>
      </c>
      <c r="B1317" s="99" t="s">
        <v>5297</v>
      </c>
      <c r="C1317" s="121" t="str" cm="1">
        <f t="array" ref="C1317:G1317">_xlfn.TEXTSPLIT('איחוד שאלות'!$B1317,"_")</f>
        <v>preference</v>
      </c>
      <c r="D1317" s="99" t="str">
        <v>policy</v>
      </c>
      <c r="E1317" s="99" t="str">
        <v>security</v>
      </c>
      <c r="F1317" s="99" t="str">
        <v>startwar</v>
      </c>
      <c r="G1317" s="100" t="str">
        <v>fightterrorism</v>
      </c>
      <c r="H1317" s="136" t="s">
        <v>3920</v>
      </c>
      <c r="I1317" s="2" t="s">
        <v>5856</v>
      </c>
      <c r="J1317" s="2" t="s">
        <v>5882</v>
      </c>
      <c r="K1317" s="2" t="s">
        <v>5994</v>
      </c>
      <c r="L1317" s="2" t="s">
        <v>6505</v>
      </c>
      <c r="M1317" s="2" t="s">
        <v>6544</v>
      </c>
      <c r="N1317" s="1" t="s">
        <v>1812</v>
      </c>
    </row>
    <row r="1318" spans="1:14" ht="43.5" x14ac:dyDescent="0.35">
      <c r="A1318" s="113" t="s">
        <v>1813</v>
      </c>
      <c r="B1318" s="102" t="s">
        <v>5298</v>
      </c>
      <c r="C1318" s="123" t="str" cm="1">
        <f t="array" ref="C1318:F1318">_xlfn.TEXTSPLIT('איחוד שאלות'!$B1318,"_")</f>
        <v>preference</v>
      </c>
      <c r="D1318" s="102" t="str">
        <v>policy</v>
      </c>
      <c r="E1318" s="102" t="str">
        <v>security</v>
      </c>
      <c r="F1318" s="102" t="str">
        <v>nuclearweapon</v>
      </c>
      <c r="G1318" s="103"/>
      <c r="H1318" s="135" t="s">
        <v>3920</v>
      </c>
      <c r="I1318" s="2" t="s">
        <v>5856</v>
      </c>
      <c r="J1318" s="2" t="s">
        <v>5882</v>
      </c>
      <c r="K1318" s="2" t="s">
        <v>5994</v>
      </c>
      <c r="L1318" s="2" t="s">
        <v>6545</v>
      </c>
      <c r="N1318" s="1" t="s">
        <v>1813</v>
      </c>
    </row>
    <row r="1319" spans="1:14" ht="116" x14ac:dyDescent="0.35">
      <c r="A1319" s="121" t="s">
        <v>1814</v>
      </c>
      <c r="B1319" s="99" t="s">
        <v>5299</v>
      </c>
      <c r="C1319" s="121" t="str" cm="1">
        <f t="array" ref="C1319:F1319">_xlfn.TEXTSPLIT('איחוד שאלות'!$B1319,"_")</f>
        <v>preference</v>
      </c>
      <c r="D1319" s="99" t="str">
        <v>policy</v>
      </c>
      <c r="E1319" s="99" t="str">
        <v>security</v>
      </c>
      <c r="F1319" s="99" t="str">
        <v>usenuclearweapon</v>
      </c>
      <c r="G1319" s="100"/>
      <c r="H1319" s="136" t="s">
        <v>3920</v>
      </c>
      <c r="I1319" s="2" t="s">
        <v>5856</v>
      </c>
      <c r="J1319" s="2" t="s">
        <v>5882</v>
      </c>
      <c r="K1319" s="2" t="s">
        <v>5994</v>
      </c>
      <c r="L1319" s="2" t="s">
        <v>6546</v>
      </c>
      <c r="N1319" s="1" t="s">
        <v>1814</v>
      </c>
    </row>
    <row r="1320" spans="1:14" ht="72.5" x14ac:dyDescent="0.35">
      <c r="A1320" s="113" t="s">
        <v>2194</v>
      </c>
      <c r="B1320" s="146" t="s">
        <v>5300</v>
      </c>
      <c r="C1320" s="123" t="str" cm="1">
        <f t="array" ref="C1320:G1320">_xlfn.TEXTSPLIT('איחוד שאלות'!$B1320,"_")</f>
        <v>perception</v>
      </c>
      <c r="D1320" s="102" t="str">
        <v>public</v>
      </c>
      <c r="E1320" s="102" t="str">
        <v>policy</v>
      </c>
      <c r="F1320" s="102" t="str">
        <v>security</v>
      </c>
      <c r="G1320" s="103" t="str">
        <v>usenuclearweapon</v>
      </c>
      <c r="H1320" s="135" t="s">
        <v>3920</v>
      </c>
      <c r="I1320" s="2" t="s">
        <v>5844</v>
      </c>
      <c r="J1320" s="2" t="s">
        <v>5912</v>
      </c>
      <c r="K1320" s="2" t="s">
        <v>5882</v>
      </c>
      <c r="L1320" s="2" t="s">
        <v>5994</v>
      </c>
      <c r="M1320" s="2" t="s">
        <v>6546</v>
      </c>
      <c r="N1320" s="1" t="s">
        <v>2194</v>
      </c>
    </row>
    <row r="1321" spans="1:14" ht="87" x14ac:dyDescent="0.35">
      <c r="A1321" s="121" t="s">
        <v>2187</v>
      </c>
      <c r="B1321" s="150" t="s">
        <v>5301</v>
      </c>
      <c r="C1321" s="121" t="str" cm="1">
        <f t="array" ref="C1321:G1321">_xlfn.TEXTSPLIT('איחוד שאלות'!$B1321,"_")</f>
        <v>attribute</v>
      </c>
      <c r="D1321" s="99" t="str">
        <v>knowledge</v>
      </c>
      <c r="E1321" s="99" t="str">
        <v>policy</v>
      </c>
      <c r="F1321" s="99" t="str">
        <v>security</v>
      </c>
      <c r="G1321" s="100" t="str">
        <v>usenuclearweapon</v>
      </c>
      <c r="H1321" s="136" t="s">
        <v>3920</v>
      </c>
      <c r="I1321" s="2" t="s">
        <v>5775</v>
      </c>
      <c r="J1321" s="2" t="s">
        <v>5942</v>
      </c>
      <c r="K1321" s="2" t="s">
        <v>5882</v>
      </c>
      <c r="L1321" s="2" t="s">
        <v>5994</v>
      </c>
      <c r="M1321" s="2" t="s">
        <v>6546</v>
      </c>
      <c r="N1321" s="1" t="s">
        <v>2187</v>
      </c>
    </row>
    <row r="1322" spans="1:14" ht="101.5" x14ac:dyDescent="0.35">
      <c r="A1322" s="113" t="s">
        <v>3906</v>
      </c>
      <c r="B1322" s="102" t="s">
        <v>5302</v>
      </c>
      <c r="C1322" s="123" t="str" cm="1">
        <f t="array" ref="C1322:G1322">_xlfn.TEXTSPLIT('איחוד שאלות'!$B1322,"_")</f>
        <v>preference</v>
      </c>
      <c r="D1322" s="102" t="str">
        <v>policy</v>
      </c>
      <c r="E1322" s="102" t="str">
        <v>security</v>
      </c>
      <c r="F1322" s="102" t="str">
        <v>usenuclearweapon</v>
      </c>
      <c r="G1322" s="103" t="str">
        <v>respondnuclearattack</v>
      </c>
      <c r="H1322" s="135" t="s">
        <v>3920</v>
      </c>
      <c r="I1322" s="2" t="s">
        <v>5856</v>
      </c>
      <c r="J1322" s="2" t="s">
        <v>5882</v>
      </c>
      <c r="K1322" s="2" t="s">
        <v>5994</v>
      </c>
      <c r="L1322" s="2" t="s">
        <v>6546</v>
      </c>
      <c r="M1322" s="2" t="s">
        <v>6547</v>
      </c>
      <c r="N1322" s="1" t="s">
        <v>7469</v>
      </c>
    </row>
    <row r="1323" spans="1:14" ht="58" x14ac:dyDescent="0.35">
      <c r="A1323" s="121" t="s">
        <v>1816</v>
      </c>
      <c r="B1323" s="99" t="s">
        <v>5303</v>
      </c>
      <c r="C1323" s="121" t="str" cm="1">
        <f t="array" ref="C1323:G1323">_xlfn.TEXTSPLIT('איחוד שאלות'!$B1323,"_")</f>
        <v>preference</v>
      </c>
      <c r="D1323" s="99" t="str">
        <v>policy</v>
      </c>
      <c r="E1323" s="99" t="str">
        <v>security</v>
      </c>
      <c r="F1323" s="99" t="str">
        <v>usenuclearweapon</v>
      </c>
      <c r="G1323" s="100" t="str">
        <v>preventdefeat</v>
      </c>
      <c r="H1323" s="136" t="s">
        <v>3920</v>
      </c>
      <c r="I1323" s="2" t="s">
        <v>5856</v>
      </c>
      <c r="J1323" s="2" t="s">
        <v>5882</v>
      </c>
      <c r="K1323" s="2" t="s">
        <v>5994</v>
      </c>
      <c r="L1323" s="2" t="s">
        <v>6546</v>
      </c>
      <c r="M1323" s="2" t="s">
        <v>6548</v>
      </c>
      <c r="N1323" s="1" t="s">
        <v>1816</v>
      </c>
    </row>
    <row r="1324" spans="1:14" ht="58" x14ac:dyDescent="0.35">
      <c r="A1324" s="113" t="s">
        <v>1817</v>
      </c>
      <c r="B1324" s="102" t="s">
        <v>5304</v>
      </c>
      <c r="C1324" s="123" t="str" cm="1">
        <f t="array" ref="C1324:G1324">_xlfn.TEXTSPLIT('איחוד שאלות'!$B1324,"_")</f>
        <v>preference</v>
      </c>
      <c r="D1324" s="102" t="str">
        <v>policy</v>
      </c>
      <c r="E1324" s="102" t="str">
        <v>security</v>
      </c>
      <c r="F1324" s="102" t="str">
        <v>usenuclearweapon</v>
      </c>
      <c r="G1324" s="103" t="str">
        <v>preventalotcasualties</v>
      </c>
      <c r="H1324" s="135" t="s">
        <v>3920</v>
      </c>
      <c r="I1324" s="2" t="s">
        <v>5856</v>
      </c>
      <c r="J1324" s="2" t="s">
        <v>5882</v>
      </c>
      <c r="K1324" s="2" t="s">
        <v>5994</v>
      </c>
      <c r="L1324" s="2" t="s">
        <v>6546</v>
      </c>
      <c r="M1324" s="2" t="s">
        <v>6549</v>
      </c>
      <c r="N1324" s="1" t="s">
        <v>1817</v>
      </c>
    </row>
    <row r="1325" spans="1:14" ht="58" x14ac:dyDescent="0.35">
      <c r="A1325" s="121" t="s">
        <v>1818</v>
      </c>
      <c r="B1325" s="99" t="s">
        <v>5305</v>
      </c>
      <c r="C1325" s="121" t="str" cm="1">
        <f t="array" ref="C1325:G1325">_xlfn.TEXTSPLIT('איחוד שאלות'!$B1325,"_")</f>
        <v>preference</v>
      </c>
      <c r="D1325" s="99" t="str">
        <v>policy</v>
      </c>
      <c r="E1325" s="99" t="str">
        <v>security</v>
      </c>
      <c r="F1325" s="99" t="str">
        <v>usenuclearweapon</v>
      </c>
      <c r="G1325" s="100" t="str">
        <v>preventsomecasualties</v>
      </c>
      <c r="H1325" s="136" t="s">
        <v>3920</v>
      </c>
      <c r="I1325" s="2" t="s">
        <v>5856</v>
      </c>
      <c r="J1325" s="2" t="s">
        <v>5882</v>
      </c>
      <c r="K1325" s="2" t="s">
        <v>5994</v>
      </c>
      <c r="L1325" s="2" t="s">
        <v>6546</v>
      </c>
      <c r="M1325" s="2" t="s">
        <v>6550</v>
      </c>
      <c r="N1325" s="1" t="s">
        <v>1818</v>
      </c>
    </row>
    <row r="1326" spans="1:14" ht="58" x14ac:dyDescent="0.35">
      <c r="A1326" s="113" t="s">
        <v>1819</v>
      </c>
      <c r="B1326" s="102" t="s">
        <v>5306</v>
      </c>
      <c r="C1326" s="123" t="str" cm="1">
        <f t="array" ref="C1326:G1326">_xlfn.TEXTSPLIT('איחוד שאלות'!$B1326,"_")</f>
        <v>preference</v>
      </c>
      <c r="D1326" s="102" t="str">
        <v>policy</v>
      </c>
      <c r="E1326" s="102" t="str">
        <v>security</v>
      </c>
      <c r="F1326" s="102" t="str">
        <v>usenuclearweapon</v>
      </c>
      <c r="G1326" s="103" t="str">
        <v>replacearmy</v>
      </c>
      <c r="H1326" s="135" t="s">
        <v>3920</v>
      </c>
      <c r="I1326" s="2" t="s">
        <v>5856</v>
      </c>
      <c r="J1326" s="2" t="s">
        <v>5882</v>
      </c>
      <c r="K1326" s="2" t="s">
        <v>5994</v>
      </c>
      <c r="L1326" s="2" t="s">
        <v>6546</v>
      </c>
      <c r="M1326" s="2" t="s">
        <v>6551</v>
      </c>
      <c r="N1326" s="1" t="s">
        <v>1819</v>
      </c>
    </row>
    <row r="1327" spans="1:14" ht="43.5" x14ac:dyDescent="0.35">
      <c r="A1327" s="121" t="s">
        <v>1820</v>
      </c>
      <c r="B1327" s="99" t="s">
        <v>5307</v>
      </c>
      <c r="C1327" s="121" t="str" cm="1">
        <f t="array" ref="C1327:F1327">_xlfn.TEXTSPLIT('איחוד שאלות'!$B1327,"_")</f>
        <v>perception</v>
      </c>
      <c r="D1327" s="99" t="str">
        <v>israel</v>
      </c>
      <c r="E1327" s="99" t="str">
        <v>security</v>
      </c>
      <c r="F1327" s="99" t="str">
        <v>ownsnuclearweapon</v>
      </c>
      <c r="G1327" s="100"/>
      <c r="H1327" s="136" t="s">
        <v>3920</v>
      </c>
      <c r="I1327" s="2" t="s">
        <v>5844</v>
      </c>
      <c r="J1327" s="2" t="s">
        <v>5845</v>
      </c>
      <c r="K1327" s="2" t="s">
        <v>5994</v>
      </c>
      <c r="L1327" s="2" t="s">
        <v>6552</v>
      </c>
      <c r="N1327" s="1" t="s">
        <v>1820</v>
      </c>
    </row>
    <row r="1328" spans="1:14" ht="87" x14ac:dyDescent="0.35">
      <c r="A1328" s="113" t="s">
        <v>1821</v>
      </c>
      <c r="B1328" s="102" t="s">
        <v>5308</v>
      </c>
      <c r="C1328" s="123" t="str" cm="1">
        <f t="array" ref="C1328:F1328">_xlfn.TEXTSPLIT('איחוד שאלות'!$B1328,"_")</f>
        <v>preference</v>
      </c>
      <c r="D1328" s="102" t="str">
        <v>policy</v>
      </c>
      <c r="E1328" s="102" t="str">
        <v>security</v>
      </c>
      <c r="F1328" s="102" t="str">
        <v>proclaimnuclearweapon</v>
      </c>
      <c r="G1328" s="103"/>
      <c r="H1328" s="135" t="s">
        <v>3920</v>
      </c>
      <c r="I1328" s="2" t="s">
        <v>5856</v>
      </c>
      <c r="J1328" s="2" t="s">
        <v>5882</v>
      </c>
      <c r="K1328" s="2" t="s">
        <v>5994</v>
      </c>
      <c r="L1328" s="2" t="s">
        <v>6553</v>
      </c>
      <c r="N1328" s="1" t="s">
        <v>1821</v>
      </c>
    </row>
    <row r="1329" spans="1:14" ht="145" x14ac:dyDescent="0.35">
      <c r="A1329" s="121" t="s">
        <v>3907</v>
      </c>
      <c r="B1329" s="99" t="s">
        <v>5309</v>
      </c>
      <c r="C1329" s="121" t="str" cm="1">
        <f t="array" ref="C1329:F1329">_xlfn.TEXTSPLIT('איחוד שאלות'!$B1329,"_")</f>
        <v>preference</v>
      </c>
      <c r="D1329" s="99" t="str">
        <v>policy</v>
      </c>
      <c r="E1329" s="99" t="str">
        <v>security</v>
      </c>
      <c r="F1329" s="99" t="str">
        <v>sacrificeforindependence</v>
      </c>
      <c r="G1329" s="100"/>
      <c r="H1329" s="136" t="s">
        <v>3920</v>
      </c>
      <c r="I1329" s="2" t="s">
        <v>5856</v>
      </c>
      <c r="J1329" s="2" t="s">
        <v>5882</v>
      </c>
      <c r="K1329" s="2" t="s">
        <v>5994</v>
      </c>
      <c r="L1329" s="2" t="s">
        <v>6554</v>
      </c>
      <c r="N1329" s="1" t="s">
        <v>7470</v>
      </c>
    </row>
    <row r="1330" spans="1:14" ht="101.5" x14ac:dyDescent="0.35">
      <c r="A1330" s="113" t="s">
        <v>3908</v>
      </c>
      <c r="B1330" s="102" t="s">
        <v>5310</v>
      </c>
      <c r="C1330" s="123" t="str" cm="1">
        <f t="array" ref="C1330:F1330">_xlfn.TEXTSPLIT('איחוד שאלות'!$B1330,"_")</f>
        <v>preference</v>
      </c>
      <c r="D1330" s="102" t="str">
        <v>policy</v>
      </c>
      <c r="E1330" s="102" t="str">
        <v>security</v>
      </c>
      <c r="F1330" s="102" t="str">
        <v>nucleardeterrence</v>
      </c>
      <c r="G1330" s="103"/>
      <c r="H1330" s="135" t="s">
        <v>3920</v>
      </c>
      <c r="I1330" s="2" t="s">
        <v>5856</v>
      </c>
      <c r="J1330" s="2" t="s">
        <v>5882</v>
      </c>
      <c r="K1330" s="2" t="s">
        <v>5994</v>
      </c>
      <c r="L1330" s="2" t="s">
        <v>6555</v>
      </c>
      <c r="N1330" s="1" t="s">
        <v>7471</v>
      </c>
    </row>
    <row r="1331" spans="1:14" ht="101.5" x14ac:dyDescent="0.35">
      <c r="A1331" s="121" t="s">
        <v>3909</v>
      </c>
      <c r="B1331" s="99" t="s">
        <v>5311</v>
      </c>
      <c r="C1331" s="121" t="str" cm="1">
        <f t="array" ref="C1331:F1331">_xlfn.TEXTSPLIT('איחוד שאלות'!$B1331,"_")</f>
        <v>preference</v>
      </c>
      <c r="D1331" s="99" t="str">
        <v>policy</v>
      </c>
      <c r="E1331" s="99" t="str">
        <v>security</v>
      </c>
      <c r="F1331" s="99" t="str">
        <v>allianceUSA</v>
      </c>
      <c r="G1331" s="100"/>
      <c r="H1331" s="136" t="s">
        <v>3920</v>
      </c>
      <c r="I1331" s="2" t="s">
        <v>5856</v>
      </c>
      <c r="J1331" s="2" t="s">
        <v>5882</v>
      </c>
      <c r="K1331" s="2" t="s">
        <v>5994</v>
      </c>
      <c r="L1331" s="2" t="s">
        <v>6556</v>
      </c>
      <c r="N1331" s="1" t="s">
        <v>7472</v>
      </c>
    </row>
    <row r="1332" spans="1:14" ht="101.5" x14ac:dyDescent="0.35">
      <c r="A1332" s="113" t="s">
        <v>3910</v>
      </c>
      <c r="B1332" s="102" t="s">
        <v>5312</v>
      </c>
      <c r="C1332" s="123" t="str" cm="1">
        <f t="array" ref="C1332:F1332">_xlfn.TEXTSPLIT('איחוד שאלות'!$B1332,"_")</f>
        <v>perception</v>
      </c>
      <c r="D1332" s="102" t="str">
        <v>security</v>
      </c>
      <c r="E1332" s="102" t="str">
        <v>mostdangerousenemy</v>
      </c>
      <c r="F1332" s="102" t="str">
        <v>1</v>
      </c>
      <c r="G1332" s="103"/>
      <c r="H1332" s="135" t="s">
        <v>3920</v>
      </c>
      <c r="I1332" s="2" t="s">
        <v>5844</v>
      </c>
      <c r="J1332" s="2" t="s">
        <v>5994</v>
      </c>
      <c r="K1332" s="2" t="s">
        <v>6557</v>
      </c>
      <c r="L1332" s="2" t="s">
        <v>5789</v>
      </c>
      <c r="N1332" s="1" t="s">
        <v>7473</v>
      </c>
    </row>
    <row r="1333" spans="1:14" ht="43.5" x14ac:dyDescent="0.35">
      <c r="A1333" s="121" t="s">
        <v>1660</v>
      </c>
      <c r="B1333" s="99" t="s">
        <v>5313</v>
      </c>
      <c r="C1333" s="121" t="str" cm="1">
        <f t="array" ref="C1333:F1333">_xlfn.TEXTSPLIT('איחוד שאלות'!$B1333,"_")</f>
        <v>perception</v>
      </c>
      <c r="D1333" s="99" t="str">
        <v>security</v>
      </c>
      <c r="E1333" s="99" t="str">
        <v>mostdangerousenemy</v>
      </c>
      <c r="F1333" s="99" t="str">
        <v>2</v>
      </c>
      <c r="G1333" s="100"/>
      <c r="H1333" s="136" t="s">
        <v>3920</v>
      </c>
      <c r="I1333" s="2" t="s">
        <v>5844</v>
      </c>
      <c r="J1333" s="2" t="s">
        <v>5994</v>
      </c>
      <c r="K1333" s="2" t="s">
        <v>6557</v>
      </c>
      <c r="L1333" s="2" t="s">
        <v>5790</v>
      </c>
      <c r="N1333" s="1" t="s">
        <v>1660</v>
      </c>
    </row>
    <row r="1334" spans="1:14" ht="58" x14ac:dyDescent="0.35">
      <c r="A1334" s="113" t="s">
        <v>1839</v>
      </c>
      <c r="B1334" s="102" t="s">
        <v>5314</v>
      </c>
      <c r="C1334" s="123" t="str" cm="1">
        <f t="array" ref="C1334:F1334">_xlfn.TEXTSPLIT('איחוד שאלות'!$B1334,"_")</f>
        <v>perception</v>
      </c>
      <c r="D1334" s="102" t="str">
        <v>expectation</v>
      </c>
      <c r="E1334" s="102" t="str">
        <v>security</v>
      </c>
      <c r="F1334" s="102" t="str">
        <v>israeldestraction</v>
      </c>
      <c r="G1334" s="103"/>
      <c r="H1334" s="135" t="s">
        <v>3920</v>
      </c>
      <c r="I1334" s="2" t="s">
        <v>5844</v>
      </c>
      <c r="J1334" s="2" t="s">
        <v>5850</v>
      </c>
      <c r="K1334" s="2" t="s">
        <v>5994</v>
      </c>
      <c r="L1334" s="2" t="s">
        <v>6558</v>
      </c>
      <c r="N1334" s="1" t="s">
        <v>1839</v>
      </c>
    </row>
    <row r="1335" spans="1:14" ht="116" x14ac:dyDescent="0.35">
      <c r="A1335" s="121" t="s">
        <v>1841</v>
      </c>
      <c r="B1335" s="99" t="s">
        <v>5315</v>
      </c>
      <c r="C1335" s="121" t="str" cm="1">
        <f t="array" ref="C1335:F1335">_xlfn.TEXTSPLIT('איחוד שאלות'!$B1335,"_")</f>
        <v>perception</v>
      </c>
      <c r="D1335" s="99" t="str">
        <v>policy</v>
      </c>
      <c r="E1335" s="99" t="str">
        <v>security</v>
      </c>
      <c r="F1335" s="99" t="str">
        <v>rational</v>
      </c>
      <c r="G1335" s="100"/>
      <c r="H1335" s="136" t="s">
        <v>3920</v>
      </c>
      <c r="I1335" s="2" t="s">
        <v>5844</v>
      </c>
      <c r="J1335" s="2" t="s">
        <v>5882</v>
      </c>
      <c r="K1335" s="2" t="s">
        <v>5994</v>
      </c>
      <c r="L1335" s="2" t="s">
        <v>6559</v>
      </c>
      <c r="N1335" s="1" t="s">
        <v>1841</v>
      </c>
    </row>
    <row r="1336" spans="1:14" ht="58" x14ac:dyDescent="0.35">
      <c r="A1336" s="113" t="s">
        <v>1842</v>
      </c>
      <c r="B1336" s="102" t="s">
        <v>5316</v>
      </c>
      <c r="C1336" s="123" t="str" cm="1">
        <f t="array" ref="C1336:F1336">_xlfn.TEXTSPLIT('איחוד שאלות'!$B1336,"_")</f>
        <v>perception</v>
      </c>
      <c r="D1336" s="102" t="str">
        <v>security</v>
      </c>
      <c r="E1336" s="102" t="str">
        <v>arabstates</v>
      </c>
      <c r="F1336" s="102" t="str">
        <v>rational</v>
      </c>
      <c r="G1336" s="103"/>
      <c r="H1336" s="135" t="s">
        <v>3920</v>
      </c>
      <c r="I1336" s="2" t="s">
        <v>5844</v>
      </c>
      <c r="J1336" s="2" t="s">
        <v>5994</v>
      </c>
      <c r="K1336" s="2" t="s">
        <v>6560</v>
      </c>
      <c r="L1336" s="2" t="s">
        <v>6559</v>
      </c>
      <c r="N1336" s="1" t="s">
        <v>1842</v>
      </c>
    </row>
    <row r="1337" spans="1:14" ht="87" x14ac:dyDescent="0.35">
      <c r="A1337" s="121" t="s">
        <v>3911</v>
      </c>
      <c r="B1337" s="99" t="s">
        <v>5317</v>
      </c>
      <c r="C1337" s="121" t="str" cm="1">
        <f t="array" ref="C1337:G1337">_xlfn.TEXTSPLIT('איחוד שאלות'!$B1337,"_")</f>
        <v>perception</v>
      </c>
      <c r="D1337" s="99" t="str">
        <v>security</v>
      </c>
      <c r="E1337" s="99" t="str">
        <v>arabstates</v>
      </c>
      <c r="F1337" s="99" t="str">
        <v>rejectisrael</v>
      </c>
      <c r="G1337" s="100" t="str">
        <v>antisemitism</v>
      </c>
      <c r="H1337" s="136" t="s">
        <v>3920</v>
      </c>
      <c r="I1337" s="2" t="s">
        <v>5844</v>
      </c>
      <c r="J1337" s="2" t="s">
        <v>5994</v>
      </c>
      <c r="K1337" s="2" t="s">
        <v>6560</v>
      </c>
      <c r="L1337" s="2" t="s">
        <v>6561</v>
      </c>
      <c r="M1337" s="2" t="s">
        <v>6562</v>
      </c>
      <c r="N1337" s="1" t="s">
        <v>7474</v>
      </c>
    </row>
    <row r="1338" spans="1:14" ht="58" x14ac:dyDescent="0.35">
      <c r="A1338" s="113" t="s">
        <v>1844</v>
      </c>
      <c r="B1338" s="102" t="s">
        <v>5318</v>
      </c>
      <c r="C1338" s="123" t="str" cm="1">
        <f t="array" ref="C1338:G1338">_xlfn.TEXTSPLIT('איחוד שאלות'!$B1338,"_")</f>
        <v>perception</v>
      </c>
      <c r="D1338" s="102" t="str">
        <v>security</v>
      </c>
      <c r="E1338" s="102" t="str">
        <v>arabstates</v>
      </c>
      <c r="F1338" s="102" t="str">
        <v>rejectisrael</v>
      </c>
      <c r="G1338" s="103" t="str">
        <v>foreigntomiddleeast</v>
      </c>
      <c r="H1338" s="135" t="s">
        <v>3920</v>
      </c>
      <c r="I1338" s="2" t="s">
        <v>5844</v>
      </c>
      <c r="J1338" s="2" t="s">
        <v>5994</v>
      </c>
      <c r="K1338" s="2" t="s">
        <v>6560</v>
      </c>
      <c r="L1338" s="2" t="s">
        <v>6561</v>
      </c>
      <c r="M1338" s="2" t="s">
        <v>6563</v>
      </c>
      <c r="N1338" s="1" t="s">
        <v>1844</v>
      </c>
    </row>
    <row r="1339" spans="1:14" ht="58" x14ac:dyDescent="0.35">
      <c r="A1339" s="121" t="s">
        <v>1845</v>
      </c>
      <c r="B1339" s="99" t="s">
        <v>5319</v>
      </c>
      <c r="C1339" s="121" t="str" cm="1">
        <f t="array" ref="C1339:G1339">_xlfn.TEXTSPLIT('איחוד שאלות'!$B1339,"_")</f>
        <v>perception</v>
      </c>
      <c r="D1339" s="99" t="str">
        <v>security</v>
      </c>
      <c r="E1339" s="99" t="str">
        <v>arabstates</v>
      </c>
      <c r="F1339" s="99" t="str">
        <v>rejectisrael</v>
      </c>
      <c r="G1339" s="100" t="str">
        <v>technologicaladvantage</v>
      </c>
      <c r="H1339" s="136" t="s">
        <v>3920</v>
      </c>
      <c r="I1339" s="2" t="s">
        <v>5844</v>
      </c>
      <c r="J1339" s="2" t="s">
        <v>5994</v>
      </c>
      <c r="K1339" s="2" t="s">
        <v>6560</v>
      </c>
      <c r="L1339" s="2" t="s">
        <v>6561</v>
      </c>
      <c r="M1339" s="2" t="s">
        <v>6564</v>
      </c>
      <c r="N1339" s="1" t="s">
        <v>1845</v>
      </c>
    </row>
    <row r="1340" spans="1:14" ht="43.5" x14ac:dyDescent="0.35">
      <c r="A1340" s="113" t="s">
        <v>1846</v>
      </c>
      <c r="B1340" s="102" t="s">
        <v>5320</v>
      </c>
      <c r="C1340" s="123" t="str" cm="1">
        <f t="array" ref="C1340:G1340">_xlfn.TEXTSPLIT('איחוד שאלות'!$B1340,"_")</f>
        <v>perception</v>
      </c>
      <c r="D1340" s="102" t="str">
        <v>security</v>
      </c>
      <c r="E1340" s="102" t="str">
        <v>arabstates</v>
      </c>
      <c r="F1340" s="102" t="str">
        <v>rejectisrael</v>
      </c>
      <c r="G1340" s="103" t="str">
        <v>colonial</v>
      </c>
      <c r="H1340" s="135" t="s">
        <v>3920</v>
      </c>
      <c r="I1340" s="2" t="s">
        <v>5844</v>
      </c>
      <c r="J1340" s="2" t="s">
        <v>5994</v>
      </c>
      <c r="K1340" s="2" t="s">
        <v>6560</v>
      </c>
      <c r="L1340" s="2" t="s">
        <v>6561</v>
      </c>
      <c r="M1340" s="2" t="s">
        <v>6565</v>
      </c>
      <c r="N1340" s="1" t="s">
        <v>1846</v>
      </c>
    </row>
    <row r="1341" spans="1:14" ht="58" x14ac:dyDescent="0.35">
      <c r="A1341" s="121" t="s">
        <v>1847</v>
      </c>
      <c r="B1341" s="99" t="s">
        <v>5321</v>
      </c>
      <c r="C1341" s="121" t="str" cm="1">
        <f t="array" ref="C1341:G1341">_xlfn.TEXTSPLIT('איחוד שאלות'!$B1341,"_")</f>
        <v>perception</v>
      </c>
      <c r="D1341" s="99" t="str">
        <v>security</v>
      </c>
      <c r="E1341" s="99" t="str">
        <v>arabstates</v>
      </c>
      <c r="F1341" s="99" t="str">
        <v>rejectisrael</v>
      </c>
      <c r="G1341" s="100" t="str">
        <v>releaseterritories67</v>
      </c>
      <c r="H1341" s="136" t="s">
        <v>3920</v>
      </c>
      <c r="I1341" s="2" t="s">
        <v>5844</v>
      </c>
      <c r="J1341" s="2" t="s">
        <v>5994</v>
      </c>
      <c r="K1341" s="2" t="s">
        <v>6560</v>
      </c>
      <c r="L1341" s="2" t="s">
        <v>6561</v>
      </c>
      <c r="M1341" s="2" t="s">
        <v>6566</v>
      </c>
      <c r="N1341" s="1" t="s">
        <v>1847</v>
      </c>
    </row>
    <row r="1342" spans="1:14" ht="58" x14ac:dyDescent="0.35">
      <c r="A1342" s="113" t="s">
        <v>1848</v>
      </c>
      <c r="B1342" s="102" t="s">
        <v>5322</v>
      </c>
      <c r="C1342" s="123" t="str" cm="1">
        <f t="array" ref="C1342:G1342">_xlfn.TEXTSPLIT('איחוד שאלות'!$B1342,"_")</f>
        <v>perception</v>
      </c>
      <c r="D1342" s="102" t="str">
        <v>security</v>
      </c>
      <c r="E1342" s="102" t="str">
        <v>arabstates</v>
      </c>
      <c r="F1342" s="102" t="str">
        <v>rejectisrael</v>
      </c>
      <c r="G1342" s="103" t="str">
        <v>fearaggressiveness</v>
      </c>
      <c r="H1342" s="135" t="s">
        <v>3920</v>
      </c>
      <c r="I1342" s="2" t="s">
        <v>5844</v>
      </c>
      <c r="J1342" s="2" t="s">
        <v>5994</v>
      </c>
      <c r="K1342" s="2" t="s">
        <v>6560</v>
      </c>
      <c r="L1342" s="2" t="s">
        <v>6561</v>
      </c>
      <c r="M1342" s="2" t="s">
        <v>6567</v>
      </c>
      <c r="N1342" s="1" t="s">
        <v>1848</v>
      </c>
    </row>
    <row r="1343" spans="1:14" ht="101.5" x14ac:dyDescent="0.35">
      <c r="A1343" s="121" t="s">
        <v>3912</v>
      </c>
      <c r="B1343" s="99" t="s">
        <v>5323</v>
      </c>
      <c r="C1343" s="121" t="str" cm="1">
        <f t="array" ref="C1343:G1343">_xlfn.TEXTSPLIT('איחוד שאלות'!$B1343,"_")</f>
        <v>perception</v>
      </c>
      <c r="D1343" s="99" t="str">
        <v>security</v>
      </c>
      <c r="E1343" s="99" t="str">
        <v>arabstates</v>
      </c>
      <c r="F1343" s="99" t="str">
        <v>rejectisrael</v>
      </c>
      <c r="G1343" s="100" t="str">
        <v>1</v>
      </c>
      <c r="H1343" s="136" t="s">
        <v>3920</v>
      </c>
      <c r="I1343" s="2" t="s">
        <v>5844</v>
      </c>
      <c r="J1343" s="2" t="s">
        <v>5994</v>
      </c>
      <c r="K1343" s="2" t="s">
        <v>6560</v>
      </c>
      <c r="L1343" s="2" t="s">
        <v>6561</v>
      </c>
      <c r="M1343" s="2" t="s">
        <v>5789</v>
      </c>
      <c r="N1343" s="1" t="s">
        <v>7475</v>
      </c>
    </row>
    <row r="1344" spans="1:14" ht="101.5" x14ac:dyDescent="0.35">
      <c r="A1344" s="113" t="s">
        <v>3913</v>
      </c>
      <c r="B1344" s="102" t="s">
        <v>5324</v>
      </c>
      <c r="C1344" s="123" t="str" cm="1">
        <f t="array" ref="C1344:G1344">_xlfn.TEXTSPLIT('איחוד שאלות'!$B1344,"_")</f>
        <v>perception</v>
      </c>
      <c r="D1344" s="102" t="str">
        <v>security</v>
      </c>
      <c r="E1344" s="102" t="str">
        <v>arabstates</v>
      </c>
      <c r="F1344" s="102" t="str">
        <v>rejectisrael</v>
      </c>
      <c r="G1344" s="103" t="str">
        <v>2</v>
      </c>
      <c r="H1344" s="135" t="s">
        <v>3920</v>
      </c>
      <c r="I1344" s="2" t="s">
        <v>5844</v>
      </c>
      <c r="J1344" s="2" t="s">
        <v>5994</v>
      </c>
      <c r="K1344" s="2" t="s">
        <v>6560</v>
      </c>
      <c r="L1344" s="2" t="s">
        <v>6561</v>
      </c>
      <c r="M1344" s="2" t="s">
        <v>5790</v>
      </c>
      <c r="N1344" s="1" t="s">
        <v>7476</v>
      </c>
    </row>
    <row r="1345" spans="1:14" ht="87" x14ac:dyDescent="0.35">
      <c r="A1345" s="121" t="s">
        <v>1852</v>
      </c>
      <c r="B1345" s="99" t="s">
        <v>5325</v>
      </c>
      <c r="C1345" s="121" t="str" cm="1">
        <f t="array" ref="C1345:G1345">_xlfn.TEXTSPLIT('איחוד שאלות'!$B1345,"_")</f>
        <v>preference</v>
      </c>
      <c r="D1345" s="99" t="str">
        <v>policy</v>
      </c>
      <c r="E1345" s="99" t="str">
        <v>security</v>
      </c>
      <c r="F1345" s="99" t="str">
        <v>IDF</v>
      </c>
      <c r="G1345" s="100" t="str">
        <v>longerservice</v>
      </c>
      <c r="H1345" s="136" t="s">
        <v>3920</v>
      </c>
      <c r="I1345" s="2" t="s">
        <v>5856</v>
      </c>
      <c r="J1345" s="2" t="s">
        <v>5882</v>
      </c>
      <c r="K1345" s="2" t="s">
        <v>5994</v>
      </c>
      <c r="L1345" s="2" t="s">
        <v>5825</v>
      </c>
      <c r="M1345" s="2" t="s">
        <v>6568</v>
      </c>
      <c r="N1345" s="1" t="s">
        <v>1852</v>
      </c>
    </row>
    <row r="1346" spans="1:14" ht="87" x14ac:dyDescent="0.35">
      <c r="A1346" s="113" t="s">
        <v>1853</v>
      </c>
      <c r="B1346" s="102" t="s">
        <v>5326</v>
      </c>
      <c r="C1346" s="123" t="str" cm="1">
        <f t="array" ref="C1346:G1346">_xlfn.TEXTSPLIT('איחוד שאלות'!$B1346,"_")</f>
        <v>preference</v>
      </c>
      <c r="D1346" s="102" t="str">
        <v>policy</v>
      </c>
      <c r="E1346" s="102" t="str">
        <v>security</v>
      </c>
      <c r="F1346" s="102" t="str">
        <v>IDF</v>
      </c>
      <c r="G1346" s="103" t="str">
        <v>longerreserve</v>
      </c>
      <c r="H1346" s="135" t="s">
        <v>3920</v>
      </c>
      <c r="I1346" s="2" t="s">
        <v>5856</v>
      </c>
      <c r="J1346" s="2" t="s">
        <v>5882</v>
      </c>
      <c r="K1346" s="2" t="s">
        <v>5994</v>
      </c>
      <c r="L1346" s="2" t="s">
        <v>5825</v>
      </c>
      <c r="M1346" s="2" t="s">
        <v>6569</v>
      </c>
      <c r="N1346" s="1" t="s">
        <v>1853</v>
      </c>
    </row>
    <row r="1347" spans="1:14" ht="72.5" x14ac:dyDescent="0.35">
      <c r="A1347" s="121" t="s">
        <v>1860</v>
      </c>
      <c r="B1347" s="99" t="s">
        <v>5327</v>
      </c>
      <c r="C1347" s="121" t="str" cm="1">
        <f t="array" ref="C1347:G1347">_xlfn.TEXTSPLIT('איחוד שאלות'!$B1347,"_")</f>
        <v>perception</v>
      </c>
      <c r="D1347" s="99" t="str">
        <v>security</v>
      </c>
      <c r="E1347" s="99" t="str">
        <v>IDF</v>
      </c>
      <c r="F1347" s="99" t="str">
        <v>strengthen</v>
      </c>
      <c r="G1347" s="100" t="str">
        <v>last5years</v>
      </c>
      <c r="H1347" s="136" t="s">
        <v>3920</v>
      </c>
      <c r="I1347" s="2" t="s">
        <v>5844</v>
      </c>
      <c r="J1347" s="2" t="s">
        <v>5994</v>
      </c>
      <c r="K1347" s="2" t="s">
        <v>5825</v>
      </c>
      <c r="L1347" s="2" t="s">
        <v>6570</v>
      </c>
      <c r="M1347" s="2" t="s">
        <v>5867</v>
      </c>
      <c r="N1347" s="1" t="s">
        <v>1860</v>
      </c>
    </row>
    <row r="1348" spans="1:14" ht="72.5" x14ac:dyDescent="0.35">
      <c r="A1348" s="113" t="s">
        <v>1861</v>
      </c>
      <c r="B1348" s="102" t="s">
        <v>5328</v>
      </c>
      <c r="C1348" s="123" t="str" cm="1">
        <f t="array" ref="C1348:G1348">_xlfn.TEXTSPLIT('איחוד שאלות'!$B1348,"_")</f>
        <v>preference</v>
      </c>
      <c r="D1348" s="102" t="str">
        <v>security</v>
      </c>
      <c r="E1348" s="102" t="str">
        <v>decisionmaking</v>
      </c>
      <c r="F1348" s="102" t="str">
        <v>IDF</v>
      </c>
      <c r="G1348" s="103" t="str">
        <v>weaponsystems</v>
      </c>
      <c r="H1348" s="135" t="s">
        <v>3920</v>
      </c>
      <c r="I1348" s="2" t="s">
        <v>5856</v>
      </c>
      <c r="J1348" s="2" t="s">
        <v>5994</v>
      </c>
      <c r="K1348" s="2" t="s">
        <v>6192</v>
      </c>
      <c r="L1348" s="2" t="s">
        <v>5825</v>
      </c>
      <c r="M1348" s="2" t="s">
        <v>6571</v>
      </c>
      <c r="N1348" s="1" t="s">
        <v>1861</v>
      </c>
    </row>
    <row r="1349" spans="1:14" ht="43.5" x14ac:dyDescent="0.35">
      <c r="A1349" s="121" t="s">
        <v>1862</v>
      </c>
      <c r="B1349" s="99" t="s">
        <v>5329</v>
      </c>
      <c r="C1349" s="121" t="str" cm="1">
        <f t="array" ref="C1349:F1349">_xlfn.TEXTSPLIT('איחוד שאלות'!$B1349,"_")</f>
        <v>preference</v>
      </c>
      <c r="D1349" s="99" t="str">
        <v>security</v>
      </c>
      <c r="E1349" s="99" t="str">
        <v>IDF</v>
      </c>
      <c r="F1349" s="99" t="str">
        <v>lavi</v>
      </c>
      <c r="G1349" s="100"/>
      <c r="H1349" s="136" t="s">
        <v>3920</v>
      </c>
      <c r="I1349" s="2" t="s">
        <v>5856</v>
      </c>
      <c r="J1349" s="2" t="s">
        <v>5994</v>
      </c>
      <c r="K1349" s="2" t="s">
        <v>5825</v>
      </c>
      <c r="L1349" s="2" t="s">
        <v>6572</v>
      </c>
      <c r="N1349" s="1" t="s">
        <v>1862</v>
      </c>
    </row>
    <row r="1350" spans="1:14" ht="101.5" x14ac:dyDescent="0.35">
      <c r="A1350" s="113" t="s">
        <v>1890</v>
      </c>
      <c r="B1350" s="102" t="s">
        <v>5330</v>
      </c>
      <c r="C1350" s="123" t="str" cm="1">
        <f t="array" ref="C1350:F1350">_xlfn.TEXTSPLIT('איחוד שאלות'!$B1350,"_")</f>
        <v>perception</v>
      </c>
      <c r="D1350" s="102" t="str">
        <v>politicians</v>
      </c>
      <c r="E1350" s="102" t="str">
        <v>security</v>
      </c>
      <c r="F1350" s="102" t="str">
        <v>decisionmaking</v>
      </c>
      <c r="G1350" s="103"/>
      <c r="H1350" s="135" t="s">
        <v>3920</v>
      </c>
      <c r="I1350" s="2" t="s">
        <v>5844</v>
      </c>
      <c r="J1350" s="2" t="s">
        <v>6004</v>
      </c>
      <c r="K1350" s="2" t="s">
        <v>5994</v>
      </c>
      <c r="L1350" s="2" t="s">
        <v>6192</v>
      </c>
      <c r="N1350" s="1" t="s">
        <v>1890</v>
      </c>
    </row>
    <row r="1351" spans="1:14" ht="101.5" x14ac:dyDescent="0.35">
      <c r="A1351" s="121" t="s">
        <v>1863</v>
      </c>
      <c r="B1351" s="99" t="s">
        <v>5331</v>
      </c>
      <c r="C1351" s="121" t="str" cm="1">
        <f t="array" ref="C1351:F1351">_xlfn.TEXTSPLIT('איחוד שאלות'!$B1351,"_")</f>
        <v>perception</v>
      </c>
      <c r="D1351" s="99" t="str">
        <v>security</v>
      </c>
      <c r="E1351" s="99" t="str">
        <v>IDF</v>
      </c>
      <c r="F1351" s="99" t="str">
        <v>decisionmaking</v>
      </c>
      <c r="G1351" s="100"/>
      <c r="H1351" s="136" t="s">
        <v>3920</v>
      </c>
      <c r="I1351" s="2" t="s">
        <v>5844</v>
      </c>
      <c r="J1351" s="2" t="s">
        <v>5994</v>
      </c>
      <c r="K1351" s="2" t="s">
        <v>5825</v>
      </c>
      <c r="L1351" s="2" t="s">
        <v>6192</v>
      </c>
      <c r="N1351" s="1" t="s">
        <v>1863</v>
      </c>
    </row>
    <row r="1352" spans="1:14" ht="72.5" x14ac:dyDescent="0.35">
      <c r="A1352" s="113" t="s">
        <v>1864</v>
      </c>
      <c r="B1352" s="102" t="s">
        <v>5332</v>
      </c>
      <c r="C1352" s="123" t="str" cm="1">
        <f t="array" ref="C1352:F1352">_xlfn.TEXTSPLIT('איחוד שאלות'!$B1352,"_")</f>
        <v>perception</v>
      </c>
      <c r="D1352" s="102" t="str">
        <v>policy</v>
      </c>
      <c r="E1352" s="102" t="str">
        <v>security</v>
      </c>
      <c r="F1352" s="102" t="str">
        <v>decisionmaking</v>
      </c>
      <c r="G1352" s="103"/>
      <c r="H1352" s="135" t="s">
        <v>3920</v>
      </c>
      <c r="I1352" s="2" t="s">
        <v>5844</v>
      </c>
      <c r="J1352" s="2" t="s">
        <v>5882</v>
      </c>
      <c r="K1352" s="2" t="s">
        <v>5994</v>
      </c>
      <c r="L1352" s="2" t="s">
        <v>6192</v>
      </c>
      <c r="N1352" s="1" t="s">
        <v>1864</v>
      </c>
    </row>
    <row r="1353" spans="1:14" ht="304.5" x14ac:dyDescent="0.35">
      <c r="A1353" s="121" t="s">
        <v>1865</v>
      </c>
      <c r="B1353" s="99" t="s">
        <v>5333</v>
      </c>
      <c r="C1353" s="121" t="str" cm="1">
        <f t="array" ref="C1353:F1353">_xlfn.TEXTSPLIT('איחוד שאלות'!$B1353,"_")</f>
        <v>preference</v>
      </c>
      <c r="D1353" s="99" t="str">
        <v>policy</v>
      </c>
      <c r="E1353" s="99" t="str">
        <v>security</v>
      </c>
      <c r="F1353" s="99" t="str">
        <v>mostimportant</v>
      </c>
      <c r="G1353" s="100"/>
      <c r="H1353" s="136" t="s">
        <v>3920</v>
      </c>
      <c r="I1353" s="2" t="s">
        <v>5856</v>
      </c>
      <c r="J1353" s="2" t="s">
        <v>5882</v>
      </c>
      <c r="K1353" s="2" t="s">
        <v>5994</v>
      </c>
      <c r="L1353" s="2" t="s">
        <v>6573</v>
      </c>
      <c r="N1353" s="1" t="s">
        <v>1865</v>
      </c>
    </row>
    <row r="1354" spans="1:14" ht="43.5" x14ac:dyDescent="0.35">
      <c r="A1354" s="113" t="s">
        <v>1893</v>
      </c>
      <c r="B1354" s="102" t="s">
        <v>5334</v>
      </c>
      <c r="C1354" s="123" t="str" cm="1">
        <f t="array" ref="C1354:E1354">_xlfn.TEXTSPLIT('איחוד שאלות'!$B1354,"_")</f>
        <v>attribute</v>
      </c>
      <c r="D1354" s="102" t="str">
        <v>knowledge</v>
      </c>
      <c r="E1354" s="102" t="str">
        <v>security</v>
      </c>
      <c r="F1354" s="102"/>
      <c r="G1354" s="103"/>
      <c r="H1354" s="135" t="s">
        <v>3920</v>
      </c>
      <c r="I1354" s="2" t="s">
        <v>5775</v>
      </c>
      <c r="J1354" s="2" t="s">
        <v>5942</v>
      </c>
      <c r="K1354" s="2" t="s">
        <v>5994</v>
      </c>
      <c r="N1354" s="1" t="s">
        <v>1893</v>
      </c>
    </row>
    <row r="1355" spans="1:14" ht="72.5" x14ac:dyDescent="0.35">
      <c r="A1355" s="121" t="s">
        <v>1891</v>
      </c>
      <c r="B1355" s="99" t="s">
        <v>5335</v>
      </c>
      <c r="C1355" s="121" t="str" cm="1">
        <f t="array" ref="C1355:F1355">_xlfn.TEXTSPLIT('איחוד שאלות'!$B1355,"_")</f>
        <v>attribute</v>
      </c>
      <c r="D1355" s="99" t="str">
        <v>knowledge</v>
      </c>
      <c r="E1355" s="99" t="str">
        <v>security</v>
      </c>
      <c r="F1355" s="99" t="str">
        <v>public</v>
      </c>
      <c r="G1355" s="100"/>
      <c r="H1355" s="136" t="s">
        <v>3920</v>
      </c>
      <c r="I1355" s="2" t="s">
        <v>5775</v>
      </c>
      <c r="J1355" s="2" t="s">
        <v>5942</v>
      </c>
      <c r="K1355" s="2" t="s">
        <v>5994</v>
      </c>
      <c r="L1355" s="2" t="s">
        <v>5912</v>
      </c>
      <c r="N1355" s="1" t="s">
        <v>1891</v>
      </c>
    </row>
    <row r="1356" spans="1:14" ht="116" x14ac:dyDescent="0.35">
      <c r="A1356" s="113" t="s">
        <v>1880</v>
      </c>
      <c r="B1356" s="102" t="s">
        <v>5336</v>
      </c>
      <c r="C1356" s="123" t="str" cm="1">
        <f t="array" ref="C1356:G1356">_xlfn.TEXTSPLIT('איחוד שאלות'!$B1356,"_")</f>
        <v>preference</v>
      </c>
      <c r="D1356" s="102" t="str">
        <v>government</v>
      </c>
      <c r="E1356" s="102" t="str">
        <v>security</v>
      </c>
      <c r="F1356" s="102" t="str">
        <v>decisionmaking</v>
      </c>
      <c r="G1356" s="103" t="str">
        <v>publicopinion</v>
      </c>
      <c r="H1356" s="135" t="s">
        <v>3920</v>
      </c>
      <c r="I1356" s="2" t="s">
        <v>5856</v>
      </c>
      <c r="J1356" s="2" t="s">
        <v>5848</v>
      </c>
      <c r="K1356" s="2" t="s">
        <v>5994</v>
      </c>
      <c r="L1356" s="2" t="s">
        <v>6192</v>
      </c>
      <c r="M1356" s="2" t="s">
        <v>6574</v>
      </c>
      <c r="N1356" s="1" t="s">
        <v>1880</v>
      </c>
    </row>
    <row r="1357" spans="1:14" ht="87" x14ac:dyDescent="0.35">
      <c r="A1357" s="121" t="s">
        <v>1881</v>
      </c>
      <c r="B1357" s="99" t="s">
        <v>5337</v>
      </c>
      <c r="C1357" s="121" t="str" cm="1">
        <f t="array" ref="C1357:F1357">_xlfn.TEXTSPLIT('איחוד שאלות'!$B1357,"_")</f>
        <v>perception</v>
      </c>
      <c r="D1357" s="99" t="str">
        <v>behavior</v>
      </c>
      <c r="E1357" s="99" t="str">
        <v>security</v>
      </c>
      <c r="F1357" s="99" t="str">
        <v>supportgovduringwar</v>
      </c>
      <c r="G1357" s="100"/>
      <c r="H1357" s="136" t="s">
        <v>3920</v>
      </c>
      <c r="I1357" s="2" t="s">
        <v>5844</v>
      </c>
      <c r="J1357" s="2" t="s">
        <v>5806</v>
      </c>
      <c r="K1357" s="2" t="s">
        <v>5994</v>
      </c>
      <c r="L1357" s="2" t="s">
        <v>6575</v>
      </c>
      <c r="N1357" s="1" t="s">
        <v>1881</v>
      </c>
    </row>
    <row r="1358" spans="1:14" ht="174" x14ac:dyDescent="0.35">
      <c r="A1358" s="113" t="s">
        <v>3914</v>
      </c>
      <c r="B1358" s="102" t="s">
        <v>5338</v>
      </c>
      <c r="C1358" s="123" t="str" cm="1">
        <f t="array" ref="C1358:G1358">_xlfn.TEXTSPLIT('איחוד שאלות'!$B1358,"_")</f>
        <v>perception</v>
      </c>
      <c r="D1358" s="102" t="str">
        <v>behavior</v>
      </c>
      <c r="E1358" s="102" t="str">
        <v>securitypersonnel</v>
      </c>
      <c r="F1358" s="102" t="str">
        <v>disagreegov</v>
      </c>
      <c r="G1358" s="103" t="str">
        <v>talktocommanders</v>
      </c>
      <c r="H1358" s="135" t="s">
        <v>3920</v>
      </c>
      <c r="I1358" s="2" t="s">
        <v>5844</v>
      </c>
      <c r="J1358" s="2" t="s">
        <v>5806</v>
      </c>
      <c r="K1358" s="2" t="s">
        <v>6576</v>
      </c>
      <c r="L1358" s="2" t="s">
        <v>6577</v>
      </c>
      <c r="M1358" s="2" t="s">
        <v>6578</v>
      </c>
      <c r="N1358" s="1" t="s">
        <v>7477</v>
      </c>
    </row>
    <row r="1359" spans="1:14" ht="58" x14ac:dyDescent="0.35">
      <c r="A1359" s="121" t="s">
        <v>1883</v>
      </c>
      <c r="B1359" s="99" t="s">
        <v>5339</v>
      </c>
      <c r="C1359" s="121" t="str" cm="1">
        <f t="array" ref="C1359:G1359">_xlfn.TEXTSPLIT('איחוד שאלות'!$B1359,"_")</f>
        <v>perception</v>
      </c>
      <c r="D1359" s="99" t="str">
        <v>behavior</v>
      </c>
      <c r="E1359" s="99" t="str">
        <v>securitypersonnel</v>
      </c>
      <c r="F1359" s="99" t="str">
        <v>disagreegov</v>
      </c>
      <c r="G1359" s="100" t="str">
        <v>informmedia</v>
      </c>
      <c r="H1359" s="136" t="s">
        <v>3920</v>
      </c>
      <c r="I1359" s="2" t="s">
        <v>5844</v>
      </c>
      <c r="J1359" s="2" t="s">
        <v>5806</v>
      </c>
      <c r="K1359" s="2" t="s">
        <v>6576</v>
      </c>
      <c r="L1359" s="2" t="s">
        <v>6577</v>
      </c>
      <c r="M1359" s="2" t="s">
        <v>6579</v>
      </c>
      <c r="N1359" s="1" t="s">
        <v>1883</v>
      </c>
    </row>
    <row r="1360" spans="1:14" ht="58" x14ac:dyDescent="0.35">
      <c r="A1360" s="113" t="s">
        <v>1884</v>
      </c>
      <c r="B1360" s="102" t="s">
        <v>5340</v>
      </c>
      <c r="C1360" s="123" t="str" cm="1">
        <f t="array" ref="C1360:G1360">_xlfn.TEXTSPLIT('איחוד שאלות'!$B1360,"_")</f>
        <v>perception</v>
      </c>
      <c r="D1360" s="102" t="str">
        <v>behavior</v>
      </c>
      <c r="E1360" s="102" t="str">
        <v>securitypersonnel</v>
      </c>
      <c r="F1360" s="102" t="str">
        <v>disagreegov</v>
      </c>
      <c r="G1360" s="103" t="str">
        <v>criticizeinmedia</v>
      </c>
      <c r="H1360" s="135" t="s">
        <v>3920</v>
      </c>
      <c r="I1360" s="2" t="s">
        <v>5844</v>
      </c>
      <c r="J1360" s="2" t="s">
        <v>5806</v>
      </c>
      <c r="K1360" s="2" t="s">
        <v>6576</v>
      </c>
      <c r="L1360" s="2" t="s">
        <v>6577</v>
      </c>
      <c r="M1360" s="2" t="s">
        <v>6580</v>
      </c>
      <c r="N1360" s="1" t="s">
        <v>1884</v>
      </c>
    </row>
    <row r="1361" spans="1:14" ht="43.5" x14ac:dyDescent="0.35">
      <c r="A1361" s="121" t="s">
        <v>1885</v>
      </c>
      <c r="B1361" s="99" t="s">
        <v>5341</v>
      </c>
      <c r="C1361" s="121" t="str" cm="1">
        <f t="array" ref="C1361:G1361">_xlfn.TEXTSPLIT('איחוד שאלות'!$B1361,"_")</f>
        <v>perception</v>
      </c>
      <c r="D1361" s="99" t="str">
        <v>behavior</v>
      </c>
      <c r="E1361" s="99" t="str">
        <v>securitypersonnel</v>
      </c>
      <c r="F1361" s="99" t="str">
        <v>disagreegov</v>
      </c>
      <c r="G1361" s="100" t="str">
        <v>resign</v>
      </c>
      <c r="H1361" s="136" t="s">
        <v>3920</v>
      </c>
      <c r="I1361" s="2" t="s">
        <v>5844</v>
      </c>
      <c r="J1361" s="2" t="s">
        <v>5806</v>
      </c>
      <c r="K1361" s="2" t="s">
        <v>6576</v>
      </c>
      <c r="L1361" s="2" t="s">
        <v>6577</v>
      </c>
      <c r="M1361" s="2" t="s">
        <v>6581</v>
      </c>
      <c r="N1361" s="1" t="s">
        <v>1885</v>
      </c>
    </row>
    <row r="1362" spans="1:14" ht="58" x14ac:dyDescent="0.35">
      <c r="A1362" s="113" t="s">
        <v>1886</v>
      </c>
      <c r="B1362" s="102" t="s">
        <v>5342</v>
      </c>
      <c r="C1362" s="123" t="str" cm="1">
        <f t="array" ref="C1362:G1362">_xlfn.TEXTSPLIT('איחוד שאלות'!$B1362,"_")</f>
        <v>perception</v>
      </c>
      <c r="D1362" s="102" t="str">
        <v>behavior</v>
      </c>
      <c r="E1362" s="102" t="str">
        <v>securitypersonnel</v>
      </c>
      <c r="F1362" s="102" t="str">
        <v>disagreegov</v>
      </c>
      <c r="G1362" s="103" t="str">
        <v>disobey</v>
      </c>
      <c r="H1362" s="135" t="s">
        <v>3920</v>
      </c>
      <c r="I1362" s="2" t="s">
        <v>5844</v>
      </c>
      <c r="J1362" s="2" t="s">
        <v>5806</v>
      </c>
      <c r="K1362" s="2" t="s">
        <v>6576</v>
      </c>
      <c r="L1362" s="2" t="s">
        <v>6577</v>
      </c>
      <c r="M1362" s="2" t="s">
        <v>6582</v>
      </c>
      <c r="N1362" s="1" t="s">
        <v>1886</v>
      </c>
    </row>
    <row r="1363" spans="1:14" ht="72.5" x14ac:dyDescent="0.35">
      <c r="A1363" s="121" t="s">
        <v>1887</v>
      </c>
      <c r="B1363" s="99" t="s">
        <v>5343</v>
      </c>
      <c r="C1363" s="121" t="str" cm="1">
        <f t="array" ref="C1363:F1363">_xlfn.TEXTSPLIT('איחוד שאלות'!$B1363,"_")</f>
        <v>perception</v>
      </c>
      <c r="D1363" s="99" t="str">
        <v>media</v>
      </c>
      <c r="E1363" s="99" t="str">
        <v>security</v>
      </c>
      <c r="F1363" s="99" t="str">
        <v>responsibly</v>
      </c>
      <c r="G1363" s="100"/>
      <c r="H1363" s="136" t="s">
        <v>3920</v>
      </c>
      <c r="I1363" s="2" t="s">
        <v>5844</v>
      </c>
      <c r="J1363" s="2" t="s">
        <v>6306</v>
      </c>
      <c r="K1363" s="2" t="s">
        <v>5994</v>
      </c>
      <c r="L1363" s="2" t="s">
        <v>6583</v>
      </c>
      <c r="N1363" s="1" t="s">
        <v>1887</v>
      </c>
    </row>
    <row r="1364" spans="1:14" ht="58" x14ac:dyDescent="0.35">
      <c r="A1364" s="113" t="s">
        <v>1888</v>
      </c>
      <c r="B1364" s="102" t="s">
        <v>5344</v>
      </c>
      <c r="C1364" s="123" t="str" cm="1">
        <f t="array" ref="C1364:F1364">_xlfn.TEXTSPLIT('איחוד שאלות'!$B1364,"_")</f>
        <v>perception</v>
      </c>
      <c r="D1364" s="102" t="str">
        <v>media</v>
      </c>
      <c r="E1364" s="102" t="str">
        <v>security</v>
      </c>
      <c r="F1364" s="102" t="str">
        <v>ratio</v>
      </c>
      <c r="G1364" s="103"/>
      <c r="H1364" s="135" t="s">
        <v>3920</v>
      </c>
      <c r="I1364" s="2" t="s">
        <v>5844</v>
      </c>
      <c r="J1364" s="2" t="s">
        <v>6306</v>
      </c>
      <c r="K1364" s="2" t="s">
        <v>5994</v>
      </c>
      <c r="L1364" s="2" t="s">
        <v>6584</v>
      </c>
      <c r="N1364" s="1" t="s">
        <v>1888</v>
      </c>
    </row>
    <row r="1365" spans="1:14" ht="72.5" x14ac:dyDescent="0.35">
      <c r="A1365" s="121" t="s">
        <v>1889</v>
      </c>
      <c r="B1365" s="99" t="s">
        <v>5345</v>
      </c>
      <c r="C1365" s="121" t="str" cm="1">
        <f t="array" ref="C1365:G1365">_xlfn.TEXTSPLIT('איחוד שאלות'!$B1365,"_")</f>
        <v>affect</v>
      </c>
      <c r="D1365" s="99" t="str">
        <v>trust</v>
      </c>
      <c r="E1365" s="99" t="str">
        <v>politicians</v>
      </c>
      <c r="F1365" s="99" t="str">
        <v>security</v>
      </c>
      <c r="G1365" s="100" t="str">
        <v>mediastatements</v>
      </c>
      <c r="H1365" s="136" t="s">
        <v>3920</v>
      </c>
      <c r="I1365" s="2" t="s">
        <v>5815</v>
      </c>
      <c r="J1365" s="2" t="s">
        <v>5901</v>
      </c>
      <c r="K1365" s="2" t="s">
        <v>6004</v>
      </c>
      <c r="L1365" s="2" t="s">
        <v>5994</v>
      </c>
      <c r="M1365" s="2" t="s">
        <v>6585</v>
      </c>
      <c r="N1365" s="1" t="s">
        <v>1889</v>
      </c>
    </row>
    <row r="1366" spans="1:14" ht="43.5" x14ac:dyDescent="0.35">
      <c r="A1366" s="113" t="s">
        <v>1918</v>
      </c>
      <c r="B1366" s="102" t="s">
        <v>5347</v>
      </c>
      <c r="C1366" s="123" t="str" cm="1">
        <f t="array" ref="C1366:F1366">_xlfn.TEXTSPLIT('איחוד שאלות'!$B1366,"_")</f>
        <v>perception</v>
      </c>
      <c r="D1366" s="102" t="str">
        <v>israel</v>
      </c>
      <c r="E1366" s="102" t="str">
        <v>foreignaffairs</v>
      </c>
      <c r="F1366" s="102" t="str">
        <v>USA</v>
      </c>
      <c r="G1366" s="103"/>
      <c r="H1366" s="135" t="s">
        <v>3920</v>
      </c>
      <c r="I1366" s="2" t="s">
        <v>5844</v>
      </c>
      <c r="J1366" s="2" t="s">
        <v>5845</v>
      </c>
      <c r="K1366" s="2" t="s">
        <v>6021</v>
      </c>
      <c r="L1366" s="2" t="s">
        <v>5931</v>
      </c>
      <c r="N1366" s="1" t="s">
        <v>1918</v>
      </c>
    </row>
    <row r="1367" spans="1:14" ht="58" x14ac:dyDescent="0.35">
      <c r="A1367" s="121" t="s">
        <v>1919</v>
      </c>
      <c r="B1367" s="99" t="s">
        <v>5348</v>
      </c>
      <c r="C1367" s="121" t="str" cm="1">
        <f t="array" ref="C1367:G1367">_xlfn.TEXTSPLIT('איחוד שאלות'!$B1367,"_")</f>
        <v>perception</v>
      </c>
      <c r="D1367" s="99" t="str">
        <v>israel</v>
      </c>
      <c r="E1367" s="99" t="str">
        <v>foreignaffairs</v>
      </c>
      <c r="F1367" s="99" t="str">
        <v>USA</v>
      </c>
      <c r="G1367" s="100" t="str">
        <v>trustweaponssupply</v>
      </c>
      <c r="H1367" s="136" t="s">
        <v>3920</v>
      </c>
      <c r="I1367" s="2" t="s">
        <v>5844</v>
      </c>
      <c r="J1367" s="2" t="s">
        <v>5845</v>
      </c>
      <c r="K1367" s="2" t="s">
        <v>6021</v>
      </c>
      <c r="L1367" s="2" t="s">
        <v>5931</v>
      </c>
      <c r="M1367" s="2" t="s">
        <v>6586</v>
      </c>
      <c r="N1367" s="1" t="s">
        <v>1919</v>
      </c>
    </row>
    <row r="1368" spans="1:14" ht="72.5" x14ac:dyDescent="0.35">
      <c r="A1368" s="113" t="s">
        <v>1920</v>
      </c>
      <c r="B1368" s="102" t="s">
        <v>5349</v>
      </c>
      <c r="C1368" s="123" t="str" cm="1">
        <f t="array" ref="C1368:F1368">_xlfn.TEXTSPLIT('איחוד שאלות'!$B1368,"_")</f>
        <v>perception</v>
      </c>
      <c r="D1368" s="102" t="str">
        <v>policy</v>
      </c>
      <c r="E1368" s="102" t="str">
        <v>security</v>
      </c>
      <c r="F1368" s="102" t="str">
        <v>spyUSA</v>
      </c>
      <c r="G1368" s="103"/>
      <c r="H1368" s="135" t="s">
        <v>3920</v>
      </c>
      <c r="I1368" s="2" t="s">
        <v>5844</v>
      </c>
      <c r="J1368" s="2" t="s">
        <v>5882</v>
      </c>
      <c r="K1368" s="2" t="s">
        <v>5994</v>
      </c>
      <c r="L1368" s="2" t="s">
        <v>6587</v>
      </c>
      <c r="N1368" s="1" t="s">
        <v>1920</v>
      </c>
    </row>
    <row r="1369" spans="1:14" ht="72.5" x14ac:dyDescent="0.35">
      <c r="A1369" s="121" t="s">
        <v>1921</v>
      </c>
      <c r="B1369" s="99" t="s">
        <v>5350</v>
      </c>
      <c r="C1369" s="121" t="str" cm="1">
        <f t="array" ref="C1369:F1369">_xlfn.TEXTSPLIT('איחוד שאלות'!$B1369,"_")</f>
        <v>perception</v>
      </c>
      <c r="D1369" s="99" t="str">
        <v>policy</v>
      </c>
      <c r="E1369" s="99" t="str">
        <v>security</v>
      </c>
      <c r="F1369" s="99" t="str">
        <v>USAspyisrael</v>
      </c>
      <c r="G1369" s="100"/>
      <c r="H1369" s="136" t="s">
        <v>3920</v>
      </c>
      <c r="I1369" s="2" t="s">
        <v>5844</v>
      </c>
      <c r="J1369" s="2" t="s">
        <v>5882</v>
      </c>
      <c r="K1369" s="2" t="s">
        <v>5994</v>
      </c>
      <c r="L1369" s="2" t="s">
        <v>6588</v>
      </c>
      <c r="N1369" s="1" t="s">
        <v>1921</v>
      </c>
    </row>
    <row r="1370" spans="1:14" ht="87" x14ac:dyDescent="0.35">
      <c r="A1370" s="113" t="s">
        <v>1922</v>
      </c>
      <c r="B1370" s="102" t="s">
        <v>5346</v>
      </c>
      <c r="C1370" s="123" t="str" cm="1">
        <f t="array" ref="C1370:F1370">_xlfn.TEXTSPLIT('איחוד שאלות'!$B1370,"_")</f>
        <v>perception</v>
      </c>
      <c r="D1370" s="102" t="str">
        <v>expectation</v>
      </c>
      <c r="E1370" s="102" t="str">
        <v>security</v>
      </c>
      <c r="F1370" s="102" t="str">
        <v>WWIII</v>
      </c>
      <c r="G1370" s="103"/>
      <c r="H1370" s="135" t="s">
        <v>3920</v>
      </c>
      <c r="I1370" s="2" t="s">
        <v>5844</v>
      </c>
      <c r="J1370" s="2" t="s">
        <v>5850</v>
      </c>
      <c r="K1370" s="2" t="s">
        <v>5994</v>
      </c>
      <c r="L1370" s="2" t="s">
        <v>6589</v>
      </c>
      <c r="N1370" s="1" t="s">
        <v>1922</v>
      </c>
    </row>
    <row r="1371" spans="1:14" ht="43.5" x14ac:dyDescent="0.35">
      <c r="A1371" s="121" t="s">
        <v>2198</v>
      </c>
      <c r="B1371" s="99" t="s">
        <v>5351</v>
      </c>
      <c r="C1371" s="121" t="str" cm="1">
        <f t="array" ref="C1371:F1371">_xlfn.TEXTSPLIT('איחוד שאלות'!$B1371,"_")</f>
        <v>preference</v>
      </c>
      <c r="D1371" s="99" t="str">
        <v>policy</v>
      </c>
      <c r="E1371" s="99" t="str">
        <v>foreignaffairs</v>
      </c>
      <c r="F1371" s="99" t="str">
        <v>severancesouthafrica</v>
      </c>
      <c r="G1371" s="100"/>
      <c r="H1371" s="136" t="s">
        <v>3920</v>
      </c>
      <c r="I1371" s="2" t="s">
        <v>5856</v>
      </c>
      <c r="J1371" s="2" t="s">
        <v>5882</v>
      </c>
      <c r="K1371" s="2" t="s">
        <v>6021</v>
      </c>
      <c r="L1371" s="2" t="s">
        <v>6590</v>
      </c>
      <c r="N1371" s="1" t="s">
        <v>2198</v>
      </c>
    </row>
    <row r="1372" spans="1:14" ht="58" x14ac:dyDescent="0.35">
      <c r="A1372" s="113" t="s">
        <v>2199</v>
      </c>
      <c r="B1372" s="146" t="s">
        <v>5352</v>
      </c>
      <c r="C1372" s="123" t="str" cm="1">
        <f t="array" ref="C1372:G1372">_xlfn.TEXTSPLIT('איחוד שאלות'!$B1372,"_")</f>
        <v>perception</v>
      </c>
      <c r="D1372" s="102" t="str">
        <v>public</v>
      </c>
      <c r="E1372" s="102" t="str">
        <v>policy</v>
      </c>
      <c r="F1372" s="102" t="str">
        <v>foreignaffairs</v>
      </c>
      <c r="G1372" s="103" t="str">
        <v>severancesouthafrica</v>
      </c>
      <c r="H1372" s="135" t="s">
        <v>3920</v>
      </c>
      <c r="I1372" s="2" t="s">
        <v>5844</v>
      </c>
      <c r="J1372" s="2" t="s">
        <v>5912</v>
      </c>
      <c r="K1372" s="2" t="s">
        <v>5882</v>
      </c>
      <c r="L1372" s="2" t="s">
        <v>6021</v>
      </c>
      <c r="M1372" s="2" t="s">
        <v>6590</v>
      </c>
      <c r="N1372" s="1" t="s">
        <v>2199</v>
      </c>
    </row>
    <row r="1373" spans="1:14" ht="87" x14ac:dyDescent="0.35">
      <c r="A1373" s="121" t="s">
        <v>2187</v>
      </c>
      <c r="B1373" s="150" t="s">
        <v>5353</v>
      </c>
      <c r="C1373" s="121" t="str" cm="1">
        <f t="array" ref="C1373:G1373">_xlfn.TEXTSPLIT('איחוד שאלות'!$B1373,"_")</f>
        <v>attribute</v>
      </c>
      <c r="D1373" s="99" t="str">
        <v>knowledge</v>
      </c>
      <c r="E1373" s="99" t="str">
        <v>policy</v>
      </c>
      <c r="F1373" s="99" t="str">
        <v>foreignaffairs</v>
      </c>
      <c r="G1373" s="100" t="str">
        <v>severancesouthafrica</v>
      </c>
      <c r="H1373" s="136" t="s">
        <v>3920</v>
      </c>
      <c r="I1373" s="2" t="s">
        <v>5775</v>
      </c>
      <c r="J1373" s="2" t="s">
        <v>5942</v>
      </c>
      <c r="K1373" s="2" t="s">
        <v>5882</v>
      </c>
      <c r="L1373" s="2" t="s">
        <v>6021</v>
      </c>
      <c r="M1373" s="2" t="s">
        <v>6590</v>
      </c>
      <c r="N1373" s="1" t="s">
        <v>2187</v>
      </c>
    </row>
    <row r="1374" spans="1:14" ht="58" x14ac:dyDescent="0.35">
      <c r="A1374" s="113" t="s">
        <v>2415</v>
      </c>
      <c r="B1374" s="102" t="s">
        <v>5354</v>
      </c>
      <c r="C1374" s="123" t="str" cm="1">
        <f t="array" ref="C1374:E1374">_xlfn.TEXTSPLIT('איחוד שאלות'!$B1374,"_")</f>
        <v>perception</v>
      </c>
      <c r="D1374" s="102" t="str">
        <v>satisfaction</v>
      </c>
      <c r="E1374" s="102" t="str">
        <v>ministerdefence</v>
      </c>
      <c r="F1374" s="102"/>
      <c r="G1374" s="103"/>
      <c r="H1374" s="135" t="s">
        <v>3920</v>
      </c>
      <c r="I1374" s="2" t="s">
        <v>5844</v>
      </c>
      <c r="J1374" s="2" t="s">
        <v>5847</v>
      </c>
      <c r="K1374" s="2" t="s">
        <v>6284</v>
      </c>
      <c r="N1374" s="1" t="s">
        <v>2415</v>
      </c>
    </row>
    <row r="1375" spans="1:14" ht="87" x14ac:dyDescent="0.35">
      <c r="A1375" s="121" t="s">
        <v>2416</v>
      </c>
      <c r="B1375" s="99" t="s">
        <v>5115</v>
      </c>
      <c r="C1375" s="121" t="str" cm="1">
        <f t="array" ref="C1375:F1375">_xlfn.TEXTSPLIT('איחוד שאלות'!$B1375,"_")</f>
        <v>preference</v>
      </c>
      <c r="D1375" s="99" t="str">
        <v>policy</v>
      </c>
      <c r="E1375" s="99" t="str">
        <v>budget</v>
      </c>
      <c r="F1375" s="99" t="str">
        <v>security</v>
      </c>
      <c r="G1375" s="100"/>
      <c r="H1375" s="136" t="s">
        <v>3920</v>
      </c>
      <c r="I1375" s="2" t="s">
        <v>5856</v>
      </c>
      <c r="J1375" s="2" t="s">
        <v>5882</v>
      </c>
      <c r="K1375" s="2" t="s">
        <v>6421</v>
      </c>
      <c r="L1375" s="2" t="s">
        <v>5994</v>
      </c>
      <c r="N1375" s="1" t="s">
        <v>2416</v>
      </c>
    </row>
    <row r="1376" spans="1:14" ht="145" x14ac:dyDescent="0.35">
      <c r="A1376" s="113" t="s">
        <v>2776</v>
      </c>
      <c r="B1376" s="102" t="s">
        <v>5355</v>
      </c>
      <c r="C1376" s="123" t="str" cm="1">
        <f t="array" ref="C1376:F1376">_xlfn.TEXTSPLIT('איחוד שאלות'!$B1376,"_")</f>
        <v>perception</v>
      </c>
      <c r="D1376" s="102" t="str">
        <v>expectation</v>
      </c>
      <c r="E1376" s="102" t="str">
        <v>agranatcommission</v>
      </c>
      <c r="F1376" s="102" t="str">
        <v>influencegov</v>
      </c>
      <c r="G1376" s="103"/>
      <c r="H1376" s="135" t="s">
        <v>3920</v>
      </c>
      <c r="I1376" s="2" t="s">
        <v>5844</v>
      </c>
      <c r="J1376" s="2" t="s">
        <v>5850</v>
      </c>
      <c r="K1376" s="2" t="s">
        <v>6591</v>
      </c>
      <c r="L1376" s="2" t="s">
        <v>6592</v>
      </c>
      <c r="N1376" s="1" t="s">
        <v>2776</v>
      </c>
    </row>
    <row r="1377" spans="1:14" ht="101.5" x14ac:dyDescent="0.35">
      <c r="A1377" s="121" t="s">
        <v>2793</v>
      </c>
      <c r="B1377" s="99" t="s">
        <v>5356</v>
      </c>
      <c r="C1377" s="121" t="str" cm="1">
        <f t="array" ref="C1377:G1377">_xlfn.TEXTSPLIT('איחוד שאלות'!$B1377,"_")</f>
        <v>perception</v>
      </c>
      <c r="D1377" s="99" t="str">
        <v>satisfaction</v>
      </c>
      <c r="E1377" s="99" t="str">
        <v>policy</v>
      </c>
      <c r="F1377" s="99" t="str">
        <v>security</v>
      </c>
      <c r="G1377" s="100" t="str">
        <v>beforkippurwar</v>
      </c>
      <c r="H1377" s="136" t="s">
        <v>3920</v>
      </c>
      <c r="I1377" s="2" t="s">
        <v>5844</v>
      </c>
      <c r="J1377" s="2" t="s">
        <v>5847</v>
      </c>
      <c r="K1377" s="2" t="s">
        <v>5882</v>
      </c>
      <c r="L1377" s="2" t="s">
        <v>5994</v>
      </c>
      <c r="M1377" s="2" t="s">
        <v>6593</v>
      </c>
      <c r="N1377" s="1" t="s">
        <v>2793</v>
      </c>
    </row>
    <row r="1378" spans="1:14" ht="72.5" x14ac:dyDescent="0.35">
      <c r="A1378" s="113" t="s">
        <v>2794</v>
      </c>
      <c r="B1378" s="102" t="s">
        <v>5357</v>
      </c>
      <c r="C1378" s="123" t="str" cm="1">
        <f t="array" ref="C1378:G1378">_xlfn.TEXTSPLIT('איחוד שאלות'!$B1378,"_")</f>
        <v>perception</v>
      </c>
      <c r="D1378" s="102" t="str">
        <v>policy</v>
      </c>
      <c r="E1378" s="102" t="str">
        <v>security</v>
      </c>
      <c r="F1378" s="102" t="str">
        <v>beforkippurwar</v>
      </c>
      <c r="G1378" s="103" t="str">
        <v>compromise</v>
      </c>
      <c r="H1378" s="135" t="s">
        <v>3920</v>
      </c>
      <c r="I1378" s="2" t="s">
        <v>5844</v>
      </c>
      <c r="J1378" s="2" t="s">
        <v>5882</v>
      </c>
      <c r="K1378" s="2" t="s">
        <v>5994</v>
      </c>
      <c r="L1378" s="2" t="s">
        <v>6593</v>
      </c>
      <c r="M1378" s="2" t="s">
        <v>5919</v>
      </c>
      <c r="N1378" s="1" t="s">
        <v>2794</v>
      </c>
    </row>
    <row r="1379" spans="1:14" ht="72.5" x14ac:dyDescent="0.35">
      <c r="A1379" s="121" t="s">
        <v>2893</v>
      </c>
      <c r="B1379" s="99" t="s">
        <v>5358</v>
      </c>
      <c r="C1379" s="121" t="str" cm="1">
        <f t="array" ref="C1379:F1379">_xlfn.TEXTSPLIT('איחוד שאלות'!$B1379,"_")</f>
        <v>perception</v>
      </c>
      <c r="D1379" s="99" t="str">
        <v>expectation</v>
      </c>
      <c r="E1379" s="99" t="str">
        <v>likud</v>
      </c>
      <c r="F1379" s="99" t="str">
        <v>security</v>
      </c>
      <c r="G1379" s="100"/>
      <c r="H1379" s="136" t="s">
        <v>3920</v>
      </c>
      <c r="I1379" s="2" t="s">
        <v>5844</v>
      </c>
      <c r="J1379" s="2" t="s">
        <v>5850</v>
      </c>
      <c r="K1379" s="2" t="s">
        <v>6030</v>
      </c>
      <c r="L1379" s="2" t="s">
        <v>5994</v>
      </c>
      <c r="N1379" s="1" t="s">
        <v>2893</v>
      </c>
    </row>
    <row r="1380" spans="1:14" ht="101.5" x14ac:dyDescent="0.35">
      <c r="A1380" s="113" t="s">
        <v>3915</v>
      </c>
      <c r="B1380" s="102" t="s">
        <v>5361</v>
      </c>
      <c r="C1380" s="123" t="str" cm="1">
        <f t="array" ref="C1380:G1380">_xlfn.TEXTSPLIT('איחוד שאלות'!$B1380,"_")</f>
        <v>affect</v>
      </c>
      <c r="D1380" s="102" t="str">
        <v>emotion</v>
      </c>
      <c r="E1380" s="102" t="str">
        <v>intifada</v>
      </c>
      <c r="F1380" s="102" t="str">
        <v>influence</v>
      </c>
      <c r="G1380" s="103" t="str">
        <v>presonalmood</v>
      </c>
      <c r="H1380" s="135" t="s">
        <v>3920</v>
      </c>
      <c r="I1380" s="2" t="s">
        <v>5815</v>
      </c>
      <c r="J1380" s="2" t="s">
        <v>5936</v>
      </c>
      <c r="K1380" s="2" t="s">
        <v>6129</v>
      </c>
      <c r="L1380" s="2" t="s">
        <v>5968</v>
      </c>
      <c r="M1380" s="2" t="s">
        <v>6594</v>
      </c>
      <c r="N1380" s="1" t="s">
        <v>7478</v>
      </c>
    </row>
    <row r="1381" spans="1:14" ht="101.5" x14ac:dyDescent="0.35">
      <c r="A1381" s="121" t="s">
        <v>3916</v>
      </c>
      <c r="B1381" s="99" t="s">
        <v>5359</v>
      </c>
      <c r="C1381" s="121" t="str" cm="1">
        <f t="array" ref="C1381:F1381">_xlfn.TEXTSPLIT('איחוד שאלות'!$B1381,"_")</f>
        <v>perception</v>
      </c>
      <c r="D1381" s="99" t="str">
        <v>influence</v>
      </c>
      <c r="E1381" s="99" t="str">
        <v>intifada</v>
      </c>
      <c r="F1381" s="99" t="str">
        <v>nationalmood</v>
      </c>
      <c r="G1381" s="100"/>
      <c r="H1381" s="136" t="s">
        <v>3920</v>
      </c>
      <c r="I1381" s="2" t="s">
        <v>5844</v>
      </c>
      <c r="J1381" s="2" t="s">
        <v>5968</v>
      </c>
      <c r="K1381" s="2" t="s">
        <v>6129</v>
      </c>
      <c r="L1381" s="2" t="s">
        <v>6595</v>
      </c>
      <c r="N1381" s="1" t="s">
        <v>7479</v>
      </c>
    </row>
    <row r="1382" spans="1:14" ht="101.5" x14ac:dyDescent="0.35">
      <c r="A1382" s="113" t="s">
        <v>3917</v>
      </c>
      <c r="B1382" s="102" t="s">
        <v>5360</v>
      </c>
      <c r="C1382" s="123" t="str" cm="1">
        <f t="array" ref="C1382:F1382">_xlfn.TEXTSPLIT('איחוד שאלות'!$B1382,"_")</f>
        <v>behavior</v>
      </c>
      <c r="D1382" s="102" t="str">
        <v>political</v>
      </c>
      <c r="E1382" s="102" t="str">
        <v>influence</v>
      </c>
      <c r="F1382" s="102" t="str">
        <v>intifada</v>
      </c>
      <c r="G1382" s="103"/>
      <c r="H1382" s="135" t="s">
        <v>3920</v>
      </c>
      <c r="I1382" s="2" t="s">
        <v>5806</v>
      </c>
      <c r="J1382" s="2" t="s">
        <v>5918</v>
      </c>
      <c r="K1382" s="2" t="s">
        <v>5968</v>
      </c>
      <c r="L1382" s="2" t="s">
        <v>6129</v>
      </c>
      <c r="N1382" s="1" t="s">
        <v>7480</v>
      </c>
    </row>
    <row r="1383" spans="1:14" ht="101.5" x14ac:dyDescent="0.35">
      <c r="A1383" s="121" t="s">
        <v>3918</v>
      </c>
      <c r="B1383" s="99" t="s">
        <v>5362</v>
      </c>
      <c r="C1383" s="121" t="str" cm="1">
        <f t="array" ref="C1383:G1383">_xlfn.TEXTSPLIT('איחוד שאלות'!$B1383,"_")</f>
        <v>affect</v>
      </c>
      <c r="D1383" s="99" t="str">
        <v>emotion</v>
      </c>
      <c r="E1383" s="99" t="str">
        <v>intifada</v>
      </c>
      <c r="F1383" s="99" t="str">
        <v>influence</v>
      </c>
      <c r="G1383" s="100" t="str">
        <v>wanttoliveinisrael</v>
      </c>
      <c r="H1383" s="136" t="s">
        <v>3920</v>
      </c>
      <c r="I1383" s="2" t="s">
        <v>5815</v>
      </c>
      <c r="J1383" s="2" t="s">
        <v>5936</v>
      </c>
      <c r="K1383" s="2" t="s">
        <v>6129</v>
      </c>
      <c r="L1383" s="2" t="s">
        <v>5968</v>
      </c>
      <c r="M1383" s="2" t="s">
        <v>6596</v>
      </c>
      <c r="N1383" s="1" t="s">
        <v>7481</v>
      </c>
    </row>
    <row r="1384" spans="1:14" ht="101.5" x14ac:dyDescent="0.35">
      <c r="A1384" s="113" t="s">
        <v>3919</v>
      </c>
      <c r="B1384" s="102" t="s">
        <v>5424</v>
      </c>
      <c r="C1384" s="123" t="str" cm="1">
        <f t="array" ref="C1384:F1384">_xlfn.TEXTSPLIT('איחוד שאלות'!$B1384,"_")</f>
        <v>perception</v>
      </c>
      <c r="D1384" s="102" t="str">
        <v>groups</v>
      </c>
      <c r="E1384" s="102" t="str">
        <v>palestinians</v>
      </c>
      <c r="F1384" s="102" t="str">
        <v>intifada</v>
      </c>
      <c r="G1384" s="103"/>
      <c r="H1384" s="135" t="s">
        <v>3920</v>
      </c>
      <c r="I1384" s="2" t="s">
        <v>5844</v>
      </c>
      <c r="J1384" s="2" t="s">
        <v>6457</v>
      </c>
      <c r="K1384" s="2" t="s">
        <v>6597</v>
      </c>
      <c r="L1384" s="2" t="s">
        <v>6129</v>
      </c>
      <c r="N1384" s="1" t="s">
        <v>7482</v>
      </c>
    </row>
    <row r="1385" spans="1:14" ht="72.5" x14ac:dyDescent="0.35">
      <c r="A1385" s="121" t="s">
        <v>3117</v>
      </c>
      <c r="B1385" s="99" t="s">
        <v>5363</v>
      </c>
      <c r="C1385" s="121" t="str" cm="1">
        <f t="array" ref="C1385:F1385">_xlfn.TEXTSPLIT('איחוד שאלות'!$B1385,"_")</f>
        <v>preference</v>
      </c>
      <c r="D1385" s="99" t="str">
        <v>policy</v>
      </c>
      <c r="E1385" s="99" t="str">
        <v>foreignaffairs</v>
      </c>
      <c r="F1385" s="99" t="str">
        <v>protectedbysuperpower</v>
      </c>
      <c r="G1385" s="100"/>
      <c r="H1385" s="136" t="s">
        <v>3920</v>
      </c>
      <c r="I1385" s="2" t="s">
        <v>5856</v>
      </c>
      <c r="J1385" s="2" t="s">
        <v>5882</v>
      </c>
      <c r="K1385" s="2" t="s">
        <v>6021</v>
      </c>
      <c r="L1385" s="2" t="s">
        <v>6598</v>
      </c>
      <c r="N1385" s="1" t="s">
        <v>3117</v>
      </c>
    </row>
    <row r="1386" spans="1:14" ht="43.5" x14ac:dyDescent="0.35">
      <c r="A1386" s="113" t="s">
        <v>25</v>
      </c>
      <c r="B1386" s="102" t="s">
        <v>5391</v>
      </c>
      <c r="C1386" s="123" t="str" cm="1">
        <f t="array" ref="C1386:E1386">_xlfn.TEXTSPLIT('איחוד שאלות'!$B1386,"_")</f>
        <v>perception</v>
      </c>
      <c r="D1386" s="102" t="str">
        <v>expectation</v>
      </c>
      <c r="E1386" s="102" t="str">
        <v>peaceprocess</v>
      </c>
      <c r="F1386" s="102"/>
      <c r="G1386" s="103"/>
      <c r="H1386" s="135" t="s">
        <v>3954</v>
      </c>
      <c r="I1386" s="2" t="s">
        <v>5844</v>
      </c>
      <c r="J1386" s="2" t="s">
        <v>5850</v>
      </c>
      <c r="K1386" s="2" t="s">
        <v>5874</v>
      </c>
      <c r="N1386" s="1" t="s">
        <v>25</v>
      </c>
    </row>
    <row r="1387" spans="1:14" ht="58" x14ac:dyDescent="0.35">
      <c r="A1387" s="121" t="s">
        <v>2514</v>
      </c>
      <c r="B1387" s="99" t="s">
        <v>5392</v>
      </c>
      <c r="C1387" s="121" t="str" cm="1">
        <f t="array" ref="C1387:F1387">_xlfn.TEXTSPLIT('איחוד שאלות'!$B1387,"_")</f>
        <v>perception</v>
      </c>
      <c r="D1387" s="99" t="str">
        <v>party</v>
      </c>
      <c r="E1387" s="99" t="str">
        <v>similarity</v>
      </c>
      <c r="F1387" s="99" t="str">
        <v>peaceprocess</v>
      </c>
      <c r="G1387" s="100"/>
      <c r="H1387" s="136" t="s">
        <v>3954</v>
      </c>
      <c r="I1387" s="2" t="s">
        <v>5844</v>
      </c>
      <c r="J1387" s="2" t="s">
        <v>5853</v>
      </c>
      <c r="K1387" s="2" t="s">
        <v>5927</v>
      </c>
      <c r="L1387" s="2" t="s">
        <v>5874</v>
      </c>
      <c r="N1387" s="1" t="s">
        <v>2514</v>
      </c>
    </row>
    <row r="1388" spans="1:14" ht="58" x14ac:dyDescent="0.35">
      <c r="A1388" s="113" t="s">
        <v>3921</v>
      </c>
      <c r="B1388" s="102" t="s">
        <v>5364</v>
      </c>
      <c r="C1388" s="123" t="str" cm="1">
        <f t="array" ref="C1388:F1388">_xlfn.TEXTSPLIT('איחוד שאלות'!$B1388,"_")</f>
        <v>perception</v>
      </c>
      <c r="D1388" s="102" t="str">
        <v>party</v>
      </c>
      <c r="E1388" s="102" t="str">
        <v>similarity</v>
      </c>
      <c r="F1388" s="102" t="str">
        <v>jerusalem</v>
      </c>
      <c r="G1388" s="103"/>
      <c r="H1388" s="135" t="s">
        <v>3954</v>
      </c>
      <c r="I1388" s="2" t="s">
        <v>5844</v>
      </c>
      <c r="J1388" s="2" t="s">
        <v>5853</v>
      </c>
      <c r="K1388" s="2" t="s">
        <v>5927</v>
      </c>
      <c r="L1388" s="2" t="s">
        <v>6027</v>
      </c>
      <c r="N1388" s="1" t="s">
        <v>7483</v>
      </c>
    </row>
    <row r="1389" spans="1:14" ht="58" x14ac:dyDescent="0.35">
      <c r="A1389" s="121" t="s">
        <v>3922</v>
      </c>
      <c r="B1389" s="99" t="s">
        <v>5392</v>
      </c>
      <c r="C1389" s="121" t="str" cm="1">
        <f t="array" ref="C1389:F1389">_xlfn.TEXTSPLIT('איחוד שאלות'!$B1389,"_")</f>
        <v>perception</v>
      </c>
      <c r="D1389" s="99" t="str">
        <v>party</v>
      </c>
      <c r="E1389" s="99" t="str">
        <v>similarity</v>
      </c>
      <c r="F1389" s="99" t="str">
        <v>peaceprocess</v>
      </c>
      <c r="G1389" s="100"/>
      <c r="H1389" s="136" t="s">
        <v>3954</v>
      </c>
      <c r="I1389" s="2" t="s">
        <v>5844</v>
      </c>
      <c r="J1389" s="2" t="s">
        <v>5853</v>
      </c>
      <c r="K1389" s="2" t="s">
        <v>5927</v>
      </c>
      <c r="L1389" s="2" t="s">
        <v>5874</v>
      </c>
      <c r="N1389" s="1" t="s">
        <v>7484</v>
      </c>
    </row>
    <row r="1390" spans="1:14" ht="72.5" x14ac:dyDescent="0.35">
      <c r="A1390" s="113" t="s">
        <v>2969</v>
      </c>
      <c r="B1390" s="102" t="s">
        <v>5393</v>
      </c>
      <c r="C1390" s="123" t="str" cm="1">
        <f t="array" ref="C1390:F1390">_xlfn.TEXTSPLIT('איחוד שאלות'!$B1390,"_")</f>
        <v>perception</v>
      </c>
      <c r="D1390" s="102" t="str">
        <v>party</v>
      </c>
      <c r="E1390" s="102" t="str">
        <v>difference</v>
      </c>
      <c r="F1390" s="102" t="str">
        <v>peaceprocess</v>
      </c>
      <c r="G1390" s="103"/>
      <c r="H1390" s="135" t="s">
        <v>3954</v>
      </c>
      <c r="I1390" s="2" t="s">
        <v>5844</v>
      </c>
      <c r="J1390" s="2" t="s">
        <v>5853</v>
      </c>
      <c r="K1390" s="2" t="s">
        <v>6024</v>
      </c>
      <c r="L1390" s="2" t="s">
        <v>5874</v>
      </c>
      <c r="N1390" s="1" t="s">
        <v>2969</v>
      </c>
    </row>
    <row r="1391" spans="1:14" ht="72.5" x14ac:dyDescent="0.35">
      <c r="A1391" s="121" t="s">
        <v>26</v>
      </c>
      <c r="B1391" s="99" t="s">
        <v>5365</v>
      </c>
      <c r="C1391" s="121" t="str" cm="1">
        <f t="array" ref="C1391:F1391">_xlfn.TEXTSPLIT('איחוד שאלות'!$B1391,"_")</f>
        <v>preference</v>
      </c>
      <c r="D1391" s="99" t="str">
        <v>policy</v>
      </c>
      <c r="E1391" s="99" t="str">
        <v>security</v>
      </c>
      <c r="F1391" s="99" t="str">
        <v>peacevsmilitary</v>
      </c>
      <c r="G1391" s="100"/>
      <c r="H1391" s="136" t="s">
        <v>3954</v>
      </c>
      <c r="I1391" s="2" t="s">
        <v>5856</v>
      </c>
      <c r="J1391" s="2" t="s">
        <v>5882</v>
      </c>
      <c r="K1391" s="2" t="s">
        <v>5994</v>
      </c>
      <c r="L1391" s="2" t="s">
        <v>6599</v>
      </c>
      <c r="N1391" s="1" t="s">
        <v>26</v>
      </c>
    </row>
    <row r="1392" spans="1:14" ht="87" x14ac:dyDescent="0.35">
      <c r="A1392" s="113" t="s">
        <v>29</v>
      </c>
      <c r="B1392" s="102" t="s">
        <v>5394</v>
      </c>
      <c r="C1392" s="123" t="str" cm="1">
        <f t="array" ref="C1392:F1392">_xlfn.TEXTSPLIT('איחוד שאלות'!$B1392,"_")</f>
        <v>preference</v>
      </c>
      <c r="D1392" s="102" t="str">
        <v>policy</v>
      </c>
      <c r="E1392" s="102" t="str">
        <v>peaceprocess</v>
      </c>
      <c r="F1392" s="102" t="str">
        <v>palestinianstate</v>
      </c>
      <c r="G1392" s="103"/>
      <c r="H1392" s="135" t="s">
        <v>3954</v>
      </c>
      <c r="I1392" s="2" t="s">
        <v>5856</v>
      </c>
      <c r="J1392" s="2" t="s">
        <v>5882</v>
      </c>
      <c r="K1392" s="2" t="s">
        <v>5874</v>
      </c>
      <c r="L1392" s="2" t="s">
        <v>6250</v>
      </c>
      <c r="N1392" s="1" t="s">
        <v>29</v>
      </c>
    </row>
    <row r="1393" spans="1:14" ht="43.5" x14ac:dyDescent="0.35">
      <c r="A1393" s="121" t="s">
        <v>3238</v>
      </c>
      <c r="B1393" s="99" t="s">
        <v>5366</v>
      </c>
      <c r="C1393" s="121" t="str" cm="1">
        <f t="array" ref="C1393:F1393">_xlfn.TEXTSPLIT('איחוד שאלות'!$B1393,"_")</f>
        <v>perception</v>
      </c>
      <c r="D1393" s="99" t="str">
        <v>groups</v>
      </c>
      <c r="E1393" s="99" t="str">
        <v>palestinians</v>
      </c>
      <c r="F1393" s="99" t="str">
        <v>goal</v>
      </c>
      <c r="G1393" s="100"/>
      <c r="H1393" s="136" t="s">
        <v>3954</v>
      </c>
      <c r="I1393" s="2" t="s">
        <v>5844</v>
      </c>
      <c r="J1393" s="2" t="s">
        <v>6457</v>
      </c>
      <c r="K1393" s="2" t="s">
        <v>6597</v>
      </c>
      <c r="L1393" s="2" t="s">
        <v>5865</v>
      </c>
      <c r="N1393" s="1" t="s">
        <v>3238</v>
      </c>
    </row>
    <row r="1394" spans="1:14" ht="58" x14ac:dyDescent="0.35">
      <c r="A1394" s="113" t="s">
        <v>411</v>
      </c>
      <c r="B1394" s="102" t="s">
        <v>5395</v>
      </c>
      <c r="C1394" s="123" t="str" cm="1">
        <f t="array" ref="C1394:F1394">_xlfn.TEXTSPLIT('איחוד שאלות'!$B1394,"_")</f>
        <v>preference</v>
      </c>
      <c r="D1394" s="102" t="str">
        <v>policy</v>
      </c>
      <c r="E1394" s="102" t="str">
        <v>peaceprocess</v>
      </c>
      <c r="F1394" s="102" t="str">
        <v>westbank</v>
      </c>
      <c r="G1394" s="103"/>
      <c r="H1394" s="135" t="s">
        <v>3954</v>
      </c>
      <c r="I1394" s="2" t="s">
        <v>5856</v>
      </c>
      <c r="J1394" s="2" t="s">
        <v>5882</v>
      </c>
      <c r="K1394" s="2" t="s">
        <v>5874</v>
      </c>
      <c r="L1394" s="2" t="s">
        <v>6600</v>
      </c>
      <c r="N1394" s="1" t="s">
        <v>411</v>
      </c>
    </row>
    <row r="1395" spans="1:14" ht="130.5" x14ac:dyDescent="0.35">
      <c r="A1395" s="121" t="s">
        <v>416</v>
      </c>
      <c r="B1395" s="99" t="s">
        <v>5396</v>
      </c>
      <c r="C1395" s="121" t="str" cm="1">
        <f t="array" ref="C1395:F1395">_xlfn.TEXTSPLIT('איחוד שאלות'!$B1395,"_")</f>
        <v>preference</v>
      </c>
      <c r="D1395" s="99" t="str">
        <v>policy</v>
      </c>
      <c r="E1395" s="99" t="str">
        <v>peaceprocess</v>
      </c>
      <c r="F1395" s="99" t="str">
        <v>eastjerusalem</v>
      </c>
      <c r="G1395" s="100"/>
      <c r="H1395" s="136" t="s">
        <v>3954</v>
      </c>
      <c r="I1395" s="2" t="s">
        <v>5856</v>
      </c>
      <c r="J1395" s="2" t="s">
        <v>5882</v>
      </c>
      <c r="K1395" s="2" t="s">
        <v>5874</v>
      </c>
      <c r="L1395" s="2" t="s">
        <v>6601</v>
      </c>
      <c r="N1395" s="1" t="s">
        <v>416</v>
      </c>
    </row>
    <row r="1396" spans="1:14" ht="58" x14ac:dyDescent="0.35">
      <c r="A1396" s="113" t="s">
        <v>615</v>
      </c>
      <c r="B1396" s="102" t="s">
        <v>5397</v>
      </c>
      <c r="C1396" s="123" t="str" cm="1">
        <f t="array" ref="C1396:G1396">_xlfn.TEXTSPLIT('איחוד שאלות'!$B1396,"_")</f>
        <v>preference</v>
      </c>
      <c r="D1396" s="102" t="str">
        <v>policy</v>
      </c>
      <c r="E1396" s="102" t="str">
        <v>peaceprocess</v>
      </c>
      <c r="F1396" s="102" t="str">
        <v>westbank</v>
      </c>
      <c r="G1396" s="103" t="str">
        <v>evacuatesettlements</v>
      </c>
      <c r="H1396" s="135" t="s">
        <v>3954</v>
      </c>
      <c r="I1396" s="2" t="s">
        <v>5856</v>
      </c>
      <c r="J1396" s="2" t="s">
        <v>5882</v>
      </c>
      <c r="K1396" s="2" t="s">
        <v>5874</v>
      </c>
      <c r="L1396" s="2" t="s">
        <v>6600</v>
      </c>
      <c r="M1396" s="2" t="s">
        <v>6602</v>
      </c>
      <c r="N1396" s="1" t="s">
        <v>615</v>
      </c>
    </row>
    <row r="1397" spans="1:14" ht="145" x14ac:dyDescent="0.35">
      <c r="A1397" s="121" t="s">
        <v>3923</v>
      </c>
      <c r="B1397" s="99" t="s">
        <v>5398</v>
      </c>
      <c r="C1397" s="121" t="str" cm="1">
        <f t="array" ref="C1397:F1397">_xlfn.TEXTSPLIT('איחוד שאלות'!$B1397,"_")</f>
        <v>affect</v>
      </c>
      <c r="D1397" s="99" t="str">
        <v>threat</v>
      </c>
      <c r="E1397" s="99" t="str">
        <v>peaceprocess</v>
      </c>
      <c r="F1397" s="99" t="str">
        <v>territoriesrestitution</v>
      </c>
      <c r="G1397" s="100"/>
      <c r="H1397" s="136" t="s">
        <v>3954</v>
      </c>
      <c r="I1397" s="2" t="s">
        <v>5815</v>
      </c>
      <c r="J1397" s="2" t="s">
        <v>5816</v>
      </c>
      <c r="K1397" s="2" t="s">
        <v>5874</v>
      </c>
      <c r="L1397" s="2" t="s">
        <v>5887</v>
      </c>
      <c r="N1397" s="1" t="s">
        <v>7485</v>
      </c>
    </row>
    <row r="1398" spans="1:14" ht="43.5" x14ac:dyDescent="0.35">
      <c r="A1398" s="113" t="s">
        <v>419</v>
      </c>
      <c r="B1398" s="102" t="s">
        <v>5399</v>
      </c>
      <c r="C1398" s="123" t="str" cm="1">
        <f t="array" ref="C1398:F1398">_xlfn.TEXTSPLIT('איחוד שאלות'!$B1398,"_")</f>
        <v>affect</v>
      </c>
      <c r="D1398" s="102" t="str">
        <v>threat</v>
      </c>
      <c r="E1398" s="102" t="str">
        <v>peaceprocess</v>
      </c>
      <c r="F1398" s="102" t="str">
        <v>palestinianstate</v>
      </c>
      <c r="G1398" s="103"/>
      <c r="H1398" s="135" t="s">
        <v>3954</v>
      </c>
      <c r="I1398" s="2" t="s">
        <v>5815</v>
      </c>
      <c r="J1398" s="2" t="s">
        <v>5816</v>
      </c>
      <c r="K1398" s="2" t="s">
        <v>5874</v>
      </c>
      <c r="L1398" s="2" t="s">
        <v>6250</v>
      </c>
      <c r="N1398" s="1" t="s">
        <v>419</v>
      </c>
    </row>
    <row r="1399" spans="1:14" ht="43.5" x14ac:dyDescent="0.35">
      <c r="A1399" s="121" t="s">
        <v>420</v>
      </c>
      <c r="B1399" s="99" t="s">
        <v>5400</v>
      </c>
      <c r="C1399" s="121" t="str" cm="1">
        <f t="array" ref="C1399:F1399">_xlfn.TEXTSPLIT('איחוד שאלות'!$B1399,"_")</f>
        <v>affect</v>
      </c>
      <c r="D1399" s="99" t="str">
        <v>threat</v>
      </c>
      <c r="E1399" s="99" t="str">
        <v>peaceprocess</v>
      </c>
      <c r="F1399" s="99" t="str">
        <v>anotherintifada</v>
      </c>
      <c r="G1399" s="100"/>
      <c r="H1399" s="136" t="s">
        <v>3954</v>
      </c>
      <c r="I1399" s="2" t="s">
        <v>5815</v>
      </c>
      <c r="J1399" s="2" t="s">
        <v>5816</v>
      </c>
      <c r="K1399" s="2" t="s">
        <v>5874</v>
      </c>
      <c r="L1399" s="2" t="s">
        <v>6603</v>
      </c>
      <c r="N1399" s="1" t="s">
        <v>420</v>
      </c>
    </row>
    <row r="1400" spans="1:14" ht="43.5" x14ac:dyDescent="0.35">
      <c r="A1400" s="113" t="s">
        <v>718</v>
      </c>
      <c r="B1400" s="102" t="s">
        <v>5401</v>
      </c>
      <c r="C1400" s="123" t="str" cm="1">
        <f t="array" ref="C1400:F1400">_xlfn.TEXTSPLIT('איחוד שאלות'!$B1400,"_")</f>
        <v>affect</v>
      </c>
      <c r="D1400" s="102" t="str">
        <v>threat</v>
      </c>
      <c r="E1400" s="102" t="str">
        <v>peaceprocess</v>
      </c>
      <c r="F1400" s="102" t="str">
        <v>onesidedrestitution</v>
      </c>
      <c r="G1400" s="103"/>
      <c r="H1400" s="135" t="s">
        <v>3954</v>
      </c>
      <c r="I1400" s="2" t="s">
        <v>5815</v>
      </c>
      <c r="J1400" s="2" t="s">
        <v>5816</v>
      </c>
      <c r="K1400" s="2" t="s">
        <v>5874</v>
      </c>
      <c r="L1400" s="2" t="s">
        <v>6604</v>
      </c>
      <c r="N1400" s="1" t="s">
        <v>718</v>
      </c>
    </row>
    <row r="1401" spans="1:14" ht="87" x14ac:dyDescent="0.35">
      <c r="A1401" s="121" t="s">
        <v>3924</v>
      </c>
      <c r="B1401" s="99" t="s">
        <v>5402</v>
      </c>
      <c r="C1401" s="121" t="str" cm="1">
        <f t="array" ref="C1401:F1401">_xlfn.TEXTSPLIT('איחוד שאלות'!$B1401,"_")</f>
        <v>perception</v>
      </c>
      <c r="D1401" s="99" t="str">
        <v>expectation</v>
      </c>
      <c r="E1401" s="99" t="str">
        <v>peaceprocess</v>
      </c>
      <c r="F1401" s="99" t="str">
        <v>peacewithoutrestitution</v>
      </c>
      <c r="G1401" s="100"/>
      <c r="H1401" s="136" t="s">
        <v>3954</v>
      </c>
      <c r="I1401" s="2" t="s">
        <v>5844</v>
      </c>
      <c r="J1401" s="2" t="s">
        <v>5850</v>
      </c>
      <c r="K1401" s="2" t="s">
        <v>5874</v>
      </c>
      <c r="L1401" s="2" t="s">
        <v>6605</v>
      </c>
      <c r="N1401" s="1" t="s">
        <v>7486</v>
      </c>
    </row>
    <row r="1402" spans="1:14" ht="72.5" x14ac:dyDescent="0.35">
      <c r="A1402" s="113" t="s">
        <v>710</v>
      </c>
      <c r="B1402" s="102" t="s">
        <v>5367</v>
      </c>
      <c r="C1402" s="123" t="str" cm="1">
        <f t="array" ref="C1402:G1402">_xlfn.TEXTSPLIT('איחוד שאלות'!$B1402,"_")</f>
        <v>perception</v>
      </c>
      <c r="D1402" s="102" t="str">
        <v>expectation</v>
      </c>
      <c r="E1402" s="102" t="str">
        <v>foreignaffairs</v>
      </c>
      <c r="F1402" s="102" t="str">
        <v>arabstates</v>
      </c>
      <c r="G1402" s="103" t="str">
        <v>peace</v>
      </c>
      <c r="H1402" s="135" t="s">
        <v>3954</v>
      </c>
      <c r="I1402" s="2" t="s">
        <v>5844</v>
      </c>
      <c r="J1402" s="2" t="s">
        <v>5850</v>
      </c>
      <c r="K1402" s="2" t="s">
        <v>6021</v>
      </c>
      <c r="L1402" s="2" t="s">
        <v>6560</v>
      </c>
      <c r="M1402" s="2" t="s">
        <v>6606</v>
      </c>
      <c r="N1402" s="1" t="s">
        <v>710</v>
      </c>
    </row>
    <row r="1403" spans="1:14" ht="72.5" x14ac:dyDescent="0.35">
      <c r="A1403" s="121" t="s">
        <v>711</v>
      </c>
      <c r="B1403" s="99" t="s">
        <v>5368</v>
      </c>
      <c r="C1403" s="121" t="str" cm="1">
        <f t="array" ref="C1403:G1403">_xlfn.TEXTSPLIT('איחוד שאלות'!$B1403,"_")</f>
        <v>perception</v>
      </c>
      <c r="D1403" s="99" t="str">
        <v>expectation</v>
      </c>
      <c r="E1403" s="99" t="str">
        <v>foreignaffairs</v>
      </c>
      <c r="F1403" s="99" t="str">
        <v>arabstates</v>
      </c>
      <c r="G1403" s="100" t="str">
        <v>war</v>
      </c>
      <c r="H1403" s="136" t="s">
        <v>3954</v>
      </c>
      <c r="I1403" s="2" t="s">
        <v>5844</v>
      </c>
      <c r="J1403" s="2" t="s">
        <v>5850</v>
      </c>
      <c r="K1403" s="2" t="s">
        <v>6021</v>
      </c>
      <c r="L1403" s="2" t="s">
        <v>6560</v>
      </c>
      <c r="M1403" s="2" t="s">
        <v>5889</v>
      </c>
      <c r="N1403" s="1" t="s">
        <v>711</v>
      </c>
    </row>
    <row r="1404" spans="1:14" ht="87" x14ac:dyDescent="0.35">
      <c r="A1404" s="113" t="s">
        <v>716</v>
      </c>
      <c r="B1404" s="102" t="s">
        <v>5403</v>
      </c>
      <c r="C1404" s="123" t="str" cm="1">
        <f t="array" ref="C1404:F1404">_xlfn.TEXTSPLIT('איחוד שאלות'!$B1404,"_")</f>
        <v>perception</v>
      </c>
      <c r="D1404" s="102" t="str">
        <v>expectation</v>
      </c>
      <c r="E1404" s="102" t="str">
        <v>peaceprocess</v>
      </c>
      <c r="F1404" s="102" t="str">
        <v>endconflicts</v>
      </c>
      <c r="G1404" s="103"/>
      <c r="H1404" s="135" t="s">
        <v>3954</v>
      </c>
      <c r="I1404" s="2" t="s">
        <v>5844</v>
      </c>
      <c r="J1404" s="2" t="s">
        <v>5850</v>
      </c>
      <c r="K1404" s="2" t="s">
        <v>5874</v>
      </c>
      <c r="L1404" s="2" t="s">
        <v>6607</v>
      </c>
      <c r="N1404" s="1" t="s">
        <v>716</v>
      </c>
    </row>
    <row r="1405" spans="1:14" ht="87" x14ac:dyDescent="0.35">
      <c r="A1405" s="121" t="s">
        <v>721</v>
      </c>
      <c r="B1405" s="99" t="s">
        <v>5430</v>
      </c>
      <c r="C1405" s="121" t="str" cm="1">
        <f t="array" ref="C1405:F1405">_xlfn.TEXTSPLIT('איחוד שאלות'!$B1405,"_")</f>
        <v>preference</v>
      </c>
      <c r="D1405" s="99" t="str">
        <v>policy</v>
      </c>
      <c r="E1405" s="99" t="str">
        <v>peaceprocess</v>
      </c>
      <c r="F1405" s="99" t="str">
        <v>restitutegolan</v>
      </c>
      <c r="G1405" s="100"/>
      <c r="H1405" s="136" t="s">
        <v>3954</v>
      </c>
      <c r="I1405" s="2" t="s">
        <v>5856</v>
      </c>
      <c r="J1405" s="2" t="s">
        <v>5882</v>
      </c>
      <c r="K1405" s="2" t="s">
        <v>5874</v>
      </c>
      <c r="L1405" s="2" t="s">
        <v>6608</v>
      </c>
      <c r="N1405" s="1" t="s">
        <v>721</v>
      </c>
    </row>
    <row r="1406" spans="1:14" ht="101.5" x14ac:dyDescent="0.35">
      <c r="A1406" s="113" t="s">
        <v>1502</v>
      </c>
      <c r="B1406" s="102" t="s">
        <v>5431</v>
      </c>
      <c r="C1406" s="123" t="str" cm="1">
        <f t="array" ref="C1406:E1406">_xlfn.TEXTSPLIT('איחוד שאלות'!$B1406,"_")</f>
        <v>perception</v>
      </c>
      <c r="D1406" s="102" t="str">
        <v>expectation</v>
      </c>
      <c r="E1406" s="102" t="str">
        <v>restitutegolan</v>
      </c>
      <c r="F1406" s="102"/>
      <c r="G1406" s="103"/>
      <c r="H1406" s="135" t="s">
        <v>3954</v>
      </c>
      <c r="I1406" s="2" t="s">
        <v>5844</v>
      </c>
      <c r="J1406" s="2" t="s">
        <v>5850</v>
      </c>
      <c r="K1406" s="2" t="s">
        <v>6608</v>
      </c>
      <c r="N1406" s="1" t="s">
        <v>1502</v>
      </c>
    </row>
    <row r="1407" spans="1:14" ht="87" x14ac:dyDescent="0.35">
      <c r="A1407" s="121" t="s">
        <v>3925</v>
      </c>
      <c r="B1407" s="99" t="s">
        <v>5404</v>
      </c>
      <c r="C1407" s="121" t="str" cm="1">
        <f t="array" ref="C1407:F1407">_xlfn.TEXTSPLIT('איחוד שאלות'!$B1407,"_")</f>
        <v>preference</v>
      </c>
      <c r="D1407" s="99" t="str">
        <v>policy</v>
      </c>
      <c r="E1407" s="99" t="str">
        <v>peaceprocess</v>
      </c>
      <c r="F1407" s="99" t="str">
        <v>stopprocessesevenifwar</v>
      </c>
      <c r="G1407" s="100"/>
      <c r="H1407" s="136" t="s">
        <v>3954</v>
      </c>
      <c r="I1407" s="2" t="s">
        <v>5856</v>
      </c>
      <c r="J1407" s="2" t="s">
        <v>5882</v>
      </c>
      <c r="K1407" s="2" t="s">
        <v>5874</v>
      </c>
      <c r="L1407" s="2" t="s">
        <v>6609</v>
      </c>
      <c r="N1407" s="1" t="s">
        <v>7487</v>
      </c>
    </row>
    <row r="1408" spans="1:14" ht="72.5" x14ac:dyDescent="0.35">
      <c r="A1408" s="113" t="s">
        <v>3926</v>
      </c>
      <c r="B1408" s="102" t="s">
        <v>5405</v>
      </c>
      <c r="C1408" s="123" t="str" cm="1">
        <f t="array" ref="C1408:F1408">_xlfn.TEXTSPLIT('איחוד שאלות'!$B1408,"_")</f>
        <v>preference</v>
      </c>
      <c r="D1408" s="102" t="str">
        <v>policy</v>
      </c>
      <c r="E1408" s="102" t="str">
        <v>peaceprocess</v>
      </c>
      <c r="F1408" s="102" t="str">
        <v>restitutionforpeace</v>
      </c>
      <c r="G1408" s="103"/>
      <c r="H1408" s="135" t="s">
        <v>3954</v>
      </c>
      <c r="I1408" s="2" t="s">
        <v>5856</v>
      </c>
      <c r="J1408" s="2" t="s">
        <v>5882</v>
      </c>
      <c r="K1408" s="2" t="s">
        <v>5874</v>
      </c>
      <c r="L1408" s="2" t="s">
        <v>6251</v>
      </c>
      <c r="N1408" s="1" t="s">
        <v>7488</v>
      </c>
    </row>
    <row r="1409" spans="1:14" ht="72.5" x14ac:dyDescent="0.35">
      <c r="A1409" s="121" t="s">
        <v>3927</v>
      </c>
      <c r="B1409" s="99" t="s">
        <v>5406</v>
      </c>
      <c r="C1409" s="121" t="str" cm="1">
        <f t="array" ref="C1409:F1409">_xlfn.TEXTSPLIT('איחוד שאלות'!$B1409,"_")</f>
        <v>preference</v>
      </c>
      <c r="D1409" s="99" t="str">
        <v>policy</v>
      </c>
      <c r="E1409" s="99" t="str">
        <v>peaceprocess</v>
      </c>
      <c r="F1409" s="99" t="str">
        <v>encouragearabmigration</v>
      </c>
      <c r="G1409" s="100"/>
      <c r="H1409" s="136" t="s">
        <v>3954</v>
      </c>
      <c r="I1409" s="2" t="s">
        <v>5856</v>
      </c>
      <c r="J1409" s="2" t="s">
        <v>5882</v>
      </c>
      <c r="K1409" s="2" t="s">
        <v>5874</v>
      </c>
      <c r="L1409" s="2" t="s">
        <v>6610</v>
      </c>
      <c r="N1409" s="1" t="s">
        <v>7489</v>
      </c>
    </row>
    <row r="1410" spans="1:14" ht="58" x14ac:dyDescent="0.35">
      <c r="A1410" s="113" t="s">
        <v>3928</v>
      </c>
      <c r="B1410" s="102" t="s">
        <v>5407</v>
      </c>
      <c r="C1410" s="123" t="str" cm="1">
        <f t="array" ref="C1410:F1410">_xlfn.TEXTSPLIT('איחוד שאלות'!$B1410,"_")</f>
        <v>preference</v>
      </c>
      <c r="D1410" s="102" t="str">
        <v>policy</v>
      </c>
      <c r="E1410" s="102" t="str">
        <v>peaceprocess</v>
      </c>
      <c r="F1410" s="102" t="str">
        <v>wallpalestinians</v>
      </c>
      <c r="G1410" s="103"/>
      <c r="H1410" s="135" t="s">
        <v>3954</v>
      </c>
      <c r="I1410" s="2" t="s">
        <v>5856</v>
      </c>
      <c r="J1410" s="2" t="s">
        <v>5882</v>
      </c>
      <c r="K1410" s="2" t="s">
        <v>5874</v>
      </c>
      <c r="L1410" s="2" t="s">
        <v>6611</v>
      </c>
      <c r="N1410" s="1" t="s">
        <v>7490</v>
      </c>
    </row>
    <row r="1411" spans="1:14" ht="72.5" x14ac:dyDescent="0.35">
      <c r="A1411" s="121" t="s">
        <v>3929</v>
      </c>
      <c r="B1411" s="99" t="s">
        <v>5408</v>
      </c>
      <c r="C1411" s="121" t="str" cm="1">
        <f t="array" ref="C1411:F1411">_xlfn.TEXTSPLIT('איחוד שאלות'!$B1411,"_")</f>
        <v>preference</v>
      </c>
      <c r="D1411" s="99" t="str">
        <v>policy</v>
      </c>
      <c r="E1411" s="99" t="str">
        <v>peaceprocess</v>
      </c>
      <c r="F1411" s="99" t="str">
        <v>negotiateduringterror</v>
      </c>
      <c r="G1411" s="100"/>
      <c r="H1411" s="136" t="s">
        <v>3954</v>
      </c>
      <c r="I1411" s="2" t="s">
        <v>5856</v>
      </c>
      <c r="J1411" s="2" t="s">
        <v>5882</v>
      </c>
      <c r="K1411" s="2" t="s">
        <v>5874</v>
      </c>
      <c r="L1411" s="2" t="s">
        <v>6612</v>
      </c>
      <c r="N1411" s="1" t="s">
        <v>7491</v>
      </c>
    </row>
    <row r="1412" spans="1:14" ht="101.5" x14ac:dyDescent="0.35">
      <c r="A1412" s="113" t="s">
        <v>3930</v>
      </c>
      <c r="B1412" s="102" t="s">
        <v>5409</v>
      </c>
      <c r="C1412" s="123" t="str" cm="1">
        <f t="array" ref="C1412:F1412">_xlfn.TEXTSPLIT('איחוד שאלות'!$B1412,"_")</f>
        <v>preference</v>
      </c>
      <c r="D1412" s="102" t="str">
        <v>policy</v>
      </c>
      <c r="E1412" s="102" t="str">
        <v>peaceprocess</v>
      </c>
      <c r="F1412" s="102" t="str">
        <v>onesidedrestitution</v>
      </c>
      <c r="G1412" s="103"/>
      <c r="H1412" s="135" t="s">
        <v>3954</v>
      </c>
      <c r="I1412" s="2" t="s">
        <v>5856</v>
      </c>
      <c r="J1412" s="2" t="s">
        <v>5882</v>
      </c>
      <c r="K1412" s="2" t="s">
        <v>5874</v>
      </c>
      <c r="L1412" s="2" t="s">
        <v>6604</v>
      </c>
      <c r="N1412" s="1" t="s">
        <v>7492</v>
      </c>
    </row>
    <row r="1413" spans="1:14" ht="87" x14ac:dyDescent="0.35">
      <c r="A1413" s="121" t="s">
        <v>3931</v>
      </c>
      <c r="B1413" s="99" t="s">
        <v>5410</v>
      </c>
      <c r="C1413" s="121" t="str" cm="1">
        <f t="array" ref="C1413:F1413">_xlfn.TEXTSPLIT('איחוד שאלות'!$B1413,"_")</f>
        <v>preference</v>
      </c>
      <c r="D1413" s="99" t="str">
        <v>policy</v>
      </c>
      <c r="E1413" s="99" t="str">
        <v>peaceprocess</v>
      </c>
      <c r="F1413" s="99" t="str">
        <v>evacuatesettlements</v>
      </c>
      <c r="G1413" s="100"/>
      <c r="H1413" s="136" t="s">
        <v>3954</v>
      </c>
      <c r="I1413" s="2" t="s">
        <v>5856</v>
      </c>
      <c r="J1413" s="2" t="s">
        <v>5882</v>
      </c>
      <c r="K1413" s="2" t="s">
        <v>5874</v>
      </c>
      <c r="L1413" s="2" t="s">
        <v>6602</v>
      </c>
      <c r="N1413" s="1" t="s">
        <v>7493</v>
      </c>
    </row>
    <row r="1414" spans="1:14" ht="58" x14ac:dyDescent="0.35">
      <c r="A1414" s="113" t="s">
        <v>3932</v>
      </c>
      <c r="B1414" s="102" t="s">
        <v>5411</v>
      </c>
      <c r="C1414" s="123" t="str" cm="1">
        <f t="array" ref="C1414:F1414">_xlfn.TEXTSPLIT('איחוד שאלות'!$B1414,"_")</f>
        <v>preference</v>
      </c>
      <c r="D1414" s="102" t="str">
        <v>policy</v>
      </c>
      <c r="E1414" s="102" t="str">
        <v>peaceprocess</v>
      </c>
      <c r="F1414" s="102" t="str">
        <v>transferpalestinians</v>
      </c>
      <c r="G1414" s="103"/>
      <c r="H1414" s="135" t="s">
        <v>3954</v>
      </c>
      <c r="I1414" s="2" t="s">
        <v>5856</v>
      </c>
      <c r="J1414" s="2" t="s">
        <v>5882</v>
      </c>
      <c r="K1414" s="2" t="s">
        <v>5874</v>
      </c>
      <c r="L1414" s="2" t="s">
        <v>6613</v>
      </c>
      <c r="N1414" s="1" t="s">
        <v>7494</v>
      </c>
    </row>
    <row r="1415" spans="1:14" ht="58" x14ac:dyDescent="0.35">
      <c r="A1415" s="121" t="s">
        <v>3933</v>
      </c>
      <c r="B1415" s="99" t="s">
        <v>5412</v>
      </c>
      <c r="C1415" s="121" t="str" cm="1">
        <f t="array" ref="C1415:F1415">_xlfn.TEXTSPLIT('איחוד שאלות'!$B1415,"_")</f>
        <v>preference</v>
      </c>
      <c r="D1415" s="99" t="str">
        <v>policy</v>
      </c>
      <c r="E1415" s="99" t="str">
        <v>peaceprocess</v>
      </c>
      <c r="F1415" s="99" t="str">
        <v>transferpci</v>
      </c>
      <c r="G1415" s="100"/>
      <c r="H1415" s="136" t="s">
        <v>3954</v>
      </c>
      <c r="I1415" s="2" t="s">
        <v>5856</v>
      </c>
      <c r="J1415" s="2" t="s">
        <v>5882</v>
      </c>
      <c r="K1415" s="2" t="s">
        <v>5874</v>
      </c>
      <c r="L1415" s="2" t="s">
        <v>6614</v>
      </c>
      <c r="N1415" s="1" t="s">
        <v>7495</v>
      </c>
    </row>
    <row r="1416" spans="1:14" ht="87" x14ac:dyDescent="0.35">
      <c r="A1416" s="113" t="s">
        <v>3934</v>
      </c>
      <c r="B1416" s="102" t="s">
        <v>5413</v>
      </c>
      <c r="C1416" s="123" t="str" cm="1">
        <f t="array" ref="C1416:F1416">_xlfn.TEXTSPLIT('איחוד שאלות'!$B1416,"_")</f>
        <v>preference</v>
      </c>
      <c r="D1416" s="102" t="str">
        <v>policy</v>
      </c>
      <c r="E1416" s="102" t="str">
        <v>peaceprocess</v>
      </c>
      <c r="F1416" s="102" t="str">
        <v>startprocessesevenifrestitution</v>
      </c>
      <c r="G1416" s="103"/>
      <c r="H1416" s="135" t="s">
        <v>3954</v>
      </c>
      <c r="I1416" s="2" t="s">
        <v>5856</v>
      </c>
      <c r="J1416" s="2" t="s">
        <v>5882</v>
      </c>
      <c r="K1416" s="2" t="s">
        <v>5874</v>
      </c>
      <c r="L1416" s="2" t="s">
        <v>6615</v>
      </c>
      <c r="N1416" s="1" t="s">
        <v>7496</v>
      </c>
    </row>
    <row r="1417" spans="1:14" ht="174" x14ac:dyDescent="0.35">
      <c r="A1417" s="121" t="s">
        <v>23</v>
      </c>
      <c r="B1417" s="99" t="s">
        <v>5414</v>
      </c>
      <c r="C1417" s="121" t="str" cm="1">
        <f t="array" ref="C1417:F1417">_xlfn.TEXTSPLIT('איחוד שאלות'!$B1417,"_")</f>
        <v>preference</v>
      </c>
      <c r="D1417" s="99" t="str">
        <v>policy</v>
      </c>
      <c r="E1417" s="99" t="str">
        <v>peaceprocess</v>
      </c>
      <c r="F1417" s="99" t="str">
        <v>trumppeaceplan</v>
      </c>
      <c r="G1417" s="100"/>
      <c r="H1417" s="136" t="s">
        <v>3954</v>
      </c>
      <c r="I1417" s="2" t="s">
        <v>5856</v>
      </c>
      <c r="J1417" s="2" t="s">
        <v>5882</v>
      </c>
      <c r="K1417" s="2" t="s">
        <v>5874</v>
      </c>
      <c r="L1417" s="2" t="s">
        <v>6616</v>
      </c>
      <c r="N1417" s="1" t="s">
        <v>23</v>
      </c>
    </row>
    <row r="1418" spans="1:14" ht="87" x14ac:dyDescent="0.35">
      <c r="A1418" s="113" t="s">
        <v>885</v>
      </c>
      <c r="B1418" s="102" t="s">
        <v>5405</v>
      </c>
      <c r="C1418" s="123" t="str" cm="1">
        <f t="array" ref="C1418:F1418">_xlfn.TEXTSPLIT('איחוד שאלות'!$B1418,"_")</f>
        <v>preference</v>
      </c>
      <c r="D1418" s="102" t="str">
        <v>policy</v>
      </c>
      <c r="E1418" s="102" t="str">
        <v>peaceprocess</v>
      </c>
      <c r="F1418" s="102" t="str">
        <v>restitutionforpeace</v>
      </c>
      <c r="G1418" s="103"/>
      <c r="H1418" s="135" t="s">
        <v>3954</v>
      </c>
      <c r="I1418" s="2" t="s">
        <v>5856</v>
      </c>
      <c r="J1418" s="2" t="s">
        <v>5882</v>
      </c>
      <c r="K1418" s="2" t="s">
        <v>5874</v>
      </c>
      <c r="L1418" s="2" t="s">
        <v>6251</v>
      </c>
      <c r="N1418" s="1" t="s">
        <v>885</v>
      </c>
    </row>
    <row r="1419" spans="1:14" ht="101.5" x14ac:dyDescent="0.35">
      <c r="A1419" s="121" t="s">
        <v>887</v>
      </c>
      <c r="B1419" s="99" t="s">
        <v>5369</v>
      </c>
      <c r="C1419" s="121" t="str" cm="1">
        <f t="array" ref="C1419:F1419">_xlfn.TEXTSPLIT('איחוד שאלות'!$B1419,"_")</f>
        <v>preference</v>
      </c>
      <c r="D1419" s="99" t="str">
        <v>policy</v>
      </c>
      <c r="E1419" s="99" t="str">
        <v>peaceprocesses</v>
      </c>
      <c r="F1419" s="99" t="str">
        <v>onesidedrestitution</v>
      </c>
      <c r="G1419" s="100"/>
      <c r="H1419" s="136" t="s">
        <v>3954</v>
      </c>
      <c r="I1419" s="2" t="s">
        <v>5856</v>
      </c>
      <c r="J1419" s="2" t="s">
        <v>5882</v>
      </c>
      <c r="K1419" s="2" t="s">
        <v>6617</v>
      </c>
      <c r="L1419" s="2" t="s">
        <v>6604</v>
      </c>
      <c r="N1419" s="1" t="s">
        <v>887</v>
      </c>
    </row>
    <row r="1420" spans="1:14" ht="72.5" x14ac:dyDescent="0.35">
      <c r="A1420" s="113" t="s">
        <v>888</v>
      </c>
      <c r="B1420" s="102" t="s">
        <v>5415</v>
      </c>
      <c r="C1420" s="123" t="str" cm="1">
        <f t="array" ref="C1420:G1420">_xlfn.TEXTSPLIT('איחוד שאלות'!$B1420,"_")</f>
        <v>perception</v>
      </c>
      <c r="D1420" s="102" t="str">
        <v>scenario</v>
      </c>
      <c r="E1420" s="102" t="str">
        <v>peaceprocess</v>
      </c>
      <c r="F1420" s="102" t="str">
        <v>evacuatesettlements</v>
      </c>
      <c r="G1420" s="103" t="str">
        <v>olmertwin</v>
      </c>
      <c r="H1420" s="135" t="s">
        <v>3954</v>
      </c>
      <c r="I1420" s="2" t="s">
        <v>5844</v>
      </c>
      <c r="J1420" s="2" t="s">
        <v>6290</v>
      </c>
      <c r="K1420" s="2" t="s">
        <v>5874</v>
      </c>
      <c r="L1420" s="2" t="s">
        <v>6602</v>
      </c>
      <c r="M1420" s="2" t="s">
        <v>6618</v>
      </c>
      <c r="N1420" s="1" t="s">
        <v>888</v>
      </c>
    </row>
    <row r="1421" spans="1:14" ht="159.5" x14ac:dyDescent="0.35">
      <c r="A1421" s="121" t="s">
        <v>3935</v>
      </c>
      <c r="B1421" s="99" t="s">
        <v>5394</v>
      </c>
      <c r="C1421" s="121" t="str" cm="1">
        <f t="array" ref="C1421:F1421">_xlfn.TEXTSPLIT('איחוד שאלות'!$B1421,"_")</f>
        <v>preference</v>
      </c>
      <c r="D1421" s="99" t="str">
        <v>policy</v>
      </c>
      <c r="E1421" s="99" t="str">
        <v>peaceprocess</v>
      </c>
      <c r="F1421" s="99" t="str">
        <v>palestinianstate</v>
      </c>
      <c r="G1421" s="100"/>
      <c r="H1421" s="136" t="s">
        <v>3954</v>
      </c>
      <c r="I1421" s="2" t="s">
        <v>5856</v>
      </c>
      <c r="J1421" s="2" t="s">
        <v>5882</v>
      </c>
      <c r="K1421" s="2" t="s">
        <v>5874</v>
      </c>
      <c r="L1421" s="2" t="s">
        <v>6250</v>
      </c>
      <c r="N1421" s="1" t="s">
        <v>7497</v>
      </c>
    </row>
    <row r="1422" spans="1:14" ht="58" x14ac:dyDescent="0.35">
      <c r="A1422" s="113" t="s">
        <v>1210</v>
      </c>
      <c r="B1422" s="102" t="s">
        <v>5416</v>
      </c>
      <c r="C1422" s="123" t="str" cm="1">
        <f t="array" ref="C1422:F1422">_xlfn.TEXTSPLIT('איחוד שאלות'!$B1422,"_")</f>
        <v>preference</v>
      </c>
      <c r="D1422" s="102" t="str">
        <v>policy</v>
      </c>
      <c r="E1422" s="102" t="str">
        <v>peaceprocess</v>
      </c>
      <c r="F1422" s="102" t="str">
        <v>eastjerusalemrestitution</v>
      </c>
      <c r="G1422" s="103"/>
      <c r="H1422" s="135" t="s">
        <v>3954</v>
      </c>
      <c r="I1422" s="2" t="s">
        <v>5856</v>
      </c>
      <c r="J1422" s="2" t="s">
        <v>5882</v>
      </c>
      <c r="K1422" s="2" t="s">
        <v>5874</v>
      </c>
      <c r="L1422" s="2" t="s">
        <v>6619</v>
      </c>
      <c r="N1422" s="1" t="s">
        <v>1210</v>
      </c>
    </row>
    <row r="1423" spans="1:14" ht="58" x14ac:dyDescent="0.35">
      <c r="A1423" s="121" t="s">
        <v>1211</v>
      </c>
      <c r="B1423" s="99" t="s">
        <v>5417</v>
      </c>
      <c r="C1423" s="121" t="str" cm="1">
        <f t="array" ref="C1423:F1423">_xlfn.TEXTSPLIT('איחוד שאלות'!$B1423,"_")</f>
        <v>preference</v>
      </c>
      <c r="D1423" s="99" t="str">
        <v>policy</v>
      </c>
      <c r="E1423" s="99" t="str">
        <v>peaceprocess</v>
      </c>
      <c r="F1423" s="99" t="str">
        <v>templemountrestitution</v>
      </c>
      <c r="G1423" s="100"/>
      <c r="H1423" s="136" t="s">
        <v>3954</v>
      </c>
      <c r="I1423" s="2" t="s">
        <v>5856</v>
      </c>
      <c r="J1423" s="2" t="s">
        <v>5882</v>
      </c>
      <c r="K1423" s="2" t="s">
        <v>5874</v>
      </c>
      <c r="L1423" s="2" t="s">
        <v>6620</v>
      </c>
      <c r="N1423" s="1" t="s">
        <v>1211</v>
      </c>
    </row>
    <row r="1424" spans="1:14" ht="43.5" x14ac:dyDescent="0.35">
      <c r="A1424" s="113" t="s">
        <v>1212</v>
      </c>
      <c r="B1424" s="102" t="s">
        <v>5418</v>
      </c>
      <c r="C1424" s="123" t="str" cm="1">
        <f t="array" ref="C1424:F1424">_xlfn.TEXTSPLIT('איחוד שאלות'!$B1424,"_")</f>
        <v>preference</v>
      </c>
      <c r="D1424" s="102" t="str">
        <v>policy</v>
      </c>
      <c r="E1424" s="102" t="str">
        <v>peaceprocess</v>
      </c>
      <c r="F1424" s="102" t="str">
        <v>returnsomerefugees</v>
      </c>
      <c r="G1424" s="103"/>
      <c r="H1424" s="135" t="s">
        <v>3954</v>
      </c>
      <c r="I1424" s="2" t="s">
        <v>5856</v>
      </c>
      <c r="J1424" s="2" t="s">
        <v>5882</v>
      </c>
      <c r="K1424" s="2" t="s">
        <v>5874</v>
      </c>
      <c r="L1424" s="2" t="s">
        <v>6621</v>
      </c>
      <c r="N1424" s="1" t="s">
        <v>1212</v>
      </c>
    </row>
    <row r="1425" spans="1:14" ht="43.5" x14ac:dyDescent="0.35">
      <c r="A1425" s="121" t="s">
        <v>1213</v>
      </c>
      <c r="B1425" s="99" t="s">
        <v>5419</v>
      </c>
      <c r="C1425" s="121" t="str" cm="1">
        <f t="array" ref="C1425:F1425">_xlfn.TEXTSPLIT('איחוד שאלות'!$B1425,"_")</f>
        <v>preference</v>
      </c>
      <c r="D1425" s="99" t="str">
        <v>policy</v>
      </c>
      <c r="E1425" s="99" t="str">
        <v>peaceprocess</v>
      </c>
      <c r="F1425" s="99" t="str">
        <v>jordanriftrestitution</v>
      </c>
      <c r="G1425" s="100"/>
      <c r="H1425" s="136" t="s">
        <v>3954</v>
      </c>
      <c r="I1425" s="2" t="s">
        <v>5856</v>
      </c>
      <c r="J1425" s="2" t="s">
        <v>5882</v>
      </c>
      <c r="K1425" s="2" t="s">
        <v>5874</v>
      </c>
      <c r="L1425" s="2" t="s">
        <v>6622</v>
      </c>
      <c r="N1425" s="1" t="s">
        <v>1213</v>
      </c>
    </row>
    <row r="1426" spans="1:14" ht="275.5" x14ac:dyDescent="0.35">
      <c r="A1426" s="113" t="s">
        <v>1214</v>
      </c>
      <c r="B1426" s="102" t="s">
        <v>5420</v>
      </c>
      <c r="C1426" s="123" t="str" cm="1">
        <f t="array" ref="C1426:F1426">_xlfn.TEXTSPLIT('איחוד שאלות'!$B1426,"_")</f>
        <v>preference</v>
      </c>
      <c r="D1426" s="102" t="str">
        <v>policy</v>
      </c>
      <c r="E1426" s="102" t="str">
        <v>peaceprocess</v>
      </c>
      <c r="F1426" s="102" t="str">
        <v>everything</v>
      </c>
      <c r="G1426" s="103"/>
      <c r="H1426" s="135" t="s">
        <v>3954</v>
      </c>
      <c r="I1426" s="2" t="s">
        <v>5856</v>
      </c>
      <c r="J1426" s="2" t="s">
        <v>5882</v>
      </c>
      <c r="K1426" s="2" t="s">
        <v>5874</v>
      </c>
      <c r="L1426" s="2" t="s">
        <v>6623</v>
      </c>
      <c r="N1426" s="1" t="s">
        <v>1214</v>
      </c>
    </row>
    <row r="1427" spans="1:14" ht="58" x14ac:dyDescent="0.35">
      <c r="A1427" s="121" t="s">
        <v>2553</v>
      </c>
      <c r="B1427" s="99" t="s">
        <v>5394</v>
      </c>
      <c r="C1427" s="121" t="str" cm="1">
        <f t="array" ref="C1427:F1427">_xlfn.TEXTSPLIT('איחוד שאלות'!$B1427,"_")</f>
        <v>preference</v>
      </c>
      <c r="D1427" s="99" t="str">
        <v>policy</v>
      </c>
      <c r="E1427" s="99" t="str">
        <v>peaceprocess</v>
      </c>
      <c r="F1427" s="99" t="str">
        <v>palestinianstate</v>
      </c>
      <c r="G1427" s="100"/>
      <c r="H1427" s="136" t="s">
        <v>3954</v>
      </c>
      <c r="I1427" s="2" t="s">
        <v>5856</v>
      </c>
      <c r="J1427" s="2" t="s">
        <v>5882</v>
      </c>
      <c r="K1427" s="2" t="s">
        <v>5874</v>
      </c>
      <c r="L1427" s="2" t="s">
        <v>6250</v>
      </c>
      <c r="N1427" s="1" t="s">
        <v>2553</v>
      </c>
    </row>
    <row r="1428" spans="1:14" ht="58" x14ac:dyDescent="0.35">
      <c r="A1428" s="113" t="s">
        <v>1497</v>
      </c>
      <c r="B1428" s="102" t="s">
        <v>5370</v>
      </c>
      <c r="C1428" s="123" t="str" cm="1">
        <f t="array" ref="C1428:F1428">_xlfn.TEXTSPLIT('איחוד שאלות'!$B1428,"_")</f>
        <v>perception</v>
      </c>
      <c r="D1428" s="102" t="str">
        <v>public</v>
      </c>
      <c r="E1428" s="102" t="str">
        <v>policy</v>
      </c>
      <c r="F1428" s="102" t="str">
        <v>restitutionforpeace</v>
      </c>
      <c r="G1428" s="103"/>
      <c r="H1428" s="135" t="s">
        <v>3954</v>
      </c>
      <c r="I1428" s="2" t="s">
        <v>5844</v>
      </c>
      <c r="J1428" s="2" t="s">
        <v>5912</v>
      </c>
      <c r="K1428" s="2" t="s">
        <v>5882</v>
      </c>
      <c r="L1428" s="2" t="s">
        <v>6251</v>
      </c>
      <c r="N1428" s="1" t="s">
        <v>1497</v>
      </c>
    </row>
    <row r="1429" spans="1:14" ht="116" x14ac:dyDescent="0.35">
      <c r="A1429" s="121" t="s">
        <v>1215</v>
      </c>
      <c r="B1429" s="99" t="s">
        <v>5373</v>
      </c>
      <c r="C1429" s="121" t="str" cm="1">
        <f t="array" ref="C1429:F1429">_xlfn.TEXTSPLIT('איחוד שאלות'!$B1429,"_")</f>
        <v>perception</v>
      </c>
      <c r="D1429" s="99" t="str">
        <v>expectation</v>
      </c>
      <c r="E1429" s="99" t="str">
        <v>public</v>
      </c>
      <c r="F1429" s="99" t="str">
        <v>restitutionforpeace</v>
      </c>
      <c r="G1429" s="100"/>
      <c r="H1429" s="136" t="s">
        <v>3954</v>
      </c>
      <c r="I1429" s="2" t="s">
        <v>5844</v>
      </c>
      <c r="J1429" s="2" t="s">
        <v>5850</v>
      </c>
      <c r="K1429" s="2" t="s">
        <v>5912</v>
      </c>
      <c r="L1429" s="2" t="s">
        <v>6251</v>
      </c>
      <c r="N1429" s="1" t="s">
        <v>1215</v>
      </c>
    </row>
    <row r="1430" spans="1:14" ht="58" x14ac:dyDescent="0.35">
      <c r="A1430" s="113" t="s">
        <v>1496</v>
      </c>
      <c r="B1430" s="102" t="s">
        <v>5371</v>
      </c>
      <c r="C1430" s="123" t="str" cm="1">
        <f t="array" ref="C1430:F1430">_xlfn.TEXTSPLIT('איחוד שאלות'!$B1430,"_")</f>
        <v>perception</v>
      </c>
      <c r="D1430" s="102" t="str">
        <v>public</v>
      </c>
      <c r="E1430" s="102" t="str">
        <v>policy</v>
      </c>
      <c r="F1430" s="102" t="str">
        <v>palestinianstate</v>
      </c>
      <c r="G1430" s="103"/>
      <c r="H1430" s="135" t="s">
        <v>3954</v>
      </c>
      <c r="I1430" s="2" t="s">
        <v>5844</v>
      </c>
      <c r="J1430" s="2" t="s">
        <v>5912</v>
      </c>
      <c r="K1430" s="2" t="s">
        <v>5882</v>
      </c>
      <c r="L1430" s="2" t="s">
        <v>6250</v>
      </c>
      <c r="N1430" s="1" t="s">
        <v>1496</v>
      </c>
    </row>
    <row r="1431" spans="1:14" ht="130.5" x14ac:dyDescent="0.35">
      <c r="A1431" s="121" t="s">
        <v>1498</v>
      </c>
      <c r="B1431" s="99" t="s">
        <v>5372</v>
      </c>
      <c r="C1431" s="121" t="str" cm="1">
        <f t="array" ref="C1431:F1431">_xlfn.TEXTSPLIT('איחוד שאלות'!$B1431,"_")</f>
        <v>perception</v>
      </c>
      <c r="D1431" s="99" t="str">
        <v>expectation</v>
      </c>
      <c r="E1431" s="99" t="str">
        <v>public</v>
      </c>
      <c r="F1431" s="99" t="str">
        <v>palestinianstate</v>
      </c>
      <c r="G1431" s="100"/>
      <c r="H1431" s="136" t="s">
        <v>3954</v>
      </c>
      <c r="I1431" s="2" t="s">
        <v>5844</v>
      </c>
      <c r="J1431" s="2" t="s">
        <v>5850</v>
      </c>
      <c r="K1431" s="2" t="s">
        <v>5912</v>
      </c>
      <c r="L1431" s="2" t="s">
        <v>6250</v>
      </c>
      <c r="N1431" s="1" t="s">
        <v>1498</v>
      </c>
    </row>
    <row r="1432" spans="1:14" ht="72.5" x14ac:dyDescent="0.35">
      <c r="A1432" s="113" t="s">
        <v>3936</v>
      </c>
      <c r="B1432" s="102" t="s">
        <v>5374</v>
      </c>
      <c r="C1432" s="123" t="str" cm="1">
        <f t="array" ref="C1432:G1432">_xlfn.TEXTSPLIT('איחוד שאלות'!$B1432,"_")</f>
        <v>post</v>
      </c>
      <c r="D1432" s="102" t="str">
        <v>perception</v>
      </c>
      <c r="E1432" s="102" t="str">
        <v>public</v>
      </c>
      <c r="F1432" s="102" t="str">
        <v>policy</v>
      </c>
      <c r="G1432" s="103" t="str">
        <v>palestinianstate</v>
      </c>
      <c r="H1432" s="135" t="s">
        <v>3954</v>
      </c>
      <c r="I1432" s="2" t="s">
        <v>5763</v>
      </c>
      <c r="J1432" s="2" t="s">
        <v>5844</v>
      </c>
      <c r="K1432" s="2" t="s">
        <v>5912</v>
      </c>
      <c r="L1432" s="2" t="s">
        <v>5882</v>
      </c>
      <c r="M1432" s="2" t="s">
        <v>6250</v>
      </c>
      <c r="N1432" s="1" t="s">
        <v>7498</v>
      </c>
    </row>
    <row r="1433" spans="1:14" ht="130.5" x14ac:dyDescent="0.35">
      <c r="A1433" s="121" t="s">
        <v>3937</v>
      </c>
      <c r="B1433" s="99" t="s">
        <v>5375</v>
      </c>
      <c r="C1433" s="121" t="str" cm="1">
        <f t="array" ref="C1433:G1433">_xlfn.TEXTSPLIT('איחוד שאלות'!$B1433,"_")</f>
        <v>post</v>
      </c>
      <c r="D1433" s="99" t="str">
        <v>perception</v>
      </c>
      <c r="E1433" s="99" t="str">
        <v>expectation</v>
      </c>
      <c r="F1433" s="99" t="str">
        <v>public</v>
      </c>
      <c r="G1433" s="100" t="str">
        <v>palestinianstate</v>
      </c>
      <c r="H1433" s="136" t="s">
        <v>3954</v>
      </c>
      <c r="I1433" s="2" t="s">
        <v>5763</v>
      </c>
      <c r="J1433" s="2" t="s">
        <v>5844</v>
      </c>
      <c r="K1433" s="2" t="s">
        <v>5850</v>
      </c>
      <c r="L1433" s="2" t="s">
        <v>5912</v>
      </c>
      <c r="M1433" s="2" t="s">
        <v>6250</v>
      </c>
      <c r="N1433" s="1" t="s">
        <v>7499</v>
      </c>
    </row>
    <row r="1434" spans="1:14" ht="217.5" x14ac:dyDescent="0.35">
      <c r="A1434" s="113" t="s">
        <v>3938</v>
      </c>
      <c r="B1434" s="102" t="s">
        <v>5376</v>
      </c>
      <c r="C1434" s="123" t="str" cm="1">
        <f t="array" ref="C1434:F1434">_xlfn.TEXTSPLIT('איחוד שאלות'!$B1434,"_")</f>
        <v>perception</v>
      </c>
      <c r="D1434" s="102" t="str">
        <v>argument</v>
      </c>
      <c r="E1434" s="102" t="str">
        <v>clintonparameters</v>
      </c>
      <c r="F1434" s="102" t="str">
        <v>warunlesspeace</v>
      </c>
      <c r="G1434" s="103"/>
      <c r="H1434" s="135" t="s">
        <v>3954</v>
      </c>
      <c r="I1434" s="2" t="s">
        <v>5844</v>
      </c>
      <c r="J1434" s="2" t="s">
        <v>6224</v>
      </c>
      <c r="K1434" s="2" t="s">
        <v>6624</v>
      </c>
      <c r="L1434" s="2" t="s">
        <v>6625</v>
      </c>
      <c r="N1434" s="1" t="s">
        <v>7500</v>
      </c>
    </row>
    <row r="1435" spans="1:14" ht="58" x14ac:dyDescent="0.35">
      <c r="A1435" s="121" t="s">
        <v>1217</v>
      </c>
      <c r="B1435" s="99" t="s">
        <v>5377</v>
      </c>
      <c r="C1435" s="121" t="str" cm="1">
        <f t="array" ref="C1435:F1435">_xlfn.TEXTSPLIT('איחוד שאלות'!$B1435,"_")</f>
        <v>perception</v>
      </c>
      <c r="D1435" s="99" t="str">
        <v>argument</v>
      </c>
      <c r="E1435" s="99" t="str">
        <v>clintonparameters</v>
      </c>
      <c r="F1435" s="99" t="str">
        <v>strengthensecurity</v>
      </c>
      <c r="G1435" s="100"/>
      <c r="H1435" s="136" t="s">
        <v>3954</v>
      </c>
      <c r="I1435" s="2" t="s">
        <v>5844</v>
      </c>
      <c r="J1435" s="2" t="s">
        <v>6224</v>
      </c>
      <c r="K1435" s="2" t="s">
        <v>6624</v>
      </c>
      <c r="L1435" s="2" t="s">
        <v>6626</v>
      </c>
      <c r="N1435" s="1" t="s">
        <v>1217</v>
      </c>
    </row>
    <row r="1436" spans="1:14" ht="58" x14ac:dyDescent="0.35">
      <c r="A1436" s="113" t="s">
        <v>1218</v>
      </c>
      <c r="B1436" s="102" t="s">
        <v>5378</v>
      </c>
      <c r="C1436" s="123" t="str" cm="1">
        <f t="array" ref="C1436:F1436">_xlfn.TEXTSPLIT('איחוד שאלות'!$B1436,"_")</f>
        <v>perception</v>
      </c>
      <c r="D1436" s="102" t="str">
        <v>argument</v>
      </c>
      <c r="E1436" s="102" t="str">
        <v>clintonparameters</v>
      </c>
      <c r="F1436" s="102" t="str">
        <v>strengthenforeignaffairs</v>
      </c>
      <c r="G1436" s="103"/>
      <c r="H1436" s="135" t="s">
        <v>3954</v>
      </c>
      <c r="I1436" s="2" t="s">
        <v>5844</v>
      </c>
      <c r="J1436" s="2" t="s">
        <v>6224</v>
      </c>
      <c r="K1436" s="2" t="s">
        <v>6624</v>
      </c>
      <c r="L1436" s="2" t="s">
        <v>6627</v>
      </c>
      <c r="N1436" s="1" t="s">
        <v>1218</v>
      </c>
    </row>
    <row r="1437" spans="1:14" ht="58" x14ac:dyDescent="0.35">
      <c r="A1437" s="121" t="s">
        <v>1219</v>
      </c>
      <c r="B1437" s="99" t="s">
        <v>5379</v>
      </c>
      <c r="C1437" s="121" t="str" cm="1">
        <f t="array" ref="C1437:F1437">_xlfn.TEXTSPLIT('איחוד שאלות'!$B1437,"_")</f>
        <v>perception</v>
      </c>
      <c r="D1437" s="99" t="str">
        <v>argument</v>
      </c>
      <c r="E1437" s="99" t="str">
        <v>clintonparameters</v>
      </c>
      <c r="F1437" s="99" t="str">
        <v>strengtheneconomy</v>
      </c>
      <c r="G1437" s="100"/>
      <c r="H1437" s="136" t="s">
        <v>3954</v>
      </c>
      <c r="I1437" s="2" t="s">
        <v>5844</v>
      </c>
      <c r="J1437" s="2" t="s">
        <v>6224</v>
      </c>
      <c r="K1437" s="2" t="s">
        <v>6624</v>
      </c>
      <c r="L1437" s="2" t="s">
        <v>6454</v>
      </c>
      <c r="N1437" s="1" t="s">
        <v>1219</v>
      </c>
    </row>
    <row r="1438" spans="1:14" ht="58" x14ac:dyDescent="0.35">
      <c r="A1438" s="113" t="s">
        <v>1220</v>
      </c>
      <c r="B1438" s="102" t="s">
        <v>5380</v>
      </c>
      <c r="C1438" s="123" t="str" cm="1">
        <f t="array" ref="C1438:F1438">_xlfn.TEXTSPLIT('איחוד שאלות'!$B1438,"_")</f>
        <v>perception</v>
      </c>
      <c r="D1438" s="102" t="str">
        <v>argument</v>
      </c>
      <c r="E1438" s="102" t="str">
        <v>clintonparameters</v>
      </c>
      <c r="F1438" s="102" t="str">
        <v>stopconflict</v>
      </c>
      <c r="G1438" s="103"/>
      <c r="H1438" s="135" t="s">
        <v>3954</v>
      </c>
      <c r="I1438" s="2" t="s">
        <v>5844</v>
      </c>
      <c r="J1438" s="2" t="s">
        <v>6224</v>
      </c>
      <c r="K1438" s="2" t="s">
        <v>6624</v>
      </c>
      <c r="L1438" s="2" t="s">
        <v>6628</v>
      </c>
      <c r="N1438" s="1" t="s">
        <v>1220</v>
      </c>
    </row>
    <row r="1439" spans="1:14" ht="43.5" x14ac:dyDescent="0.35">
      <c r="A1439" s="121" t="s">
        <v>1226</v>
      </c>
      <c r="B1439" s="99" t="s">
        <v>5386</v>
      </c>
      <c r="C1439" s="121" t="str" cm="1">
        <f t="array" ref="C1439:F1439">_xlfn.TEXTSPLIT('איחוד שאלות'!$B1439,"_")</f>
        <v>preference</v>
      </c>
      <c r="D1439" s="99" t="str">
        <v>argument</v>
      </c>
      <c r="E1439" s="99" t="str">
        <v>support</v>
      </c>
      <c r="F1439" s="99" t="str">
        <v>clintonparameters</v>
      </c>
      <c r="G1439" s="100"/>
      <c r="H1439" s="136" t="s">
        <v>3954</v>
      </c>
      <c r="I1439" s="2" t="s">
        <v>5856</v>
      </c>
      <c r="J1439" s="2" t="s">
        <v>6224</v>
      </c>
      <c r="K1439" s="2" t="s">
        <v>5870</v>
      </c>
      <c r="L1439" s="2" t="s">
        <v>6624</v>
      </c>
      <c r="N1439" s="1" t="s">
        <v>1226</v>
      </c>
    </row>
    <row r="1440" spans="1:14" ht="101.5" x14ac:dyDescent="0.35">
      <c r="A1440" s="113" t="s">
        <v>3939</v>
      </c>
      <c r="B1440" s="102" t="s">
        <v>5381</v>
      </c>
      <c r="C1440" s="123" t="str" cm="1">
        <f t="array" ref="C1440:F1440">_xlfn.TEXTSPLIT('איחוד שאלות'!$B1440,"_")</f>
        <v>perception</v>
      </c>
      <c r="D1440" s="102" t="str">
        <v>argument</v>
      </c>
      <c r="E1440" s="102" t="str">
        <v>clintonparameters</v>
      </c>
      <c r="F1440" s="102" t="str">
        <v>importanceofterritories</v>
      </c>
      <c r="G1440" s="103"/>
      <c r="H1440" s="135" t="s">
        <v>3954</v>
      </c>
      <c r="I1440" s="2" t="s">
        <v>5844</v>
      </c>
      <c r="J1440" s="2" t="s">
        <v>6224</v>
      </c>
      <c r="K1440" s="2" t="s">
        <v>6624</v>
      </c>
      <c r="L1440" s="2" t="s">
        <v>6629</v>
      </c>
      <c r="N1440" s="1" t="s">
        <v>7501</v>
      </c>
    </row>
    <row r="1441" spans="1:14" ht="58" x14ac:dyDescent="0.35">
      <c r="A1441" s="121" t="s">
        <v>1222</v>
      </c>
      <c r="B1441" s="99" t="s">
        <v>5382</v>
      </c>
      <c r="C1441" s="121" t="str" cm="1">
        <f t="array" ref="C1441:F1441">_xlfn.TEXTSPLIT('איחוד שאלות'!$B1441,"_")</f>
        <v>perception</v>
      </c>
      <c r="D1441" s="99" t="str">
        <v>argument</v>
      </c>
      <c r="E1441" s="99" t="str">
        <v>clintonparameters</v>
      </c>
      <c r="F1441" s="99" t="str">
        <v>treacherousarabs</v>
      </c>
      <c r="G1441" s="100"/>
      <c r="H1441" s="136" t="s">
        <v>3954</v>
      </c>
      <c r="I1441" s="2" t="s">
        <v>5844</v>
      </c>
      <c r="J1441" s="2" t="s">
        <v>6224</v>
      </c>
      <c r="K1441" s="2" t="s">
        <v>6624</v>
      </c>
      <c r="L1441" s="2" t="s">
        <v>6630</v>
      </c>
      <c r="N1441" s="1" t="s">
        <v>1222</v>
      </c>
    </row>
    <row r="1442" spans="1:14" ht="58" x14ac:dyDescent="0.35">
      <c r="A1442" s="113" t="s">
        <v>1223</v>
      </c>
      <c r="B1442" s="102" t="s">
        <v>5383</v>
      </c>
      <c r="C1442" s="123" t="str" cm="1">
        <f t="array" ref="C1442:F1442">_xlfn.TEXTSPLIT('איחוד שאלות'!$B1442,"_")</f>
        <v>perception</v>
      </c>
      <c r="D1442" s="102" t="str">
        <v>argument</v>
      </c>
      <c r="E1442" s="102" t="str">
        <v>clintonparameters</v>
      </c>
      <c r="F1442" s="102" t="str">
        <v>displacesettlersunpair</v>
      </c>
      <c r="G1442" s="103"/>
      <c r="H1442" s="135" t="s">
        <v>3954</v>
      </c>
      <c r="I1442" s="2" t="s">
        <v>5844</v>
      </c>
      <c r="J1442" s="2" t="s">
        <v>6224</v>
      </c>
      <c r="K1442" s="2" t="s">
        <v>6624</v>
      </c>
      <c r="L1442" s="2" t="s">
        <v>6631</v>
      </c>
      <c r="N1442" s="1" t="s">
        <v>1223</v>
      </c>
    </row>
    <row r="1443" spans="1:14" ht="43.5" x14ac:dyDescent="0.35">
      <c r="A1443" s="121" t="s">
        <v>1224</v>
      </c>
      <c r="B1443" s="99" t="s">
        <v>5384</v>
      </c>
      <c r="C1443" s="121" t="str" cm="1">
        <f t="array" ref="C1443:F1443">_xlfn.TEXTSPLIT('איחוד שאלות'!$B1443,"_")</f>
        <v>perception</v>
      </c>
      <c r="D1443" s="99" t="str">
        <v>argument</v>
      </c>
      <c r="E1443" s="99" t="str">
        <v>clintonparameters</v>
      </c>
      <c r="F1443" s="99" t="str">
        <v>waitbetterplan</v>
      </c>
      <c r="G1443" s="100"/>
      <c r="H1443" s="136" t="s">
        <v>3954</v>
      </c>
      <c r="I1443" s="2" t="s">
        <v>5844</v>
      </c>
      <c r="J1443" s="2" t="s">
        <v>6224</v>
      </c>
      <c r="K1443" s="2" t="s">
        <v>6624</v>
      </c>
      <c r="L1443" s="2" t="s">
        <v>6632</v>
      </c>
      <c r="N1443" s="1" t="s">
        <v>1224</v>
      </c>
    </row>
    <row r="1444" spans="1:14" ht="58" x14ac:dyDescent="0.35">
      <c r="A1444" s="113" t="s">
        <v>1225</v>
      </c>
      <c r="B1444" s="102" t="s">
        <v>5385</v>
      </c>
      <c r="C1444" s="123" t="str" cm="1">
        <f t="array" ref="C1444:F1444">_xlfn.TEXTSPLIT('איחוד שאלות'!$B1444,"_")</f>
        <v>perception</v>
      </c>
      <c r="D1444" s="102" t="str">
        <v>argument</v>
      </c>
      <c r="E1444" s="102" t="str">
        <v>clintonparameters</v>
      </c>
      <c r="F1444" s="102" t="str">
        <v>jerusalemholiness</v>
      </c>
      <c r="G1444" s="103"/>
      <c r="H1444" s="135" t="s">
        <v>3954</v>
      </c>
      <c r="I1444" s="2" t="s">
        <v>5844</v>
      </c>
      <c r="J1444" s="2" t="s">
        <v>6224</v>
      </c>
      <c r="K1444" s="2" t="s">
        <v>6624</v>
      </c>
      <c r="L1444" s="2" t="s">
        <v>6633</v>
      </c>
      <c r="N1444" s="1" t="s">
        <v>1225</v>
      </c>
    </row>
    <row r="1445" spans="1:14" ht="43.5" x14ac:dyDescent="0.35">
      <c r="A1445" s="121" t="s">
        <v>1226</v>
      </c>
      <c r="B1445" s="99" t="s">
        <v>5387</v>
      </c>
      <c r="C1445" s="121" t="str" cm="1">
        <f t="array" ref="C1445:F1445">_xlfn.TEXTSPLIT('איחוד שאלות'!$B1445,"_")</f>
        <v>preference</v>
      </c>
      <c r="D1445" s="99" t="str">
        <v>argument</v>
      </c>
      <c r="E1445" s="99" t="str">
        <v>against</v>
      </c>
      <c r="F1445" s="99" t="str">
        <v>clintonparameters</v>
      </c>
      <c r="G1445" s="100"/>
      <c r="H1445" s="136" t="s">
        <v>3954</v>
      </c>
      <c r="I1445" s="2" t="s">
        <v>5856</v>
      </c>
      <c r="J1445" s="2" t="s">
        <v>6224</v>
      </c>
      <c r="K1445" s="2" t="s">
        <v>6634</v>
      </c>
      <c r="L1445" s="2" t="s">
        <v>6624</v>
      </c>
      <c r="N1445" s="1" t="s">
        <v>1226</v>
      </c>
    </row>
    <row r="1446" spans="1:14" ht="29" x14ac:dyDescent="0.35">
      <c r="A1446" s="113" t="s">
        <v>1269</v>
      </c>
      <c r="B1446" s="102" t="s">
        <v>5421</v>
      </c>
      <c r="C1446" s="123" t="str" cm="1">
        <f t="array" ref="C1446:F1446">_xlfn.TEXTSPLIT('איחוד שאלות'!$B1446,"_")</f>
        <v>preference</v>
      </c>
      <c r="D1446" s="102" t="str">
        <v>policy</v>
      </c>
      <c r="E1446" s="102" t="str">
        <v>peaceprocess</v>
      </c>
      <c r="F1446" s="102" t="str">
        <v>oslo</v>
      </c>
      <c r="G1446" s="103"/>
      <c r="H1446" s="135" t="s">
        <v>3954</v>
      </c>
      <c r="I1446" s="2" t="s">
        <v>5856</v>
      </c>
      <c r="J1446" s="2" t="s">
        <v>5882</v>
      </c>
      <c r="K1446" s="2" t="s">
        <v>5874</v>
      </c>
      <c r="L1446" s="2" t="s">
        <v>6635</v>
      </c>
      <c r="N1446" s="1" t="s">
        <v>1269</v>
      </c>
    </row>
    <row r="1447" spans="1:14" ht="87" x14ac:dyDescent="0.35">
      <c r="A1447" s="121" t="s">
        <v>1271</v>
      </c>
      <c r="B1447" s="99" t="s">
        <v>5422</v>
      </c>
      <c r="C1447" s="121" t="str" cm="1">
        <f t="array" ref="C1447:F1447">_xlfn.TEXTSPLIT('איחוד שאלות'!$B1447,"_")</f>
        <v>perception</v>
      </c>
      <c r="D1447" s="99" t="str">
        <v>expectation</v>
      </c>
      <c r="E1447" s="99" t="str">
        <v>peaceprocess</v>
      </c>
      <c r="F1447" s="99" t="str">
        <v>palestinianstate</v>
      </c>
      <c r="G1447" s="100"/>
      <c r="H1447" s="136" t="s">
        <v>3954</v>
      </c>
      <c r="I1447" s="2" t="s">
        <v>5844</v>
      </c>
      <c r="J1447" s="2" t="s">
        <v>5850</v>
      </c>
      <c r="K1447" s="2" t="s">
        <v>5874</v>
      </c>
      <c r="L1447" s="2" t="s">
        <v>6250</v>
      </c>
      <c r="N1447" s="1" t="s">
        <v>1271</v>
      </c>
    </row>
    <row r="1448" spans="1:14" ht="101.5" x14ac:dyDescent="0.35">
      <c r="A1448" s="113" t="s">
        <v>3940</v>
      </c>
      <c r="B1448" s="102" t="s">
        <v>5423</v>
      </c>
      <c r="C1448" s="123" t="str" cm="1">
        <f t="array" ref="C1448:G1448">_xlfn.TEXTSPLIT('איחוד שאלות'!$B1448,"_")</f>
        <v>post</v>
      </c>
      <c r="D1448" s="102" t="str">
        <v>perception</v>
      </c>
      <c r="E1448" s="102" t="str">
        <v>expectation</v>
      </c>
      <c r="F1448" s="102" t="str">
        <v>peaceprocess</v>
      </c>
      <c r="G1448" s="103" t="str">
        <v>palestinianstate</v>
      </c>
      <c r="H1448" s="135" t="s">
        <v>3954</v>
      </c>
      <c r="I1448" s="2" t="s">
        <v>5763</v>
      </c>
      <c r="J1448" s="2" t="s">
        <v>5844</v>
      </c>
      <c r="K1448" s="2" t="s">
        <v>5850</v>
      </c>
      <c r="L1448" s="2" t="s">
        <v>5874</v>
      </c>
      <c r="M1448" s="2" t="s">
        <v>6250</v>
      </c>
      <c r="N1448" s="1" t="s">
        <v>7502</v>
      </c>
    </row>
    <row r="1449" spans="1:14" ht="72.5" x14ac:dyDescent="0.35">
      <c r="A1449" s="121" t="s">
        <v>1491</v>
      </c>
      <c r="B1449" s="99" t="s">
        <v>5388</v>
      </c>
      <c r="C1449" s="121" t="str" cm="1">
        <f t="array" ref="C1449:F1449">_xlfn.TEXTSPLIT('איחוד שאלות'!$B1449,"_")</f>
        <v>preference</v>
      </c>
      <c r="D1449" s="99" t="str">
        <v>policy</v>
      </c>
      <c r="E1449" s="99" t="str">
        <v>security</v>
      </c>
      <c r="F1449" s="99" t="str">
        <v>segregationinwestbank</v>
      </c>
      <c r="G1449" s="100"/>
      <c r="H1449" s="136" t="s">
        <v>3954</v>
      </c>
      <c r="I1449" s="2" t="s">
        <v>5856</v>
      </c>
      <c r="J1449" s="2" t="s">
        <v>5882</v>
      </c>
      <c r="K1449" s="2" t="s">
        <v>5994</v>
      </c>
      <c r="L1449" s="2" t="s">
        <v>6636</v>
      </c>
      <c r="N1449" s="1" t="s">
        <v>1491</v>
      </c>
    </row>
    <row r="1450" spans="1:14" ht="58" x14ac:dyDescent="0.35">
      <c r="A1450" s="113" t="s">
        <v>1492</v>
      </c>
      <c r="B1450" s="102" t="s">
        <v>5389</v>
      </c>
      <c r="C1450" s="123" t="str" cm="1">
        <f t="array" ref="C1450:F1450">_xlfn.TEXTSPLIT('איחוד שאלות'!$B1450,"_")</f>
        <v>perception</v>
      </c>
      <c r="D1450" s="102" t="str">
        <v>groups</v>
      </c>
      <c r="E1450" s="102" t="str">
        <v>PLO</v>
      </c>
      <c r="F1450" s="102" t="str">
        <v>abletostopterrorism</v>
      </c>
      <c r="G1450" s="103"/>
      <c r="H1450" s="135" t="s">
        <v>3954</v>
      </c>
      <c r="I1450" s="2" t="s">
        <v>5844</v>
      </c>
      <c r="J1450" s="2" t="s">
        <v>6457</v>
      </c>
      <c r="K1450" s="2" t="s">
        <v>6637</v>
      </c>
      <c r="L1450" s="2" t="s">
        <v>6638</v>
      </c>
      <c r="N1450" s="1" t="s">
        <v>1492</v>
      </c>
    </row>
    <row r="1451" spans="1:14" ht="116" x14ac:dyDescent="0.35">
      <c r="A1451" s="121" t="s">
        <v>1494</v>
      </c>
      <c r="B1451" s="99" t="s">
        <v>5408</v>
      </c>
      <c r="C1451" s="121" t="str" cm="1">
        <f t="array" ref="C1451:F1451">_xlfn.TEXTSPLIT('איחוד שאלות'!$B1451,"_")</f>
        <v>preference</v>
      </c>
      <c r="D1451" s="99" t="str">
        <v>policy</v>
      </c>
      <c r="E1451" s="99" t="str">
        <v>peaceprocess</v>
      </c>
      <c r="F1451" s="99" t="str">
        <v>negotiateduringterror</v>
      </c>
      <c r="G1451" s="100"/>
      <c r="H1451" s="136" t="s">
        <v>3954</v>
      </c>
      <c r="I1451" s="2" t="s">
        <v>5856</v>
      </c>
      <c r="J1451" s="2" t="s">
        <v>5882</v>
      </c>
      <c r="K1451" s="2" t="s">
        <v>5874</v>
      </c>
      <c r="L1451" s="2" t="s">
        <v>6612</v>
      </c>
      <c r="N1451" s="1" t="s">
        <v>1494</v>
      </c>
    </row>
    <row r="1452" spans="1:14" ht="130.5" x14ac:dyDescent="0.35">
      <c r="A1452" s="113" t="s">
        <v>1680</v>
      </c>
      <c r="B1452" s="102" t="s">
        <v>5465</v>
      </c>
      <c r="C1452" s="123" t="str" cm="1">
        <f t="array" ref="C1452:G1452">_xlfn.TEXTSPLIT('איחוד שאלות'!$B1452,"_")</f>
        <v>preference</v>
      </c>
      <c r="D1452" s="102" t="str">
        <v>policy</v>
      </c>
      <c r="E1452" s="102" t="str">
        <v>scenario</v>
      </c>
      <c r="F1452" s="102" t="str">
        <v>peaceprocess</v>
      </c>
      <c r="G1452" s="103" t="str">
        <v>negotiatePLOstopterrorism</v>
      </c>
      <c r="H1452" s="135" t="s">
        <v>3954</v>
      </c>
      <c r="I1452" s="2" t="s">
        <v>5856</v>
      </c>
      <c r="J1452" s="2" t="s">
        <v>5882</v>
      </c>
      <c r="K1452" s="2" t="s">
        <v>6290</v>
      </c>
      <c r="L1452" s="2" t="s">
        <v>5874</v>
      </c>
      <c r="M1452" s="2" t="s">
        <v>6639</v>
      </c>
      <c r="N1452" s="1" t="s">
        <v>1680</v>
      </c>
    </row>
    <row r="1453" spans="1:14" ht="43.5" x14ac:dyDescent="0.35">
      <c r="A1453" s="121" t="s">
        <v>1495</v>
      </c>
      <c r="B1453" s="99" t="s">
        <v>5425</v>
      </c>
      <c r="C1453" s="121" t="str" cm="1">
        <f t="array" ref="C1453:F1453">_xlfn.TEXTSPLIT('איחוד שאלות'!$B1453,"_")</f>
        <v>perception</v>
      </c>
      <c r="D1453" s="99" t="str">
        <v>groups</v>
      </c>
      <c r="E1453" s="99" t="str">
        <v>palestinians</v>
      </c>
      <c r="F1453" s="99" t="str">
        <v>majoritywantpeace</v>
      </c>
      <c r="G1453" s="100"/>
      <c r="H1453" s="136" t="s">
        <v>3954</v>
      </c>
      <c r="I1453" s="2" t="s">
        <v>5844</v>
      </c>
      <c r="J1453" s="2" t="s">
        <v>6457</v>
      </c>
      <c r="K1453" s="2" t="s">
        <v>6597</v>
      </c>
      <c r="L1453" s="2" t="s">
        <v>6640</v>
      </c>
      <c r="N1453" s="1" t="s">
        <v>1495</v>
      </c>
    </row>
    <row r="1454" spans="1:14" ht="116" x14ac:dyDescent="0.35">
      <c r="A1454" s="113" t="s">
        <v>1500</v>
      </c>
      <c r="B1454" s="102" t="s">
        <v>5390</v>
      </c>
      <c r="C1454" s="123" t="str" cm="1">
        <f t="array" ref="C1454:E1454">_xlfn.TEXTSPLIT('איחוד שאלות'!$B1454,"_")</f>
        <v>preference</v>
      </c>
      <c r="D1454" s="102" t="str">
        <v>policy</v>
      </c>
      <c r="E1454" s="102" t="str">
        <v>peaceprocess</v>
      </c>
      <c r="F1454" s="102"/>
      <c r="G1454" s="103"/>
      <c r="H1454" s="135" t="s">
        <v>3954</v>
      </c>
      <c r="I1454" s="2" t="s">
        <v>5856</v>
      </c>
      <c r="J1454" s="2" t="s">
        <v>5882</v>
      </c>
      <c r="K1454" s="2" t="s">
        <v>5874</v>
      </c>
      <c r="N1454" s="1" t="s">
        <v>1500</v>
      </c>
    </row>
    <row r="1455" spans="1:14" ht="72.5" x14ac:dyDescent="0.35">
      <c r="A1455" s="121" t="s">
        <v>1501</v>
      </c>
      <c r="B1455" s="99" t="s">
        <v>5391</v>
      </c>
      <c r="C1455" s="121" t="str" cm="1">
        <f t="array" ref="C1455:E1455">_xlfn.TEXTSPLIT('איחוד שאלות'!$B1455,"_")</f>
        <v>perception</v>
      </c>
      <c r="D1455" s="99" t="str">
        <v>expectation</v>
      </c>
      <c r="E1455" s="99" t="str">
        <v>peaceprocess</v>
      </c>
      <c r="F1455" s="99"/>
      <c r="G1455" s="100"/>
      <c r="H1455" s="136" t="s">
        <v>3954</v>
      </c>
      <c r="I1455" s="2" t="s">
        <v>5844</v>
      </c>
      <c r="J1455" s="2" t="s">
        <v>5850</v>
      </c>
      <c r="K1455" s="2" t="s">
        <v>5874</v>
      </c>
      <c r="N1455" s="1" t="s">
        <v>1501</v>
      </c>
    </row>
    <row r="1456" spans="1:14" ht="72.5" x14ac:dyDescent="0.35">
      <c r="A1456" s="113" t="s">
        <v>1701</v>
      </c>
      <c r="B1456" s="102" t="s">
        <v>5426</v>
      </c>
      <c r="C1456" s="123" t="str" cm="1">
        <f t="array" ref="C1456:F1456">_xlfn.TEXTSPLIT('איחוד שאלות'!$B1456,"_")</f>
        <v>preference</v>
      </c>
      <c r="D1456" s="102" t="str">
        <v>policy</v>
      </c>
      <c r="E1456" s="102" t="str">
        <v>peaceprocess</v>
      </c>
      <c r="F1456" s="102" t="str">
        <v>3</v>
      </c>
      <c r="G1456" s="103"/>
      <c r="H1456" s="135" t="s">
        <v>3954</v>
      </c>
      <c r="I1456" s="2" t="s">
        <v>5856</v>
      </c>
      <c r="J1456" s="2" t="s">
        <v>5882</v>
      </c>
      <c r="K1456" s="2" t="s">
        <v>5874</v>
      </c>
      <c r="L1456" s="2" t="s">
        <v>5791</v>
      </c>
      <c r="N1456" s="1" t="s">
        <v>1701</v>
      </c>
    </row>
    <row r="1457" spans="1:14" ht="72.5" x14ac:dyDescent="0.35">
      <c r="A1457" s="121" t="s">
        <v>1679</v>
      </c>
      <c r="B1457" s="99" t="s">
        <v>5427</v>
      </c>
      <c r="C1457" s="121" t="str" cm="1">
        <f t="array" ref="C1457:F1457">_xlfn.TEXTSPLIT('איחוד שאלות'!$B1457,"_")</f>
        <v>preference</v>
      </c>
      <c r="D1457" s="99" t="str">
        <v>policy</v>
      </c>
      <c r="E1457" s="99" t="str">
        <v>peaceprocess</v>
      </c>
      <c r="F1457" s="99" t="str">
        <v>2</v>
      </c>
      <c r="G1457" s="100"/>
      <c r="H1457" s="136" t="s">
        <v>3954</v>
      </c>
      <c r="I1457" s="2" t="s">
        <v>5856</v>
      </c>
      <c r="J1457" s="2" t="s">
        <v>5882</v>
      </c>
      <c r="K1457" s="2" t="s">
        <v>5874</v>
      </c>
      <c r="L1457" s="2" t="s">
        <v>5790</v>
      </c>
      <c r="N1457" s="1" t="s">
        <v>1679</v>
      </c>
    </row>
    <row r="1458" spans="1:14" ht="101.5" x14ac:dyDescent="0.35">
      <c r="A1458" s="113" t="s">
        <v>1599</v>
      </c>
      <c r="B1458" s="102" t="s">
        <v>5428</v>
      </c>
      <c r="C1458" s="123" t="str" cm="1">
        <f t="array" ref="C1458:G1458">_xlfn.TEXTSPLIT('איחוד שאלות'!$B1458,"_")</f>
        <v>behavior</v>
      </c>
      <c r="D1458" s="102" t="str">
        <v>voting</v>
      </c>
      <c r="E1458" s="102" t="str">
        <v>policy</v>
      </c>
      <c r="F1458" s="102" t="str">
        <v>peaceprocess</v>
      </c>
      <c r="G1458" s="103" t="str">
        <v>restitutegolan</v>
      </c>
      <c r="H1458" s="135" t="s">
        <v>3954</v>
      </c>
      <c r="I1458" s="2" t="s">
        <v>5806</v>
      </c>
      <c r="J1458" s="2" t="s">
        <v>5967</v>
      </c>
      <c r="K1458" s="2" t="s">
        <v>5882</v>
      </c>
      <c r="L1458" s="2" t="s">
        <v>5874</v>
      </c>
      <c r="M1458" s="2" t="s">
        <v>6608</v>
      </c>
      <c r="N1458" s="1" t="s">
        <v>1599</v>
      </c>
    </row>
    <row r="1459" spans="1:14" ht="43.5" x14ac:dyDescent="0.35">
      <c r="A1459" s="121" t="s">
        <v>1601</v>
      </c>
      <c r="B1459" s="99" t="s">
        <v>5429</v>
      </c>
      <c r="C1459" s="121" t="str" cm="1">
        <f t="array" ref="C1459:F1459">_xlfn.TEXTSPLIT('איחוד שאלות'!$B1459,"_")</f>
        <v>perception</v>
      </c>
      <c r="D1459" s="99" t="str">
        <v>public</v>
      </c>
      <c r="E1459" s="99" t="str">
        <v>policy</v>
      </c>
      <c r="F1459" s="99" t="str">
        <v>restitutegolan</v>
      </c>
      <c r="G1459" s="100"/>
      <c r="H1459" s="136" t="s">
        <v>3954</v>
      </c>
      <c r="I1459" s="2" t="s">
        <v>5844</v>
      </c>
      <c r="J1459" s="2" t="s">
        <v>5912</v>
      </c>
      <c r="K1459" s="2" t="s">
        <v>5882</v>
      </c>
      <c r="L1459" s="2" t="s">
        <v>6608</v>
      </c>
      <c r="N1459" s="1" t="s">
        <v>1601</v>
      </c>
    </row>
    <row r="1460" spans="1:14" ht="145" x14ac:dyDescent="0.35">
      <c r="A1460" s="113" t="s">
        <v>1603</v>
      </c>
      <c r="B1460" s="102" t="s">
        <v>5432</v>
      </c>
      <c r="C1460" s="123" t="str" cm="1">
        <f t="array" ref="C1460:F1460">_xlfn.TEXTSPLIT('איחוד שאלות'!$B1460,"_")</f>
        <v>perception</v>
      </c>
      <c r="D1460" s="102" t="str">
        <v>expectation</v>
      </c>
      <c r="E1460" s="102" t="str">
        <v>public</v>
      </c>
      <c r="F1460" s="102" t="str">
        <v>restitutegolan</v>
      </c>
      <c r="G1460" s="103"/>
      <c r="H1460" s="135" t="s">
        <v>3954</v>
      </c>
      <c r="I1460" s="2" t="s">
        <v>5844</v>
      </c>
      <c r="J1460" s="2" t="s">
        <v>5850</v>
      </c>
      <c r="K1460" s="2" t="s">
        <v>5912</v>
      </c>
      <c r="L1460" s="2" t="s">
        <v>6608</v>
      </c>
      <c r="N1460" s="1" t="s">
        <v>1603</v>
      </c>
    </row>
    <row r="1461" spans="1:14" ht="58" x14ac:dyDescent="0.35">
      <c r="A1461" s="121" t="s">
        <v>1683</v>
      </c>
      <c r="B1461" s="99" t="s">
        <v>5433</v>
      </c>
      <c r="C1461" s="121" t="str" cm="1">
        <f t="array" ref="C1461:F1461">_xlfn.TEXTSPLIT('איחוד שאלות'!$B1461,"_")</f>
        <v>perception</v>
      </c>
      <c r="D1461" s="99" t="str">
        <v>policy</v>
      </c>
      <c r="E1461" s="99" t="str">
        <v>peaceprocess</v>
      </c>
      <c r="F1461" s="99" t="str">
        <v>peacearabstatespossible</v>
      </c>
      <c r="G1461" s="100"/>
      <c r="H1461" s="136" t="s">
        <v>3954</v>
      </c>
      <c r="I1461" s="2" t="s">
        <v>5844</v>
      </c>
      <c r="J1461" s="2" t="s">
        <v>5882</v>
      </c>
      <c r="K1461" s="2" t="s">
        <v>5874</v>
      </c>
      <c r="L1461" s="2" t="s">
        <v>6641</v>
      </c>
      <c r="N1461" s="1" t="s">
        <v>1683</v>
      </c>
    </row>
    <row r="1462" spans="1:14" ht="87" x14ac:dyDescent="0.35">
      <c r="A1462" s="113" t="s">
        <v>1684</v>
      </c>
      <c r="B1462" s="102" t="s">
        <v>5434</v>
      </c>
      <c r="C1462" s="123" t="str" cm="1">
        <f t="array" ref="C1462:F1462">_xlfn.TEXTSPLIT('איחוד שאלות'!$B1462,"_")</f>
        <v>perception</v>
      </c>
      <c r="D1462" s="102" t="str">
        <v>policy</v>
      </c>
      <c r="E1462" s="102" t="str">
        <v>peaceprocess</v>
      </c>
      <c r="F1462" s="102" t="str">
        <v>influencearabstateswillingness</v>
      </c>
      <c r="G1462" s="103"/>
      <c r="H1462" s="135" t="s">
        <v>3954</v>
      </c>
      <c r="I1462" s="2" t="s">
        <v>5844</v>
      </c>
      <c r="J1462" s="2" t="s">
        <v>5882</v>
      </c>
      <c r="K1462" s="2" t="s">
        <v>5874</v>
      </c>
      <c r="L1462" s="2" t="s">
        <v>6642</v>
      </c>
      <c r="N1462" s="1" t="s">
        <v>1684</v>
      </c>
    </row>
    <row r="1463" spans="1:14" ht="58" x14ac:dyDescent="0.35">
      <c r="A1463" s="121" t="s">
        <v>1685</v>
      </c>
      <c r="B1463" s="99" t="s">
        <v>5444</v>
      </c>
      <c r="C1463" s="121" t="str" cm="1">
        <f t="array" ref="C1463:F1463">_xlfn.TEXTSPLIT('איחוד שאלות'!$B1463,"_")</f>
        <v>perception</v>
      </c>
      <c r="D1463" s="99" t="str">
        <v>expectation</v>
      </c>
      <c r="E1463" s="99" t="str">
        <v>peaceprocess</v>
      </c>
      <c r="F1463" s="99" t="str">
        <v>palestinianautonomy</v>
      </c>
      <c r="G1463" s="100"/>
      <c r="H1463" s="136" t="s">
        <v>3954</v>
      </c>
      <c r="I1463" s="2" t="s">
        <v>5844</v>
      </c>
      <c r="J1463" s="2" t="s">
        <v>5850</v>
      </c>
      <c r="K1463" s="2" t="s">
        <v>5874</v>
      </c>
      <c r="L1463" s="2" t="s">
        <v>6507</v>
      </c>
      <c r="N1463" s="1" t="s">
        <v>1685</v>
      </c>
    </row>
    <row r="1464" spans="1:14" ht="58" x14ac:dyDescent="0.35">
      <c r="A1464" s="113" t="s">
        <v>1786</v>
      </c>
      <c r="B1464" s="102" t="s">
        <v>5435</v>
      </c>
      <c r="C1464" s="123" t="str" cm="1">
        <f t="array" ref="C1464:F1464">_xlfn.TEXTSPLIT('איחוד שאלות'!$B1464,"_")</f>
        <v>perception</v>
      </c>
      <c r="D1464" s="102" t="str">
        <v>expectation</v>
      </c>
      <c r="E1464" s="102" t="str">
        <v>peaceprocess</v>
      </c>
      <c r="F1464" s="102" t="str">
        <v>autonomyconsequences</v>
      </c>
      <c r="G1464" s="103"/>
      <c r="H1464" s="135" t="s">
        <v>3954</v>
      </c>
      <c r="I1464" s="2" t="s">
        <v>5844</v>
      </c>
      <c r="J1464" s="2" t="s">
        <v>5850</v>
      </c>
      <c r="K1464" s="2" t="s">
        <v>5874</v>
      </c>
      <c r="L1464" s="2" t="s">
        <v>6643</v>
      </c>
      <c r="N1464" s="1" t="s">
        <v>1786</v>
      </c>
    </row>
    <row r="1465" spans="1:14" ht="58" x14ac:dyDescent="0.35">
      <c r="A1465" s="121" t="s">
        <v>1699</v>
      </c>
      <c r="B1465" s="99" t="s">
        <v>5436</v>
      </c>
      <c r="C1465" s="121" t="str" cm="1">
        <f t="array" ref="C1465:F1465">_xlfn.TEXTSPLIT('איחוד שאלות'!$B1465,"_")</f>
        <v>preference</v>
      </c>
      <c r="D1465" s="99" t="str">
        <v>policy</v>
      </c>
      <c r="E1465" s="99" t="str">
        <v>peaceprocess</v>
      </c>
      <c r="F1465" s="99" t="str">
        <v>participationpeaceconference</v>
      </c>
      <c r="G1465" s="100"/>
      <c r="H1465" s="136" t="s">
        <v>3954</v>
      </c>
      <c r="I1465" s="2" t="s">
        <v>5856</v>
      </c>
      <c r="J1465" s="2" t="s">
        <v>5882</v>
      </c>
      <c r="K1465" s="2" t="s">
        <v>5874</v>
      </c>
      <c r="L1465" s="2" t="s">
        <v>6644</v>
      </c>
      <c r="N1465" s="1" t="s">
        <v>1699</v>
      </c>
    </row>
    <row r="1466" spans="1:14" ht="43.5" x14ac:dyDescent="0.35">
      <c r="A1466" s="113" t="s">
        <v>1700</v>
      </c>
      <c r="B1466" s="102" t="s">
        <v>5437</v>
      </c>
      <c r="C1466" s="123" t="str" cm="1">
        <f t="array" ref="C1466:F1466">_xlfn.TEXTSPLIT('איחוד שאלות'!$B1466,"_")</f>
        <v>preference</v>
      </c>
      <c r="D1466" s="102" t="str">
        <v>policy</v>
      </c>
      <c r="E1466" s="102" t="str">
        <v>security</v>
      </c>
      <c r="F1466" s="102" t="str">
        <v>settlingterritories</v>
      </c>
      <c r="G1466" s="103"/>
      <c r="H1466" s="135" t="s">
        <v>3954</v>
      </c>
      <c r="I1466" s="2" t="s">
        <v>5856</v>
      </c>
      <c r="J1466" s="2" t="s">
        <v>5882</v>
      </c>
      <c r="K1466" s="2" t="s">
        <v>5994</v>
      </c>
      <c r="L1466" s="2" t="s">
        <v>6645</v>
      </c>
      <c r="N1466" s="1" t="s">
        <v>1700</v>
      </c>
    </row>
    <row r="1467" spans="1:14" ht="87" x14ac:dyDescent="0.35">
      <c r="A1467" s="121" t="s">
        <v>1736</v>
      </c>
      <c r="B1467" s="99" t="s">
        <v>5438</v>
      </c>
      <c r="C1467" s="121" t="str" cm="1">
        <f t="array" ref="C1467:G1467">_xlfn.TEXTSPLIT('איחוד שאלות'!$B1467,"_")</f>
        <v>perception</v>
      </c>
      <c r="D1467" s="99" t="str">
        <v>politician</v>
      </c>
      <c r="E1467" s="99" t="str">
        <v>similarity</v>
      </c>
      <c r="F1467" s="99" t="str">
        <v>peaceprocess</v>
      </c>
      <c r="G1467" s="100" t="str">
        <v>rabinvsshamir</v>
      </c>
      <c r="H1467" s="136" t="s">
        <v>3954</v>
      </c>
      <c r="I1467" s="2" t="s">
        <v>5844</v>
      </c>
      <c r="J1467" s="2" t="s">
        <v>6151</v>
      </c>
      <c r="K1467" s="2" t="s">
        <v>5927</v>
      </c>
      <c r="L1467" s="2" t="s">
        <v>5874</v>
      </c>
      <c r="M1467" s="2" t="s">
        <v>6646</v>
      </c>
      <c r="N1467" s="1" t="s">
        <v>1736</v>
      </c>
    </row>
    <row r="1468" spans="1:14" ht="72.5" x14ac:dyDescent="0.35">
      <c r="A1468" s="113" t="s">
        <v>3941</v>
      </c>
      <c r="B1468" s="102" t="s">
        <v>5439</v>
      </c>
      <c r="C1468" s="123" t="str" cm="1">
        <f t="array" ref="C1468:F1468">_xlfn.TEXTSPLIT('איחוד שאלות'!$B1468,"_")</f>
        <v>perception</v>
      </c>
      <c r="D1468" s="102" t="str">
        <v>expectation</v>
      </c>
      <c r="E1468" s="102" t="str">
        <v>peaceprocess</v>
      </c>
      <c r="F1468" s="102" t="str">
        <v>territoriesrestitution</v>
      </c>
      <c r="G1468" s="103"/>
      <c r="H1468" s="135" t="s">
        <v>3954</v>
      </c>
      <c r="I1468" s="2" t="s">
        <v>5844</v>
      </c>
      <c r="J1468" s="2" t="s">
        <v>5850</v>
      </c>
      <c r="K1468" s="2" t="s">
        <v>5874</v>
      </c>
      <c r="L1468" s="2" t="s">
        <v>5887</v>
      </c>
      <c r="N1468" s="1" t="s">
        <v>7503</v>
      </c>
    </row>
    <row r="1469" spans="1:14" ht="101.5" x14ac:dyDescent="0.35">
      <c r="A1469" s="121" t="s">
        <v>3942</v>
      </c>
      <c r="B1469" s="99" t="s">
        <v>5440</v>
      </c>
      <c r="C1469" s="121" t="str" cm="1">
        <f t="array" ref="C1469:G1469">_xlfn.TEXTSPLIT('איחוד שאלות'!$B1469,"_")</f>
        <v>perception</v>
      </c>
      <c r="D1469" s="99" t="str">
        <v>argument</v>
      </c>
      <c r="E1469" s="99" t="str">
        <v>security</v>
      </c>
      <c r="F1469" s="99" t="str">
        <v>ownterritories</v>
      </c>
      <c r="G1469" s="100" t="str">
        <v>rightonland</v>
      </c>
      <c r="H1469" s="136" t="s">
        <v>3954</v>
      </c>
      <c r="I1469" s="2" t="s">
        <v>5844</v>
      </c>
      <c r="J1469" s="2" t="s">
        <v>6224</v>
      </c>
      <c r="K1469" s="2" t="s">
        <v>5994</v>
      </c>
      <c r="L1469" s="2" t="s">
        <v>6647</v>
      </c>
      <c r="M1469" s="2" t="s">
        <v>6648</v>
      </c>
      <c r="N1469" s="1" t="s">
        <v>7504</v>
      </c>
    </row>
    <row r="1470" spans="1:14" ht="130.5" x14ac:dyDescent="0.35">
      <c r="A1470" s="113" t="s">
        <v>3943</v>
      </c>
      <c r="B1470" s="102" t="s">
        <v>5441</v>
      </c>
      <c r="C1470" s="123" t="str" cm="1">
        <f t="array" ref="C1470:G1470">_xlfn.TEXTSPLIT('איחוד שאלות'!$B1470,"_")</f>
        <v>perception</v>
      </c>
      <c r="D1470" s="102" t="str">
        <v>argument</v>
      </c>
      <c r="E1470" s="102" t="str">
        <v>security</v>
      </c>
      <c r="F1470" s="102" t="str">
        <v>ownterritories</v>
      </c>
      <c r="G1470" s="103" t="str">
        <v>preventpalestinianstate</v>
      </c>
      <c r="H1470" s="135" t="s">
        <v>3954</v>
      </c>
      <c r="I1470" s="2" t="s">
        <v>5844</v>
      </c>
      <c r="J1470" s="2" t="s">
        <v>6224</v>
      </c>
      <c r="K1470" s="2" t="s">
        <v>5994</v>
      </c>
      <c r="L1470" s="2" t="s">
        <v>6647</v>
      </c>
      <c r="M1470" s="2" t="s">
        <v>6649</v>
      </c>
      <c r="N1470" s="1" t="s">
        <v>7505</v>
      </c>
    </row>
    <row r="1471" spans="1:14" ht="145" x14ac:dyDescent="0.35">
      <c r="A1471" s="121" t="s">
        <v>3944</v>
      </c>
      <c r="B1471" s="99" t="s">
        <v>5442</v>
      </c>
      <c r="C1471" s="121" t="str" cm="1">
        <f t="array" ref="C1471:G1471">_xlfn.TEXTSPLIT('איחוד שאלות'!$B1471,"_")</f>
        <v>perception</v>
      </c>
      <c r="D1471" s="99" t="str">
        <v>argument</v>
      </c>
      <c r="E1471" s="99" t="str">
        <v>security</v>
      </c>
      <c r="F1471" s="99" t="str">
        <v>ownterritories</v>
      </c>
      <c r="G1471" s="100" t="str">
        <v>eastwarstrategy</v>
      </c>
      <c r="H1471" s="136" t="s">
        <v>3954</v>
      </c>
      <c r="I1471" s="2" t="s">
        <v>5844</v>
      </c>
      <c r="J1471" s="2" t="s">
        <v>6224</v>
      </c>
      <c r="K1471" s="2" t="s">
        <v>5994</v>
      </c>
      <c r="L1471" s="2" t="s">
        <v>6647</v>
      </c>
      <c r="M1471" s="2" t="s">
        <v>6650</v>
      </c>
      <c r="N1471" s="1" t="s">
        <v>7506</v>
      </c>
    </row>
    <row r="1472" spans="1:14" ht="130.5" x14ac:dyDescent="0.35">
      <c r="A1472" s="113" t="s">
        <v>3945</v>
      </c>
      <c r="B1472" s="102" t="s">
        <v>5443</v>
      </c>
      <c r="C1472" s="123" t="str" cm="1">
        <f t="array" ref="C1472:G1472">_xlfn.TEXTSPLIT('איחוד שאלות'!$B1472,"_")</f>
        <v>perception</v>
      </c>
      <c r="D1472" s="102" t="str">
        <v>argument</v>
      </c>
      <c r="E1472" s="102" t="str">
        <v>security</v>
      </c>
      <c r="F1472" s="102" t="str">
        <v>ownterritories</v>
      </c>
      <c r="G1472" s="103" t="str">
        <v>negotiationleveragejordan</v>
      </c>
      <c r="H1472" s="135" t="s">
        <v>3954</v>
      </c>
      <c r="I1472" s="2" t="s">
        <v>5844</v>
      </c>
      <c r="J1472" s="2" t="s">
        <v>6224</v>
      </c>
      <c r="K1472" s="2" t="s">
        <v>5994</v>
      </c>
      <c r="L1472" s="2" t="s">
        <v>6647</v>
      </c>
      <c r="M1472" s="2" t="s">
        <v>6651</v>
      </c>
      <c r="N1472" s="1" t="s">
        <v>7507</v>
      </c>
    </row>
    <row r="1473" spans="1:14" ht="58" x14ac:dyDescent="0.35">
      <c r="A1473" s="121" t="s">
        <v>1789</v>
      </c>
      <c r="B1473" s="99" t="s">
        <v>5445</v>
      </c>
      <c r="C1473" s="121" t="str" cm="1">
        <f t="array" ref="C1473:F1473">_xlfn.TEXTSPLIT('איחוד שאלות'!$B1473,"_")</f>
        <v>preference</v>
      </c>
      <c r="D1473" s="99" t="str">
        <v>policy</v>
      </c>
      <c r="E1473" s="99" t="str">
        <v>peaceprocess</v>
      </c>
      <c r="F1473" s="99" t="str">
        <v>palestinianautonomy</v>
      </c>
      <c r="G1473" s="100"/>
      <c r="H1473" s="136" t="s">
        <v>3954</v>
      </c>
      <c r="I1473" s="2" t="s">
        <v>5856</v>
      </c>
      <c r="J1473" s="2" t="s">
        <v>5882</v>
      </c>
      <c r="K1473" s="2" t="s">
        <v>5874</v>
      </c>
      <c r="L1473" s="2" t="s">
        <v>6507</v>
      </c>
      <c r="N1473" s="1" t="s">
        <v>1789</v>
      </c>
    </row>
    <row r="1474" spans="1:14" ht="72.5" x14ac:dyDescent="0.35">
      <c r="A1474" s="113" t="s">
        <v>1828</v>
      </c>
      <c r="B1474" s="102" t="s">
        <v>5446</v>
      </c>
      <c r="C1474" s="123" t="str" cm="1">
        <f t="array" ref="C1474:F1474">_xlfn.TEXTSPLIT('איחוד שאלות'!$B1474,"_")</f>
        <v>preference</v>
      </c>
      <c r="D1474" s="102" t="str">
        <v>policy</v>
      </c>
      <c r="E1474" s="102" t="str">
        <v>security</v>
      </c>
      <c r="F1474" s="102" t="str">
        <v>keepegyptpeace</v>
      </c>
      <c r="G1474" s="103"/>
      <c r="H1474" s="135" t="s">
        <v>3954</v>
      </c>
      <c r="I1474" s="2" t="s">
        <v>5856</v>
      </c>
      <c r="J1474" s="2" t="s">
        <v>5882</v>
      </c>
      <c r="K1474" s="2" t="s">
        <v>5994</v>
      </c>
      <c r="L1474" s="2" t="s">
        <v>6652</v>
      </c>
      <c r="N1474" s="1" t="s">
        <v>1828</v>
      </c>
    </row>
    <row r="1475" spans="1:14" ht="58" x14ac:dyDescent="0.35">
      <c r="A1475" s="121" t="s">
        <v>1829</v>
      </c>
      <c r="B1475" s="99" t="s">
        <v>5447</v>
      </c>
      <c r="C1475" s="121" t="str" cm="1">
        <f t="array" ref="C1475:F1475">_xlfn.TEXTSPLIT('איחוד שאלות'!$B1475,"_")</f>
        <v>preference</v>
      </c>
      <c r="D1475" s="99" t="str">
        <v>policy</v>
      </c>
      <c r="E1475" s="99" t="str">
        <v>security</v>
      </c>
      <c r="F1475" s="99" t="str">
        <v>egyptpeaceretro</v>
      </c>
      <c r="G1475" s="100"/>
      <c r="H1475" s="136" t="s">
        <v>3954</v>
      </c>
      <c r="I1475" s="2" t="s">
        <v>5856</v>
      </c>
      <c r="J1475" s="2" t="s">
        <v>5882</v>
      </c>
      <c r="K1475" s="2" t="s">
        <v>5994</v>
      </c>
      <c r="L1475" s="2" t="s">
        <v>6653</v>
      </c>
      <c r="N1475" s="1" t="s">
        <v>1829</v>
      </c>
    </row>
    <row r="1476" spans="1:14" ht="43.5" x14ac:dyDescent="0.35">
      <c r="A1476" s="113" t="s">
        <v>1260</v>
      </c>
      <c r="B1476" s="102" t="s">
        <v>5449</v>
      </c>
      <c r="C1476" s="123" t="str" cm="1">
        <f t="array" ref="C1476:E1476">_xlfn.TEXTSPLIT('איחוד שאלות'!$B1476,"_")</f>
        <v>behavior</v>
      </c>
      <c r="D1476" s="102" t="str">
        <v>IDF</v>
      </c>
      <c r="E1476" s="102" t="str">
        <v>territories</v>
      </c>
      <c r="F1476" s="102"/>
      <c r="G1476" s="103"/>
      <c r="H1476" s="135" t="s">
        <v>3954</v>
      </c>
      <c r="I1476" s="2" t="s">
        <v>5806</v>
      </c>
      <c r="J1476" s="2" t="s">
        <v>5825</v>
      </c>
      <c r="K1476" s="2" t="s">
        <v>6048</v>
      </c>
      <c r="N1476" s="1" t="s">
        <v>1260</v>
      </c>
    </row>
    <row r="1477" spans="1:14" ht="29" x14ac:dyDescent="0.35">
      <c r="A1477" s="121" t="s">
        <v>1945</v>
      </c>
      <c r="B1477" s="99" t="s">
        <v>5448</v>
      </c>
      <c r="C1477" s="121" t="str" cm="1">
        <f t="array" ref="C1477:E1477">_xlfn.TEXTSPLIT('איחוד שאלות'!$B1477,"_")</f>
        <v>behavior</v>
      </c>
      <c r="D1477" s="99" t="str">
        <v>IDF</v>
      </c>
      <c r="E1477" s="99" t="str">
        <v>foughtawar</v>
      </c>
      <c r="F1477" s="99"/>
      <c r="G1477" s="100"/>
      <c r="H1477" s="136" t="s">
        <v>3954</v>
      </c>
      <c r="I1477" s="2" t="s">
        <v>5806</v>
      </c>
      <c r="J1477" s="2" t="s">
        <v>5825</v>
      </c>
      <c r="K1477" s="2" t="s">
        <v>6654</v>
      </c>
      <c r="N1477" s="1" t="s">
        <v>1945</v>
      </c>
    </row>
    <row r="1478" spans="1:14" ht="116" x14ac:dyDescent="0.35">
      <c r="A1478" s="113" t="s">
        <v>1974</v>
      </c>
      <c r="B1478" s="102" t="s">
        <v>5450</v>
      </c>
      <c r="C1478" s="123" t="str" cm="1">
        <f t="array" ref="C1478:F1478">_xlfn.TEXTSPLIT('איחוד שאלות'!$B1478,"_")</f>
        <v>preference</v>
      </c>
      <c r="D1478" s="102" t="str">
        <v>policy</v>
      </c>
      <c r="E1478" s="102" t="str">
        <v>peaceprocess</v>
      </c>
      <c r="F1478" s="102" t="str">
        <v>westbankjordanpeace</v>
      </c>
      <c r="G1478" s="103"/>
      <c r="H1478" s="135" t="s">
        <v>3954</v>
      </c>
      <c r="I1478" s="2" t="s">
        <v>5856</v>
      </c>
      <c r="J1478" s="2" t="s">
        <v>5882</v>
      </c>
      <c r="K1478" s="2" t="s">
        <v>5874</v>
      </c>
      <c r="L1478" s="2" t="s">
        <v>6655</v>
      </c>
      <c r="N1478" s="1" t="s">
        <v>1974</v>
      </c>
    </row>
    <row r="1479" spans="1:14" ht="87" x14ac:dyDescent="0.35">
      <c r="A1479" s="121" t="s">
        <v>2007</v>
      </c>
      <c r="B1479" s="99" t="s">
        <v>5451</v>
      </c>
      <c r="C1479" s="121" t="str" cm="1">
        <f t="array" ref="C1479:F1479">_xlfn.TEXTSPLIT('איחוד שאלות'!$B1479,"_")</f>
        <v>perception</v>
      </c>
      <c r="D1479" s="99" t="str">
        <v>security</v>
      </c>
      <c r="E1479" s="99" t="str">
        <v>influence</v>
      </c>
      <c r="F1479" s="99" t="str">
        <v>intifada</v>
      </c>
      <c r="G1479" s="100"/>
      <c r="H1479" s="136" t="s">
        <v>3954</v>
      </c>
      <c r="I1479" s="2" t="s">
        <v>5844</v>
      </c>
      <c r="J1479" s="2" t="s">
        <v>5994</v>
      </c>
      <c r="K1479" s="2" t="s">
        <v>5968</v>
      </c>
      <c r="L1479" s="2" t="s">
        <v>6129</v>
      </c>
      <c r="N1479" s="1" t="s">
        <v>2007</v>
      </c>
    </row>
    <row r="1480" spans="1:14" ht="58" x14ac:dyDescent="0.35">
      <c r="A1480" s="113" t="s">
        <v>2224</v>
      </c>
      <c r="B1480" s="102" t="s">
        <v>5452</v>
      </c>
      <c r="C1480" s="123" t="str" cm="1">
        <f t="array" ref="C1480:E1480">_xlfn.TEXTSPLIT('איחוד שאלות'!$B1480,"_")</f>
        <v>behavior</v>
      </c>
      <c r="D1480" s="102" t="str">
        <v>IDF</v>
      </c>
      <c r="E1480" s="102" t="str">
        <v>intifada</v>
      </c>
      <c r="F1480" s="102"/>
      <c r="G1480" s="103"/>
      <c r="H1480" s="135" t="s">
        <v>3954</v>
      </c>
      <c r="I1480" s="2" t="s">
        <v>5806</v>
      </c>
      <c r="J1480" s="2" t="s">
        <v>5825</v>
      </c>
      <c r="K1480" s="2" t="s">
        <v>6129</v>
      </c>
      <c r="N1480" s="1" t="s">
        <v>2224</v>
      </c>
    </row>
    <row r="1481" spans="1:14" ht="58" x14ac:dyDescent="0.35">
      <c r="A1481" s="121" t="s">
        <v>2302</v>
      </c>
      <c r="B1481" s="99" t="s">
        <v>5453</v>
      </c>
      <c r="C1481" s="121" t="str" cm="1">
        <f t="array" ref="C1481:E1481">_xlfn.TEXTSPLIT('איחוד שאלות'!$B1481,"_")</f>
        <v>preference</v>
      </c>
      <c r="D1481" s="99" t="str">
        <v>importance</v>
      </c>
      <c r="E1481" s="99" t="str">
        <v>jewishmajority</v>
      </c>
      <c r="F1481" s="99"/>
      <c r="G1481" s="100"/>
      <c r="H1481" s="136" t="s">
        <v>3954</v>
      </c>
      <c r="I1481" s="2" t="s">
        <v>5856</v>
      </c>
      <c r="J1481" s="2" t="s">
        <v>5857</v>
      </c>
      <c r="K1481" s="2" t="s">
        <v>6155</v>
      </c>
      <c r="N1481" s="1" t="s">
        <v>2302</v>
      </c>
    </row>
    <row r="1482" spans="1:14" ht="116" x14ac:dyDescent="0.35">
      <c r="A1482" s="113" t="s">
        <v>2303</v>
      </c>
      <c r="B1482" s="102" t="s">
        <v>5454</v>
      </c>
      <c r="C1482" s="123" t="str" cm="1">
        <f t="array" ref="C1482:F1482">_xlfn.TEXTSPLIT('איחוד שאלות'!$B1482,"_")</f>
        <v>perception</v>
      </c>
      <c r="D1482" s="102" t="str">
        <v>security</v>
      </c>
      <c r="E1482" s="102" t="str">
        <v>jewishmajority</v>
      </c>
      <c r="F1482" s="102" t="str">
        <v>restitutionwestbank</v>
      </c>
      <c r="G1482" s="103"/>
      <c r="H1482" s="135" t="s">
        <v>3954</v>
      </c>
      <c r="I1482" s="2" t="s">
        <v>5844</v>
      </c>
      <c r="J1482" s="2" t="s">
        <v>5994</v>
      </c>
      <c r="K1482" s="2" t="s">
        <v>6155</v>
      </c>
      <c r="L1482" s="2" t="s">
        <v>6656</v>
      </c>
      <c r="N1482" s="1" t="s">
        <v>2303</v>
      </c>
    </row>
    <row r="1483" spans="1:14" ht="130.5" x14ac:dyDescent="0.35">
      <c r="A1483" s="121" t="s">
        <v>2304</v>
      </c>
      <c r="B1483" s="99" t="s">
        <v>5455</v>
      </c>
      <c r="C1483" s="121" t="str" cm="1">
        <f t="array" ref="C1483:F1483">_xlfn.TEXTSPLIT('איחוד שאלות'!$B1483,"_")</f>
        <v>perception</v>
      </c>
      <c r="D1483" s="99" t="str">
        <v>security</v>
      </c>
      <c r="E1483" s="99" t="str">
        <v>palestinianmajority</v>
      </c>
      <c r="F1483" s="99" t="str">
        <v>restitutionwestbank</v>
      </c>
      <c r="G1483" s="100"/>
      <c r="H1483" s="136" t="s">
        <v>3954</v>
      </c>
      <c r="I1483" s="2" t="s">
        <v>5844</v>
      </c>
      <c r="J1483" s="2" t="s">
        <v>5994</v>
      </c>
      <c r="K1483" s="2" t="s">
        <v>6657</v>
      </c>
      <c r="L1483" s="2" t="s">
        <v>6656</v>
      </c>
      <c r="N1483" s="1" t="s">
        <v>2304</v>
      </c>
    </row>
    <row r="1484" spans="1:14" ht="72.5" x14ac:dyDescent="0.35">
      <c r="A1484" s="113" t="s">
        <v>3946</v>
      </c>
      <c r="B1484" s="102" t="s">
        <v>5456</v>
      </c>
      <c r="C1484" s="123" t="str" cm="1">
        <f t="array" ref="C1484:G1484">_xlfn.TEXTSPLIT('איחוד שאלות'!$B1484,"_")</f>
        <v>perception</v>
      </c>
      <c r="D1484" s="102" t="str">
        <v>party</v>
      </c>
      <c r="E1484" s="102" t="str">
        <v>similarity</v>
      </c>
      <c r="F1484" s="102" t="str">
        <v>securitypeaceprocess</v>
      </c>
      <c r="G1484" s="103" t="str">
        <v>haavoda</v>
      </c>
      <c r="H1484" s="135" t="s">
        <v>3954</v>
      </c>
      <c r="I1484" s="2" t="s">
        <v>5844</v>
      </c>
      <c r="J1484" s="2" t="s">
        <v>5853</v>
      </c>
      <c r="K1484" s="2" t="s">
        <v>5927</v>
      </c>
      <c r="L1484" s="2" t="s">
        <v>6658</v>
      </c>
      <c r="M1484" s="2" t="s">
        <v>6031</v>
      </c>
      <c r="N1484" s="1" t="s">
        <v>7508</v>
      </c>
    </row>
    <row r="1485" spans="1:14" ht="72.5" x14ac:dyDescent="0.35">
      <c r="A1485" s="121" t="s">
        <v>3947</v>
      </c>
      <c r="B1485" s="99" t="s">
        <v>5457</v>
      </c>
      <c r="C1485" s="121" t="str" cm="1">
        <f t="array" ref="C1485:G1485">_xlfn.TEXTSPLIT('איחוד שאלות'!$B1485,"_")</f>
        <v>perception</v>
      </c>
      <c r="D1485" s="99" t="str">
        <v>party</v>
      </c>
      <c r="E1485" s="99" t="str">
        <v>similarity</v>
      </c>
      <c r="F1485" s="99" t="str">
        <v>securitypeaceprocess</v>
      </c>
      <c r="G1485" s="100" t="str">
        <v>likud</v>
      </c>
      <c r="H1485" s="136" t="s">
        <v>3954</v>
      </c>
      <c r="I1485" s="2" t="s">
        <v>5844</v>
      </c>
      <c r="J1485" s="2" t="s">
        <v>5853</v>
      </c>
      <c r="K1485" s="2" t="s">
        <v>5927</v>
      </c>
      <c r="L1485" s="2" t="s">
        <v>6658</v>
      </c>
      <c r="M1485" s="2" t="s">
        <v>6030</v>
      </c>
      <c r="N1485" s="1" t="s">
        <v>7509</v>
      </c>
    </row>
    <row r="1486" spans="1:14" ht="72.5" x14ac:dyDescent="0.35">
      <c r="A1486" s="113" t="s">
        <v>3948</v>
      </c>
      <c r="B1486" s="102" t="s">
        <v>5458</v>
      </c>
      <c r="C1486" s="123" t="str" cm="1">
        <f t="array" ref="C1486:G1486">_xlfn.TEXTSPLIT('איחוד שאלות'!$B1486,"_")</f>
        <v>perception</v>
      </c>
      <c r="D1486" s="102" t="str">
        <v>party</v>
      </c>
      <c r="E1486" s="102" t="str">
        <v>similarity</v>
      </c>
      <c r="F1486" s="102" t="str">
        <v>securitypeaceprocess</v>
      </c>
      <c r="G1486" s="103" t="str">
        <v>shinui</v>
      </c>
      <c r="H1486" s="135" t="s">
        <v>3954</v>
      </c>
      <c r="I1486" s="2" t="s">
        <v>5844</v>
      </c>
      <c r="J1486" s="2" t="s">
        <v>5853</v>
      </c>
      <c r="K1486" s="2" t="s">
        <v>5927</v>
      </c>
      <c r="L1486" s="2" t="s">
        <v>6658</v>
      </c>
      <c r="M1486" s="2" t="s">
        <v>6049</v>
      </c>
      <c r="N1486" s="1" t="s">
        <v>7510</v>
      </c>
    </row>
    <row r="1487" spans="1:14" ht="58" x14ac:dyDescent="0.35">
      <c r="A1487" s="121" t="s">
        <v>3949</v>
      </c>
      <c r="B1487" s="99" t="s">
        <v>5459</v>
      </c>
      <c r="C1487" s="121" t="str" cm="1">
        <f t="array" ref="C1487:G1487">_xlfn.TEXTSPLIT('איחוד שאלות'!$B1487,"_")</f>
        <v>perception</v>
      </c>
      <c r="D1487" s="99" t="str">
        <v>politician</v>
      </c>
      <c r="E1487" s="99" t="str">
        <v>similarity</v>
      </c>
      <c r="F1487" s="99" t="str">
        <v>securitypeaceprocess</v>
      </c>
      <c r="G1487" s="100" t="str">
        <v>netanyahu</v>
      </c>
      <c r="H1487" s="136" t="s">
        <v>3954</v>
      </c>
      <c r="I1487" s="2" t="s">
        <v>5844</v>
      </c>
      <c r="J1487" s="2" t="s">
        <v>6151</v>
      </c>
      <c r="K1487" s="2" t="s">
        <v>5927</v>
      </c>
      <c r="L1487" s="2" t="s">
        <v>6658</v>
      </c>
      <c r="M1487" s="2" t="s">
        <v>6072</v>
      </c>
      <c r="N1487" s="1" t="s">
        <v>7511</v>
      </c>
    </row>
    <row r="1488" spans="1:14" ht="58" x14ac:dyDescent="0.35">
      <c r="A1488" s="113" t="s">
        <v>3950</v>
      </c>
      <c r="B1488" s="102" t="s">
        <v>5460</v>
      </c>
      <c r="C1488" s="123" t="str" cm="1">
        <f t="array" ref="C1488:G1488">_xlfn.TEXTSPLIT('איחוד שאלות'!$B1488,"_")</f>
        <v>perception</v>
      </c>
      <c r="D1488" s="102" t="str">
        <v>politician</v>
      </c>
      <c r="E1488" s="102" t="str">
        <v>similarity</v>
      </c>
      <c r="F1488" s="102" t="str">
        <v>securitypeaceprocess</v>
      </c>
      <c r="G1488" s="103" t="str">
        <v>barak</v>
      </c>
      <c r="H1488" s="135" t="s">
        <v>3954</v>
      </c>
      <c r="I1488" s="2" t="s">
        <v>5844</v>
      </c>
      <c r="J1488" s="2" t="s">
        <v>6151</v>
      </c>
      <c r="K1488" s="2" t="s">
        <v>5927</v>
      </c>
      <c r="L1488" s="2" t="s">
        <v>6658</v>
      </c>
      <c r="M1488" s="2" t="s">
        <v>6087</v>
      </c>
      <c r="N1488" s="1" t="s">
        <v>7512</v>
      </c>
    </row>
    <row r="1489" spans="1:14" ht="58" x14ac:dyDescent="0.35">
      <c r="A1489" s="121" t="s">
        <v>3951</v>
      </c>
      <c r="B1489" s="99" t="s">
        <v>5461</v>
      </c>
      <c r="C1489" s="121" t="str" cm="1">
        <f t="array" ref="C1489:G1489">_xlfn.TEXTSPLIT('איחוד שאלות'!$B1489,"_")</f>
        <v>perception</v>
      </c>
      <c r="D1489" s="99" t="str">
        <v>politician</v>
      </c>
      <c r="E1489" s="99" t="str">
        <v>similarity</v>
      </c>
      <c r="F1489" s="99" t="str">
        <v>securitypeaceprocess</v>
      </c>
      <c r="G1489" s="100" t="str">
        <v>yitzhakmordechai</v>
      </c>
      <c r="H1489" s="136" t="s">
        <v>3954</v>
      </c>
      <c r="I1489" s="2" t="s">
        <v>5844</v>
      </c>
      <c r="J1489" s="2" t="s">
        <v>6151</v>
      </c>
      <c r="K1489" s="2" t="s">
        <v>5927</v>
      </c>
      <c r="L1489" s="2" t="s">
        <v>6658</v>
      </c>
      <c r="M1489" s="2" t="s">
        <v>6078</v>
      </c>
      <c r="N1489" s="1" t="s">
        <v>7513</v>
      </c>
    </row>
    <row r="1490" spans="1:14" ht="58" x14ac:dyDescent="0.35">
      <c r="A1490" s="113" t="s">
        <v>3952</v>
      </c>
      <c r="B1490" s="146" t="s">
        <v>5462</v>
      </c>
      <c r="C1490" s="123" t="str" cm="1">
        <f t="array" ref="C1490:G1490">_xlfn.TEXTSPLIT('איחוד שאלות'!$B1490,"_")</f>
        <v>perception</v>
      </c>
      <c r="D1490" s="102" t="str">
        <v>politician</v>
      </c>
      <c r="E1490" s="102" t="str">
        <v>similarity</v>
      </c>
      <c r="F1490" s="102" t="str">
        <v>securitypeaceprocess</v>
      </c>
      <c r="G1490" s="103" t="str">
        <v>bennybegin</v>
      </c>
      <c r="H1490" s="135" t="s">
        <v>3954</v>
      </c>
      <c r="I1490" s="2" t="s">
        <v>5844</v>
      </c>
      <c r="J1490" s="2" t="s">
        <v>6151</v>
      </c>
      <c r="K1490" s="2" t="s">
        <v>5927</v>
      </c>
      <c r="L1490" s="2" t="s">
        <v>6658</v>
      </c>
      <c r="M1490" s="2" t="s">
        <v>6077</v>
      </c>
      <c r="N1490" s="1" t="s">
        <v>7514</v>
      </c>
    </row>
    <row r="1491" spans="1:14" ht="58" x14ac:dyDescent="0.35">
      <c r="A1491" s="121" t="s">
        <v>3953</v>
      </c>
      <c r="B1491" s="150" t="s">
        <v>5463</v>
      </c>
      <c r="C1491" s="121" t="str" cm="1">
        <f t="array" ref="C1491:G1491">_xlfn.TEXTSPLIT('איחוד שאלות'!$B1491,"_")</f>
        <v>perception</v>
      </c>
      <c r="D1491" s="99" t="str">
        <v>politician</v>
      </c>
      <c r="E1491" s="99" t="str">
        <v>similarity</v>
      </c>
      <c r="F1491" s="99" t="str">
        <v>securitypeaceprocess</v>
      </c>
      <c r="G1491" s="100" t="str">
        <v>azmibishara</v>
      </c>
      <c r="H1491" s="136" t="s">
        <v>3954</v>
      </c>
      <c r="I1491" s="2" t="s">
        <v>5844</v>
      </c>
      <c r="J1491" s="2" t="s">
        <v>6151</v>
      </c>
      <c r="K1491" s="2" t="s">
        <v>5927</v>
      </c>
      <c r="L1491" s="2" t="s">
        <v>6658</v>
      </c>
      <c r="M1491" s="2" t="s">
        <v>6118</v>
      </c>
      <c r="N1491" s="1" t="s">
        <v>7515</v>
      </c>
    </row>
    <row r="1492" spans="1:14" ht="43.5" x14ac:dyDescent="0.35">
      <c r="A1492" s="113" t="s">
        <v>2414</v>
      </c>
      <c r="B1492" s="102" t="s">
        <v>5464</v>
      </c>
      <c r="C1492" s="123" t="str" cm="1">
        <f t="array" ref="C1492:E1492">_xlfn.TEXTSPLIT('איחוד שאלות'!$B1492,"_")</f>
        <v>perception</v>
      </c>
      <c r="D1492" s="102" t="str">
        <v>policy</v>
      </c>
      <c r="E1492" s="102" t="str">
        <v>peaceprocess</v>
      </c>
      <c r="F1492" s="102"/>
      <c r="G1492" s="103"/>
      <c r="H1492" s="135" t="s">
        <v>3954</v>
      </c>
      <c r="I1492" s="2" t="s">
        <v>5844</v>
      </c>
      <c r="J1492" s="2" t="s">
        <v>5882</v>
      </c>
      <c r="K1492" s="2" t="s">
        <v>5874</v>
      </c>
      <c r="N1492" s="1" t="s">
        <v>2414</v>
      </c>
    </row>
    <row r="1493" spans="1:14" ht="72.5" x14ac:dyDescent="0.35">
      <c r="A1493" s="121" t="s">
        <v>2588</v>
      </c>
      <c r="B1493" s="99" t="s">
        <v>5466</v>
      </c>
      <c r="C1493" s="121" t="str" cm="1">
        <f t="array" ref="C1493:F1493">_xlfn.TEXTSPLIT('איחוד שאלות'!$B1493,"_")</f>
        <v>preference</v>
      </c>
      <c r="D1493" s="99" t="str">
        <v>policy</v>
      </c>
      <c r="E1493" s="99" t="str">
        <v>peaceprocess</v>
      </c>
      <c r="F1493" s="99" t="str">
        <v>negotiatePLO</v>
      </c>
      <c r="G1493" s="100"/>
      <c r="H1493" s="136" t="s">
        <v>3954</v>
      </c>
      <c r="I1493" s="2" t="s">
        <v>5856</v>
      </c>
      <c r="J1493" s="2" t="s">
        <v>5882</v>
      </c>
      <c r="K1493" s="2" t="s">
        <v>5874</v>
      </c>
      <c r="L1493" s="2" t="s">
        <v>6659</v>
      </c>
      <c r="N1493" s="1" t="s">
        <v>2588</v>
      </c>
    </row>
    <row r="1494" spans="1:14" ht="43.5" x14ac:dyDescent="0.35">
      <c r="A1494" s="113" t="s">
        <v>2572</v>
      </c>
      <c r="B1494" s="102" t="s">
        <v>5467</v>
      </c>
      <c r="C1494" s="123" t="str" cm="1">
        <f t="array" ref="C1494:F1494">_xlfn.TEXTSPLIT('איחוד שאלות'!$B1494,"_")</f>
        <v>perception</v>
      </c>
      <c r="D1494" s="102" t="str">
        <v>expectation</v>
      </c>
      <c r="E1494" s="102" t="str">
        <v>likud</v>
      </c>
      <c r="F1494" s="102" t="str">
        <v>peaceprocess</v>
      </c>
      <c r="G1494" s="103"/>
      <c r="H1494" s="135" t="s">
        <v>3954</v>
      </c>
      <c r="I1494" s="2" t="s">
        <v>5844</v>
      </c>
      <c r="J1494" s="2" t="s">
        <v>5850</v>
      </c>
      <c r="K1494" s="2" t="s">
        <v>6030</v>
      </c>
      <c r="L1494" s="2" t="s">
        <v>5874</v>
      </c>
      <c r="N1494" s="1" t="s">
        <v>2572</v>
      </c>
    </row>
    <row r="1495" spans="1:14" ht="159.5" x14ac:dyDescent="0.35">
      <c r="A1495" s="121" t="s">
        <v>2580</v>
      </c>
      <c r="B1495" s="99" t="s">
        <v>5468</v>
      </c>
      <c r="C1495" s="121" t="str" cm="1">
        <f t="array" ref="C1495:F1495">_xlfn.TEXTSPLIT('איחוד שאלות'!$B1495,"_")</f>
        <v>preference</v>
      </c>
      <c r="D1495" s="99" t="str">
        <v>policy</v>
      </c>
      <c r="E1495" s="99" t="str">
        <v>peaceprocess</v>
      </c>
      <c r="F1495" s="99" t="str">
        <v>electionsbeforrestitution</v>
      </c>
      <c r="G1495" s="100"/>
      <c r="H1495" s="136" t="s">
        <v>3954</v>
      </c>
      <c r="I1495" s="2" t="s">
        <v>5856</v>
      </c>
      <c r="J1495" s="2" t="s">
        <v>5882</v>
      </c>
      <c r="K1495" s="2" t="s">
        <v>5874</v>
      </c>
      <c r="L1495" s="2" t="s">
        <v>6660</v>
      </c>
      <c r="N1495" s="1" t="s">
        <v>2580</v>
      </c>
    </row>
    <row r="1496" spans="1:14" ht="87" x14ac:dyDescent="0.35">
      <c r="A1496" s="113" t="s">
        <v>2683</v>
      </c>
      <c r="B1496" s="102" t="s">
        <v>5469</v>
      </c>
      <c r="C1496" s="123" t="str" cm="1">
        <f t="array" ref="C1496:G1496">_xlfn.TEXTSPLIT('איחוד שאלות'!$B1496,"_")</f>
        <v>preference</v>
      </c>
      <c r="D1496" s="102" t="str">
        <v>policy</v>
      </c>
      <c r="E1496" s="102" t="str">
        <v>scenario</v>
      </c>
      <c r="F1496" s="102" t="str">
        <v>peaceprocess</v>
      </c>
      <c r="G1496" s="103" t="str">
        <v>oppositionagainst</v>
      </c>
      <c r="H1496" s="135" t="s">
        <v>3954</v>
      </c>
      <c r="I1496" s="2" t="s">
        <v>5856</v>
      </c>
      <c r="J1496" s="2" t="s">
        <v>5882</v>
      </c>
      <c r="K1496" s="2" t="s">
        <v>6290</v>
      </c>
      <c r="L1496" s="2" t="s">
        <v>5874</v>
      </c>
      <c r="M1496" s="2" t="s">
        <v>6661</v>
      </c>
      <c r="N1496" s="1" t="s">
        <v>2683</v>
      </c>
    </row>
    <row r="1497" spans="1:14" ht="87" x14ac:dyDescent="0.35">
      <c r="A1497" s="121" t="s">
        <v>2685</v>
      </c>
      <c r="B1497" s="99" t="s">
        <v>5470</v>
      </c>
      <c r="C1497" s="121" t="str" cm="1">
        <f t="array" ref="C1497:G1497">_xlfn.TEXTSPLIT('איחוד שאלות'!$B1497,"_")</f>
        <v>preference</v>
      </c>
      <c r="D1497" s="99" t="str">
        <v>policy</v>
      </c>
      <c r="E1497" s="99" t="str">
        <v>scenario</v>
      </c>
      <c r="F1497" s="99" t="str">
        <v>peaceprocess</v>
      </c>
      <c r="G1497" s="100" t="str">
        <v>govagainst</v>
      </c>
      <c r="H1497" s="136" t="s">
        <v>3954</v>
      </c>
      <c r="I1497" s="2" t="s">
        <v>5856</v>
      </c>
      <c r="J1497" s="2" t="s">
        <v>5882</v>
      </c>
      <c r="K1497" s="2" t="s">
        <v>6290</v>
      </c>
      <c r="L1497" s="2" t="s">
        <v>5874</v>
      </c>
      <c r="M1497" s="2" t="s">
        <v>6662</v>
      </c>
      <c r="N1497" s="1" t="s">
        <v>2685</v>
      </c>
    </row>
    <row r="1498" spans="1:14" ht="43.5" x14ac:dyDescent="0.35">
      <c r="A1498" s="113" t="s">
        <v>2687</v>
      </c>
      <c r="B1498" s="102" t="s">
        <v>5405</v>
      </c>
      <c r="C1498" s="123" t="str" cm="1">
        <f t="array" ref="C1498:F1498">_xlfn.TEXTSPLIT('איחוד שאלות'!$B1498,"_")</f>
        <v>preference</v>
      </c>
      <c r="D1498" s="102" t="str">
        <v>policy</v>
      </c>
      <c r="E1498" s="102" t="str">
        <v>peaceprocess</v>
      </c>
      <c r="F1498" s="102" t="str">
        <v>restitutionforpeace</v>
      </c>
      <c r="G1498" s="103"/>
      <c r="H1498" s="135" t="s">
        <v>3954</v>
      </c>
      <c r="I1498" s="2" t="s">
        <v>5856</v>
      </c>
      <c r="J1498" s="2" t="s">
        <v>5882</v>
      </c>
      <c r="K1498" s="2" t="s">
        <v>5874</v>
      </c>
      <c r="L1498" s="2" t="s">
        <v>6251</v>
      </c>
      <c r="N1498" s="1" t="s">
        <v>2687</v>
      </c>
    </row>
    <row r="1499" spans="1:14" ht="58" x14ac:dyDescent="0.35">
      <c r="A1499" s="121" t="s">
        <v>2689</v>
      </c>
      <c r="B1499" s="99" t="s">
        <v>5471</v>
      </c>
      <c r="C1499" s="121" t="str" cm="1">
        <f t="array" ref="C1499:F1499">_xlfn.TEXTSPLIT('איחוד שאלות'!$B1499,"_")</f>
        <v>preference</v>
      </c>
      <c r="D1499" s="99" t="str">
        <v>policy</v>
      </c>
      <c r="E1499" s="99" t="str">
        <v>peaceprocess</v>
      </c>
      <c r="F1499" s="99" t="str">
        <v>restitutionpreventpeace</v>
      </c>
      <c r="G1499" s="100"/>
      <c r="H1499" s="136" t="s">
        <v>3954</v>
      </c>
      <c r="I1499" s="2" t="s">
        <v>5856</v>
      </c>
      <c r="J1499" s="2" t="s">
        <v>5882</v>
      </c>
      <c r="K1499" s="2" t="s">
        <v>5874</v>
      </c>
      <c r="L1499" s="2" t="s">
        <v>6663</v>
      </c>
      <c r="N1499" s="1" t="s">
        <v>2689</v>
      </c>
    </row>
    <row r="1500" spans="1:14" ht="58" x14ac:dyDescent="0.35">
      <c r="A1500" s="113" t="s">
        <v>2691</v>
      </c>
      <c r="B1500" s="102" t="s">
        <v>5433</v>
      </c>
      <c r="C1500" s="123" t="str" cm="1">
        <f t="array" ref="C1500:F1500">_xlfn.TEXTSPLIT('איחוד שאלות'!$B1500,"_")</f>
        <v>perception</v>
      </c>
      <c r="D1500" s="102" t="str">
        <v>policy</v>
      </c>
      <c r="E1500" s="102" t="str">
        <v>peaceprocess</v>
      </c>
      <c r="F1500" s="102" t="str">
        <v>peacearabstatespossible</v>
      </c>
      <c r="G1500" s="103"/>
      <c r="H1500" s="135" t="s">
        <v>3954</v>
      </c>
      <c r="I1500" s="2" t="s">
        <v>5844</v>
      </c>
      <c r="J1500" s="2" t="s">
        <v>5882</v>
      </c>
      <c r="K1500" s="2" t="s">
        <v>5874</v>
      </c>
      <c r="L1500" s="2" t="s">
        <v>6641</v>
      </c>
      <c r="N1500" s="1" t="s">
        <v>2691</v>
      </c>
    </row>
    <row r="1501" spans="1:14" ht="72.5" x14ac:dyDescent="0.35">
      <c r="A1501" s="121" t="s">
        <v>2773</v>
      </c>
      <c r="B1501" s="99" t="s">
        <v>5434</v>
      </c>
      <c r="C1501" s="121" t="str" cm="1">
        <f t="array" ref="C1501:F1501">_xlfn.TEXTSPLIT('איחוד שאלות'!$B1501,"_")</f>
        <v>perception</v>
      </c>
      <c r="D1501" s="99" t="str">
        <v>policy</v>
      </c>
      <c r="E1501" s="99" t="str">
        <v>peaceprocess</v>
      </c>
      <c r="F1501" s="99" t="str">
        <v>influencearabstateswillingness</v>
      </c>
      <c r="G1501" s="100"/>
      <c r="H1501" s="136" t="s">
        <v>3954</v>
      </c>
      <c r="I1501" s="2" t="s">
        <v>5844</v>
      </c>
      <c r="J1501" s="2" t="s">
        <v>5882</v>
      </c>
      <c r="K1501" s="2" t="s">
        <v>5874</v>
      </c>
      <c r="L1501" s="2" t="s">
        <v>6642</v>
      </c>
      <c r="N1501" s="1" t="s">
        <v>2773</v>
      </c>
    </row>
    <row r="1502" spans="1:14" ht="58" x14ac:dyDescent="0.35">
      <c r="A1502" s="113" t="s">
        <v>2775</v>
      </c>
      <c r="B1502" s="102" t="s">
        <v>5472</v>
      </c>
      <c r="C1502" s="123" t="str" cm="1">
        <f t="array" ref="C1502:F1502">_xlfn.TEXTSPLIT('איחוד שאלות'!$B1502,"_")</f>
        <v>perception</v>
      </c>
      <c r="D1502" s="102" t="str">
        <v>policy</v>
      </c>
      <c r="E1502" s="102" t="str">
        <v>security</v>
      </c>
      <c r="F1502" s="102" t="str">
        <v>leadtosurender</v>
      </c>
      <c r="G1502" s="103"/>
      <c r="H1502" s="135" t="s">
        <v>3954</v>
      </c>
      <c r="I1502" s="2" t="s">
        <v>5844</v>
      </c>
      <c r="J1502" s="2" t="s">
        <v>5882</v>
      </c>
      <c r="K1502" s="2" t="s">
        <v>5994</v>
      </c>
      <c r="L1502" s="2" t="s">
        <v>6664</v>
      </c>
      <c r="N1502" s="1" t="s">
        <v>2775</v>
      </c>
    </row>
    <row r="1503" spans="1:14" ht="58" x14ac:dyDescent="0.35">
      <c r="A1503" s="121" t="s">
        <v>3061</v>
      </c>
      <c r="B1503" s="99" t="s">
        <v>5473</v>
      </c>
      <c r="C1503" s="121" t="str" cm="1">
        <f t="array" ref="C1503:F1503">_xlfn.TEXTSPLIT('איחוד שאלות'!$B1503,"_")</f>
        <v>perception</v>
      </c>
      <c r="D1503" s="99" t="str">
        <v>saliency</v>
      </c>
      <c r="E1503" s="99" t="str">
        <v>policy</v>
      </c>
      <c r="F1503" s="99" t="str">
        <v>peaceprocess</v>
      </c>
      <c r="G1503" s="100"/>
      <c r="H1503" s="136" t="s">
        <v>3954</v>
      </c>
      <c r="I1503" s="2" t="s">
        <v>5844</v>
      </c>
      <c r="J1503" s="2" t="s">
        <v>6139</v>
      </c>
      <c r="K1503" s="2" t="s">
        <v>5882</v>
      </c>
      <c r="L1503" s="2" t="s">
        <v>5874</v>
      </c>
      <c r="N1503" s="1" t="s">
        <v>3061</v>
      </c>
    </row>
    <row r="1504" spans="1:14" ht="87" x14ac:dyDescent="0.35">
      <c r="A1504" s="113" t="s">
        <v>3108</v>
      </c>
      <c r="B1504" s="102" t="s">
        <v>5474</v>
      </c>
      <c r="C1504" s="123" t="str" cm="1">
        <f t="array" ref="C1504:F1504">_xlfn.TEXTSPLIT('איחוד שאלות'!$B1504,"_")</f>
        <v>perception</v>
      </c>
      <c r="D1504" s="102" t="str">
        <v>policy</v>
      </c>
      <c r="E1504" s="102" t="str">
        <v>peaceprocess</v>
      </c>
      <c r="F1504" s="102" t="str">
        <v>restitutioforpeace</v>
      </c>
      <c r="G1504" s="103"/>
      <c r="H1504" s="135" t="s">
        <v>3954</v>
      </c>
      <c r="I1504" s="2" t="s">
        <v>5844</v>
      </c>
      <c r="J1504" s="2" t="s">
        <v>5882</v>
      </c>
      <c r="K1504" s="2" t="s">
        <v>5874</v>
      </c>
      <c r="L1504" s="2" t="s">
        <v>6665</v>
      </c>
      <c r="N1504" s="1" t="s">
        <v>3108</v>
      </c>
    </row>
    <row r="1505" spans="1:14" ht="43.5" x14ac:dyDescent="0.35">
      <c r="A1505" s="121" t="s">
        <v>3128</v>
      </c>
      <c r="B1505" s="99" t="s">
        <v>5475</v>
      </c>
      <c r="C1505" s="121" t="str" cm="1">
        <f t="array" ref="C1505:F1505">_xlfn.TEXTSPLIT('איחוד שאלות'!$B1505,"_")</f>
        <v>preference</v>
      </c>
      <c r="D1505" s="99" t="str">
        <v>groups</v>
      </c>
      <c r="E1505" s="99" t="str">
        <v>palestinians</v>
      </c>
      <c r="F1505" s="99" t="str">
        <v>household</v>
      </c>
      <c r="G1505" s="100"/>
      <c r="H1505" s="136" t="s">
        <v>3954</v>
      </c>
      <c r="I1505" s="2" t="s">
        <v>5856</v>
      </c>
      <c r="J1505" s="2" t="s">
        <v>6457</v>
      </c>
      <c r="K1505" s="2" t="s">
        <v>6597</v>
      </c>
      <c r="L1505" s="2" t="s">
        <v>5795</v>
      </c>
      <c r="N1505" s="1" t="s">
        <v>3128</v>
      </c>
    </row>
    <row r="1506" spans="1:14" ht="43.5" x14ac:dyDescent="0.35">
      <c r="A1506" s="113" t="s">
        <v>3129</v>
      </c>
      <c r="B1506" s="102" t="s">
        <v>5476</v>
      </c>
      <c r="C1506" s="123" t="str" cm="1">
        <f t="array" ref="C1506:F1506">_xlfn.TEXTSPLIT('איחוד שאלות'!$B1506,"_")</f>
        <v>preference</v>
      </c>
      <c r="D1506" s="102" t="str">
        <v>groups</v>
      </c>
      <c r="E1506" s="102" t="str">
        <v>palestinians</v>
      </c>
      <c r="F1506" s="102" t="str">
        <v>friend</v>
      </c>
      <c r="G1506" s="103"/>
      <c r="H1506" s="135" t="s">
        <v>3954</v>
      </c>
      <c r="I1506" s="2" t="s">
        <v>5856</v>
      </c>
      <c r="J1506" s="2" t="s">
        <v>6457</v>
      </c>
      <c r="K1506" s="2" t="s">
        <v>6597</v>
      </c>
      <c r="L1506" s="2" t="s">
        <v>6666</v>
      </c>
      <c r="N1506" s="1" t="s">
        <v>3129</v>
      </c>
    </row>
    <row r="1507" spans="1:14" ht="72.5" x14ac:dyDescent="0.35">
      <c r="A1507" s="121" t="s">
        <v>3130</v>
      </c>
      <c r="B1507" s="99" t="s">
        <v>5479</v>
      </c>
      <c r="C1507" s="121" t="str" cm="1">
        <f t="array" ref="C1507:F1507">_xlfn.TEXTSPLIT('איחוד שאלות'!$B1507,"_")</f>
        <v>perception</v>
      </c>
      <c r="D1507" s="99" t="str">
        <v>groups</v>
      </c>
      <c r="E1507" s="99" t="str">
        <v>palestinians</v>
      </c>
      <c r="F1507" s="99" t="str">
        <v>orientalism</v>
      </c>
      <c r="G1507" s="100"/>
      <c r="H1507" s="136" t="s">
        <v>3954</v>
      </c>
      <c r="I1507" s="2" t="s">
        <v>5844</v>
      </c>
      <c r="J1507" s="2" t="s">
        <v>6457</v>
      </c>
      <c r="K1507" s="2" t="s">
        <v>6597</v>
      </c>
      <c r="L1507" s="2" t="s">
        <v>6667</v>
      </c>
      <c r="N1507" s="1" t="s">
        <v>3130</v>
      </c>
    </row>
    <row r="1508" spans="1:14" ht="43.5" x14ac:dyDescent="0.35">
      <c r="A1508" s="113" t="s">
        <v>3131</v>
      </c>
      <c r="B1508" s="102" t="s">
        <v>5477</v>
      </c>
      <c r="C1508" s="123" t="str" cm="1">
        <f t="array" ref="C1508:F1508">_xlfn.TEXTSPLIT('איחוד שאלות'!$B1508,"_")</f>
        <v>perception</v>
      </c>
      <c r="D1508" s="102" t="str">
        <v>groups</v>
      </c>
      <c r="E1508" s="102" t="str">
        <v>palestinians</v>
      </c>
      <c r="F1508" s="102" t="str">
        <v>hostiletojews</v>
      </c>
      <c r="G1508" s="103"/>
      <c r="H1508" s="135" t="s">
        <v>3954</v>
      </c>
      <c r="I1508" s="2" t="s">
        <v>5844</v>
      </c>
      <c r="J1508" s="2" t="s">
        <v>6457</v>
      </c>
      <c r="K1508" s="2" t="s">
        <v>6597</v>
      </c>
      <c r="L1508" s="2" t="s">
        <v>6668</v>
      </c>
      <c r="N1508" s="1" t="s">
        <v>3131</v>
      </c>
    </row>
    <row r="1509" spans="1:14" ht="43.5" x14ac:dyDescent="0.35">
      <c r="A1509" s="121" t="s">
        <v>3132</v>
      </c>
      <c r="B1509" s="99" t="s">
        <v>5478</v>
      </c>
      <c r="C1509" s="121" t="str" cm="1">
        <f t="array" ref="C1509:F1509">_xlfn.TEXTSPLIT('איחוד שאלות'!$B1509,"_")</f>
        <v>perception</v>
      </c>
      <c r="D1509" s="99" t="str">
        <v>groups</v>
      </c>
      <c r="E1509" s="99" t="str">
        <v>palestinians</v>
      </c>
      <c r="F1509" s="99" t="str">
        <v>hostiletoisrael</v>
      </c>
      <c r="G1509" s="100"/>
      <c r="H1509" s="136" t="s">
        <v>3954</v>
      </c>
      <c r="I1509" s="2" t="s">
        <v>5844</v>
      </c>
      <c r="J1509" s="2" t="s">
        <v>6457</v>
      </c>
      <c r="K1509" s="2" t="s">
        <v>6597</v>
      </c>
      <c r="L1509" s="2" t="s">
        <v>6669</v>
      </c>
      <c r="N1509" s="1" t="s">
        <v>3132</v>
      </c>
    </row>
    <row r="1510" spans="1:14" ht="72.5" x14ac:dyDescent="0.35">
      <c r="A1510" s="113" t="s">
        <v>3133</v>
      </c>
      <c r="B1510" s="102" t="s">
        <v>5474</v>
      </c>
      <c r="C1510" s="123" t="str" cm="1">
        <f t="array" ref="C1510:F1510">_xlfn.TEXTSPLIT('איחוד שאלות'!$B1510,"_")</f>
        <v>perception</v>
      </c>
      <c r="D1510" s="102" t="str">
        <v>policy</v>
      </c>
      <c r="E1510" s="102" t="str">
        <v>peaceprocess</v>
      </c>
      <c r="F1510" s="102" t="str">
        <v>restitutioforpeace</v>
      </c>
      <c r="G1510" s="103"/>
      <c r="H1510" s="135" t="s">
        <v>3954</v>
      </c>
      <c r="I1510" s="2" t="s">
        <v>5844</v>
      </c>
      <c r="J1510" s="2" t="s">
        <v>5882</v>
      </c>
      <c r="K1510" s="2" t="s">
        <v>5874</v>
      </c>
      <c r="L1510" s="2" t="s">
        <v>6665</v>
      </c>
      <c r="N1510" s="1" t="s">
        <v>3133</v>
      </c>
    </row>
    <row r="1511" spans="1:14" ht="72.5" x14ac:dyDescent="0.35">
      <c r="A1511" s="121" t="s">
        <v>3243</v>
      </c>
      <c r="B1511" s="99" t="s">
        <v>5390</v>
      </c>
      <c r="C1511" s="121" t="str" cm="1">
        <f t="array" ref="C1511:E1511">_xlfn.TEXTSPLIT('איחוד שאלות'!$B1511,"_")</f>
        <v>preference</v>
      </c>
      <c r="D1511" s="99" t="str">
        <v>policy</v>
      </c>
      <c r="E1511" s="99" t="str">
        <v>peaceprocess</v>
      </c>
      <c r="F1511" s="99"/>
      <c r="G1511" s="100"/>
      <c r="H1511" s="136" t="s">
        <v>3954</v>
      </c>
      <c r="I1511" s="2" t="s">
        <v>5856</v>
      </c>
      <c r="J1511" s="2" t="s">
        <v>5882</v>
      </c>
      <c r="K1511" s="2" t="s">
        <v>5874</v>
      </c>
      <c r="N1511" s="1" t="s">
        <v>3243</v>
      </c>
    </row>
    <row r="1512" spans="1:14" ht="43.5" x14ac:dyDescent="0.35">
      <c r="A1512" s="113" t="s">
        <v>131</v>
      </c>
      <c r="B1512" s="102" t="s">
        <v>5481</v>
      </c>
      <c r="C1512" s="123" t="str" cm="1">
        <f t="array" ref="C1512:F1512">_xlfn.TEXTSPLIT('איחוד שאלות'!$B1512,"_")</f>
        <v>perception</v>
      </c>
      <c r="D1512" s="102" t="str">
        <v>israel</v>
      </c>
      <c r="E1512" s="102" t="str">
        <v>democratic</v>
      </c>
      <c r="F1512" s="102" t="str">
        <v>10</v>
      </c>
      <c r="G1512" s="103"/>
      <c r="H1512" s="135" t="s">
        <v>3996</v>
      </c>
      <c r="I1512" s="2" t="s">
        <v>5844</v>
      </c>
      <c r="J1512" s="2" t="s">
        <v>5845</v>
      </c>
      <c r="K1512" s="2" t="s">
        <v>6220</v>
      </c>
      <c r="L1512" s="2" t="s">
        <v>6020</v>
      </c>
      <c r="N1512" s="1" t="s">
        <v>131</v>
      </c>
    </row>
    <row r="1513" spans="1:14" ht="130.5" x14ac:dyDescent="0.35">
      <c r="A1513" s="121" t="s">
        <v>3955</v>
      </c>
      <c r="B1513" s="99" t="s">
        <v>5482</v>
      </c>
      <c r="C1513" s="121" t="str" cm="1">
        <f t="array" ref="C1513:F1513">_xlfn.TEXTSPLIT('איחוד שאלות'!$B1513,"_")</f>
        <v>affect</v>
      </c>
      <c r="D1513" s="99" t="str">
        <v>importance</v>
      </c>
      <c r="E1513" s="99" t="str">
        <v>democracy</v>
      </c>
      <c r="F1513" s="99" t="str">
        <v>obligationtoregime</v>
      </c>
      <c r="G1513" s="100"/>
      <c r="H1513" s="136" t="s">
        <v>3996</v>
      </c>
      <c r="I1513" s="2" t="s">
        <v>5815</v>
      </c>
      <c r="J1513" s="2" t="s">
        <v>5857</v>
      </c>
      <c r="K1513" s="2" t="s">
        <v>5883</v>
      </c>
      <c r="L1513" s="2" t="s">
        <v>6670</v>
      </c>
      <c r="N1513" s="1" t="s">
        <v>7516</v>
      </c>
    </row>
    <row r="1514" spans="1:14" ht="116" x14ac:dyDescent="0.35">
      <c r="A1514" s="113" t="s">
        <v>3956</v>
      </c>
      <c r="B1514" s="102" t="s">
        <v>5483</v>
      </c>
      <c r="C1514" s="123" t="str" cm="1">
        <f t="array" ref="C1514:F1514">_xlfn.TEXTSPLIT('איחוד שאלות'!$B1514,"_")</f>
        <v>preference</v>
      </c>
      <c r="D1514" s="102" t="str">
        <v>policy</v>
      </c>
      <c r="E1514" s="102" t="str">
        <v>democracy</v>
      </c>
      <c r="F1514" s="102" t="str">
        <v>authoritarianleader</v>
      </c>
      <c r="G1514" s="103"/>
      <c r="H1514" s="135" t="s">
        <v>3996</v>
      </c>
      <c r="I1514" s="2" t="s">
        <v>5856</v>
      </c>
      <c r="J1514" s="2" t="s">
        <v>5882</v>
      </c>
      <c r="K1514" s="2" t="s">
        <v>5883</v>
      </c>
      <c r="L1514" s="2" t="s">
        <v>6671</v>
      </c>
      <c r="N1514" s="1" t="s">
        <v>7517</v>
      </c>
    </row>
    <row r="1515" spans="1:14" ht="116" x14ac:dyDescent="0.35">
      <c r="A1515" s="121" t="s">
        <v>3957</v>
      </c>
      <c r="B1515" s="99" t="s">
        <v>5484</v>
      </c>
      <c r="C1515" s="121" t="str" cm="1">
        <f t="array" ref="C1515:F1515">_xlfn.TEXTSPLIT('איחוד שאלות'!$B1515,"_")</f>
        <v>preference</v>
      </c>
      <c r="D1515" s="99" t="str">
        <v>policy</v>
      </c>
      <c r="E1515" s="99" t="str">
        <v>democracy</v>
      </c>
      <c r="F1515" s="99" t="str">
        <v>bendrulesforrightend</v>
      </c>
      <c r="G1515" s="100"/>
      <c r="H1515" s="136" t="s">
        <v>3996</v>
      </c>
      <c r="I1515" s="2" t="s">
        <v>5856</v>
      </c>
      <c r="J1515" s="2" t="s">
        <v>5882</v>
      </c>
      <c r="K1515" s="2" t="s">
        <v>5883</v>
      </c>
      <c r="L1515" s="2" t="s">
        <v>6672</v>
      </c>
      <c r="N1515" s="1" t="s">
        <v>7518</v>
      </c>
    </row>
    <row r="1516" spans="1:14" ht="116" x14ac:dyDescent="0.35">
      <c r="A1516" s="113" t="s">
        <v>3958</v>
      </c>
      <c r="B1516" s="102" t="s">
        <v>5485</v>
      </c>
      <c r="C1516" s="123" t="str" cm="1">
        <f t="array" ref="C1516:F1516">_xlfn.TEXTSPLIT('איחוד שאלות'!$B1516,"_")</f>
        <v>preference</v>
      </c>
      <c r="D1516" s="102" t="str">
        <v>policy</v>
      </c>
      <c r="E1516" s="102" t="str">
        <v>democracy</v>
      </c>
      <c r="F1516" s="102" t="str">
        <v>equalrightscitizens</v>
      </c>
      <c r="G1516" s="103"/>
      <c r="H1516" s="135" t="s">
        <v>3996</v>
      </c>
      <c r="I1516" s="2" t="s">
        <v>5856</v>
      </c>
      <c r="J1516" s="2" t="s">
        <v>5882</v>
      </c>
      <c r="K1516" s="2" t="s">
        <v>5883</v>
      </c>
      <c r="L1516" s="2" t="s">
        <v>6673</v>
      </c>
      <c r="N1516" s="1" t="s">
        <v>7519</v>
      </c>
    </row>
    <row r="1517" spans="1:14" ht="101.5" x14ac:dyDescent="0.35">
      <c r="A1517" s="121" t="s">
        <v>3959</v>
      </c>
      <c r="B1517" s="99" t="s">
        <v>5486</v>
      </c>
      <c r="C1517" s="121" t="str" cm="1">
        <f t="array" ref="C1517:F1517">_xlfn.TEXTSPLIT('איחוד שאלות'!$B1517,"_")</f>
        <v>preference</v>
      </c>
      <c r="D1517" s="99" t="str">
        <v>policy</v>
      </c>
      <c r="E1517" s="99" t="str">
        <v>democracy</v>
      </c>
      <c r="F1517" s="99" t="str">
        <v>freespeech</v>
      </c>
      <c r="G1517" s="100"/>
      <c r="H1517" s="136" t="s">
        <v>3996</v>
      </c>
      <c r="I1517" s="2" t="s">
        <v>5856</v>
      </c>
      <c r="J1517" s="2" t="s">
        <v>5882</v>
      </c>
      <c r="K1517" s="2" t="s">
        <v>5883</v>
      </c>
      <c r="L1517" s="2" t="s">
        <v>6674</v>
      </c>
      <c r="N1517" s="1" t="s">
        <v>7520</v>
      </c>
    </row>
    <row r="1518" spans="1:14" ht="87" x14ac:dyDescent="0.35">
      <c r="A1518" s="113" t="s">
        <v>3960</v>
      </c>
      <c r="B1518" s="102" t="s">
        <v>5487</v>
      </c>
      <c r="C1518" s="123" t="str" cm="1">
        <f t="array" ref="C1518:F1518">_xlfn.TEXTSPLIT('איחוד שאלות'!$B1518,"_")</f>
        <v>preference</v>
      </c>
      <c r="D1518" s="102" t="str">
        <v>policy</v>
      </c>
      <c r="E1518" s="102" t="str">
        <v>democracy</v>
      </c>
      <c r="F1518" s="102" t="str">
        <v>againstcompromise</v>
      </c>
      <c r="G1518" s="103"/>
      <c r="H1518" s="135" t="s">
        <v>3996</v>
      </c>
      <c r="I1518" s="2" t="s">
        <v>5856</v>
      </c>
      <c r="J1518" s="2" t="s">
        <v>5882</v>
      </c>
      <c r="K1518" s="2" t="s">
        <v>5883</v>
      </c>
      <c r="L1518" s="2" t="s">
        <v>6675</v>
      </c>
      <c r="N1518" s="1" t="s">
        <v>7521</v>
      </c>
    </row>
    <row r="1519" spans="1:14" ht="29" x14ac:dyDescent="0.35">
      <c r="A1519" s="121" t="s">
        <v>3961</v>
      </c>
      <c r="B1519" s="99" t="s">
        <v>5488</v>
      </c>
      <c r="C1519" s="121" t="str" cm="1">
        <f t="array" ref="C1519:E1519">_xlfn.TEXTSPLIT('איחוד שאלות'!$B1519,"_")</f>
        <v>affect</v>
      </c>
      <c r="D1519" s="99" t="str">
        <v>trust</v>
      </c>
      <c r="E1519" s="99" t="str">
        <v>government</v>
      </c>
      <c r="F1519" s="99"/>
      <c r="G1519" s="100"/>
      <c r="H1519" s="136" t="s">
        <v>3996</v>
      </c>
      <c r="I1519" s="2" t="s">
        <v>5815</v>
      </c>
      <c r="J1519" s="2" t="s">
        <v>5901</v>
      </c>
      <c r="K1519" s="2" t="s">
        <v>5848</v>
      </c>
      <c r="N1519" s="1" t="s">
        <v>7522</v>
      </c>
    </row>
    <row r="1520" spans="1:14" ht="29" x14ac:dyDescent="0.35">
      <c r="A1520" s="113" t="s">
        <v>3962</v>
      </c>
      <c r="B1520" s="102" t="s">
        <v>5489</v>
      </c>
      <c r="C1520" s="123" t="str" cm="1">
        <f t="array" ref="C1520:E1520">_xlfn.TEXTSPLIT('איחוד שאלות'!$B1520,"_")</f>
        <v>affect</v>
      </c>
      <c r="D1520" s="102" t="str">
        <v>trust</v>
      </c>
      <c r="E1520" s="102" t="str">
        <v>parliament</v>
      </c>
      <c r="F1520" s="102"/>
      <c r="G1520" s="103"/>
      <c r="H1520" s="135" t="s">
        <v>3996</v>
      </c>
      <c r="I1520" s="2" t="s">
        <v>5815</v>
      </c>
      <c r="J1520" s="2" t="s">
        <v>5901</v>
      </c>
      <c r="K1520" s="2" t="s">
        <v>6676</v>
      </c>
      <c r="N1520" s="1" t="s">
        <v>7523</v>
      </c>
    </row>
    <row r="1521" spans="1:14" ht="43.5" x14ac:dyDescent="0.35">
      <c r="A1521" s="121" t="s">
        <v>3963</v>
      </c>
      <c r="B1521" s="99" t="s">
        <v>5490</v>
      </c>
      <c r="C1521" s="121" t="str" cm="1">
        <f t="array" ref="C1521:E1521">_xlfn.TEXTSPLIT('איחוד שאלות'!$B1521,"_")</f>
        <v>affect</v>
      </c>
      <c r="D1521" s="99" t="str">
        <v>trust</v>
      </c>
      <c r="E1521" s="99" t="str">
        <v>supremecourt</v>
      </c>
      <c r="F1521" s="99"/>
      <c r="G1521" s="100"/>
      <c r="H1521" s="136" t="s">
        <v>3996</v>
      </c>
      <c r="I1521" s="2" t="s">
        <v>5815</v>
      </c>
      <c r="J1521" s="2" t="s">
        <v>5901</v>
      </c>
      <c r="K1521" s="2" t="s">
        <v>6677</v>
      </c>
      <c r="N1521" s="1" t="s">
        <v>7524</v>
      </c>
    </row>
    <row r="1522" spans="1:14" ht="29" x14ac:dyDescent="0.35">
      <c r="A1522" s="113" t="s">
        <v>3964</v>
      </c>
      <c r="B1522" s="102" t="s">
        <v>5491</v>
      </c>
      <c r="C1522" s="123" t="str" cm="1">
        <f t="array" ref="C1522:E1522">_xlfn.TEXTSPLIT('איחוד שאלות'!$B1522,"_")</f>
        <v>affect</v>
      </c>
      <c r="D1522" s="102" t="str">
        <v>trust</v>
      </c>
      <c r="E1522" s="102" t="str">
        <v>politicians</v>
      </c>
      <c r="F1522" s="102"/>
      <c r="G1522" s="103"/>
      <c r="H1522" s="135" t="s">
        <v>3996</v>
      </c>
      <c r="I1522" s="2" t="s">
        <v>5815</v>
      </c>
      <c r="J1522" s="2" t="s">
        <v>5901</v>
      </c>
      <c r="K1522" s="2" t="s">
        <v>6004</v>
      </c>
      <c r="N1522" s="1" t="s">
        <v>7525</v>
      </c>
    </row>
    <row r="1523" spans="1:14" ht="29" x14ac:dyDescent="0.35">
      <c r="A1523" s="121" t="s">
        <v>3965</v>
      </c>
      <c r="B1523" s="99" t="s">
        <v>5492</v>
      </c>
      <c r="C1523" s="121" t="str" cm="1">
        <f t="array" ref="C1523:E1523">_xlfn.TEXTSPLIT('איחוד שאלות'!$B1523,"_")</f>
        <v>affect</v>
      </c>
      <c r="D1523" s="99" t="str">
        <v>trust</v>
      </c>
      <c r="E1523" s="99" t="str">
        <v>party</v>
      </c>
      <c r="F1523" s="99"/>
      <c r="G1523" s="100"/>
      <c r="H1523" s="136" t="s">
        <v>3996</v>
      </c>
      <c r="I1523" s="2" t="s">
        <v>5815</v>
      </c>
      <c r="J1523" s="2" t="s">
        <v>5901</v>
      </c>
      <c r="K1523" s="2" t="s">
        <v>5853</v>
      </c>
      <c r="N1523" s="1" t="s">
        <v>7526</v>
      </c>
    </row>
    <row r="1524" spans="1:14" ht="29" x14ac:dyDescent="0.35">
      <c r="A1524" s="113" t="s">
        <v>3966</v>
      </c>
      <c r="B1524" s="102" t="s">
        <v>5493</v>
      </c>
      <c r="C1524" s="123" t="str" cm="1">
        <f t="array" ref="C1524:E1524">_xlfn.TEXTSPLIT('איחוד שאלות'!$B1524,"_")</f>
        <v>affect</v>
      </c>
      <c r="D1524" s="102" t="str">
        <v>trust</v>
      </c>
      <c r="E1524" s="102" t="str">
        <v>primeminister</v>
      </c>
      <c r="F1524" s="102"/>
      <c r="G1524" s="103"/>
      <c r="H1524" s="135" t="s">
        <v>3996</v>
      </c>
      <c r="I1524" s="2" t="s">
        <v>5815</v>
      </c>
      <c r="J1524" s="2" t="s">
        <v>5901</v>
      </c>
      <c r="K1524" s="2" t="s">
        <v>6283</v>
      </c>
      <c r="N1524" s="1" t="s">
        <v>7527</v>
      </c>
    </row>
    <row r="1525" spans="1:14" ht="29" x14ac:dyDescent="0.35">
      <c r="A1525" s="121" t="s">
        <v>3967</v>
      </c>
      <c r="B1525" s="99" t="s">
        <v>5494</v>
      </c>
      <c r="C1525" s="121" t="str" cm="1">
        <f t="array" ref="C1525:E1525">_xlfn.TEXTSPLIT('איחוד שאלות'!$B1525,"_")</f>
        <v>affect</v>
      </c>
      <c r="D1525" s="99" t="str">
        <v>trust</v>
      </c>
      <c r="E1525" s="99" t="str">
        <v>media</v>
      </c>
      <c r="F1525" s="99"/>
      <c r="G1525" s="100"/>
      <c r="H1525" s="136" t="s">
        <v>3996</v>
      </c>
      <c r="I1525" s="2" t="s">
        <v>5815</v>
      </c>
      <c r="J1525" s="2" t="s">
        <v>5901</v>
      </c>
      <c r="K1525" s="2" t="s">
        <v>6306</v>
      </c>
      <c r="N1525" s="1" t="s">
        <v>7528</v>
      </c>
    </row>
    <row r="1526" spans="1:14" ht="43.5" x14ac:dyDescent="0.35">
      <c r="A1526" s="113" t="s">
        <v>3968</v>
      </c>
      <c r="B1526" s="102" t="s">
        <v>5495</v>
      </c>
      <c r="C1526" s="123" t="str" cm="1">
        <f t="array" ref="C1526:E1526">_xlfn.TEXTSPLIT('איחוד שאלות'!$B1526,"_")</f>
        <v>affect</v>
      </c>
      <c r="D1526" s="102" t="str">
        <v>trust</v>
      </c>
      <c r="E1526" s="102" t="str">
        <v>stateattorney</v>
      </c>
      <c r="F1526" s="102"/>
      <c r="G1526" s="103"/>
      <c r="H1526" s="135" t="s">
        <v>3996</v>
      </c>
      <c r="I1526" s="2" t="s">
        <v>5815</v>
      </c>
      <c r="J1526" s="2" t="s">
        <v>5901</v>
      </c>
      <c r="K1526" s="2" t="s">
        <v>6678</v>
      </c>
      <c r="N1526" s="1" t="s">
        <v>7529</v>
      </c>
    </row>
    <row r="1527" spans="1:14" ht="29" x14ac:dyDescent="0.35">
      <c r="A1527" s="121" t="s">
        <v>3969</v>
      </c>
      <c r="B1527" s="99" t="s">
        <v>5496</v>
      </c>
      <c r="C1527" s="121" t="str" cm="1">
        <f t="array" ref="C1527:E1527">_xlfn.TEXTSPLIT('איחוד שאלות'!$B1527,"_")</f>
        <v>affect</v>
      </c>
      <c r="D1527" s="99" t="str">
        <v>trust</v>
      </c>
      <c r="E1527" s="99" t="str">
        <v>police</v>
      </c>
      <c r="F1527" s="99"/>
      <c r="G1527" s="100"/>
      <c r="H1527" s="136" t="s">
        <v>3996</v>
      </c>
      <c r="I1527" s="2" t="s">
        <v>5815</v>
      </c>
      <c r="J1527" s="2" t="s">
        <v>5901</v>
      </c>
      <c r="K1527" s="2" t="s">
        <v>6424</v>
      </c>
      <c r="N1527" s="1" t="s">
        <v>7530</v>
      </c>
    </row>
    <row r="1528" spans="1:14" ht="43.5" x14ac:dyDescent="0.35">
      <c r="A1528" s="113" t="s">
        <v>3970</v>
      </c>
      <c r="B1528" s="102" t="s">
        <v>5498</v>
      </c>
      <c r="C1528" s="123" t="str" cm="1">
        <f t="array" ref="C1528:F1528">_xlfn.TEXTSPLIT('איחוד שאלות'!$B1528,"_")</f>
        <v>post</v>
      </c>
      <c r="D1528" s="102" t="str">
        <v>affect</v>
      </c>
      <c r="E1528" s="102" t="str">
        <v>trust</v>
      </c>
      <c r="F1528" s="102" t="str">
        <v>party</v>
      </c>
      <c r="G1528" s="103"/>
      <c r="H1528" s="135" t="s">
        <v>3996</v>
      </c>
      <c r="I1528" s="2" t="s">
        <v>5763</v>
      </c>
      <c r="J1528" s="2" t="s">
        <v>5815</v>
      </c>
      <c r="K1528" s="2" t="s">
        <v>5901</v>
      </c>
      <c r="L1528" s="2" t="s">
        <v>5853</v>
      </c>
      <c r="N1528" s="1" t="s">
        <v>7531</v>
      </c>
    </row>
    <row r="1529" spans="1:14" ht="43.5" x14ac:dyDescent="0.35">
      <c r="A1529" s="121" t="s">
        <v>3971</v>
      </c>
      <c r="B1529" s="99" t="s">
        <v>5499</v>
      </c>
      <c r="C1529" s="121" t="str" cm="1">
        <f t="array" ref="C1529:F1529">_xlfn.TEXTSPLIT('איחוד שאלות'!$B1529,"_")</f>
        <v>post</v>
      </c>
      <c r="D1529" s="99" t="str">
        <v>affect</v>
      </c>
      <c r="E1529" s="99" t="str">
        <v>trust</v>
      </c>
      <c r="F1529" s="99" t="str">
        <v>media</v>
      </c>
      <c r="G1529" s="100"/>
      <c r="H1529" s="136" t="s">
        <v>3996</v>
      </c>
      <c r="I1529" s="2" t="s">
        <v>5763</v>
      </c>
      <c r="J1529" s="2" t="s">
        <v>5815</v>
      </c>
      <c r="K1529" s="2" t="s">
        <v>5901</v>
      </c>
      <c r="L1529" s="2" t="s">
        <v>6306</v>
      </c>
      <c r="N1529" s="1" t="s">
        <v>7532</v>
      </c>
    </row>
    <row r="1530" spans="1:14" ht="43.5" x14ac:dyDescent="0.35">
      <c r="A1530" s="113" t="s">
        <v>3972</v>
      </c>
      <c r="B1530" s="102" t="s">
        <v>5497</v>
      </c>
      <c r="C1530" s="123" t="str" cm="1">
        <f t="array" ref="C1530:F1530">_xlfn.TEXTSPLIT('איחוד שאלות'!$B1530,"_")</f>
        <v>post</v>
      </c>
      <c r="D1530" s="102" t="str">
        <v>affect</v>
      </c>
      <c r="E1530" s="102" t="str">
        <v>trust</v>
      </c>
      <c r="F1530" s="102" t="str">
        <v>stateattorney</v>
      </c>
      <c r="G1530" s="103"/>
      <c r="H1530" s="135" t="s">
        <v>3996</v>
      </c>
      <c r="I1530" s="2" t="s">
        <v>5763</v>
      </c>
      <c r="J1530" s="2" t="s">
        <v>5815</v>
      </c>
      <c r="K1530" s="2" t="s">
        <v>5901</v>
      </c>
      <c r="L1530" s="2" t="s">
        <v>6678</v>
      </c>
      <c r="N1530" s="1" t="s">
        <v>7533</v>
      </c>
    </row>
    <row r="1531" spans="1:14" ht="43.5" x14ac:dyDescent="0.35">
      <c r="A1531" s="121" t="s">
        <v>3973</v>
      </c>
      <c r="B1531" s="99" t="s">
        <v>5500</v>
      </c>
      <c r="C1531" s="121" t="str" cm="1">
        <f t="array" ref="C1531:F1531">_xlfn.TEXTSPLIT('איחוד שאלות'!$B1531,"_")</f>
        <v>post</v>
      </c>
      <c r="D1531" s="99" t="str">
        <v>affect</v>
      </c>
      <c r="E1531" s="99" t="str">
        <v>trust</v>
      </c>
      <c r="F1531" s="99" t="str">
        <v>supremecourt</v>
      </c>
      <c r="G1531" s="100"/>
      <c r="H1531" s="136" t="s">
        <v>3996</v>
      </c>
      <c r="I1531" s="2" t="s">
        <v>5763</v>
      </c>
      <c r="J1531" s="2" t="s">
        <v>5815</v>
      </c>
      <c r="K1531" s="2" t="s">
        <v>5901</v>
      </c>
      <c r="L1531" s="2" t="s">
        <v>6677</v>
      </c>
      <c r="N1531" s="1" t="s">
        <v>7534</v>
      </c>
    </row>
    <row r="1532" spans="1:14" ht="43.5" x14ac:dyDescent="0.35">
      <c r="A1532" s="113" t="s">
        <v>3974</v>
      </c>
      <c r="B1532" s="102" t="s">
        <v>5501</v>
      </c>
      <c r="C1532" s="123" t="str" cm="1">
        <f t="array" ref="C1532:F1532">_xlfn.TEXTSPLIT('איחוד שאלות'!$B1532,"_")</f>
        <v>post</v>
      </c>
      <c r="D1532" s="102" t="str">
        <v>affect</v>
      </c>
      <c r="E1532" s="102" t="str">
        <v>trust</v>
      </c>
      <c r="F1532" s="102" t="str">
        <v>police</v>
      </c>
      <c r="G1532" s="103"/>
      <c r="H1532" s="135" t="s">
        <v>3996</v>
      </c>
      <c r="I1532" s="2" t="s">
        <v>5763</v>
      </c>
      <c r="J1532" s="2" t="s">
        <v>5815</v>
      </c>
      <c r="K1532" s="2" t="s">
        <v>5901</v>
      </c>
      <c r="L1532" s="2" t="s">
        <v>6424</v>
      </c>
      <c r="N1532" s="1" t="s">
        <v>7535</v>
      </c>
    </row>
    <row r="1533" spans="1:14" ht="116" x14ac:dyDescent="0.35">
      <c r="A1533" s="121" t="s">
        <v>144</v>
      </c>
      <c r="B1533" s="99" t="s">
        <v>5502</v>
      </c>
      <c r="C1533" s="121" t="str" cm="1">
        <f t="array" ref="C1533:F1533">_xlfn.TEXTSPLIT('איחוד שאלות'!$B1533,"_")</f>
        <v>preference</v>
      </c>
      <c r="D1533" s="99" t="str">
        <v>importance</v>
      </c>
      <c r="E1533" s="99" t="str">
        <v>democracy</v>
      </c>
      <c r="F1533" s="99" t="str">
        <v>trait</v>
      </c>
      <c r="G1533" s="100"/>
      <c r="H1533" s="136" t="s">
        <v>3996</v>
      </c>
      <c r="I1533" s="2" t="s">
        <v>5856</v>
      </c>
      <c r="J1533" s="2" t="s">
        <v>5857</v>
      </c>
      <c r="K1533" s="2" t="s">
        <v>5883</v>
      </c>
      <c r="L1533" s="2" t="s">
        <v>6679</v>
      </c>
      <c r="N1533" s="1" t="s">
        <v>144</v>
      </c>
    </row>
    <row r="1534" spans="1:14" ht="43.5" x14ac:dyDescent="0.35">
      <c r="A1534" s="113" t="s">
        <v>176</v>
      </c>
      <c r="B1534" s="102" t="s">
        <v>5503</v>
      </c>
      <c r="C1534" s="123" t="str" cm="1">
        <f t="array" ref="C1534:F1534">_xlfn.TEXTSPLIT('איחוד שאלות'!$B1534,"_")</f>
        <v>perception</v>
      </c>
      <c r="D1534" s="102" t="str">
        <v>satisfaction</v>
      </c>
      <c r="E1534" s="102" t="str">
        <v>israel</v>
      </c>
      <c r="F1534" s="102" t="str">
        <v>democracy</v>
      </c>
      <c r="G1534" s="103"/>
      <c r="H1534" s="135" t="s">
        <v>3996</v>
      </c>
      <c r="I1534" s="2" t="s">
        <v>5844</v>
      </c>
      <c r="J1534" s="2" t="s">
        <v>5847</v>
      </c>
      <c r="K1534" s="2" t="s">
        <v>5845</v>
      </c>
      <c r="L1534" s="2" t="s">
        <v>5883</v>
      </c>
      <c r="N1534" s="1" t="s">
        <v>176</v>
      </c>
    </row>
    <row r="1535" spans="1:14" ht="72.5" x14ac:dyDescent="0.35">
      <c r="A1535" s="121" t="s">
        <v>3975</v>
      </c>
      <c r="B1535" s="99" t="s">
        <v>5504</v>
      </c>
      <c r="C1535" s="121" t="str" cm="1">
        <f t="array" ref="C1535:G1535">_xlfn.TEXTSPLIT('איחוד שאלות'!$B1535,"_")</f>
        <v>post</v>
      </c>
      <c r="D1535" s="99" t="str">
        <v>perception</v>
      </c>
      <c r="E1535" s="99" t="str">
        <v>satisfaction</v>
      </c>
      <c r="F1535" s="99" t="str">
        <v>israel</v>
      </c>
      <c r="G1535" s="100" t="str">
        <v>democracy</v>
      </c>
      <c r="H1535" s="136" t="s">
        <v>3996</v>
      </c>
      <c r="I1535" s="2" t="s">
        <v>5763</v>
      </c>
      <c r="J1535" s="2" t="s">
        <v>5844</v>
      </c>
      <c r="K1535" s="2" t="s">
        <v>5847</v>
      </c>
      <c r="L1535" s="2" t="s">
        <v>5845</v>
      </c>
      <c r="M1535" s="2" t="s">
        <v>5883</v>
      </c>
      <c r="N1535" s="1" t="s">
        <v>7536</v>
      </c>
    </row>
    <row r="1536" spans="1:14" ht="58" x14ac:dyDescent="0.35">
      <c r="A1536" s="113" t="s">
        <v>286</v>
      </c>
      <c r="B1536" s="102" t="s">
        <v>5505</v>
      </c>
      <c r="C1536" s="123" t="str" cm="1">
        <f t="array" ref="C1536:F1536">_xlfn.TEXTSPLIT('איחוד שאלות'!$B1536,"_")</f>
        <v>affect</v>
      </c>
      <c r="D1536" s="102" t="str">
        <v>importance</v>
      </c>
      <c r="E1536" s="102" t="str">
        <v>democracy</v>
      </c>
      <c r="F1536" s="102" t="str">
        <v>livedemostate</v>
      </c>
      <c r="G1536" s="103"/>
      <c r="H1536" s="135" t="s">
        <v>3996</v>
      </c>
      <c r="I1536" s="2" t="s">
        <v>5815</v>
      </c>
      <c r="J1536" s="2" t="s">
        <v>5857</v>
      </c>
      <c r="K1536" s="2" t="s">
        <v>5883</v>
      </c>
      <c r="L1536" s="2" t="s">
        <v>6680</v>
      </c>
      <c r="N1536" s="1" t="s">
        <v>286</v>
      </c>
    </row>
    <row r="1537" spans="1:14" ht="130.5" x14ac:dyDescent="0.35">
      <c r="A1537" s="121" t="s">
        <v>3976</v>
      </c>
      <c r="B1537" s="99" t="s">
        <v>5506</v>
      </c>
      <c r="C1537" s="121" t="str" cm="1">
        <f t="array" ref="C1537:F1537">_xlfn.TEXTSPLIT('איחוד שאלות'!$B1537,"_")</f>
        <v>affect</v>
      </c>
      <c r="D1537" s="99" t="str">
        <v>threat</v>
      </c>
      <c r="E1537" s="99" t="str">
        <v>democracy</v>
      </c>
      <c r="F1537" s="99" t="str">
        <v>undemocraticisrael</v>
      </c>
      <c r="G1537" s="100"/>
      <c r="H1537" s="136" t="s">
        <v>3996</v>
      </c>
      <c r="I1537" s="2" t="s">
        <v>5815</v>
      </c>
      <c r="J1537" s="2" t="s">
        <v>5816</v>
      </c>
      <c r="K1537" s="2" t="s">
        <v>5883</v>
      </c>
      <c r="L1537" s="2" t="s">
        <v>6681</v>
      </c>
      <c r="N1537" s="1" t="s">
        <v>7537</v>
      </c>
    </row>
    <row r="1538" spans="1:14" ht="87" x14ac:dyDescent="0.35">
      <c r="A1538" s="113" t="s">
        <v>3977</v>
      </c>
      <c r="B1538" s="102" t="s">
        <v>5507</v>
      </c>
      <c r="C1538" s="123" t="str" cm="1">
        <f t="array" ref="C1538:F1538">_xlfn.TEXTSPLIT('איחוד שאלות'!$B1538,"_")</f>
        <v>perception</v>
      </c>
      <c r="D1538" s="102" t="str">
        <v>expectation</v>
      </c>
      <c r="E1538" s="102" t="str">
        <v>democracy</v>
      </c>
      <c r="F1538" s="102" t="str">
        <v>undemocraticisrael</v>
      </c>
      <c r="G1538" s="103"/>
      <c r="H1538" s="135" t="s">
        <v>3996</v>
      </c>
      <c r="I1538" s="2" t="s">
        <v>5844</v>
      </c>
      <c r="J1538" s="2" t="s">
        <v>5850</v>
      </c>
      <c r="K1538" s="2" t="s">
        <v>5883</v>
      </c>
      <c r="L1538" s="2" t="s">
        <v>6681</v>
      </c>
      <c r="N1538" s="1" t="s">
        <v>7538</v>
      </c>
    </row>
    <row r="1539" spans="1:14" ht="72.5" x14ac:dyDescent="0.35">
      <c r="A1539" s="121" t="s">
        <v>3978</v>
      </c>
      <c r="B1539" s="99" t="s">
        <v>5508</v>
      </c>
      <c r="C1539" s="121" t="str" cm="1">
        <f t="array" ref="C1539:F1539">_xlfn.TEXTSPLIT('איחוד שאלות'!$B1539,"_")</f>
        <v>perception</v>
      </c>
      <c r="D1539" s="99" t="str">
        <v>policy</v>
      </c>
      <c r="E1539" s="99" t="str">
        <v>democracy</v>
      </c>
      <c r="F1539" s="99" t="str">
        <v>bestregime</v>
      </c>
      <c r="G1539" s="100"/>
      <c r="H1539" s="136" t="s">
        <v>3996</v>
      </c>
      <c r="I1539" s="2" t="s">
        <v>5844</v>
      </c>
      <c r="J1539" s="2" t="s">
        <v>5882</v>
      </c>
      <c r="K1539" s="2" t="s">
        <v>5883</v>
      </c>
      <c r="L1539" s="2" t="s">
        <v>6682</v>
      </c>
      <c r="N1539" s="1" t="s">
        <v>7539</v>
      </c>
    </row>
    <row r="1540" spans="1:14" ht="101.5" x14ac:dyDescent="0.35">
      <c r="A1540" s="113" t="s">
        <v>3979</v>
      </c>
      <c r="B1540" s="102" t="s">
        <v>5509</v>
      </c>
      <c r="C1540" s="123" t="str" cm="1">
        <f t="array" ref="C1540:F1540">_xlfn.TEXTSPLIT('איחוד שאלות'!$B1540,"_")</f>
        <v>preference</v>
      </c>
      <c r="D1540" s="102" t="str">
        <v>policy</v>
      </c>
      <c r="E1540" s="102" t="str">
        <v>democracy</v>
      </c>
      <c r="F1540" s="102" t="str">
        <v>judicalreview</v>
      </c>
      <c r="G1540" s="103"/>
      <c r="H1540" s="135" t="s">
        <v>3996</v>
      </c>
      <c r="I1540" s="2" t="s">
        <v>5856</v>
      </c>
      <c r="J1540" s="2" t="s">
        <v>5882</v>
      </c>
      <c r="K1540" s="2" t="s">
        <v>5883</v>
      </c>
      <c r="L1540" s="2" t="s">
        <v>6683</v>
      </c>
      <c r="N1540" s="1" t="s">
        <v>7540</v>
      </c>
    </row>
    <row r="1541" spans="1:14" ht="101.5" x14ac:dyDescent="0.35">
      <c r="A1541" s="121" t="s">
        <v>1228</v>
      </c>
      <c r="B1541" s="99" t="s">
        <v>5510</v>
      </c>
      <c r="C1541" s="121" t="str" cm="1">
        <f t="array" ref="C1541:F1541">_xlfn.TEXTSPLIT('איחוד שאלות'!$B1541,"_")</f>
        <v>preference</v>
      </c>
      <c r="D1541" s="99" t="str">
        <v>policy</v>
      </c>
      <c r="E1541" s="99" t="str">
        <v>democracy</v>
      </c>
      <c r="F1541" s="99" t="str">
        <v>importantedecisiononlyjews</v>
      </c>
      <c r="G1541" s="100"/>
      <c r="H1541" s="136" t="s">
        <v>3996</v>
      </c>
      <c r="I1541" s="2" t="s">
        <v>5856</v>
      </c>
      <c r="J1541" s="2" t="s">
        <v>5882</v>
      </c>
      <c r="K1541" s="2" t="s">
        <v>5883</v>
      </c>
      <c r="L1541" s="2" t="s">
        <v>6684</v>
      </c>
      <c r="N1541" s="1" t="s">
        <v>1228</v>
      </c>
    </row>
    <row r="1542" spans="1:14" ht="72.5" x14ac:dyDescent="0.35">
      <c r="A1542" s="113" t="s">
        <v>1277</v>
      </c>
      <c r="B1542" s="102" t="s">
        <v>5511</v>
      </c>
      <c r="C1542" s="123" t="str" cm="1">
        <f t="array" ref="C1542:F1542">_xlfn.TEXTSPLIT('איחוד שאלות'!$B1542,"_")</f>
        <v>perception</v>
      </c>
      <c r="D1542" s="102" t="str">
        <v>satisfaction</v>
      </c>
      <c r="E1542" s="102" t="str">
        <v>democracy</v>
      </c>
      <c r="F1542" s="102" t="str">
        <v>publicdiscourse</v>
      </c>
      <c r="G1542" s="103"/>
      <c r="H1542" s="135" t="s">
        <v>3996</v>
      </c>
      <c r="I1542" s="2" t="s">
        <v>5844</v>
      </c>
      <c r="J1542" s="2" t="s">
        <v>5847</v>
      </c>
      <c r="K1542" s="2" t="s">
        <v>5883</v>
      </c>
      <c r="L1542" s="2" t="s">
        <v>6685</v>
      </c>
      <c r="N1542" s="1" t="s">
        <v>1277</v>
      </c>
    </row>
    <row r="1543" spans="1:14" ht="87" x14ac:dyDescent="0.35">
      <c r="A1543" s="121" t="s">
        <v>1490</v>
      </c>
      <c r="B1543" s="99" t="s">
        <v>5512</v>
      </c>
      <c r="C1543" s="121" t="str" cm="1">
        <f t="array" ref="C1543:F1543">_xlfn.TEXTSPLIT('איחוד שאלות'!$B1543,"_")</f>
        <v>preference</v>
      </c>
      <c r="D1543" s="99" t="str">
        <v>policy</v>
      </c>
      <c r="E1543" s="99" t="str">
        <v>democracy</v>
      </c>
      <c r="F1543" s="99" t="str">
        <v>limitcivilrightsforsecurity</v>
      </c>
      <c r="G1543" s="100"/>
      <c r="H1543" s="136" t="s">
        <v>3996</v>
      </c>
      <c r="I1543" s="2" t="s">
        <v>5856</v>
      </c>
      <c r="J1543" s="2" t="s">
        <v>5882</v>
      </c>
      <c r="K1543" s="2" t="s">
        <v>5883</v>
      </c>
      <c r="L1543" s="2" t="s">
        <v>6686</v>
      </c>
      <c r="N1543" s="1" t="s">
        <v>1490</v>
      </c>
    </row>
    <row r="1544" spans="1:14" ht="145" x14ac:dyDescent="0.35">
      <c r="A1544" s="113" t="s">
        <v>2237</v>
      </c>
      <c r="B1544" s="102" t="s">
        <v>5513</v>
      </c>
      <c r="C1544" s="123" t="str" cm="1">
        <f t="array" ref="C1544:G1544">_xlfn.TEXTSPLIT('איחוד שאלות'!$B1544,"_")</f>
        <v>preference</v>
      </c>
      <c r="D1544" s="102" t="str">
        <v>policy</v>
      </c>
      <c r="E1544" s="102" t="str">
        <v>democracy</v>
      </c>
      <c r="F1544" s="102" t="str">
        <v>limitcivilrightsforsecurity</v>
      </c>
      <c r="G1544" s="103" t="str">
        <v>territories</v>
      </c>
      <c r="H1544" s="135" t="s">
        <v>3996</v>
      </c>
      <c r="I1544" s="2" t="s">
        <v>5856</v>
      </c>
      <c r="J1544" s="2" t="s">
        <v>5882</v>
      </c>
      <c r="K1544" s="2" t="s">
        <v>5883</v>
      </c>
      <c r="L1544" s="2" t="s">
        <v>6686</v>
      </c>
      <c r="M1544" s="2" t="s">
        <v>6048</v>
      </c>
      <c r="N1544" s="1" t="s">
        <v>2237</v>
      </c>
    </row>
    <row r="1545" spans="1:14" ht="58" x14ac:dyDescent="0.35">
      <c r="A1545" s="121" t="s">
        <v>1681</v>
      </c>
      <c r="B1545" s="99" t="s">
        <v>5514</v>
      </c>
      <c r="C1545" s="121" t="str" cm="1">
        <f t="array" ref="C1545:G1545">_xlfn.TEXTSPLIT('איחוד שאלות'!$B1545,"_")</f>
        <v>preference</v>
      </c>
      <c r="D1545" s="99" t="str">
        <v>policy</v>
      </c>
      <c r="E1545" s="99" t="str">
        <v>scenario</v>
      </c>
      <c r="F1545" s="99" t="str">
        <v>democracy</v>
      </c>
      <c r="G1545" s="100" t="str">
        <v>civilrightsifannexation</v>
      </c>
      <c r="H1545" s="136" t="s">
        <v>3996</v>
      </c>
      <c r="I1545" s="2" t="s">
        <v>5856</v>
      </c>
      <c r="J1545" s="2" t="s">
        <v>5882</v>
      </c>
      <c r="K1545" s="2" t="s">
        <v>6290</v>
      </c>
      <c r="L1545" s="2" t="s">
        <v>5883</v>
      </c>
      <c r="M1545" s="2" t="s">
        <v>6687</v>
      </c>
      <c r="N1545" s="1" t="s">
        <v>1681</v>
      </c>
    </row>
    <row r="1546" spans="1:14" ht="116" x14ac:dyDescent="0.35">
      <c r="A1546" s="113" t="s">
        <v>732</v>
      </c>
      <c r="B1546" s="102" t="s">
        <v>5515</v>
      </c>
      <c r="C1546" s="123" t="str" cm="1">
        <f t="array" ref="C1546:F1546">_xlfn.TEXTSPLIT('איחוד שאלות'!$B1546,"_")</f>
        <v>preference</v>
      </c>
      <c r="D1546" s="102" t="str">
        <v>elections</v>
      </c>
      <c r="E1546" s="102" t="str">
        <v>democracy</v>
      </c>
      <c r="F1546" s="102" t="str">
        <v>disqualifybaladraamtaal2009</v>
      </c>
      <c r="G1546" s="103"/>
      <c r="H1546" s="135" t="s">
        <v>3996</v>
      </c>
      <c r="I1546" s="2" t="s">
        <v>5856</v>
      </c>
      <c r="J1546" s="2" t="s">
        <v>5954</v>
      </c>
      <c r="K1546" s="2" t="s">
        <v>5883</v>
      </c>
      <c r="L1546" s="2" t="s">
        <v>6688</v>
      </c>
      <c r="N1546" s="1" t="s">
        <v>732</v>
      </c>
    </row>
    <row r="1547" spans="1:14" ht="43.5" x14ac:dyDescent="0.35">
      <c r="A1547" s="121" t="s">
        <v>1794</v>
      </c>
      <c r="B1547" s="99" t="s">
        <v>5516</v>
      </c>
      <c r="C1547" s="121" t="str" cm="1">
        <f t="array" ref="C1547:F1547">_xlfn.TEXTSPLIT('איחוד שאלות'!$B1547,"_")</f>
        <v>preference</v>
      </c>
      <c r="D1547" s="99" t="str">
        <v>policy</v>
      </c>
      <c r="E1547" s="99" t="str">
        <v>security</v>
      </c>
      <c r="F1547" s="99" t="str">
        <v>deathsentenceterrorism</v>
      </c>
      <c r="G1547" s="100"/>
      <c r="H1547" s="136" t="s">
        <v>3996</v>
      </c>
      <c r="I1547" s="2" t="s">
        <v>5856</v>
      </c>
      <c r="J1547" s="2" t="s">
        <v>5882</v>
      </c>
      <c r="K1547" s="2" t="s">
        <v>5994</v>
      </c>
      <c r="L1547" s="2" t="s">
        <v>6689</v>
      </c>
      <c r="N1547" s="1" t="s">
        <v>1794</v>
      </c>
    </row>
    <row r="1548" spans="1:14" ht="58" x14ac:dyDescent="0.35">
      <c r="A1548" s="113" t="s">
        <v>1868</v>
      </c>
      <c r="B1548" s="102" t="s">
        <v>5517</v>
      </c>
      <c r="C1548" s="123" t="str" cm="1">
        <f t="array" ref="C1548:F1548">_xlfn.TEXTSPLIT('איחוד שאלות'!$B1548,"_")</f>
        <v>perception</v>
      </c>
      <c r="D1548" s="102" t="str">
        <v>satisfaction</v>
      </c>
      <c r="E1548" s="102" t="str">
        <v>democracy</v>
      </c>
      <c r="F1548" s="102" t="str">
        <v>supervisiononsecurityservices</v>
      </c>
      <c r="G1548" s="103"/>
      <c r="H1548" s="135" t="s">
        <v>3996</v>
      </c>
      <c r="I1548" s="2" t="s">
        <v>5844</v>
      </c>
      <c r="J1548" s="2" t="s">
        <v>5847</v>
      </c>
      <c r="K1548" s="2" t="s">
        <v>5883</v>
      </c>
      <c r="L1548" s="2" t="s">
        <v>6690</v>
      </c>
      <c r="N1548" s="1" t="s">
        <v>1868</v>
      </c>
    </row>
    <row r="1549" spans="1:14" ht="116" x14ac:dyDescent="0.35">
      <c r="A1549" s="121" t="s">
        <v>3980</v>
      </c>
      <c r="B1549" s="99" t="s">
        <v>5518</v>
      </c>
      <c r="C1549" s="121" t="str" cm="1">
        <f t="array" ref="C1549:G1549">_xlfn.TEXTSPLIT('איחוד שאלות'!$B1549,"_")</f>
        <v>preference</v>
      </c>
      <c r="D1549" s="99" t="str">
        <v>policy</v>
      </c>
      <c r="E1549" s="99" t="str">
        <v>democracy</v>
      </c>
      <c r="F1549" s="99" t="str">
        <v>groups</v>
      </c>
      <c r="G1549" s="100" t="str">
        <v>cantbeprimeminister</v>
      </c>
      <c r="H1549" s="136" t="s">
        <v>3996</v>
      </c>
      <c r="I1549" s="2" t="s">
        <v>5856</v>
      </c>
      <c r="J1549" s="2" t="s">
        <v>5882</v>
      </c>
      <c r="K1549" s="2" t="s">
        <v>5883</v>
      </c>
      <c r="L1549" s="2" t="s">
        <v>6457</v>
      </c>
      <c r="M1549" s="2" t="s">
        <v>6691</v>
      </c>
      <c r="N1549" s="1" t="s">
        <v>7541</v>
      </c>
    </row>
    <row r="1550" spans="1:14" ht="43.5" x14ac:dyDescent="0.35">
      <c r="A1550" s="113" t="s">
        <v>2054</v>
      </c>
      <c r="B1550" s="102" t="s">
        <v>5519</v>
      </c>
      <c r="C1550" s="123" t="str" cm="1">
        <f t="array" ref="C1550:G1550">_xlfn.TEXTSPLIT('איחוד שאלות'!$B1550,"_")</f>
        <v>preference</v>
      </c>
      <c r="D1550" s="102" t="str">
        <v>policy</v>
      </c>
      <c r="E1550" s="102" t="str">
        <v>democracy</v>
      </c>
      <c r="F1550" s="102" t="str">
        <v>groups</v>
      </c>
      <c r="G1550" s="103" t="str">
        <v>outlawgroup</v>
      </c>
      <c r="H1550" s="135" t="s">
        <v>3996</v>
      </c>
      <c r="I1550" s="2" t="s">
        <v>5856</v>
      </c>
      <c r="J1550" s="2" t="s">
        <v>5882</v>
      </c>
      <c r="K1550" s="2" t="s">
        <v>5883</v>
      </c>
      <c r="L1550" s="2" t="s">
        <v>6457</v>
      </c>
      <c r="M1550" s="2" t="s">
        <v>6692</v>
      </c>
      <c r="N1550" s="1" t="s">
        <v>2054</v>
      </c>
    </row>
    <row r="1551" spans="1:14" ht="43.5" x14ac:dyDescent="0.35">
      <c r="A1551" s="121" t="s">
        <v>2055</v>
      </c>
      <c r="B1551" s="99" t="s">
        <v>5521</v>
      </c>
      <c r="C1551" s="121" t="str" cm="1">
        <f t="array" ref="C1551:G1551">_xlfn.TEXTSPLIT('איחוד שאלות'!$B1551,"_")</f>
        <v>preference</v>
      </c>
      <c r="D1551" s="99" t="str">
        <v>policy</v>
      </c>
      <c r="E1551" s="99" t="str">
        <v>democracy</v>
      </c>
      <c r="F1551" s="99" t="str">
        <v>groups</v>
      </c>
      <c r="G1551" s="100" t="str">
        <v>canbeontv</v>
      </c>
      <c r="H1551" s="136" t="s">
        <v>3996</v>
      </c>
      <c r="I1551" s="2" t="s">
        <v>5856</v>
      </c>
      <c r="J1551" s="2" t="s">
        <v>5882</v>
      </c>
      <c r="K1551" s="2" t="s">
        <v>5883</v>
      </c>
      <c r="L1551" s="2" t="s">
        <v>6457</v>
      </c>
      <c r="M1551" s="2" t="s">
        <v>6693</v>
      </c>
      <c r="N1551" s="1" t="s">
        <v>2055</v>
      </c>
    </row>
    <row r="1552" spans="1:14" ht="43.5" x14ac:dyDescent="0.35">
      <c r="A1552" s="113" t="s">
        <v>2056</v>
      </c>
      <c r="B1552" s="102" t="s">
        <v>5520</v>
      </c>
      <c r="C1552" s="123" t="str" cm="1">
        <f t="array" ref="C1552:G1552">_xlfn.TEXTSPLIT('איחוד שאלות'!$B1552,"_")</f>
        <v>preference</v>
      </c>
      <c r="D1552" s="102" t="str">
        <v>policy</v>
      </c>
      <c r="E1552" s="102" t="str">
        <v>democracy</v>
      </c>
      <c r="F1552" s="102" t="str">
        <v>groups</v>
      </c>
      <c r="G1552" s="103" t="str">
        <v>eavesdropphone</v>
      </c>
      <c r="H1552" s="135" t="s">
        <v>3996</v>
      </c>
      <c r="I1552" s="2" t="s">
        <v>5856</v>
      </c>
      <c r="J1552" s="2" t="s">
        <v>5882</v>
      </c>
      <c r="K1552" s="2" t="s">
        <v>5883</v>
      </c>
      <c r="L1552" s="2" t="s">
        <v>6457</v>
      </c>
      <c r="M1552" s="2" t="s">
        <v>6694</v>
      </c>
      <c r="N1552" s="1" t="s">
        <v>2056</v>
      </c>
    </row>
    <row r="1553" spans="1:14" ht="43.5" x14ac:dyDescent="0.35">
      <c r="A1553" s="121" t="s">
        <v>2057</v>
      </c>
      <c r="B1553" s="99" t="s">
        <v>5522</v>
      </c>
      <c r="C1553" s="121" t="str" cm="1">
        <f t="array" ref="C1553:G1553">_xlfn.TEXTSPLIT('איחוד שאלות'!$B1553,"_")</f>
        <v>preference</v>
      </c>
      <c r="D1553" s="99" t="str">
        <v>policy</v>
      </c>
      <c r="E1553" s="99" t="str">
        <v>democracy</v>
      </c>
      <c r="F1553" s="99" t="str">
        <v>groups</v>
      </c>
      <c r="G1553" s="100" t="str">
        <v>canparty</v>
      </c>
      <c r="H1553" s="136" t="s">
        <v>3996</v>
      </c>
      <c r="I1553" s="2" t="s">
        <v>5856</v>
      </c>
      <c r="J1553" s="2" t="s">
        <v>5882</v>
      </c>
      <c r="K1553" s="2" t="s">
        <v>5883</v>
      </c>
      <c r="L1553" s="2" t="s">
        <v>6457</v>
      </c>
      <c r="M1553" s="2" t="s">
        <v>6695</v>
      </c>
      <c r="N1553" s="1" t="s">
        <v>2057</v>
      </c>
    </row>
    <row r="1554" spans="1:14" ht="101.5" x14ac:dyDescent="0.35">
      <c r="A1554" s="113" t="s">
        <v>3981</v>
      </c>
      <c r="B1554" s="102" t="s">
        <v>5523</v>
      </c>
      <c r="C1554" s="123" t="str" cm="1">
        <f t="array" ref="C1554:F1554">_xlfn.TEXTSPLIT('איחוד שאלות'!$B1554,"_")</f>
        <v>perception</v>
      </c>
      <c r="D1554" s="102" t="str">
        <v>groups</v>
      </c>
      <c r="E1554" s="102" t="str">
        <v>progressivelistforpeace</v>
      </c>
      <c r="F1554" s="102" t="str">
        <v>outlaw</v>
      </c>
      <c r="G1554" s="103"/>
      <c r="H1554" s="135" t="s">
        <v>3996</v>
      </c>
      <c r="I1554" s="2" t="s">
        <v>5844</v>
      </c>
      <c r="J1554" s="2" t="s">
        <v>6457</v>
      </c>
      <c r="K1554" s="2" t="s">
        <v>6696</v>
      </c>
      <c r="L1554" s="2" t="s">
        <v>6697</v>
      </c>
      <c r="N1554" s="1" t="s">
        <v>7542</v>
      </c>
    </row>
    <row r="1555" spans="1:14" ht="87" x14ac:dyDescent="0.35">
      <c r="A1555" s="121" t="s">
        <v>3982</v>
      </c>
      <c r="B1555" s="99" t="s">
        <v>5524</v>
      </c>
      <c r="C1555" s="121" t="str" cm="1">
        <f t="array" ref="C1555:F1555">_xlfn.TEXTSPLIT('איחוד שאלות'!$B1555,"_")</f>
        <v>perception</v>
      </c>
      <c r="D1555" s="99" t="str">
        <v>groups</v>
      </c>
      <c r="E1555" s="99" t="str">
        <v>kach</v>
      </c>
      <c r="F1555" s="99" t="str">
        <v>outlaw</v>
      </c>
      <c r="G1555" s="100"/>
      <c r="H1555" s="136" t="s">
        <v>3996</v>
      </c>
      <c r="I1555" s="2" t="s">
        <v>5844</v>
      </c>
      <c r="J1555" s="2" t="s">
        <v>6457</v>
      </c>
      <c r="K1555" s="2" t="s">
        <v>6698</v>
      </c>
      <c r="L1555" s="2" t="s">
        <v>6697</v>
      </c>
      <c r="N1555" s="1" t="s">
        <v>7543</v>
      </c>
    </row>
    <row r="1556" spans="1:14" ht="87" x14ac:dyDescent="0.35">
      <c r="A1556" s="113" t="s">
        <v>3983</v>
      </c>
      <c r="B1556" s="102" t="s">
        <v>5525</v>
      </c>
      <c r="C1556" s="123" t="str" cm="1">
        <f t="array" ref="C1556:F1556">_xlfn.TEXTSPLIT('איחוד שאלות'!$B1556,"_")</f>
        <v>perception</v>
      </c>
      <c r="D1556" s="102" t="str">
        <v>groups</v>
      </c>
      <c r="E1556" s="102" t="str">
        <v>rakah</v>
      </c>
      <c r="F1556" s="102" t="str">
        <v>outlaw</v>
      </c>
      <c r="G1556" s="103"/>
      <c r="H1556" s="135" t="s">
        <v>3996</v>
      </c>
      <c r="I1556" s="2" t="s">
        <v>5844</v>
      </c>
      <c r="J1556" s="2" t="s">
        <v>6457</v>
      </c>
      <c r="K1556" s="2" t="s">
        <v>6699</v>
      </c>
      <c r="L1556" s="2" t="s">
        <v>6697</v>
      </c>
      <c r="N1556" s="1" t="s">
        <v>7544</v>
      </c>
    </row>
    <row r="1557" spans="1:14" ht="87" x14ac:dyDescent="0.35">
      <c r="A1557" s="121" t="s">
        <v>3984</v>
      </c>
      <c r="B1557" s="99" t="s">
        <v>5526</v>
      </c>
      <c r="C1557" s="121" t="str" cm="1">
        <f t="array" ref="C1557:F1557">_xlfn.TEXTSPLIT('איחוד שאלות'!$B1557,"_")</f>
        <v>perception</v>
      </c>
      <c r="D1557" s="99" t="str">
        <v>groups</v>
      </c>
      <c r="E1557" s="99" t="str">
        <v>gushemunim</v>
      </c>
      <c r="F1557" s="99" t="str">
        <v>outlaw</v>
      </c>
      <c r="G1557" s="100"/>
      <c r="H1557" s="136" t="s">
        <v>3996</v>
      </c>
      <c r="I1557" s="2" t="s">
        <v>5844</v>
      </c>
      <c r="J1557" s="2" t="s">
        <v>6457</v>
      </c>
      <c r="K1557" s="2" t="s">
        <v>6070</v>
      </c>
      <c r="L1557" s="2" t="s">
        <v>6697</v>
      </c>
      <c r="N1557" s="1" t="s">
        <v>7545</v>
      </c>
    </row>
    <row r="1558" spans="1:14" ht="87" x14ac:dyDescent="0.35">
      <c r="A1558" s="113" t="s">
        <v>3985</v>
      </c>
      <c r="B1558" s="102" t="s">
        <v>5527</v>
      </c>
      <c r="C1558" s="123" t="str" cm="1">
        <f t="array" ref="C1558:F1558">_xlfn.TEXTSPLIT('איחוד שאלות'!$B1558,"_")</f>
        <v>perception</v>
      </c>
      <c r="D1558" s="102" t="str">
        <v>groups</v>
      </c>
      <c r="E1558" s="102" t="str">
        <v>shalomachshav</v>
      </c>
      <c r="F1558" s="102" t="str">
        <v>outlaw</v>
      </c>
      <c r="G1558" s="103"/>
      <c r="H1558" s="135" t="s">
        <v>3996</v>
      </c>
      <c r="I1558" s="2" t="s">
        <v>5844</v>
      </c>
      <c r="J1558" s="2" t="s">
        <v>6457</v>
      </c>
      <c r="K1558" s="2" t="s">
        <v>6071</v>
      </c>
      <c r="L1558" s="2" t="s">
        <v>6697</v>
      </c>
      <c r="N1558" s="1" t="s">
        <v>7546</v>
      </c>
    </row>
    <row r="1559" spans="1:14" ht="145" x14ac:dyDescent="0.35">
      <c r="A1559" s="121" t="s">
        <v>3986</v>
      </c>
      <c r="B1559" s="99" t="s">
        <v>5528</v>
      </c>
      <c r="C1559" s="121" t="str" cm="1">
        <f t="array" ref="C1559:G1559">_xlfn.TEXTSPLIT('איחוד שאלות'!$B1559,"_")</f>
        <v>preference</v>
      </c>
      <c r="D1559" s="99" t="str">
        <v>policy</v>
      </c>
      <c r="E1559" s="99" t="str">
        <v>groups</v>
      </c>
      <c r="F1559" s="99" t="str">
        <v>palestinians</v>
      </c>
      <c r="G1559" s="100" t="str">
        <v>cantbeprimeminister</v>
      </c>
      <c r="H1559" s="136" t="s">
        <v>3996</v>
      </c>
      <c r="I1559" s="2" t="s">
        <v>5856</v>
      </c>
      <c r="J1559" s="2" t="s">
        <v>5882</v>
      </c>
      <c r="K1559" s="2" t="s">
        <v>6457</v>
      </c>
      <c r="L1559" s="2" t="s">
        <v>6597</v>
      </c>
      <c r="M1559" s="2" t="s">
        <v>6691</v>
      </c>
      <c r="N1559" s="1" t="s">
        <v>7547</v>
      </c>
    </row>
    <row r="1560" spans="1:14" ht="58" x14ac:dyDescent="0.35">
      <c r="A1560" s="113" t="s">
        <v>2069</v>
      </c>
      <c r="B1560" s="102" t="s">
        <v>5529</v>
      </c>
      <c r="C1560" s="123" t="str" cm="1">
        <f t="array" ref="C1560:G1560">_xlfn.TEXTSPLIT('איחוד שאלות'!$B1560,"_")</f>
        <v>preference</v>
      </c>
      <c r="D1560" s="102" t="str">
        <v>policy</v>
      </c>
      <c r="E1560" s="102" t="str">
        <v>groups</v>
      </c>
      <c r="F1560" s="102" t="str">
        <v>palestinians</v>
      </c>
      <c r="G1560" s="103" t="str">
        <v>canbeontv</v>
      </c>
      <c r="H1560" s="135" t="s">
        <v>3996</v>
      </c>
      <c r="I1560" s="2" t="s">
        <v>5856</v>
      </c>
      <c r="J1560" s="2" t="s">
        <v>5882</v>
      </c>
      <c r="K1560" s="2" t="s">
        <v>6457</v>
      </c>
      <c r="L1560" s="2" t="s">
        <v>6597</v>
      </c>
      <c r="M1560" s="2" t="s">
        <v>6693</v>
      </c>
      <c r="N1560" s="1" t="s">
        <v>2069</v>
      </c>
    </row>
    <row r="1561" spans="1:14" ht="43.5" x14ac:dyDescent="0.35">
      <c r="A1561" s="121" t="s">
        <v>2070</v>
      </c>
      <c r="B1561" s="99" t="s">
        <v>5530</v>
      </c>
      <c r="C1561" s="121" t="str" cm="1">
        <f t="array" ref="C1561:G1561">_xlfn.TEXTSPLIT('איחוד שאלות'!$B1561,"_")</f>
        <v>preference</v>
      </c>
      <c r="D1561" s="99" t="str">
        <v>policy</v>
      </c>
      <c r="E1561" s="99" t="str">
        <v>groups</v>
      </c>
      <c r="F1561" s="99" t="str">
        <v>palestinians</v>
      </c>
      <c r="G1561" s="100" t="str">
        <v>eavesdropphone</v>
      </c>
      <c r="H1561" s="136" t="s">
        <v>3996</v>
      </c>
      <c r="I1561" s="2" t="s">
        <v>5856</v>
      </c>
      <c r="J1561" s="2" t="s">
        <v>5882</v>
      </c>
      <c r="K1561" s="2" t="s">
        <v>6457</v>
      </c>
      <c r="L1561" s="2" t="s">
        <v>6597</v>
      </c>
      <c r="M1561" s="2" t="s">
        <v>6694</v>
      </c>
      <c r="N1561" s="1" t="s">
        <v>2070</v>
      </c>
    </row>
    <row r="1562" spans="1:14" ht="43.5" x14ac:dyDescent="0.35">
      <c r="A1562" s="113" t="s">
        <v>2072</v>
      </c>
      <c r="B1562" s="102" t="s">
        <v>5531</v>
      </c>
      <c r="C1562" s="123" t="str" cm="1">
        <f t="array" ref="C1562:G1562">_xlfn.TEXTSPLIT('איחוד שאלות'!$B1562,"_")</f>
        <v>preference</v>
      </c>
      <c r="D1562" s="102" t="str">
        <v>policy</v>
      </c>
      <c r="E1562" s="102" t="str">
        <v>groups</v>
      </c>
      <c r="F1562" s="102" t="str">
        <v>palestinians</v>
      </c>
      <c r="G1562" s="103" t="str">
        <v>canparty</v>
      </c>
      <c r="H1562" s="135" t="s">
        <v>3996</v>
      </c>
      <c r="I1562" s="2" t="s">
        <v>5856</v>
      </c>
      <c r="J1562" s="2" t="s">
        <v>5882</v>
      </c>
      <c r="K1562" s="2" t="s">
        <v>6457</v>
      </c>
      <c r="L1562" s="2" t="s">
        <v>6597</v>
      </c>
      <c r="M1562" s="2" t="s">
        <v>6695</v>
      </c>
      <c r="N1562" s="1" t="s">
        <v>2072</v>
      </c>
    </row>
    <row r="1563" spans="1:14" ht="58" x14ac:dyDescent="0.35">
      <c r="A1563" s="121" t="s">
        <v>2071</v>
      </c>
      <c r="B1563" s="99" t="s">
        <v>5532</v>
      </c>
      <c r="C1563" s="121" t="str" cm="1">
        <f t="array" ref="C1563:G1563">_xlfn.TEXTSPLIT('איחוד שאלות'!$B1563,"_")</f>
        <v>preference</v>
      </c>
      <c r="D1563" s="99" t="str">
        <v>policy</v>
      </c>
      <c r="E1563" s="99" t="str">
        <v>groups</v>
      </c>
      <c r="F1563" s="99" t="str">
        <v>palestinians</v>
      </c>
      <c r="G1563" s="100" t="str">
        <v>encourageemigration</v>
      </c>
      <c r="H1563" s="136" t="s">
        <v>3996</v>
      </c>
      <c r="I1563" s="2" t="s">
        <v>5856</v>
      </c>
      <c r="J1563" s="2" t="s">
        <v>5882</v>
      </c>
      <c r="K1563" s="2" t="s">
        <v>6457</v>
      </c>
      <c r="L1563" s="2" t="s">
        <v>6597</v>
      </c>
      <c r="M1563" s="2" t="s">
        <v>6700</v>
      </c>
      <c r="N1563" s="1" t="s">
        <v>2071</v>
      </c>
    </row>
    <row r="1564" spans="1:14" ht="145" x14ac:dyDescent="0.35">
      <c r="A1564" s="113" t="s">
        <v>3987</v>
      </c>
      <c r="B1564" s="102" t="s">
        <v>5533</v>
      </c>
      <c r="C1564" s="123" t="str" cm="1">
        <f t="array" ref="C1564:G1564">_xlfn.TEXTSPLIT('איחוד שאלות'!$B1564,"_")</f>
        <v>preference</v>
      </c>
      <c r="D1564" s="102" t="str">
        <v>policy</v>
      </c>
      <c r="E1564" s="102" t="str">
        <v>groups</v>
      </c>
      <c r="F1564" s="102" t="str">
        <v>jews</v>
      </c>
      <c r="G1564" s="103" t="str">
        <v>lesspanishmentoffensepalestinians</v>
      </c>
      <c r="H1564" s="135" t="s">
        <v>3996</v>
      </c>
      <c r="I1564" s="2" t="s">
        <v>5856</v>
      </c>
      <c r="J1564" s="2" t="s">
        <v>5882</v>
      </c>
      <c r="K1564" s="2" t="s">
        <v>6457</v>
      </c>
      <c r="L1564" s="2" t="s">
        <v>6484</v>
      </c>
      <c r="M1564" s="2" t="s">
        <v>6701</v>
      </c>
      <c r="N1564" s="1" t="s">
        <v>7548</v>
      </c>
    </row>
    <row r="1565" spans="1:14" ht="101.5" x14ac:dyDescent="0.35">
      <c r="A1565" s="121" t="s">
        <v>3988</v>
      </c>
      <c r="B1565" s="99" t="s">
        <v>5535</v>
      </c>
      <c r="C1565" s="121" t="str" cm="1">
        <f t="array" ref="C1565:F1565">_xlfn.TEXTSPLIT('איחוד שאלות'!$B1565,"_")</f>
        <v>preference</v>
      </c>
      <c r="D1565" s="99" t="str">
        <v>policy</v>
      </c>
      <c r="E1565" s="99" t="str">
        <v>democracy</v>
      </c>
      <c r="F1565" s="99" t="str">
        <v>strongleader</v>
      </c>
      <c r="G1565" s="100"/>
      <c r="H1565" s="136" t="s">
        <v>3996</v>
      </c>
      <c r="I1565" s="2" t="s">
        <v>5856</v>
      </c>
      <c r="J1565" s="2" t="s">
        <v>5882</v>
      </c>
      <c r="K1565" s="2" t="s">
        <v>5883</v>
      </c>
      <c r="L1565" s="2" t="s">
        <v>5910</v>
      </c>
      <c r="N1565" s="1" t="s">
        <v>7549</v>
      </c>
    </row>
    <row r="1566" spans="1:14" ht="101.5" x14ac:dyDescent="0.35">
      <c r="A1566" s="113" t="s">
        <v>3989</v>
      </c>
      <c r="B1566" s="102" t="s">
        <v>5485</v>
      </c>
      <c r="C1566" s="123" t="str" cm="1">
        <f t="array" ref="C1566:F1566">_xlfn.TEXTSPLIT('איחוד שאלות'!$B1566,"_")</f>
        <v>preference</v>
      </c>
      <c r="D1566" s="102" t="str">
        <v>policy</v>
      </c>
      <c r="E1566" s="102" t="str">
        <v>democracy</v>
      </c>
      <c r="F1566" s="102" t="str">
        <v>equalrightscitizens</v>
      </c>
      <c r="G1566" s="103"/>
      <c r="H1566" s="135" t="s">
        <v>3996</v>
      </c>
      <c r="I1566" s="2" t="s">
        <v>5856</v>
      </c>
      <c r="J1566" s="2" t="s">
        <v>5882</v>
      </c>
      <c r="K1566" s="2" t="s">
        <v>5883</v>
      </c>
      <c r="L1566" s="2" t="s">
        <v>6673</v>
      </c>
      <c r="N1566" s="1" t="s">
        <v>7550</v>
      </c>
    </row>
    <row r="1567" spans="1:14" ht="116" x14ac:dyDescent="0.35">
      <c r="A1567" s="121" t="s">
        <v>3990</v>
      </c>
      <c r="B1567" s="99" t="s">
        <v>5536</v>
      </c>
      <c r="C1567" s="121" t="str" cm="1">
        <f t="array" ref="C1567:F1567">_xlfn.TEXTSPLIT('איחוד שאלות'!$B1567,"_")</f>
        <v>preference</v>
      </c>
      <c r="D1567" s="99" t="str">
        <v>policy</v>
      </c>
      <c r="E1567" s="99" t="str">
        <v>democracy</v>
      </c>
      <c r="F1567" s="99" t="str">
        <v>minorityinterest</v>
      </c>
      <c r="G1567" s="100"/>
      <c r="H1567" s="136" t="s">
        <v>3996</v>
      </c>
      <c r="I1567" s="2" t="s">
        <v>5856</v>
      </c>
      <c r="J1567" s="2" t="s">
        <v>5882</v>
      </c>
      <c r="K1567" s="2" t="s">
        <v>5883</v>
      </c>
      <c r="L1567" s="2" t="s">
        <v>6702</v>
      </c>
      <c r="N1567" s="1" t="s">
        <v>7551</v>
      </c>
    </row>
    <row r="1568" spans="1:14" ht="87" x14ac:dyDescent="0.35">
      <c r="A1568" s="113" t="s">
        <v>3991</v>
      </c>
      <c r="B1568" s="102" t="s">
        <v>5486</v>
      </c>
      <c r="C1568" s="123" t="str" cm="1">
        <f t="array" ref="C1568:F1568">_xlfn.TEXTSPLIT('איחוד שאלות'!$B1568,"_")</f>
        <v>preference</v>
      </c>
      <c r="D1568" s="102" t="str">
        <v>policy</v>
      </c>
      <c r="E1568" s="102" t="str">
        <v>democracy</v>
      </c>
      <c r="F1568" s="102" t="str">
        <v>freespeech</v>
      </c>
      <c r="G1568" s="103"/>
      <c r="H1568" s="135" t="s">
        <v>3996</v>
      </c>
      <c r="I1568" s="2" t="s">
        <v>5856</v>
      </c>
      <c r="J1568" s="2" t="s">
        <v>5882</v>
      </c>
      <c r="K1568" s="2" t="s">
        <v>5883</v>
      </c>
      <c r="L1568" s="2" t="s">
        <v>6674</v>
      </c>
      <c r="N1568" s="1" t="s">
        <v>7552</v>
      </c>
    </row>
    <row r="1569" spans="1:14" ht="101.5" x14ac:dyDescent="0.35">
      <c r="A1569" s="121" t="s">
        <v>3992</v>
      </c>
      <c r="B1569" s="99" t="s">
        <v>5538</v>
      </c>
      <c r="C1569" s="121" t="str" cm="1">
        <f t="array" ref="C1569:G1569">_xlfn.TEXTSPLIT('איחוד שאלות'!$B1569,"_")</f>
        <v>preference</v>
      </c>
      <c r="D1569" s="99" t="str">
        <v>policy</v>
      </c>
      <c r="E1569" s="99" t="str">
        <v>democracy</v>
      </c>
      <c r="F1569" s="99" t="str">
        <v>lawintohands</v>
      </c>
      <c r="G1569" s="100" t="str">
        <v>pos</v>
      </c>
      <c r="H1569" s="136" t="s">
        <v>3996</v>
      </c>
      <c r="I1569" s="2" t="s">
        <v>5856</v>
      </c>
      <c r="J1569" s="2" t="s">
        <v>5882</v>
      </c>
      <c r="K1569" s="2" t="s">
        <v>5883</v>
      </c>
      <c r="L1569" s="2" t="s">
        <v>5884</v>
      </c>
      <c r="M1569" s="2" t="s">
        <v>6703</v>
      </c>
      <c r="N1569" s="1" t="s">
        <v>7553</v>
      </c>
    </row>
    <row r="1570" spans="1:14" ht="87" x14ac:dyDescent="0.35">
      <c r="A1570" s="113" t="s">
        <v>3993</v>
      </c>
      <c r="B1570" s="102" t="s">
        <v>5539</v>
      </c>
      <c r="C1570" s="123" t="str" cm="1">
        <f t="array" ref="C1570:F1570">_xlfn.TEXTSPLIT('איחוד שאלות'!$B1570,"_")</f>
        <v>preference</v>
      </c>
      <c r="D1570" s="102" t="str">
        <v>policy</v>
      </c>
      <c r="E1570" s="102" t="str">
        <v>democracy</v>
      </c>
      <c r="F1570" s="102" t="str">
        <v>replaceallinstitutes</v>
      </c>
      <c r="G1570" s="103"/>
      <c r="H1570" s="135" t="s">
        <v>3996</v>
      </c>
      <c r="I1570" s="2" t="s">
        <v>5856</v>
      </c>
      <c r="J1570" s="2" t="s">
        <v>5882</v>
      </c>
      <c r="K1570" s="2" t="s">
        <v>5883</v>
      </c>
      <c r="L1570" s="2" t="s">
        <v>6704</v>
      </c>
      <c r="N1570" s="1" t="s">
        <v>7554</v>
      </c>
    </row>
    <row r="1571" spans="1:14" ht="87" x14ac:dyDescent="0.35">
      <c r="A1571" s="121" t="s">
        <v>3994</v>
      </c>
      <c r="B1571" s="99" t="s">
        <v>5540</v>
      </c>
      <c r="C1571" s="121" t="str" cm="1">
        <f t="array" ref="C1571:E1571">_xlfn.TEXTSPLIT('איחוד שאלות'!$B1571,"_")</f>
        <v>perception</v>
      </c>
      <c r="D1571" s="99" t="str">
        <v>israel</v>
      </c>
      <c r="E1571" s="99" t="str">
        <v>forcefulnessonlyway</v>
      </c>
      <c r="F1571" s="99"/>
      <c r="G1571" s="100"/>
      <c r="H1571" s="136" t="s">
        <v>3996</v>
      </c>
      <c r="I1571" s="2" t="s">
        <v>5844</v>
      </c>
      <c r="J1571" s="2" t="s">
        <v>5845</v>
      </c>
      <c r="K1571" s="2" t="s">
        <v>6705</v>
      </c>
      <c r="N1571" s="1" t="s">
        <v>7555</v>
      </c>
    </row>
    <row r="1572" spans="1:14" ht="87" x14ac:dyDescent="0.35">
      <c r="A1572" s="113" t="s">
        <v>2249</v>
      </c>
      <c r="B1572" s="102" t="s">
        <v>4944</v>
      </c>
      <c r="C1572" s="123" t="str" cm="1">
        <f t="array" ref="C1572:E1572">_xlfn.TEXTSPLIT('איחוד שאלות'!$B1572,"_")</f>
        <v>perception</v>
      </c>
      <c r="D1572" s="102" t="str">
        <v>voting</v>
      </c>
      <c r="E1572" s="102" t="str">
        <v>efficacy</v>
      </c>
      <c r="F1572" s="102"/>
      <c r="G1572" s="103"/>
      <c r="H1572" s="135" t="s">
        <v>3996</v>
      </c>
      <c r="I1572" s="2" t="s">
        <v>5844</v>
      </c>
      <c r="J1572" s="2" t="s">
        <v>5967</v>
      </c>
      <c r="K1572" s="2" t="s">
        <v>6366</v>
      </c>
      <c r="N1572" s="1" t="s">
        <v>2249</v>
      </c>
    </row>
    <row r="1573" spans="1:14" ht="203" x14ac:dyDescent="0.35">
      <c r="A1573" s="121" t="s">
        <v>2552</v>
      </c>
      <c r="B1573" s="99" t="s">
        <v>5541</v>
      </c>
      <c r="C1573" s="121" t="str" cm="1">
        <f t="array" ref="C1573:F1573">_xlfn.TEXTSPLIT('איחוד שאלות'!$B1573,"_")</f>
        <v>preference</v>
      </c>
      <c r="D1573" s="99" t="str">
        <v>coalition</v>
      </c>
      <c r="E1573" s="99" t="str">
        <v>democracy</v>
      </c>
      <c r="F1573" s="99" t="str">
        <v>oneparty</v>
      </c>
      <c r="G1573" s="100"/>
      <c r="H1573" s="136" t="s">
        <v>3996</v>
      </c>
      <c r="I1573" s="2" t="s">
        <v>5856</v>
      </c>
      <c r="J1573" s="2" t="s">
        <v>6374</v>
      </c>
      <c r="K1573" s="2" t="s">
        <v>5883</v>
      </c>
      <c r="L1573" s="2" t="s">
        <v>6706</v>
      </c>
      <c r="N1573" s="1" t="s">
        <v>2552</v>
      </c>
    </row>
    <row r="1574" spans="1:14" ht="72.5" x14ac:dyDescent="0.35">
      <c r="A1574" s="113" t="s">
        <v>2740</v>
      </c>
      <c r="B1574" s="102" t="s">
        <v>5542</v>
      </c>
      <c r="C1574" s="123" t="str" cm="1">
        <f t="array" ref="C1574:F1574">_xlfn.TEXTSPLIT('איחוד שאלות'!$B1574,"_")</f>
        <v>perception</v>
      </c>
      <c r="D1574" s="102" t="str">
        <v>elections</v>
      </c>
      <c r="E1574" s="102" t="str">
        <v>knowledge</v>
      </c>
      <c r="F1574" s="102" t="str">
        <v>democracy</v>
      </c>
      <c r="G1574" s="103"/>
      <c r="H1574" s="135" t="s">
        <v>3996</v>
      </c>
      <c r="I1574" s="2" t="s">
        <v>5844</v>
      </c>
      <c r="J1574" s="2" t="s">
        <v>5954</v>
      </c>
      <c r="K1574" s="2" t="s">
        <v>5942</v>
      </c>
      <c r="L1574" s="2" t="s">
        <v>5883</v>
      </c>
      <c r="N1574" s="1" t="s">
        <v>2740</v>
      </c>
    </row>
    <row r="1575" spans="1:14" ht="43.5" x14ac:dyDescent="0.35">
      <c r="A1575" s="121" t="s">
        <v>2851</v>
      </c>
      <c r="B1575" s="99" t="s">
        <v>5543</v>
      </c>
      <c r="C1575" s="121" t="str" cm="1">
        <f t="array" ref="C1575:F1575">_xlfn.TEXTSPLIT('איחוד שאלות'!$B1575,"_")</f>
        <v>affect</v>
      </c>
      <c r="D1575" s="99" t="str">
        <v>importance</v>
      </c>
      <c r="E1575" s="99" t="str">
        <v>knowledge</v>
      </c>
      <c r="F1575" s="99" t="str">
        <v>democracy</v>
      </c>
      <c r="G1575" s="100"/>
      <c r="H1575" s="136" t="s">
        <v>3996</v>
      </c>
      <c r="I1575" s="2" t="s">
        <v>5815</v>
      </c>
      <c r="J1575" s="2" t="s">
        <v>5857</v>
      </c>
      <c r="K1575" s="2" t="s">
        <v>5942</v>
      </c>
      <c r="L1575" s="2" t="s">
        <v>5883</v>
      </c>
      <c r="N1575" s="1" t="s">
        <v>2851</v>
      </c>
    </row>
    <row r="1576" spans="1:14" ht="58" x14ac:dyDescent="0.35">
      <c r="A1576" s="113" t="s">
        <v>2741</v>
      </c>
      <c r="B1576" s="102" t="s">
        <v>5544</v>
      </c>
      <c r="C1576" s="123" t="str" cm="1">
        <f t="array" ref="C1576:F1576">_xlfn.TEXTSPLIT('איחוד שאלות'!$B1576,"_")</f>
        <v>perception</v>
      </c>
      <c r="D1576" s="102" t="str">
        <v>elections</v>
      </c>
      <c r="E1576" s="102" t="str">
        <v>knowledge</v>
      </c>
      <c r="F1576" s="102" t="str">
        <v>politicaleducation</v>
      </c>
      <c r="G1576" s="103"/>
      <c r="H1576" s="135" t="s">
        <v>3996</v>
      </c>
      <c r="I1576" s="2" t="s">
        <v>5844</v>
      </c>
      <c r="J1576" s="2" t="s">
        <v>5954</v>
      </c>
      <c r="K1576" s="2" t="s">
        <v>5942</v>
      </c>
      <c r="L1576" s="2" t="s">
        <v>6707</v>
      </c>
      <c r="N1576" s="1" t="s">
        <v>2741</v>
      </c>
    </row>
    <row r="1577" spans="1:14" ht="43.5" x14ac:dyDescent="0.35">
      <c r="A1577" s="121" t="s">
        <v>2852</v>
      </c>
      <c r="B1577" s="99" t="s">
        <v>5545</v>
      </c>
      <c r="C1577" s="121" t="str" cm="1">
        <f t="array" ref="C1577:F1577">_xlfn.TEXTSPLIT('איחוד שאלות'!$B1577,"_")</f>
        <v>affect</v>
      </c>
      <c r="D1577" s="99" t="str">
        <v>importance</v>
      </c>
      <c r="E1577" s="99" t="str">
        <v>knowledge</v>
      </c>
      <c r="F1577" s="99" t="str">
        <v>politicaleducation</v>
      </c>
      <c r="G1577" s="100"/>
      <c r="H1577" s="136" t="s">
        <v>3996</v>
      </c>
      <c r="I1577" s="2" t="s">
        <v>5815</v>
      </c>
      <c r="J1577" s="2" t="s">
        <v>5857</v>
      </c>
      <c r="K1577" s="2" t="s">
        <v>5942</v>
      </c>
      <c r="L1577" s="2" t="s">
        <v>6707</v>
      </c>
      <c r="N1577" s="1" t="s">
        <v>2852</v>
      </c>
    </row>
    <row r="1578" spans="1:14" ht="43.5" x14ac:dyDescent="0.35">
      <c r="A1578" s="113" t="s">
        <v>2796</v>
      </c>
      <c r="B1578" s="102" t="s">
        <v>5546</v>
      </c>
      <c r="C1578" s="123" t="str" cm="1">
        <f t="array" ref="C1578:F1578">_xlfn.TEXTSPLIT('איחוד שאלות'!$B1578,"_")</f>
        <v>perception</v>
      </c>
      <c r="D1578" s="102" t="str">
        <v>policy</v>
      </c>
      <c r="E1578" s="102" t="str">
        <v>democracy</v>
      </c>
      <c r="F1578" s="102" t="str">
        <v>IDFpoliticization</v>
      </c>
      <c r="G1578" s="103"/>
      <c r="H1578" s="135" t="s">
        <v>3996</v>
      </c>
      <c r="I1578" s="2" t="s">
        <v>5844</v>
      </c>
      <c r="J1578" s="2" t="s">
        <v>5882</v>
      </c>
      <c r="K1578" s="2" t="s">
        <v>5883</v>
      </c>
      <c r="L1578" s="2" t="s">
        <v>6708</v>
      </c>
      <c r="N1578" s="1" t="s">
        <v>2796</v>
      </c>
    </row>
    <row r="1579" spans="1:14" ht="87" x14ac:dyDescent="0.35">
      <c r="A1579" s="121" t="s">
        <v>2826</v>
      </c>
      <c r="B1579" s="99" t="s">
        <v>5547</v>
      </c>
      <c r="C1579" s="121" t="str" cm="1">
        <f t="array" ref="C1579:F1579">_xlfn.TEXTSPLIT('איחוד שאלות'!$B1579,"_")</f>
        <v>perception</v>
      </c>
      <c r="D1579" s="99" t="str">
        <v>importance</v>
      </c>
      <c r="E1579" s="99" t="str">
        <v>democracy</v>
      </c>
      <c r="F1579" s="99" t="str">
        <v>strongopposition</v>
      </c>
      <c r="G1579" s="100"/>
      <c r="H1579" s="136" t="s">
        <v>3996</v>
      </c>
      <c r="I1579" s="2" t="s">
        <v>5844</v>
      </c>
      <c r="J1579" s="2" t="s">
        <v>5857</v>
      </c>
      <c r="K1579" s="2" t="s">
        <v>5883</v>
      </c>
      <c r="L1579" s="2" t="s">
        <v>6709</v>
      </c>
      <c r="N1579" s="1" t="s">
        <v>2826</v>
      </c>
    </row>
    <row r="1580" spans="1:14" ht="72.5" x14ac:dyDescent="0.35">
      <c r="A1580" s="113" t="s">
        <v>2778</v>
      </c>
      <c r="B1580" s="102" t="s">
        <v>5548</v>
      </c>
      <c r="C1580" s="123" t="str" cm="1">
        <f t="array" ref="C1580:F1580">_xlfn.TEXTSPLIT('איחוד שאלות'!$B1580,"_")</f>
        <v>perception</v>
      </c>
      <c r="D1580" s="102" t="str">
        <v>importance</v>
      </c>
      <c r="E1580" s="102" t="str">
        <v>democracy</v>
      </c>
      <c r="F1580" s="102" t="str">
        <v>replacerulingparty</v>
      </c>
      <c r="G1580" s="103"/>
      <c r="H1580" s="135" t="s">
        <v>3996</v>
      </c>
      <c r="I1580" s="2" t="s">
        <v>5844</v>
      </c>
      <c r="J1580" s="2" t="s">
        <v>5857</v>
      </c>
      <c r="K1580" s="2" t="s">
        <v>5883</v>
      </c>
      <c r="L1580" s="2" t="s">
        <v>6710</v>
      </c>
      <c r="N1580" s="1" t="s">
        <v>2778</v>
      </c>
    </row>
    <row r="1581" spans="1:14" ht="87" x14ac:dyDescent="0.35">
      <c r="A1581" s="121" t="s">
        <v>2959</v>
      </c>
      <c r="B1581" s="99" t="s">
        <v>5549</v>
      </c>
      <c r="C1581" s="121" t="str" cm="1">
        <f t="array" ref="C1581:E1581">_xlfn.TEXTSPLIT('איחוד שאלות'!$B1581,"_")</f>
        <v>perception</v>
      </c>
      <c r="D1581" s="99" t="str">
        <v>politicians</v>
      </c>
      <c r="E1581" s="99" t="str">
        <v>exploitingcitizens</v>
      </c>
      <c r="F1581" s="99"/>
      <c r="G1581" s="100"/>
      <c r="H1581" s="136" t="s">
        <v>3996</v>
      </c>
      <c r="I1581" s="2" t="s">
        <v>5844</v>
      </c>
      <c r="J1581" s="2" t="s">
        <v>6004</v>
      </c>
      <c r="K1581" s="2" t="s">
        <v>6711</v>
      </c>
      <c r="N1581" s="1" t="s">
        <v>2959</v>
      </c>
    </row>
    <row r="1582" spans="1:14" ht="58" x14ac:dyDescent="0.35">
      <c r="A1582" s="113" t="s">
        <v>2841</v>
      </c>
      <c r="B1582" s="102" t="s">
        <v>5550</v>
      </c>
      <c r="C1582" s="123" t="str" cm="1">
        <f t="array" ref="C1582:F1582">_xlfn.TEXTSPLIT('איחוד שאלות'!$B1582,"_")</f>
        <v>perception</v>
      </c>
      <c r="D1582" s="102" t="str">
        <v>party</v>
      </c>
      <c r="E1582" s="102" t="str">
        <v>opposition</v>
      </c>
      <c r="F1582" s="102" t="str">
        <v>servingstatelikecoalition</v>
      </c>
      <c r="G1582" s="103"/>
      <c r="H1582" s="135" t="s">
        <v>3996</v>
      </c>
      <c r="I1582" s="2" t="s">
        <v>5844</v>
      </c>
      <c r="J1582" s="2" t="s">
        <v>5853</v>
      </c>
      <c r="K1582" s="2" t="s">
        <v>6712</v>
      </c>
      <c r="L1582" s="2" t="s">
        <v>6713</v>
      </c>
      <c r="N1582" s="1" t="s">
        <v>2841</v>
      </c>
    </row>
    <row r="1583" spans="1:14" ht="43.5" x14ac:dyDescent="0.35">
      <c r="A1583" s="121" t="s">
        <v>2842</v>
      </c>
      <c r="B1583" s="99" t="s">
        <v>5556</v>
      </c>
      <c r="C1583" s="121" t="str" cm="1">
        <f t="array" ref="C1583:E1583">_xlfn.TEXTSPLIT('איחוד שאלות'!$B1583,"_")</f>
        <v>perception</v>
      </c>
      <c r="D1583" s="99" t="str">
        <v>elections</v>
      </c>
      <c r="E1583" s="99" t="str">
        <v>celebration</v>
      </c>
      <c r="F1583" s="99"/>
      <c r="G1583" s="100"/>
      <c r="H1583" s="136" t="s">
        <v>3996</v>
      </c>
      <c r="I1583" s="2" t="s">
        <v>5844</v>
      </c>
      <c r="J1583" s="2" t="s">
        <v>5954</v>
      </c>
      <c r="K1583" s="2" t="s">
        <v>5969</v>
      </c>
      <c r="N1583" s="1" t="s">
        <v>2842</v>
      </c>
    </row>
    <row r="1584" spans="1:14" ht="29" x14ac:dyDescent="0.35">
      <c r="A1584" s="113" t="s">
        <v>2843</v>
      </c>
      <c r="B1584" s="102" t="s">
        <v>5551</v>
      </c>
      <c r="C1584" s="123" t="str" cm="1">
        <f t="array" ref="C1584:F1584">_xlfn.TEXTSPLIT('איחוד שאלות'!$B1584,"_")</f>
        <v>perception</v>
      </c>
      <c r="D1584" s="102" t="str">
        <v>public</v>
      </c>
      <c r="E1584" s="102" t="str">
        <v>voting</v>
      </c>
      <c r="F1584" s="102" t="str">
        <v>importance</v>
      </c>
      <c r="G1584" s="103"/>
      <c r="H1584" s="135" t="s">
        <v>3996</v>
      </c>
      <c r="I1584" s="2" t="s">
        <v>5844</v>
      </c>
      <c r="J1584" s="2" t="s">
        <v>5912</v>
      </c>
      <c r="K1584" s="2" t="s">
        <v>5967</v>
      </c>
      <c r="L1584" s="2" t="s">
        <v>5857</v>
      </c>
      <c r="N1584" s="1" t="s">
        <v>2843</v>
      </c>
    </row>
    <row r="1585" spans="1:14" ht="174" x14ac:dyDescent="0.35">
      <c r="A1585" s="121" t="s">
        <v>2872</v>
      </c>
      <c r="B1585" s="99" t="s">
        <v>5552</v>
      </c>
      <c r="C1585" s="121" t="str" cm="1">
        <f t="array" ref="C1585:F1585">_xlfn.TEXTSPLIT('איחוד שאלות'!$B1585,"_")</f>
        <v>preference</v>
      </c>
      <c r="D1585" s="99" t="str">
        <v>policy</v>
      </c>
      <c r="E1585" s="99" t="str">
        <v>democtacy</v>
      </c>
      <c r="F1585" s="99" t="str">
        <v>onepartyparliament</v>
      </c>
      <c r="G1585" s="100"/>
      <c r="H1585" s="136" t="s">
        <v>3996</v>
      </c>
      <c r="I1585" s="2" t="s">
        <v>5856</v>
      </c>
      <c r="J1585" s="2" t="s">
        <v>5882</v>
      </c>
      <c r="K1585" s="2" t="s">
        <v>6714</v>
      </c>
      <c r="L1585" s="2" t="s">
        <v>6715</v>
      </c>
      <c r="N1585" s="1" t="s">
        <v>2872</v>
      </c>
    </row>
    <row r="1586" spans="1:14" ht="72.5" x14ac:dyDescent="0.35">
      <c r="A1586" s="113" t="s">
        <v>2958</v>
      </c>
      <c r="B1586" s="102" t="s">
        <v>5553</v>
      </c>
      <c r="C1586" s="123" t="str" cm="1">
        <f t="array" ref="C1586:E1586">_xlfn.TEXTSPLIT('איחוד שאלות'!$B1586,"_")</f>
        <v>perception</v>
      </c>
      <c r="D1586" s="102" t="str">
        <v>elections</v>
      </c>
      <c r="E1586" s="102" t="str">
        <v>damegeunity</v>
      </c>
      <c r="F1586" s="102"/>
      <c r="G1586" s="103"/>
      <c r="H1586" s="135" t="s">
        <v>3996</v>
      </c>
      <c r="I1586" s="2" t="s">
        <v>5844</v>
      </c>
      <c r="J1586" s="2" t="s">
        <v>5954</v>
      </c>
      <c r="K1586" s="2" t="s">
        <v>6716</v>
      </c>
      <c r="N1586" s="1" t="s">
        <v>2958</v>
      </c>
    </row>
    <row r="1587" spans="1:14" ht="58" x14ac:dyDescent="0.35">
      <c r="A1587" s="121" t="s">
        <v>2880</v>
      </c>
      <c r="B1587" s="99" t="s">
        <v>5557</v>
      </c>
      <c r="C1587" s="121" t="str" cm="1">
        <f t="array" ref="C1587:F1587">_xlfn.TEXTSPLIT('איחוד שאלות'!$B1587,"_")</f>
        <v>perception</v>
      </c>
      <c r="D1587" s="99" t="str">
        <v>behavior</v>
      </c>
      <c r="E1587" s="99" t="str">
        <v>voting</v>
      </c>
      <c r="F1587" s="99" t="str">
        <v>fulfilcivilduty</v>
      </c>
      <c r="G1587" s="100"/>
      <c r="H1587" s="136" t="s">
        <v>3996</v>
      </c>
      <c r="I1587" s="2" t="s">
        <v>5844</v>
      </c>
      <c r="J1587" s="2" t="s">
        <v>5806</v>
      </c>
      <c r="K1587" s="2" t="s">
        <v>5967</v>
      </c>
      <c r="L1587" s="2" t="s">
        <v>6717</v>
      </c>
      <c r="N1587" s="1" t="s">
        <v>2880</v>
      </c>
    </row>
    <row r="1588" spans="1:14" ht="58" x14ac:dyDescent="0.35">
      <c r="A1588" s="113" t="s">
        <v>2881</v>
      </c>
      <c r="B1588" s="102" t="s">
        <v>5558</v>
      </c>
      <c r="C1588" s="123" t="str" cm="1">
        <f t="array" ref="C1588:F1588">_xlfn.TEXTSPLIT('איחוד שאלות'!$B1588,"_")</f>
        <v>perception</v>
      </c>
      <c r="D1588" s="102" t="str">
        <v>behavior</v>
      </c>
      <c r="E1588" s="102" t="str">
        <v>voting</v>
      </c>
      <c r="F1588" s="102" t="str">
        <v>protestgovernment</v>
      </c>
      <c r="G1588" s="103"/>
      <c r="H1588" s="135" t="s">
        <v>3996</v>
      </c>
      <c r="I1588" s="2" t="s">
        <v>5844</v>
      </c>
      <c r="J1588" s="2" t="s">
        <v>5806</v>
      </c>
      <c r="K1588" s="2" t="s">
        <v>5967</v>
      </c>
      <c r="L1588" s="2" t="s">
        <v>6718</v>
      </c>
      <c r="N1588" s="1" t="s">
        <v>2881</v>
      </c>
    </row>
    <row r="1589" spans="1:14" ht="43.5" x14ac:dyDescent="0.35">
      <c r="A1589" s="121" t="s">
        <v>3062</v>
      </c>
      <c r="B1589" s="99" t="s">
        <v>5563</v>
      </c>
      <c r="C1589" s="121" t="str" cm="1">
        <f t="array" ref="C1589:F1589">_xlfn.TEXTSPLIT('איחוד שאלות'!$B1589,"_")</f>
        <v>perception</v>
      </c>
      <c r="D1589" s="99" t="str">
        <v>groups</v>
      </c>
      <c r="E1589" s="99" t="str">
        <v>palestinian</v>
      </c>
      <c r="F1589" s="99" t="str">
        <v>clarity</v>
      </c>
      <c r="G1589" s="100"/>
      <c r="H1589" s="136" t="s">
        <v>3996</v>
      </c>
      <c r="I1589" s="2" t="s">
        <v>5844</v>
      </c>
      <c r="J1589" s="2" t="s">
        <v>6457</v>
      </c>
      <c r="K1589" s="2" t="s">
        <v>6719</v>
      </c>
      <c r="L1589" s="2" t="s">
        <v>5971</v>
      </c>
      <c r="N1589" s="1" t="s">
        <v>3062</v>
      </c>
    </row>
    <row r="1590" spans="1:14" ht="72.5" x14ac:dyDescent="0.35">
      <c r="A1590" s="113" t="s">
        <v>3176</v>
      </c>
      <c r="B1590" s="102" t="s">
        <v>5566</v>
      </c>
      <c r="C1590" s="123" t="str" cm="1">
        <f t="array" ref="C1590:E1590">_xlfn.TEXTSPLIT('איחוד שאלות'!$B1590,"_")</f>
        <v>perception</v>
      </c>
      <c r="D1590" s="102" t="str">
        <v>politicalsystem</v>
      </c>
      <c r="E1590" s="102" t="str">
        <v>stable</v>
      </c>
      <c r="F1590" s="102"/>
      <c r="G1590" s="103"/>
      <c r="H1590" s="135" t="s">
        <v>3996</v>
      </c>
      <c r="I1590" s="2" t="s">
        <v>5844</v>
      </c>
      <c r="J1590" s="2" t="s">
        <v>5855</v>
      </c>
      <c r="K1590" s="2" t="s">
        <v>6270</v>
      </c>
      <c r="N1590" s="1" t="s">
        <v>3176</v>
      </c>
    </row>
    <row r="1591" spans="1:14" ht="101.5" x14ac:dyDescent="0.35">
      <c r="A1591" s="121" t="s">
        <v>2595</v>
      </c>
      <c r="B1591" s="99" t="s">
        <v>5567</v>
      </c>
      <c r="C1591" s="121" t="str" cm="1">
        <f t="array" ref="C1591:E1591">_xlfn.TEXTSPLIT('איחוד שאלות'!$B1591,"_")</f>
        <v>preference</v>
      </c>
      <c r="D1591" s="99" t="str">
        <v>influence</v>
      </c>
      <c r="E1591" s="99" t="str">
        <v>policy</v>
      </c>
      <c r="F1591" s="99"/>
      <c r="G1591" s="100"/>
      <c r="H1591" s="136" t="s">
        <v>3996</v>
      </c>
      <c r="I1591" s="2" t="s">
        <v>5856</v>
      </c>
      <c r="J1591" s="2" t="s">
        <v>5968</v>
      </c>
      <c r="K1591" s="2" t="s">
        <v>5882</v>
      </c>
      <c r="N1591" s="1" t="s">
        <v>2595</v>
      </c>
    </row>
    <row r="1592" spans="1:14" ht="72.5" x14ac:dyDescent="0.35">
      <c r="A1592" s="113" t="s">
        <v>2544</v>
      </c>
      <c r="B1592" s="102" t="s">
        <v>5568</v>
      </c>
      <c r="C1592" s="123" t="str" cm="1">
        <f t="array" ref="C1592:F1592">_xlfn.TEXTSPLIT('איחוד שאלות'!$B1592,"_")</f>
        <v>perception</v>
      </c>
      <c r="D1592" s="102" t="str">
        <v>elections</v>
      </c>
      <c r="E1592" s="102" t="str">
        <v>influence</v>
      </c>
      <c r="F1592" s="102" t="str">
        <v>policy</v>
      </c>
      <c r="G1592" s="103"/>
      <c r="H1592" s="135" t="s">
        <v>3996</v>
      </c>
      <c r="I1592" s="2" t="s">
        <v>5844</v>
      </c>
      <c r="J1592" s="2" t="s">
        <v>5954</v>
      </c>
      <c r="K1592" s="2" t="s">
        <v>5968</v>
      </c>
      <c r="L1592" s="2" t="s">
        <v>5882</v>
      </c>
      <c r="N1592" s="1" t="s">
        <v>2544</v>
      </c>
    </row>
    <row r="1593" spans="1:14" ht="188.5" x14ac:dyDescent="0.35">
      <c r="A1593" s="121" t="s">
        <v>606</v>
      </c>
      <c r="B1593" s="99" t="s">
        <v>5569</v>
      </c>
      <c r="C1593" s="121" t="str" cm="1">
        <f t="array" ref="C1593:F1593">_xlfn.TEXTSPLIT('איחוד שאלות'!$B1593,"_")</f>
        <v>preference</v>
      </c>
      <c r="D1593" s="99" t="str">
        <v>politicalsystem</v>
      </c>
      <c r="E1593" s="99" t="str">
        <v>replace</v>
      </c>
      <c r="F1593" s="99" t="str">
        <v>1</v>
      </c>
      <c r="G1593" s="100"/>
      <c r="H1593" s="136" t="s">
        <v>3996</v>
      </c>
      <c r="I1593" s="2" t="s">
        <v>5856</v>
      </c>
      <c r="J1593" s="2" t="s">
        <v>5855</v>
      </c>
      <c r="K1593" s="2" t="s">
        <v>5974</v>
      </c>
      <c r="L1593" s="2" t="s">
        <v>5789</v>
      </c>
      <c r="N1593" s="1" t="s">
        <v>606</v>
      </c>
    </row>
    <row r="1594" spans="1:14" ht="174" x14ac:dyDescent="0.35">
      <c r="A1594" s="113" t="s">
        <v>608</v>
      </c>
      <c r="B1594" s="102" t="s">
        <v>5570</v>
      </c>
      <c r="C1594" s="123" t="str" cm="1">
        <f t="array" ref="C1594:F1594">_xlfn.TEXTSPLIT('איחוד שאלות'!$B1594,"_")</f>
        <v>preference</v>
      </c>
      <c r="D1594" s="102" t="str">
        <v>politicalsystem</v>
      </c>
      <c r="E1594" s="102" t="str">
        <v>replace</v>
      </c>
      <c r="F1594" s="102" t="str">
        <v>2</v>
      </c>
      <c r="G1594" s="103"/>
      <c r="H1594" s="135" t="s">
        <v>3996</v>
      </c>
      <c r="I1594" s="2" t="s">
        <v>5856</v>
      </c>
      <c r="J1594" s="2" t="s">
        <v>5855</v>
      </c>
      <c r="K1594" s="2" t="s">
        <v>5974</v>
      </c>
      <c r="L1594" s="2" t="s">
        <v>5790</v>
      </c>
      <c r="N1594" s="1" t="s">
        <v>608</v>
      </c>
    </row>
    <row r="1595" spans="1:14" ht="145" x14ac:dyDescent="0.35">
      <c r="A1595" s="121" t="s">
        <v>2594</v>
      </c>
      <c r="B1595" s="99" t="s">
        <v>4080</v>
      </c>
      <c r="C1595" s="121" t="str" cm="1">
        <f t="array" ref="C1595:E1595">_xlfn.TEXTSPLIT('איחוד שאלות'!$B1595,"_")</f>
        <v>preference</v>
      </c>
      <c r="D1595" s="99" t="str">
        <v>electionsystem</v>
      </c>
      <c r="E1595" s="99" t="str">
        <v>regional</v>
      </c>
      <c r="F1595" s="99"/>
      <c r="G1595" s="100"/>
      <c r="H1595" s="136" t="s">
        <v>3996</v>
      </c>
      <c r="I1595" s="2" t="s">
        <v>5856</v>
      </c>
      <c r="J1595" s="2" t="s">
        <v>5975</v>
      </c>
      <c r="K1595" s="2" t="s">
        <v>6403</v>
      </c>
      <c r="N1595" s="1" t="s">
        <v>2594</v>
      </c>
    </row>
    <row r="1596" spans="1:14" ht="87" x14ac:dyDescent="0.35">
      <c r="A1596" s="113" t="s">
        <v>3104</v>
      </c>
      <c r="B1596" s="102" t="s">
        <v>5571</v>
      </c>
      <c r="C1596" s="123" t="str" cm="1">
        <f t="array" ref="C1596:E1596">_xlfn.TEXTSPLIT('איחוד שאלות'!$B1596,"_")</f>
        <v>preference</v>
      </c>
      <c r="D1596" s="102" t="str">
        <v>electionsystem</v>
      </c>
      <c r="E1596" s="102" t="str">
        <v>directparliamentelections</v>
      </c>
      <c r="F1596" s="102"/>
      <c r="G1596" s="103"/>
      <c r="H1596" s="135" t="s">
        <v>3996</v>
      </c>
      <c r="I1596" s="2" t="s">
        <v>5856</v>
      </c>
      <c r="J1596" s="2" t="s">
        <v>5975</v>
      </c>
      <c r="K1596" s="2" t="s">
        <v>6720</v>
      </c>
      <c r="N1596" s="1" t="s">
        <v>3104</v>
      </c>
    </row>
    <row r="1597" spans="1:14" ht="58" x14ac:dyDescent="0.35">
      <c r="A1597" s="121" t="s">
        <v>2596</v>
      </c>
      <c r="B1597" s="99" t="s">
        <v>5572</v>
      </c>
      <c r="C1597" s="121" t="str" cm="1">
        <f t="array" ref="C1597:F1597">_xlfn.TEXTSPLIT('איחוד שאלות'!$B1597,"_")</f>
        <v>perception</v>
      </c>
      <c r="D1597" s="99" t="str">
        <v>electionsystem</v>
      </c>
      <c r="E1597" s="99" t="str">
        <v>regional</v>
      </c>
      <c r="F1597" s="99" t="str">
        <v>efficacy</v>
      </c>
      <c r="G1597" s="100"/>
      <c r="H1597" s="136" t="s">
        <v>3996</v>
      </c>
      <c r="I1597" s="2" t="s">
        <v>5844</v>
      </c>
      <c r="J1597" s="2" t="s">
        <v>5975</v>
      </c>
      <c r="K1597" s="2" t="s">
        <v>6403</v>
      </c>
      <c r="L1597" s="2" t="s">
        <v>6366</v>
      </c>
      <c r="N1597" s="1" t="s">
        <v>2596</v>
      </c>
    </row>
    <row r="1598" spans="1:14" ht="101.5" x14ac:dyDescent="0.35">
      <c r="A1598" s="113" t="s">
        <v>3178</v>
      </c>
      <c r="B1598" s="102" t="s">
        <v>5573</v>
      </c>
      <c r="C1598" s="123" t="str" cm="1">
        <f t="array" ref="C1598:E1598">_xlfn.TEXTSPLIT('איחוד שאלות'!$B1598,"_")</f>
        <v>perception</v>
      </c>
      <c r="D1598" s="102" t="str">
        <v>government</v>
      </c>
      <c r="E1598" s="102" t="str">
        <v>duration</v>
      </c>
      <c r="F1598" s="102"/>
      <c r="G1598" s="103"/>
      <c r="H1598" s="135" t="s">
        <v>3996</v>
      </c>
      <c r="I1598" s="2" t="s">
        <v>5844</v>
      </c>
      <c r="J1598" s="2" t="s">
        <v>5848</v>
      </c>
      <c r="K1598" s="2" t="s">
        <v>5894</v>
      </c>
      <c r="N1598" s="1" t="s">
        <v>3178</v>
      </c>
    </row>
    <row r="1599" spans="1:14" ht="101.5" x14ac:dyDescent="0.35">
      <c r="A1599" s="121" t="s">
        <v>3232</v>
      </c>
      <c r="B1599" s="99" t="s">
        <v>5574</v>
      </c>
      <c r="C1599" s="121" t="str" cm="1">
        <f t="array" ref="C1599:E1599">_xlfn.TEXTSPLIT('איחוד שאלות'!$B1599,"_")</f>
        <v>perception</v>
      </c>
      <c r="D1599" s="99" t="str">
        <v>government</v>
      </c>
      <c r="E1599" s="99" t="str">
        <v>governance</v>
      </c>
      <c r="F1599" s="99"/>
      <c r="G1599" s="100"/>
      <c r="H1599" s="136" t="s">
        <v>3996</v>
      </c>
      <c r="I1599" s="2" t="s">
        <v>5844</v>
      </c>
      <c r="J1599" s="2" t="s">
        <v>5848</v>
      </c>
      <c r="K1599" s="2" t="s">
        <v>6721</v>
      </c>
      <c r="N1599" s="1" t="s">
        <v>3232</v>
      </c>
    </row>
    <row r="1600" spans="1:14" ht="130.5" x14ac:dyDescent="0.35">
      <c r="A1600" s="113" t="s">
        <v>3995</v>
      </c>
      <c r="B1600" s="102" t="s">
        <v>5575</v>
      </c>
      <c r="C1600" s="123" t="str" cm="1">
        <f t="array" ref="C1600:E1600">_xlfn.TEXTSPLIT('איחוד שאלות'!$B1600,"_")</f>
        <v>preference</v>
      </c>
      <c r="D1600" s="102" t="str">
        <v>policy</v>
      </c>
      <c r="E1600" s="102" t="str">
        <v>specialistsdecision</v>
      </c>
      <c r="F1600" s="102"/>
      <c r="G1600" s="103"/>
      <c r="H1600" s="135" t="s">
        <v>3996</v>
      </c>
      <c r="I1600" s="2" t="s">
        <v>5856</v>
      </c>
      <c r="J1600" s="2" t="s">
        <v>5882</v>
      </c>
      <c r="K1600" s="2" t="s">
        <v>6722</v>
      </c>
      <c r="N1600" s="1" t="s">
        <v>7556</v>
      </c>
    </row>
    <row r="1601" spans="1:14" ht="232" x14ac:dyDescent="0.35">
      <c r="A1601" s="121" t="s">
        <v>3276</v>
      </c>
      <c r="B1601" s="99" t="s">
        <v>5576</v>
      </c>
      <c r="C1601" s="121" t="str" cm="1">
        <f t="array" ref="C1601:E1601">_xlfn.TEXTSPLIT('איחוד שאלות'!$B1601,"_")</f>
        <v>perception</v>
      </c>
      <c r="D1601" s="99" t="str">
        <v>democracy</v>
      </c>
      <c r="E1601" s="99" t="str">
        <v>narrowvswide</v>
      </c>
      <c r="F1601" s="99"/>
      <c r="G1601" s="100"/>
      <c r="H1601" s="136" t="s">
        <v>3996</v>
      </c>
      <c r="I1601" s="2" t="s">
        <v>5844</v>
      </c>
      <c r="J1601" s="2" t="s">
        <v>5883</v>
      </c>
      <c r="K1601" s="2" t="s">
        <v>6723</v>
      </c>
      <c r="N1601" s="1" t="s">
        <v>3276</v>
      </c>
    </row>
    <row r="1602" spans="1:14" ht="72.5" x14ac:dyDescent="0.35">
      <c r="A1602" s="113" t="s">
        <v>111</v>
      </c>
      <c r="B1602" s="102" t="s">
        <v>5577</v>
      </c>
      <c r="C1602" s="123" t="str" cm="1">
        <f t="array" ref="C1602:F1602">_xlfn.TEXTSPLIT('איחוד שאלות'!$B1602,"_")</f>
        <v>behavior</v>
      </c>
      <c r="D1602" s="102" t="str">
        <v>political</v>
      </c>
      <c r="E1602" s="102" t="str">
        <v>media</v>
      </c>
      <c r="F1602" s="102" t="str">
        <v>traditionalmedium</v>
      </c>
      <c r="G1602" s="103"/>
      <c r="H1602" s="135" t="s">
        <v>3309</v>
      </c>
      <c r="I1602" s="2" t="s">
        <v>5806</v>
      </c>
      <c r="J1602" s="2" t="s">
        <v>5918</v>
      </c>
      <c r="K1602" s="2" t="s">
        <v>6306</v>
      </c>
      <c r="L1602" s="2" t="s">
        <v>6724</v>
      </c>
      <c r="N1602" s="1" t="s">
        <v>111</v>
      </c>
    </row>
    <row r="1603" spans="1:14" ht="101.5" x14ac:dyDescent="0.35">
      <c r="A1603" s="121" t="s">
        <v>113</v>
      </c>
      <c r="B1603" s="99" t="s">
        <v>5578</v>
      </c>
      <c r="C1603" s="121" t="str" cm="1">
        <f t="array" ref="C1603:F1603">_xlfn.TEXTSPLIT('איחוד שאלות'!$B1603,"_")</f>
        <v>behavior</v>
      </c>
      <c r="D1603" s="99" t="str">
        <v>political</v>
      </c>
      <c r="E1603" s="99" t="str">
        <v>media</v>
      </c>
      <c r="F1603" s="99" t="str">
        <v>socialmedia</v>
      </c>
      <c r="G1603" s="100"/>
      <c r="H1603" s="136" t="s">
        <v>3309</v>
      </c>
      <c r="I1603" s="2" t="s">
        <v>5806</v>
      </c>
      <c r="J1603" s="2" t="s">
        <v>5918</v>
      </c>
      <c r="K1603" s="2" t="s">
        <v>6306</v>
      </c>
      <c r="L1603" s="2" t="s">
        <v>6725</v>
      </c>
      <c r="N1603" s="1" t="s">
        <v>113</v>
      </c>
    </row>
    <row r="1604" spans="1:14" ht="72.5" x14ac:dyDescent="0.35">
      <c r="A1604" s="113" t="s">
        <v>262</v>
      </c>
      <c r="B1604" s="102" t="s">
        <v>5579</v>
      </c>
      <c r="C1604" s="123" t="str" cm="1">
        <f t="array" ref="C1604:E1604">_xlfn.TEXTSPLIT('איחוד שאלות'!$B1604,"_")</f>
        <v>behavior</v>
      </c>
      <c r="D1604" s="102" t="str">
        <v>media</v>
      </c>
      <c r="E1604" s="102" t="str">
        <v>socialmedia</v>
      </c>
      <c r="F1604" s="102"/>
      <c r="G1604" s="103"/>
      <c r="H1604" s="135" t="s">
        <v>3309</v>
      </c>
      <c r="I1604" s="2" t="s">
        <v>5806</v>
      </c>
      <c r="J1604" s="2" t="s">
        <v>6306</v>
      </c>
      <c r="K1604" s="2" t="s">
        <v>6725</v>
      </c>
      <c r="N1604" s="1" t="s">
        <v>262</v>
      </c>
    </row>
    <row r="1605" spans="1:14" ht="101.5" x14ac:dyDescent="0.35">
      <c r="A1605" s="121" t="s">
        <v>3997</v>
      </c>
      <c r="B1605" s="99" t="s">
        <v>5582</v>
      </c>
      <c r="C1605" s="121" t="str" cm="1">
        <f t="array" ref="C1605:F1605">_xlfn.TEXTSPLIT('איחוד שאלות'!$B1605,"_")</f>
        <v>behavior</v>
      </c>
      <c r="D1605" s="99" t="str">
        <v>political</v>
      </c>
      <c r="E1605" s="99" t="str">
        <v>media</v>
      </c>
      <c r="F1605" s="99" t="str">
        <v>newspaperandwebsite</v>
      </c>
      <c r="G1605" s="100"/>
      <c r="H1605" s="136" t="s">
        <v>3309</v>
      </c>
      <c r="I1605" s="2" t="s">
        <v>5806</v>
      </c>
      <c r="J1605" s="2" t="s">
        <v>5918</v>
      </c>
      <c r="K1605" s="2" t="s">
        <v>6306</v>
      </c>
      <c r="L1605" s="2" t="s">
        <v>6726</v>
      </c>
      <c r="N1605" s="1" t="s">
        <v>7557</v>
      </c>
    </row>
    <row r="1606" spans="1:14" ht="29" x14ac:dyDescent="0.35">
      <c r="A1606" s="113" t="s">
        <v>657</v>
      </c>
      <c r="B1606" s="102" t="s">
        <v>5580</v>
      </c>
      <c r="C1606" s="123" t="str" cm="1">
        <f t="array" ref="C1606:E1606">_xlfn.TEXTSPLIT('איחוד שאלות'!$B1606,"_")</f>
        <v>behavior</v>
      </c>
      <c r="D1606" s="102" t="str">
        <v>media</v>
      </c>
      <c r="E1606" s="102" t="str">
        <v>newspaper</v>
      </c>
      <c r="F1606" s="102"/>
      <c r="G1606" s="103"/>
      <c r="H1606" s="135" t="s">
        <v>3309</v>
      </c>
      <c r="I1606" s="2" t="s">
        <v>5806</v>
      </c>
      <c r="J1606" s="2" t="s">
        <v>6306</v>
      </c>
      <c r="K1606" s="2" t="s">
        <v>6727</v>
      </c>
      <c r="N1606" s="1" t="s">
        <v>657</v>
      </c>
    </row>
    <row r="1607" spans="1:14" ht="29" x14ac:dyDescent="0.35">
      <c r="A1607" s="121" t="s">
        <v>1018</v>
      </c>
      <c r="B1607" s="99" t="s">
        <v>5581</v>
      </c>
      <c r="C1607" s="121" t="str" cm="1">
        <f t="array" ref="C1607:E1607">_xlfn.TEXTSPLIT('איחוד שאלות'!$B1607,"_")</f>
        <v>preference</v>
      </c>
      <c r="D1607" s="99" t="str">
        <v>media</v>
      </c>
      <c r="E1607" s="99" t="str">
        <v>newspaper</v>
      </c>
      <c r="F1607" s="99"/>
      <c r="G1607" s="100"/>
      <c r="H1607" s="136" t="s">
        <v>3309</v>
      </c>
      <c r="I1607" s="2" t="s">
        <v>5856</v>
      </c>
      <c r="J1607" s="2" t="s">
        <v>6306</v>
      </c>
      <c r="K1607" s="2" t="s">
        <v>6727</v>
      </c>
      <c r="N1607" s="1" t="s">
        <v>1018</v>
      </c>
    </row>
    <row r="1608" spans="1:14" ht="43.5" x14ac:dyDescent="0.35">
      <c r="A1608" s="113" t="s">
        <v>658</v>
      </c>
      <c r="B1608" s="102" t="s">
        <v>5583</v>
      </c>
      <c r="C1608" s="123" t="str" cm="1">
        <f t="array" ref="C1608:E1608">_xlfn.TEXTSPLIT('איחוד שאלות'!$B1608,"_")</f>
        <v>behavior</v>
      </c>
      <c r="D1608" s="102" t="str">
        <v>media</v>
      </c>
      <c r="E1608" s="102" t="str">
        <v>newswebsite</v>
      </c>
      <c r="F1608" s="102"/>
      <c r="G1608" s="103"/>
      <c r="H1608" s="135" t="s">
        <v>3309</v>
      </c>
      <c r="I1608" s="2" t="s">
        <v>5806</v>
      </c>
      <c r="J1608" s="2" t="s">
        <v>6306</v>
      </c>
      <c r="K1608" s="2" t="s">
        <v>6728</v>
      </c>
      <c r="N1608" s="1" t="s">
        <v>658</v>
      </c>
    </row>
    <row r="1609" spans="1:14" ht="29" x14ac:dyDescent="0.35">
      <c r="A1609" s="121" t="s">
        <v>1020</v>
      </c>
      <c r="B1609" s="99" t="s">
        <v>5584</v>
      </c>
      <c r="C1609" s="121" t="str" cm="1">
        <f t="array" ref="C1609:E1609">_xlfn.TEXTSPLIT('איחוד שאלות'!$B1609,"_")</f>
        <v>behavior</v>
      </c>
      <c r="D1609" s="99" t="str">
        <v>media</v>
      </c>
      <c r="E1609" s="99" t="str">
        <v>tv</v>
      </c>
      <c r="F1609" s="99"/>
      <c r="G1609" s="100"/>
      <c r="H1609" s="136" t="s">
        <v>3309</v>
      </c>
      <c r="I1609" s="2" t="s">
        <v>5806</v>
      </c>
      <c r="J1609" s="2" t="s">
        <v>6306</v>
      </c>
      <c r="K1609" s="2" t="s">
        <v>6299</v>
      </c>
      <c r="N1609" s="1" t="s">
        <v>1020</v>
      </c>
    </row>
    <row r="1610" spans="1:14" ht="29" x14ac:dyDescent="0.35">
      <c r="A1610" s="113" t="s">
        <v>1022</v>
      </c>
      <c r="B1610" s="102" t="s">
        <v>5585</v>
      </c>
      <c r="C1610" s="123" t="str" cm="1">
        <f t="array" ref="C1610:F1610">_xlfn.TEXTSPLIT('איחוד שאלות'!$B1610,"_")</f>
        <v>preference</v>
      </c>
      <c r="D1610" s="102" t="str">
        <v>media</v>
      </c>
      <c r="E1610" s="102" t="str">
        <v>tv</v>
      </c>
      <c r="F1610" s="102" t="str">
        <v>channel</v>
      </c>
      <c r="G1610" s="103"/>
      <c r="H1610" s="135" t="s">
        <v>3309</v>
      </c>
      <c r="I1610" s="2" t="s">
        <v>5856</v>
      </c>
      <c r="J1610" s="2" t="s">
        <v>6306</v>
      </c>
      <c r="K1610" s="2" t="s">
        <v>6299</v>
      </c>
      <c r="L1610" s="2" t="s">
        <v>6729</v>
      </c>
      <c r="N1610" s="1" t="s">
        <v>1022</v>
      </c>
    </row>
    <row r="1611" spans="1:14" ht="29" x14ac:dyDescent="0.35">
      <c r="A1611" s="121" t="s">
        <v>266</v>
      </c>
      <c r="B1611" s="99" t="s">
        <v>5586</v>
      </c>
      <c r="C1611" s="121" t="str" cm="1">
        <f t="array" ref="C1611:F1611">_xlfn.TEXTSPLIT('איחוד שאלות'!$B1611,"_")</f>
        <v>behavior</v>
      </c>
      <c r="D1611" s="99" t="str">
        <v>political</v>
      </c>
      <c r="E1611" s="99" t="str">
        <v>media</v>
      </c>
      <c r="F1611" s="99" t="str">
        <v>radio</v>
      </c>
      <c r="G1611" s="100"/>
      <c r="H1611" s="136" t="s">
        <v>3309</v>
      </c>
      <c r="I1611" s="2" t="s">
        <v>5806</v>
      </c>
      <c r="J1611" s="2" t="s">
        <v>5918</v>
      </c>
      <c r="K1611" s="2" t="s">
        <v>6306</v>
      </c>
      <c r="L1611" s="2" t="s">
        <v>6302</v>
      </c>
      <c r="N1611" s="1" t="s">
        <v>266</v>
      </c>
    </row>
    <row r="1612" spans="1:14" ht="58" x14ac:dyDescent="0.35">
      <c r="A1612" s="113" t="s">
        <v>268</v>
      </c>
      <c r="B1612" s="102" t="s">
        <v>5578</v>
      </c>
      <c r="C1612" s="123" t="str" cm="1">
        <f t="array" ref="C1612:F1612">_xlfn.TEXTSPLIT('איחוד שאלות'!$B1612,"_")</f>
        <v>behavior</v>
      </c>
      <c r="D1612" s="102" t="str">
        <v>political</v>
      </c>
      <c r="E1612" s="102" t="str">
        <v>media</v>
      </c>
      <c r="F1612" s="102" t="str">
        <v>socialmedia</v>
      </c>
      <c r="G1612" s="103"/>
      <c r="H1612" s="135" t="s">
        <v>3309</v>
      </c>
      <c r="I1612" s="2" t="s">
        <v>5806</v>
      </c>
      <c r="J1612" s="2" t="s">
        <v>5918</v>
      </c>
      <c r="K1612" s="2" t="s">
        <v>6306</v>
      </c>
      <c r="L1612" s="2" t="s">
        <v>6725</v>
      </c>
      <c r="N1612" s="1" t="s">
        <v>268</v>
      </c>
    </row>
    <row r="1613" spans="1:14" ht="101.5" x14ac:dyDescent="0.35">
      <c r="A1613" s="121" t="s">
        <v>269</v>
      </c>
      <c r="B1613" s="99" t="s">
        <v>5587</v>
      </c>
      <c r="C1613" s="121" t="str" cm="1">
        <f t="array" ref="C1613:F1613">_xlfn.TEXTSPLIT('איחוד שאלות'!$B1613,"_")</f>
        <v>experience</v>
      </c>
      <c r="D1613" s="99" t="str">
        <v>media</v>
      </c>
      <c r="E1613" s="99" t="str">
        <v>socialmedia</v>
      </c>
      <c r="F1613" s="99" t="str">
        <v>politicianpartycontent</v>
      </c>
      <c r="G1613" s="100"/>
      <c r="H1613" s="136" t="s">
        <v>3309</v>
      </c>
      <c r="I1613" s="2" t="s">
        <v>6202</v>
      </c>
      <c r="J1613" s="2" t="s">
        <v>6306</v>
      </c>
      <c r="K1613" s="2" t="s">
        <v>6725</v>
      </c>
      <c r="L1613" s="2" t="s">
        <v>6730</v>
      </c>
      <c r="N1613" s="1" t="s">
        <v>269</v>
      </c>
    </row>
    <row r="1614" spans="1:14" ht="159.5" x14ac:dyDescent="0.35">
      <c r="A1614" s="113" t="s">
        <v>3998</v>
      </c>
      <c r="B1614" s="102" t="s">
        <v>5588</v>
      </c>
      <c r="C1614" s="123" t="str" cm="1">
        <f t="array" ref="C1614:G1614">_xlfn.TEXTSPLIT('איחוד שאלות'!$B1614,"_")</f>
        <v>behavior</v>
      </c>
      <c r="D1614" s="102" t="str">
        <v>political</v>
      </c>
      <c r="E1614" s="102" t="str">
        <v>media</v>
      </c>
      <c r="F1614" s="102" t="str">
        <v>socialmedia</v>
      </c>
      <c r="G1614" s="103" t="str">
        <v>postonpoliticianpartypage</v>
      </c>
      <c r="H1614" s="135" t="s">
        <v>3309</v>
      </c>
      <c r="I1614" s="2" t="s">
        <v>5806</v>
      </c>
      <c r="J1614" s="2" t="s">
        <v>5918</v>
      </c>
      <c r="K1614" s="2" t="s">
        <v>6306</v>
      </c>
      <c r="L1614" s="2" t="s">
        <v>6725</v>
      </c>
      <c r="M1614" s="2" t="s">
        <v>6731</v>
      </c>
      <c r="N1614" s="1" t="s">
        <v>7558</v>
      </c>
    </row>
    <row r="1615" spans="1:14" ht="58" x14ac:dyDescent="0.35">
      <c r="A1615" s="121" t="s">
        <v>271</v>
      </c>
      <c r="B1615" s="99" t="s">
        <v>5593</v>
      </c>
      <c r="C1615" s="121" t="str" cm="1">
        <f t="array" ref="C1615:G1615">_xlfn.TEXTSPLIT('איחוד שאלות'!$B1615,"_")</f>
        <v>behavior</v>
      </c>
      <c r="D1615" s="99" t="str">
        <v>political</v>
      </c>
      <c r="E1615" s="99" t="str">
        <v>media</v>
      </c>
      <c r="F1615" s="99" t="str">
        <v>socialmedia</v>
      </c>
      <c r="G1615" s="100" t="str">
        <v>respondpoliticianpartycontent</v>
      </c>
      <c r="H1615" s="136" t="s">
        <v>3309</v>
      </c>
      <c r="I1615" s="2" t="s">
        <v>5806</v>
      </c>
      <c r="J1615" s="2" t="s">
        <v>5918</v>
      </c>
      <c r="K1615" s="2" t="s">
        <v>6306</v>
      </c>
      <c r="L1615" s="2" t="s">
        <v>6725</v>
      </c>
      <c r="M1615" s="2" t="s">
        <v>6732</v>
      </c>
      <c r="N1615" s="1" t="s">
        <v>271</v>
      </c>
    </row>
    <row r="1616" spans="1:14" ht="58" x14ac:dyDescent="0.35">
      <c r="A1616" s="113" t="s">
        <v>272</v>
      </c>
      <c r="B1616" s="102" t="s">
        <v>5592</v>
      </c>
      <c r="C1616" s="123" t="str" cm="1">
        <f t="array" ref="C1616:G1616">_xlfn.TEXTSPLIT('איחוד שאלות'!$B1616,"_")</f>
        <v>behavior</v>
      </c>
      <c r="D1616" s="102" t="str">
        <v>political</v>
      </c>
      <c r="E1616" s="102" t="str">
        <v>media</v>
      </c>
      <c r="F1616" s="102" t="str">
        <v>socialmedia</v>
      </c>
      <c r="G1616" s="103" t="str">
        <v>sharepoliticianpartycontent</v>
      </c>
      <c r="H1616" s="135" t="s">
        <v>3309</v>
      </c>
      <c r="I1616" s="2" t="s">
        <v>5806</v>
      </c>
      <c r="J1616" s="2" t="s">
        <v>5918</v>
      </c>
      <c r="K1616" s="2" t="s">
        <v>6306</v>
      </c>
      <c r="L1616" s="2" t="s">
        <v>6725</v>
      </c>
      <c r="M1616" s="2" t="s">
        <v>6733</v>
      </c>
      <c r="N1616" s="1" t="s">
        <v>272</v>
      </c>
    </row>
    <row r="1617" spans="1:14" ht="58" x14ac:dyDescent="0.35">
      <c r="A1617" s="121" t="s">
        <v>273</v>
      </c>
      <c r="B1617" s="99" t="s">
        <v>5591</v>
      </c>
      <c r="C1617" s="121" t="str" cm="1">
        <f t="array" ref="C1617:G1617">_xlfn.TEXTSPLIT('איחוד שאלות'!$B1617,"_")</f>
        <v>behavior</v>
      </c>
      <c r="D1617" s="99" t="str">
        <v>political</v>
      </c>
      <c r="E1617" s="99" t="str">
        <v>media</v>
      </c>
      <c r="F1617" s="99" t="str">
        <v>socialmedia</v>
      </c>
      <c r="G1617" s="100" t="str">
        <v>readpoliticianpartycontent</v>
      </c>
      <c r="H1617" s="136" t="s">
        <v>3309</v>
      </c>
      <c r="I1617" s="2" t="s">
        <v>5806</v>
      </c>
      <c r="J1617" s="2" t="s">
        <v>5918</v>
      </c>
      <c r="K1617" s="2" t="s">
        <v>6306</v>
      </c>
      <c r="L1617" s="2" t="s">
        <v>6725</v>
      </c>
      <c r="M1617" s="2" t="s">
        <v>6734</v>
      </c>
      <c r="N1617" s="1" t="s">
        <v>273</v>
      </c>
    </row>
    <row r="1618" spans="1:14" ht="101.5" x14ac:dyDescent="0.35">
      <c r="A1618" s="113" t="s">
        <v>274</v>
      </c>
      <c r="B1618" s="102" t="s">
        <v>5589</v>
      </c>
      <c r="C1618" s="123" t="str" cm="1">
        <f t="array" ref="C1618:G1618">_xlfn.TEXTSPLIT('איחוד שאלות'!$B1618,"_")</f>
        <v>behavior</v>
      </c>
      <c r="D1618" s="102" t="str">
        <v>political</v>
      </c>
      <c r="E1618" s="102" t="str">
        <v>media</v>
      </c>
      <c r="F1618" s="102" t="str">
        <v>socialmedia</v>
      </c>
      <c r="G1618" s="103" t="str">
        <v>followpoliticianparty</v>
      </c>
      <c r="H1618" s="135" t="s">
        <v>3309</v>
      </c>
      <c r="I1618" s="2" t="s">
        <v>5806</v>
      </c>
      <c r="J1618" s="2" t="s">
        <v>5918</v>
      </c>
      <c r="K1618" s="2" t="s">
        <v>6306</v>
      </c>
      <c r="L1618" s="2" t="s">
        <v>6725</v>
      </c>
      <c r="M1618" s="2" t="s">
        <v>6735</v>
      </c>
      <c r="N1618" s="1" t="s">
        <v>274</v>
      </c>
    </row>
    <row r="1619" spans="1:14" ht="72.5" x14ac:dyDescent="0.35">
      <c r="A1619" s="121" t="s">
        <v>275</v>
      </c>
      <c r="B1619" s="99" t="s">
        <v>5590</v>
      </c>
      <c r="C1619" s="121" t="str" cm="1">
        <f t="array" ref="C1619:G1619">_xlfn.TEXTSPLIT('איחוד שאלות'!$B1619,"_")</f>
        <v>behavior</v>
      </c>
      <c r="D1619" s="99" t="str">
        <v>political</v>
      </c>
      <c r="E1619" s="99" t="str">
        <v>media</v>
      </c>
      <c r="F1619" s="99" t="str">
        <v>socialmedia</v>
      </c>
      <c r="G1619" s="100" t="str">
        <v>postpoliticalcontent</v>
      </c>
      <c r="H1619" s="136" t="s">
        <v>3309</v>
      </c>
      <c r="I1619" s="2" t="s">
        <v>5806</v>
      </c>
      <c r="J1619" s="2" t="s">
        <v>5918</v>
      </c>
      <c r="K1619" s="2" t="s">
        <v>6306</v>
      </c>
      <c r="L1619" s="2" t="s">
        <v>6725</v>
      </c>
      <c r="M1619" s="2" t="s">
        <v>6736</v>
      </c>
      <c r="N1619" s="1" t="s">
        <v>275</v>
      </c>
    </row>
    <row r="1620" spans="1:14" ht="43.5" x14ac:dyDescent="0.35">
      <c r="A1620" s="113" t="s">
        <v>505</v>
      </c>
      <c r="B1620" s="102" t="s">
        <v>5594</v>
      </c>
      <c r="C1620" s="123" t="str" cm="1">
        <f t="array" ref="C1620:G1620">_xlfn.TEXTSPLIT('איחוד שאלות'!$B1620,"_")</f>
        <v>behavior</v>
      </c>
      <c r="D1620" s="102" t="str">
        <v>political</v>
      </c>
      <c r="E1620" s="102" t="str">
        <v>media</v>
      </c>
      <c r="F1620" s="102" t="str">
        <v>socialmedia</v>
      </c>
      <c r="G1620" s="103" t="str">
        <v>politicalactivity</v>
      </c>
      <c r="H1620" s="135" t="s">
        <v>3309</v>
      </c>
      <c r="I1620" s="2" t="s">
        <v>5806</v>
      </c>
      <c r="J1620" s="2" t="s">
        <v>5918</v>
      </c>
      <c r="K1620" s="2" t="s">
        <v>6306</v>
      </c>
      <c r="L1620" s="2" t="s">
        <v>6725</v>
      </c>
      <c r="M1620" s="2" t="s">
        <v>6737</v>
      </c>
      <c r="N1620" s="1" t="s">
        <v>505</v>
      </c>
    </row>
    <row r="1621" spans="1:14" ht="43.5" x14ac:dyDescent="0.35">
      <c r="A1621" s="121" t="s">
        <v>775</v>
      </c>
      <c r="B1621" s="99" t="s">
        <v>5595</v>
      </c>
      <c r="C1621" s="121" t="str" cm="1">
        <f t="array" ref="C1621:G1621">_xlfn.TEXTSPLIT('איחוד שאלות'!$B1621,"_")</f>
        <v>behavior</v>
      </c>
      <c r="D1621" s="99" t="str">
        <v>political</v>
      </c>
      <c r="E1621" s="99" t="str">
        <v>media</v>
      </c>
      <c r="F1621" s="99" t="str">
        <v>tv</v>
      </c>
      <c r="G1621" s="100" t="str">
        <v>campaignadvertising</v>
      </c>
      <c r="H1621" s="136" t="s">
        <v>3309</v>
      </c>
      <c r="I1621" s="2" t="s">
        <v>5806</v>
      </c>
      <c r="J1621" s="2" t="s">
        <v>5918</v>
      </c>
      <c r="K1621" s="2" t="s">
        <v>6306</v>
      </c>
      <c r="L1621" s="2" t="s">
        <v>6299</v>
      </c>
      <c r="M1621" s="2" t="s">
        <v>6300</v>
      </c>
      <c r="N1621" s="1" t="s">
        <v>775</v>
      </c>
    </row>
    <row r="1622" spans="1:14" ht="43.5" x14ac:dyDescent="0.35">
      <c r="A1622" s="113" t="s">
        <v>2835</v>
      </c>
      <c r="B1622" s="102" t="s">
        <v>5620</v>
      </c>
      <c r="C1622" s="123" t="e" cm="1" vm="1">
        <f t="array" aca="1" ref="C1622" ca="1">_xlfn.TEXTSPLIT('איחוד שאלות'!$B1622,"_")</f>
        <v>#VALUE!</v>
      </c>
      <c r="D1622" s="102"/>
      <c r="E1622" s="102"/>
      <c r="F1622" s="102"/>
      <c r="G1622" s="103"/>
      <c r="H1622" s="135" t="s">
        <v>3309</v>
      </c>
      <c r="I1622" s="2" t="e" vm="1">
        <v>#VALUE!</v>
      </c>
      <c r="N1622" s="1" t="s">
        <v>2835</v>
      </c>
    </row>
    <row r="1623" spans="1:14" ht="58" x14ac:dyDescent="0.35">
      <c r="A1623" s="121" t="s">
        <v>2982</v>
      </c>
      <c r="B1623" s="99" t="s">
        <v>5619</v>
      </c>
      <c r="C1623" s="121" t="str" cm="1">
        <f t="array" ref="C1623:F1623">_xlfn.TEXTSPLIT('איחוד שאלות'!$B1623,"_")</f>
        <v>preference</v>
      </c>
      <c r="D1623" s="99" t="str">
        <v>elections</v>
      </c>
      <c r="E1623" s="99" t="str">
        <v>tv</v>
      </c>
      <c r="F1623" s="99" t="str">
        <v>campaignadvertising</v>
      </c>
      <c r="G1623" s="100"/>
      <c r="H1623" s="136" t="s">
        <v>3309</v>
      </c>
      <c r="I1623" s="2" t="s">
        <v>5856</v>
      </c>
      <c r="J1623" s="2" t="s">
        <v>5954</v>
      </c>
      <c r="K1623" s="2" t="s">
        <v>6299</v>
      </c>
      <c r="L1623" s="2" t="s">
        <v>6300</v>
      </c>
      <c r="N1623" s="1" t="s">
        <v>2982</v>
      </c>
    </row>
    <row r="1624" spans="1:14" ht="58" x14ac:dyDescent="0.35">
      <c r="A1624" s="113" t="s">
        <v>776</v>
      </c>
      <c r="B1624" s="102" t="s">
        <v>5596</v>
      </c>
      <c r="C1624" s="123" t="str" cm="1">
        <f t="array" ref="C1624:F1624">_xlfn.TEXTSPLIT('איחוד שאלות'!$B1624,"_")</f>
        <v>behavior</v>
      </c>
      <c r="D1624" s="102" t="str">
        <v>political</v>
      </c>
      <c r="E1624" s="102" t="str">
        <v>media</v>
      </c>
      <c r="F1624" s="102" t="str">
        <v>internetelections</v>
      </c>
      <c r="G1624" s="103"/>
      <c r="H1624" s="135" t="s">
        <v>3309</v>
      </c>
      <c r="I1624" s="2" t="s">
        <v>5806</v>
      </c>
      <c r="J1624" s="2" t="s">
        <v>5918</v>
      </c>
      <c r="K1624" s="2" t="s">
        <v>6306</v>
      </c>
      <c r="L1624" s="2" t="s">
        <v>6738</v>
      </c>
      <c r="N1624" s="1" t="s">
        <v>776</v>
      </c>
    </row>
    <row r="1625" spans="1:14" ht="72.5" x14ac:dyDescent="0.35">
      <c r="A1625" s="121" t="s">
        <v>3999</v>
      </c>
      <c r="B1625" s="99" t="s">
        <v>5597</v>
      </c>
      <c r="C1625" s="121" t="str" cm="1">
        <f t="array" ref="C1625:G1625">_xlfn.TEXTSPLIT('איחוד שאלות'!$B1625,"_")</f>
        <v>behavior</v>
      </c>
      <c r="D1625" s="99" t="str">
        <v>political</v>
      </c>
      <c r="E1625" s="99" t="str">
        <v>media</v>
      </c>
      <c r="F1625" s="99" t="str">
        <v>internetelections</v>
      </c>
      <c r="G1625" s="100" t="str">
        <v>email</v>
      </c>
      <c r="H1625" s="136" t="s">
        <v>3309</v>
      </c>
      <c r="I1625" s="2" t="s">
        <v>5806</v>
      </c>
      <c r="J1625" s="2" t="s">
        <v>5918</v>
      </c>
      <c r="K1625" s="2" t="s">
        <v>6306</v>
      </c>
      <c r="L1625" s="2" t="s">
        <v>6738</v>
      </c>
      <c r="M1625" s="2" t="s">
        <v>6739</v>
      </c>
      <c r="N1625" s="1" t="s">
        <v>7559</v>
      </c>
    </row>
    <row r="1626" spans="1:14" ht="43.5" x14ac:dyDescent="0.35">
      <c r="A1626" s="113" t="s">
        <v>778</v>
      </c>
      <c r="B1626" s="102" t="s">
        <v>5598</v>
      </c>
      <c r="C1626" s="123" t="str" cm="1">
        <f t="array" ref="C1626:G1626">_xlfn.TEXTSPLIT('איחוד שאלות'!$B1626,"_")</f>
        <v>behavior</v>
      </c>
      <c r="D1626" s="102" t="str">
        <v>political</v>
      </c>
      <c r="E1626" s="102" t="str">
        <v>media</v>
      </c>
      <c r="F1626" s="102" t="str">
        <v>internetelections</v>
      </c>
      <c r="G1626" s="103" t="str">
        <v>blogs</v>
      </c>
      <c r="H1626" s="135" t="s">
        <v>3309</v>
      </c>
      <c r="I1626" s="2" t="s">
        <v>5806</v>
      </c>
      <c r="J1626" s="2" t="s">
        <v>5918</v>
      </c>
      <c r="K1626" s="2" t="s">
        <v>6306</v>
      </c>
      <c r="L1626" s="2" t="s">
        <v>6738</v>
      </c>
      <c r="M1626" s="2" t="s">
        <v>6740</v>
      </c>
      <c r="N1626" s="1" t="s">
        <v>778</v>
      </c>
    </row>
    <row r="1627" spans="1:14" ht="43.5" x14ac:dyDescent="0.35">
      <c r="A1627" s="121" t="s">
        <v>779</v>
      </c>
      <c r="B1627" s="99" t="s">
        <v>5599</v>
      </c>
      <c r="C1627" s="121" t="str" cm="1">
        <f t="array" ref="C1627:G1627">_xlfn.TEXTSPLIT('איחוד שאלות'!$B1627,"_")</f>
        <v>behavior</v>
      </c>
      <c r="D1627" s="99" t="str">
        <v>political</v>
      </c>
      <c r="E1627" s="99" t="str">
        <v>media</v>
      </c>
      <c r="F1627" s="99" t="str">
        <v>internetelections</v>
      </c>
      <c r="G1627" s="100" t="str">
        <v>talkbacks</v>
      </c>
      <c r="H1627" s="136" t="s">
        <v>3309</v>
      </c>
      <c r="I1627" s="2" t="s">
        <v>5806</v>
      </c>
      <c r="J1627" s="2" t="s">
        <v>5918</v>
      </c>
      <c r="K1627" s="2" t="s">
        <v>6306</v>
      </c>
      <c r="L1627" s="2" t="s">
        <v>6738</v>
      </c>
      <c r="M1627" s="2" t="s">
        <v>6741</v>
      </c>
      <c r="N1627" s="1" t="s">
        <v>779</v>
      </c>
    </row>
    <row r="1628" spans="1:14" ht="43.5" x14ac:dyDescent="0.35">
      <c r="A1628" s="113" t="s">
        <v>780</v>
      </c>
      <c r="B1628" s="102" t="s">
        <v>5600</v>
      </c>
      <c r="C1628" s="123" t="str" cm="1">
        <f t="array" ref="C1628:G1628">_xlfn.TEXTSPLIT('איחוד שאלות'!$B1628,"_")</f>
        <v>behavior</v>
      </c>
      <c r="D1628" s="102" t="str">
        <v>political</v>
      </c>
      <c r="E1628" s="102" t="str">
        <v>media</v>
      </c>
      <c r="F1628" s="102" t="str">
        <v>internetelections</v>
      </c>
      <c r="G1628" s="103" t="str">
        <v>chats</v>
      </c>
      <c r="H1628" s="135" t="s">
        <v>3309</v>
      </c>
      <c r="I1628" s="2" t="s">
        <v>5806</v>
      </c>
      <c r="J1628" s="2" t="s">
        <v>5918</v>
      </c>
      <c r="K1628" s="2" t="s">
        <v>6306</v>
      </c>
      <c r="L1628" s="2" t="s">
        <v>6738</v>
      </c>
      <c r="M1628" s="2" t="s">
        <v>6742</v>
      </c>
      <c r="N1628" s="1" t="s">
        <v>780</v>
      </c>
    </row>
    <row r="1629" spans="1:14" ht="58" x14ac:dyDescent="0.35">
      <c r="A1629" s="121" t="s">
        <v>781</v>
      </c>
      <c r="B1629" s="99" t="s">
        <v>5602</v>
      </c>
      <c r="C1629" s="121" t="str" cm="1">
        <f t="array" ref="C1629:G1629">_xlfn.TEXTSPLIT('איחוד שאלות'!$B1629,"_")</f>
        <v>behavior</v>
      </c>
      <c r="D1629" s="99" t="str">
        <v>political</v>
      </c>
      <c r="E1629" s="99" t="str">
        <v>media</v>
      </c>
      <c r="F1629" s="99" t="str">
        <v>internetelections</v>
      </c>
      <c r="G1629" s="100" t="str">
        <v>favoritepoliticianpartysite</v>
      </c>
      <c r="H1629" s="136" t="s">
        <v>3309</v>
      </c>
      <c r="I1629" s="2" t="s">
        <v>5806</v>
      </c>
      <c r="J1629" s="2" t="s">
        <v>5918</v>
      </c>
      <c r="K1629" s="2" t="s">
        <v>6306</v>
      </c>
      <c r="L1629" s="2" t="s">
        <v>6738</v>
      </c>
      <c r="M1629" s="2" t="s">
        <v>6743</v>
      </c>
      <c r="N1629" s="1" t="s">
        <v>781</v>
      </c>
    </row>
    <row r="1630" spans="1:14" ht="58" x14ac:dyDescent="0.35">
      <c r="A1630" s="113" t="s">
        <v>782</v>
      </c>
      <c r="B1630" s="102" t="s">
        <v>5607</v>
      </c>
      <c r="C1630" s="123" t="str" cm="1">
        <f t="array" ref="C1630:G1630">_xlfn.TEXTSPLIT('איחוד שאלות'!$B1630,"_")</f>
        <v>behavior</v>
      </c>
      <c r="D1630" s="102" t="str">
        <v>political</v>
      </c>
      <c r="E1630" s="102" t="str">
        <v>media</v>
      </c>
      <c r="F1630" s="102" t="str">
        <v>internetelections</v>
      </c>
      <c r="G1630" s="103" t="str">
        <v>otherpoliticianpartysite</v>
      </c>
      <c r="H1630" s="135" t="s">
        <v>3309</v>
      </c>
      <c r="I1630" s="2" t="s">
        <v>5806</v>
      </c>
      <c r="J1630" s="2" t="s">
        <v>5918</v>
      </c>
      <c r="K1630" s="2" t="s">
        <v>6306</v>
      </c>
      <c r="L1630" s="2" t="s">
        <v>6738</v>
      </c>
      <c r="M1630" s="2" t="s">
        <v>6744</v>
      </c>
      <c r="N1630" s="1" t="s">
        <v>782</v>
      </c>
    </row>
    <row r="1631" spans="1:14" ht="43.5" x14ac:dyDescent="0.35">
      <c r="A1631" s="121" t="s">
        <v>783</v>
      </c>
      <c r="B1631" s="99" t="s">
        <v>5603</v>
      </c>
      <c r="C1631" s="121" t="str" cm="1">
        <f t="array" ref="C1631:G1631">_xlfn.TEXTSPLIT('איחוד שאלות'!$B1631,"_")</f>
        <v>behavior</v>
      </c>
      <c r="D1631" s="99" t="str">
        <v>political</v>
      </c>
      <c r="E1631" s="99" t="str">
        <v>media</v>
      </c>
      <c r="F1631" s="99" t="str">
        <v>internetelections</v>
      </c>
      <c r="G1631" s="100" t="str">
        <v>videosites</v>
      </c>
      <c r="H1631" s="136" t="s">
        <v>3309</v>
      </c>
      <c r="I1631" s="2" t="s">
        <v>5806</v>
      </c>
      <c r="J1631" s="2" t="s">
        <v>5918</v>
      </c>
      <c r="K1631" s="2" t="s">
        <v>6306</v>
      </c>
      <c r="L1631" s="2" t="s">
        <v>6738</v>
      </c>
      <c r="M1631" s="2" t="s">
        <v>6745</v>
      </c>
      <c r="N1631" s="1" t="s">
        <v>783</v>
      </c>
    </row>
    <row r="1632" spans="1:14" ht="43.5" x14ac:dyDescent="0.35">
      <c r="A1632" s="113" t="s">
        <v>784</v>
      </c>
      <c r="B1632" s="102" t="s">
        <v>5604</v>
      </c>
      <c r="C1632" s="123" t="str" cm="1">
        <f t="array" ref="C1632:G1632">_xlfn.TEXTSPLIT('איחוד שאלות'!$B1632,"_")</f>
        <v>behavior</v>
      </c>
      <c r="D1632" s="102" t="str">
        <v>political</v>
      </c>
      <c r="E1632" s="102" t="str">
        <v>media</v>
      </c>
      <c r="F1632" s="102" t="str">
        <v>internetelections</v>
      </c>
      <c r="G1632" s="103" t="str">
        <v>newssites</v>
      </c>
      <c r="H1632" s="135" t="s">
        <v>3309</v>
      </c>
      <c r="I1632" s="2" t="s">
        <v>5806</v>
      </c>
      <c r="J1632" s="2" t="s">
        <v>5918</v>
      </c>
      <c r="K1632" s="2" t="s">
        <v>6306</v>
      </c>
      <c r="L1632" s="2" t="s">
        <v>6738</v>
      </c>
      <c r="M1632" s="2" t="s">
        <v>6746</v>
      </c>
      <c r="N1632" s="1" t="s">
        <v>784</v>
      </c>
    </row>
    <row r="1633" spans="1:14" ht="43.5" x14ac:dyDescent="0.35">
      <c r="A1633" s="121" t="s">
        <v>785</v>
      </c>
      <c r="B1633" s="99" t="s">
        <v>5605</v>
      </c>
      <c r="C1633" s="121" t="str" cm="1">
        <f t="array" ref="C1633:G1633">_xlfn.TEXTSPLIT('איחוד שאלות'!$B1633,"_")</f>
        <v>behavior</v>
      </c>
      <c r="D1633" s="99" t="str">
        <v>political</v>
      </c>
      <c r="E1633" s="99" t="str">
        <v>media</v>
      </c>
      <c r="F1633" s="99" t="str">
        <v>internetelections</v>
      </c>
      <c r="G1633" s="100" t="str">
        <v>socialmedia</v>
      </c>
      <c r="H1633" s="136" t="s">
        <v>3309</v>
      </c>
      <c r="I1633" s="2" t="s">
        <v>5806</v>
      </c>
      <c r="J1633" s="2" t="s">
        <v>5918</v>
      </c>
      <c r="K1633" s="2" t="s">
        <v>6306</v>
      </c>
      <c r="L1633" s="2" t="s">
        <v>6738</v>
      </c>
      <c r="M1633" s="2" t="s">
        <v>6725</v>
      </c>
      <c r="N1633" s="1" t="s">
        <v>785</v>
      </c>
    </row>
    <row r="1634" spans="1:14" ht="43.5" x14ac:dyDescent="0.35">
      <c r="A1634" s="113" t="s">
        <v>786</v>
      </c>
      <c r="B1634" s="102" t="s">
        <v>5606</v>
      </c>
      <c r="C1634" s="123" t="str" cm="1">
        <f t="array" ref="C1634:G1634">_xlfn.TEXTSPLIT('איחוד שאלות'!$B1634,"_")</f>
        <v>behavior</v>
      </c>
      <c r="D1634" s="102" t="str">
        <v>political</v>
      </c>
      <c r="E1634" s="102" t="str">
        <v>media</v>
      </c>
      <c r="F1634" s="102" t="str">
        <v>internetelections</v>
      </c>
      <c r="G1634" s="103" t="str">
        <v>YNET</v>
      </c>
      <c r="H1634" s="135" t="s">
        <v>3309</v>
      </c>
      <c r="I1634" s="2" t="s">
        <v>5806</v>
      </c>
      <c r="J1634" s="2" t="s">
        <v>5918</v>
      </c>
      <c r="K1634" s="2" t="s">
        <v>6306</v>
      </c>
      <c r="L1634" s="2" t="s">
        <v>6738</v>
      </c>
      <c r="M1634" s="2" t="s">
        <v>6747</v>
      </c>
      <c r="N1634" s="1" t="s">
        <v>786</v>
      </c>
    </row>
    <row r="1635" spans="1:14" ht="43.5" x14ac:dyDescent="0.35">
      <c r="A1635" s="121" t="s">
        <v>849</v>
      </c>
      <c r="B1635" s="99" t="s">
        <v>5595</v>
      </c>
      <c r="C1635" s="121" t="str" cm="1">
        <f t="array" ref="C1635:G1635">_xlfn.TEXTSPLIT('איחוד שאלות'!$B1635,"_")</f>
        <v>behavior</v>
      </c>
      <c r="D1635" s="99" t="str">
        <v>political</v>
      </c>
      <c r="E1635" s="99" t="str">
        <v>media</v>
      </c>
      <c r="F1635" s="99" t="str">
        <v>tv</v>
      </c>
      <c r="G1635" s="100" t="str">
        <v>campaignadvertising</v>
      </c>
      <c r="H1635" s="136" t="s">
        <v>3309</v>
      </c>
      <c r="I1635" s="2" t="s">
        <v>5806</v>
      </c>
      <c r="J1635" s="2" t="s">
        <v>5918</v>
      </c>
      <c r="K1635" s="2" t="s">
        <v>6306</v>
      </c>
      <c r="L1635" s="2" t="s">
        <v>6299</v>
      </c>
      <c r="M1635" s="2" t="s">
        <v>6300</v>
      </c>
      <c r="N1635" s="1" t="s">
        <v>849</v>
      </c>
    </row>
    <row r="1636" spans="1:14" ht="43.5" x14ac:dyDescent="0.35">
      <c r="A1636" s="113" t="s">
        <v>2749</v>
      </c>
      <c r="B1636" s="102" t="s">
        <v>5620</v>
      </c>
      <c r="C1636" s="123" t="e" cm="1" vm="1">
        <f t="array" aca="1" ref="C1636" ca="1">_xlfn.TEXTSPLIT('איחוד שאלות'!$B1636,"_")</f>
        <v>#VALUE!</v>
      </c>
      <c r="D1636" s="102"/>
      <c r="E1636" s="102"/>
      <c r="F1636" s="102"/>
      <c r="G1636" s="103"/>
      <c r="H1636" s="135" t="s">
        <v>3309</v>
      </c>
      <c r="I1636" s="2" t="e" vm="1">
        <v>#VALUE!</v>
      </c>
      <c r="N1636" s="1" t="s">
        <v>2749</v>
      </c>
    </row>
    <row r="1637" spans="1:14" ht="58" x14ac:dyDescent="0.35">
      <c r="A1637" s="121" t="s">
        <v>1025</v>
      </c>
      <c r="B1637" s="99" t="s">
        <v>5601</v>
      </c>
      <c r="C1637" s="121" t="str" cm="1">
        <f t="array" ref="C1637:G1637">_xlfn.TEXTSPLIT('איחוד שאלות'!$B1637,"_")</f>
        <v>behavior</v>
      </c>
      <c r="D1637" s="99" t="str">
        <v>political</v>
      </c>
      <c r="E1637" s="99" t="str">
        <v>media</v>
      </c>
      <c r="F1637" s="99" t="str">
        <v>internetelections</v>
      </c>
      <c r="G1637" s="100" t="str">
        <v>politicianpartysite</v>
      </c>
      <c r="H1637" s="136" t="s">
        <v>3309</v>
      </c>
      <c r="I1637" s="2" t="s">
        <v>5806</v>
      </c>
      <c r="J1637" s="2" t="s">
        <v>5918</v>
      </c>
      <c r="K1637" s="2" t="s">
        <v>6306</v>
      </c>
      <c r="L1637" s="2" t="s">
        <v>6738</v>
      </c>
      <c r="M1637" s="2" t="s">
        <v>6748</v>
      </c>
      <c r="N1637" s="1" t="s">
        <v>1025</v>
      </c>
    </row>
    <row r="1638" spans="1:14" ht="58" x14ac:dyDescent="0.35">
      <c r="A1638" s="113" t="s">
        <v>1028</v>
      </c>
      <c r="B1638" s="102" t="s">
        <v>5608</v>
      </c>
      <c r="C1638" s="123" t="e" cm="1" vm="1">
        <f t="array" aca="1" ref="C1638" ca="1">_xlfn.TEXTSPLIT('איחוד שאלות'!$B1638,"_")</f>
        <v>#VALUE!</v>
      </c>
      <c r="D1638" s="102"/>
      <c r="E1638" s="102"/>
      <c r="F1638" s="102"/>
      <c r="G1638" s="103"/>
      <c r="H1638" s="135" t="s">
        <v>3309</v>
      </c>
      <c r="I1638" s="2" t="e" vm="1">
        <v>#VALUE!</v>
      </c>
      <c r="N1638" s="1" t="s">
        <v>1028</v>
      </c>
    </row>
    <row r="1639" spans="1:14" ht="174" x14ac:dyDescent="0.35">
      <c r="A1639" s="121" t="s">
        <v>1243</v>
      </c>
      <c r="B1639" s="99" t="s">
        <v>5609</v>
      </c>
      <c r="C1639" s="121" t="str" cm="1">
        <f t="array" ref="C1639:G1639">_xlfn.TEXTSPLIT('איחוד שאלות'!$B1639,"_")</f>
        <v>behavior</v>
      </c>
      <c r="D1639" s="99" t="str">
        <v>political</v>
      </c>
      <c r="E1639" s="99" t="str">
        <v>media</v>
      </c>
      <c r="F1639" s="99" t="str">
        <v>tv</v>
      </c>
      <c r="G1639" s="100" t="str">
        <v>interview</v>
      </c>
      <c r="H1639" s="136" t="s">
        <v>3309</v>
      </c>
      <c r="I1639" s="2" t="s">
        <v>5806</v>
      </c>
      <c r="J1639" s="2" t="s">
        <v>5918</v>
      </c>
      <c r="K1639" s="2" t="s">
        <v>6306</v>
      </c>
      <c r="L1639" s="2" t="s">
        <v>6299</v>
      </c>
      <c r="M1639" s="2" t="s">
        <v>6410</v>
      </c>
      <c r="N1639" s="1" t="s">
        <v>1243</v>
      </c>
    </row>
    <row r="1640" spans="1:14" ht="43.5" x14ac:dyDescent="0.35">
      <c r="A1640" s="113" t="s">
        <v>1246</v>
      </c>
      <c r="B1640" s="102" t="s">
        <v>5610</v>
      </c>
      <c r="C1640" s="123" t="str" cm="1">
        <f t="array" ref="C1640:F1640">_xlfn.TEXTSPLIT('איחוד שאלות'!$B1640,"_")</f>
        <v>behavior</v>
      </c>
      <c r="D1640" s="102" t="str">
        <v>political</v>
      </c>
      <c r="E1640" s="102" t="str">
        <v>media</v>
      </c>
      <c r="F1640" s="102" t="str">
        <v>polls</v>
      </c>
      <c r="G1640" s="103"/>
      <c r="H1640" s="135" t="s">
        <v>3309</v>
      </c>
      <c r="I1640" s="2" t="s">
        <v>5806</v>
      </c>
      <c r="J1640" s="2" t="s">
        <v>5918</v>
      </c>
      <c r="K1640" s="2" t="s">
        <v>6306</v>
      </c>
      <c r="L1640" s="2" t="s">
        <v>6298</v>
      </c>
      <c r="N1640" s="1" t="s">
        <v>1246</v>
      </c>
    </row>
    <row r="1641" spans="1:14" ht="29" x14ac:dyDescent="0.35">
      <c r="A1641" s="121" t="s">
        <v>1248</v>
      </c>
      <c r="B1641" s="99" t="s">
        <v>5611</v>
      </c>
      <c r="C1641" s="121" t="str" cm="1">
        <f t="array" ref="C1641:F1641">_xlfn.TEXTSPLIT('איחוד שאלות'!$B1641,"_")</f>
        <v>affect</v>
      </c>
      <c r="D1641" s="99" t="str">
        <v>trust</v>
      </c>
      <c r="E1641" s="99" t="str">
        <v>media</v>
      </c>
      <c r="F1641" s="99" t="str">
        <v>polls</v>
      </c>
      <c r="G1641" s="100"/>
      <c r="H1641" s="136" t="s">
        <v>3309</v>
      </c>
      <c r="I1641" s="2" t="s">
        <v>5815</v>
      </c>
      <c r="J1641" s="2" t="s">
        <v>5901</v>
      </c>
      <c r="K1641" s="2" t="s">
        <v>6306</v>
      </c>
      <c r="L1641" s="2" t="s">
        <v>6298</v>
      </c>
      <c r="N1641" s="1" t="s">
        <v>1248</v>
      </c>
    </row>
    <row r="1642" spans="1:14" ht="43.5" x14ac:dyDescent="0.35">
      <c r="A1642" s="113" t="s">
        <v>2343</v>
      </c>
      <c r="B1642" s="102" t="s">
        <v>5612</v>
      </c>
      <c r="C1642" s="123" t="str" cm="1">
        <f t="array" ref="C1642:F1642">_xlfn.TEXTSPLIT('איחוד שאלות'!$B1642,"_")</f>
        <v>perception</v>
      </c>
      <c r="D1642" s="102" t="str">
        <v>elections</v>
      </c>
      <c r="E1642" s="102" t="str">
        <v>polls</v>
      </c>
      <c r="F1642" s="102" t="str">
        <v>politician</v>
      </c>
      <c r="G1642" s="103"/>
      <c r="H1642" s="135" t="s">
        <v>3309</v>
      </c>
      <c r="I1642" s="2" t="s">
        <v>5844</v>
      </c>
      <c r="J1642" s="2" t="s">
        <v>5954</v>
      </c>
      <c r="K1642" s="2" t="s">
        <v>6298</v>
      </c>
      <c r="L1642" s="2" t="s">
        <v>6151</v>
      </c>
      <c r="N1642" s="1" t="s">
        <v>2343</v>
      </c>
    </row>
    <row r="1643" spans="1:14" ht="43.5" x14ac:dyDescent="0.35">
      <c r="A1643" s="121" t="s">
        <v>3004</v>
      </c>
      <c r="B1643" s="99" t="s">
        <v>5613</v>
      </c>
      <c r="C1643" s="121" t="str" cm="1">
        <f t="array" ref="C1643:F1643">_xlfn.TEXTSPLIT('איחוד שאלות'!$B1643,"_")</f>
        <v>perception</v>
      </c>
      <c r="D1643" s="99" t="str">
        <v>elections</v>
      </c>
      <c r="E1643" s="99" t="str">
        <v>polls</v>
      </c>
      <c r="F1643" s="99" t="str">
        <v>public</v>
      </c>
      <c r="G1643" s="100"/>
      <c r="H1643" s="136" t="s">
        <v>3309</v>
      </c>
      <c r="I1643" s="2" t="s">
        <v>5844</v>
      </c>
      <c r="J1643" s="2" t="s">
        <v>5954</v>
      </c>
      <c r="K1643" s="2" t="s">
        <v>6298</v>
      </c>
      <c r="L1643" s="2" t="s">
        <v>5912</v>
      </c>
      <c r="N1643" s="1" t="s">
        <v>3004</v>
      </c>
    </row>
    <row r="1644" spans="1:14" ht="72.5" x14ac:dyDescent="0.35">
      <c r="A1644" s="113" t="s">
        <v>1595</v>
      </c>
      <c r="B1644" s="102" t="s">
        <v>5614</v>
      </c>
      <c r="C1644" s="123" t="str" cm="1">
        <f t="array" ref="C1644:F1644">_xlfn.TEXTSPLIT('איחוד שאלות'!$B1644,"_")</f>
        <v>preference</v>
      </c>
      <c r="D1644" s="102" t="str">
        <v>policy</v>
      </c>
      <c r="E1644" s="102" t="str">
        <v>media</v>
      </c>
      <c r="F1644" s="102" t="str">
        <v>banpollsbeforelections</v>
      </c>
      <c r="G1644" s="103"/>
      <c r="H1644" s="135" t="s">
        <v>3309</v>
      </c>
      <c r="I1644" s="2" t="s">
        <v>5856</v>
      </c>
      <c r="J1644" s="2" t="s">
        <v>5882</v>
      </c>
      <c r="K1644" s="2" t="s">
        <v>6306</v>
      </c>
      <c r="L1644" s="2" t="s">
        <v>6749</v>
      </c>
      <c r="N1644" s="1" t="s">
        <v>1595</v>
      </c>
    </row>
    <row r="1645" spans="1:14" ht="29" x14ac:dyDescent="0.35">
      <c r="A1645" s="121" t="s">
        <v>3135</v>
      </c>
      <c r="B1645" s="99" t="s">
        <v>5615</v>
      </c>
      <c r="C1645" s="121" t="str" cm="1">
        <f t="array" ref="C1645:E1645">_xlfn.TEXTSPLIT('איחוד שאלות'!$B1645,"_")</f>
        <v>demography</v>
      </c>
      <c r="D1645" s="99" t="str">
        <v>household</v>
      </c>
      <c r="E1645" s="99" t="str">
        <v>tv</v>
      </c>
      <c r="F1645" s="99"/>
      <c r="G1645" s="100"/>
      <c r="H1645" s="136" t="s">
        <v>3309</v>
      </c>
      <c r="I1645" s="2" t="s">
        <v>5765</v>
      </c>
      <c r="J1645" s="2" t="s">
        <v>5795</v>
      </c>
      <c r="K1645" s="2" t="s">
        <v>6299</v>
      </c>
      <c r="N1645" s="1" t="s">
        <v>3135</v>
      </c>
    </row>
    <row r="1646" spans="1:14" ht="29" x14ac:dyDescent="0.35">
      <c r="A1646" s="113" t="s">
        <v>1774</v>
      </c>
      <c r="B1646" s="102" t="s">
        <v>5616</v>
      </c>
      <c r="C1646" s="123" t="str" cm="1">
        <f t="array" ref="C1646:E1646">_xlfn.TEXTSPLIT('איחוד שאלות'!$B1646,"_")</f>
        <v>demography</v>
      </c>
      <c r="D1646" s="102" t="str">
        <v>household</v>
      </c>
      <c r="E1646" s="102" t="str">
        <v>cables</v>
      </c>
      <c r="F1646" s="102"/>
      <c r="G1646" s="103"/>
      <c r="H1646" s="135" t="s">
        <v>3309</v>
      </c>
      <c r="I1646" s="2" t="s">
        <v>5765</v>
      </c>
      <c r="J1646" s="2" t="s">
        <v>5795</v>
      </c>
      <c r="K1646" s="2" t="s">
        <v>6750</v>
      </c>
      <c r="N1646" s="1" t="s">
        <v>1774</v>
      </c>
    </row>
    <row r="1647" spans="1:14" ht="29" x14ac:dyDescent="0.35">
      <c r="A1647" s="121" t="s">
        <v>1775</v>
      </c>
      <c r="B1647" s="99" t="s">
        <v>5617</v>
      </c>
      <c r="C1647" s="121" t="str" cm="1">
        <f t="array" ref="C1647:E1647">_xlfn.TEXTSPLIT('איחוד שאלות'!$B1647,"_")</f>
        <v>demography</v>
      </c>
      <c r="D1647" s="99" t="str">
        <v>household</v>
      </c>
      <c r="E1647" s="99" t="str">
        <v>channel2</v>
      </c>
      <c r="F1647" s="99"/>
      <c r="G1647" s="100"/>
      <c r="H1647" s="136" t="s">
        <v>3309</v>
      </c>
      <c r="I1647" s="2" t="s">
        <v>5765</v>
      </c>
      <c r="J1647" s="2" t="s">
        <v>5795</v>
      </c>
      <c r="K1647" s="2" t="s">
        <v>6751</v>
      </c>
      <c r="N1647" s="1" t="s">
        <v>1775</v>
      </c>
    </row>
    <row r="1648" spans="1:14" ht="29" x14ac:dyDescent="0.35">
      <c r="A1648" s="113" t="s">
        <v>1776</v>
      </c>
      <c r="B1648" s="102" t="s">
        <v>5618</v>
      </c>
      <c r="C1648" s="123" t="str" cm="1">
        <f t="array" ref="C1648:E1648">_xlfn.TEXTSPLIT('איחוד שאלות'!$B1648,"_")</f>
        <v>demography</v>
      </c>
      <c r="D1648" s="102" t="str">
        <v>household</v>
      </c>
      <c r="E1648" s="102" t="str">
        <v>video</v>
      </c>
      <c r="F1648" s="102"/>
      <c r="G1648" s="103"/>
      <c r="H1648" s="135" t="s">
        <v>3309</v>
      </c>
      <c r="I1648" s="2" t="s">
        <v>5765</v>
      </c>
      <c r="J1648" s="2" t="s">
        <v>5795</v>
      </c>
      <c r="K1648" s="2" t="s">
        <v>6752</v>
      </c>
      <c r="N1648" s="1" t="s">
        <v>1776</v>
      </c>
    </row>
    <row r="1649" spans="1:14" ht="58" x14ac:dyDescent="0.35">
      <c r="A1649" s="121" t="s">
        <v>2743</v>
      </c>
      <c r="B1649" s="99" t="s">
        <v>5622</v>
      </c>
      <c r="C1649" s="121" t="str" cm="1">
        <f t="array" ref="C1649:G1649">_xlfn.TEXTSPLIT('איחוד שאלות'!$B1649,"_")</f>
        <v>behavior</v>
      </c>
      <c r="D1649" s="99" t="str">
        <v>political</v>
      </c>
      <c r="E1649" s="99" t="str">
        <v>media</v>
      </c>
      <c r="F1649" s="99" t="str">
        <v>newspaper</v>
      </c>
      <c r="G1649" s="100" t="str">
        <v>campaignadvertising</v>
      </c>
      <c r="H1649" s="136" t="s">
        <v>3309</v>
      </c>
      <c r="I1649" s="2" t="s">
        <v>5806</v>
      </c>
      <c r="J1649" s="2" t="s">
        <v>5918</v>
      </c>
      <c r="K1649" s="2" t="s">
        <v>6306</v>
      </c>
      <c r="L1649" s="2" t="s">
        <v>6727</v>
      </c>
      <c r="M1649" s="2" t="s">
        <v>6300</v>
      </c>
      <c r="N1649" s="1" t="s">
        <v>2743</v>
      </c>
    </row>
    <row r="1650" spans="1:14" ht="29" x14ac:dyDescent="0.35">
      <c r="A1650" s="113" t="s">
        <v>3065</v>
      </c>
      <c r="B1650" s="102" t="s">
        <v>5623</v>
      </c>
      <c r="C1650" s="123" t="str" cm="1">
        <f t="array" ref="C1650:E1650">_xlfn.TEXTSPLIT('איחוד שאלות'!$B1650,"_")</f>
        <v>behavior</v>
      </c>
      <c r="D1650" s="102" t="str">
        <v>media</v>
      </c>
      <c r="E1650" s="102" t="str">
        <v>radio</v>
      </c>
      <c r="F1650" s="102"/>
      <c r="G1650" s="103"/>
      <c r="H1650" s="135" t="s">
        <v>3309</v>
      </c>
      <c r="I1650" s="2" t="s">
        <v>5806</v>
      </c>
      <c r="J1650" s="2" t="s">
        <v>6306</v>
      </c>
      <c r="K1650" s="2" t="s">
        <v>6302</v>
      </c>
      <c r="N1650" s="1" t="s">
        <v>3065</v>
      </c>
    </row>
    <row r="1651" spans="1:14" ht="29" x14ac:dyDescent="0.35">
      <c r="A1651" s="121" t="s">
        <v>2406</v>
      </c>
      <c r="B1651" s="99" t="s">
        <v>5625</v>
      </c>
      <c r="C1651" s="121" t="str" cm="1">
        <f t="array" ref="C1651:F1651">_xlfn.TEXTSPLIT('איחוד שאלות'!$B1651,"_")</f>
        <v>preference</v>
      </c>
      <c r="D1651" s="99" t="str">
        <v>media</v>
      </c>
      <c r="E1651" s="99" t="str">
        <v>radio</v>
      </c>
      <c r="F1651" s="99" t="str">
        <v>channel</v>
      </c>
      <c r="G1651" s="100"/>
      <c r="H1651" s="136" t="s">
        <v>3309</v>
      </c>
      <c r="I1651" s="2" t="s">
        <v>5856</v>
      </c>
      <c r="J1651" s="2" t="s">
        <v>6306</v>
      </c>
      <c r="K1651" s="2" t="s">
        <v>6302</v>
      </c>
      <c r="L1651" s="2" t="s">
        <v>6729</v>
      </c>
      <c r="N1651" s="1" t="s">
        <v>2406</v>
      </c>
    </row>
    <row r="1652" spans="1:14" ht="58" x14ac:dyDescent="0.35">
      <c r="A1652" s="113" t="s">
        <v>3066</v>
      </c>
      <c r="B1652" s="102" t="s">
        <v>5624</v>
      </c>
      <c r="C1652" s="123" t="str" cm="1">
        <f t="array" ref="C1652:F1652">_xlfn.TEXTSPLIT('איחוד שאלות'!$B1652,"_")</f>
        <v>preference</v>
      </c>
      <c r="D1652" s="102" t="str">
        <v>media</v>
      </c>
      <c r="E1652" s="102" t="str">
        <v>radio</v>
      </c>
      <c r="F1652" s="102" t="str">
        <v>subject</v>
      </c>
      <c r="G1652" s="103"/>
      <c r="H1652" s="135" t="s">
        <v>3309</v>
      </c>
      <c r="I1652" s="2" t="s">
        <v>5856</v>
      </c>
      <c r="J1652" s="2" t="s">
        <v>6306</v>
      </c>
      <c r="K1652" s="2" t="s">
        <v>6302</v>
      </c>
      <c r="L1652" s="2" t="s">
        <v>6753</v>
      </c>
      <c r="N1652" s="1" t="s">
        <v>3066</v>
      </c>
    </row>
    <row r="1653" spans="1:14" ht="116" x14ac:dyDescent="0.35">
      <c r="A1653" s="121" t="s">
        <v>2519</v>
      </c>
      <c r="B1653" s="99" t="s">
        <v>5644</v>
      </c>
      <c r="C1653" s="121" t="str" cm="1">
        <f t="array" ref="C1653:G1653">_xlfn.TEXTSPLIT('איחוד שאלות'!$B1653,"_")</f>
        <v>preference</v>
      </c>
      <c r="D1653" s="99" t="str">
        <v>argument</v>
      </c>
      <c r="E1653" s="99" t="str">
        <v>tv</v>
      </c>
      <c r="F1653" s="99" t="str">
        <v>campaignadvertising</v>
      </c>
      <c r="G1653" s="100" t="str">
        <v>reasonyes</v>
      </c>
      <c r="H1653" s="136" t="s">
        <v>3309</v>
      </c>
      <c r="I1653" s="2" t="s">
        <v>5856</v>
      </c>
      <c r="J1653" s="2" t="s">
        <v>6224</v>
      </c>
      <c r="K1653" s="2" t="s">
        <v>6299</v>
      </c>
      <c r="L1653" s="2" t="s">
        <v>6300</v>
      </c>
      <c r="M1653" s="2" t="s">
        <v>6754</v>
      </c>
      <c r="N1653" s="1" t="s">
        <v>2519</v>
      </c>
    </row>
    <row r="1654" spans="1:14" ht="116" x14ac:dyDescent="0.35">
      <c r="A1654" s="113" t="s">
        <v>2983</v>
      </c>
      <c r="B1654" s="102" t="s">
        <v>5645</v>
      </c>
      <c r="C1654" s="123" t="str" cm="1">
        <f t="array" ref="C1654:G1654">_xlfn.TEXTSPLIT('איחוד שאלות'!$B1654,"_")</f>
        <v>preference</v>
      </c>
      <c r="D1654" s="102" t="str">
        <v>argument</v>
      </c>
      <c r="E1654" s="102" t="str">
        <v>tv</v>
      </c>
      <c r="F1654" s="102" t="str">
        <v>campaignadvertising</v>
      </c>
      <c r="G1654" s="103" t="str">
        <v>reasonno</v>
      </c>
      <c r="H1654" s="135" t="s">
        <v>3309</v>
      </c>
      <c r="I1654" s="2" t="s">
        <v>5856</v>
      </c>
      <c r="J1654" s="2" t="s">
        <v>6224</v>
      </c>
      <c r="K1654" s="2" t="s">
        <v>6299</v>
      </c>
      <c r="L1654" s="2" t="s">
        <v>6300</v>
      </c>
      <c r="M1654" s="2" t="s">
        <v>6755</v>
      </c>
      <c r="N1654" s="1" t="s">
        <v>2983</v>
      </c>
    </row>
    <row r="1655" spans="1:14" ht="43.5" x14ac:dyDescent="0.35">
      <c r="A1655" s="121" t="s">
        <v>2568</v>
      </c>
      <c r="B1655" s="99" t="s">
        <v>5626</v>
      </c>
      <c r="C1655" s="121" t="str" cm="1">
        <f t="array" ref="C1655:F1655">_xlfn.TEXTSPLIT('איחוד שאלות'!$B1655,"_")</f>
        <v>perception</v>
      </c>
      <c r="D1655" s="99" t="str">
        <v>elections</v>
      </c>
      <c r="E1655" s="99" t="str">
        <v>campaignadvertising</v>
      </c>
      <c r="F1655" s="99" t="str">
        <v>likud</v>
      </c>
      <c r="G1655" s="100"/>
      <c r="H1655" s="136" t="s">
        <v>3309</v>
      </c>
      <c r="I1655" s="2" t="s">
        <v>5844</v>
      </c>
      <c r="J1655" s="2" t="s">
        <v>5954</v>
      </c>
      <c r="K1655" s="2" t="s">
        <v>6300</v>
      </c>
      <c r="L1655" s="2" t="s">
        <v>6030</v>
      </c>
      <c r="N1655" s="1" t="s">
        <v>2568</v>
      </c>
    </row>
    <row r="1656" spans="1:14" ht="43.5" x14ac:dyDescent="0.35">
      <c r="A1656" s="113" t="s">
        <v>2569</v>
      </c>
      <c r="B1656" s="102" t="s">
        <v>5627</v>
      </c>
      <c r="C1656" s="123" t="str" cm="1">
        <f t="array" ref="C1656:F1656">_xlfn.TEXTSPLIT('איחוד שאלות'!$B1656,"_")</f>
        <v>perception</v>
      </c>
      <c r="D1656" s="102" t="str">
        <v>elections</v>
      </c>
      <c r="E1656" s="102" t="str">
        <v>campaignadvertising</v>
      </c>
      <c r="F1656" s="102" t="str">
        <v>Hamaarakh</v>
      </c>
      <c r="G1656" s="103"/>
      <c r="H1656" s="135" t="s">
        <v>3309</v>
      </c>
      <c r="I1656" s="2" t="s">
        <v>5844</v>
      </c>
      <c r="J1656" s="2" t="s">
        <v>5954</v>
      </c>
      <c r="K1656" s="2" t="s">
        <v>6300</v>
      </c>
      <c r="L1656" s="2" t="s">
        <v>5978</v>
      </c>
      <c r="N1656" s="1" t="s">
        <v>2569</v>
      </c>
    </row>
    <row r="1657" spans="1:14" ht="58" x14ac:dyDescent="0.35">
      <c r="A1657" s="121" t="s">
        <v>2584</v>
      </c>
      <c r="B1657" s="99" t="s">
        <v>5622</v>
      </c>
      <c r="C1657" s="121" t="str" cm="1">
        <f t="array" ref="C1657:G1657">_xlfn.TEXTSPLIT('איחוד שאלות'!$B1657,"_")</f>
        <v>behavior</v>
      </c>
      <c r="D1657" s="99" t="str">
        <v>political</v>
      </c>
      <c r="E1657" s="99" t="str">
        <v>media</v>
      </c>
      <c r="F1657" s="99" t="str">
        <v>newspaper</v>
      </c>
      <c r="G1657" s="100" t="str">
        <v>campaignadvertising</v>
      </c>
      <c r="H1657" s="136" t="s">
        <v>3309</v>
      </c>
      <c r="I1657" s="2" t="s">
        <v>5806</v>
      </c>
      <c r="J1657" s="2" t="s">
        <v>5918</v>
      </c>
      <c r="K1657" s="2" t="s">
        <v>6306</v>
      </c>
      <c r="L1657" s="2" t="s">
        <v>6727</v>
      </c>
      <c r="M1657" s="2" t="s">
        <v>6300</v>
      </c>
      <c r="N1657" s="1" t="s">
        <v>2584</v>
      </c>
    </row>
    <row r="1658" spans="1:14" ht="72.5" x14ac:dyDescent="0.35">
      <c r="A1658" s="113" t="s">
        <v>2703</v>
      </c>
      <c r="B1658" s="102" t="s">
        <v>5628</v>
      </c>
      <c r="C1658" s="123" t="str" cm="1">
        <f t="array" ref="C1658:F1658">_xlfn.TEXTSPLIT('איחוד שאלות'!$B1658,"_")</f>
        <v>perception</v>
      </c>
      <c r="D1658" s="102" t="str">
        <v>media</v>
      </c>
      <c r="E1658" s="102" t="str">
        <v>campaignadvertising</v>
      </c>
      <c r="F1658" s="102" t="str">
        <v>problem</v>
      </c>
      <c r="G1658" s="103"/>
      <c r="H1658" s="135" t="s">
        <v>3309</v>
      </c>
      <c r="I1658" s="2" t="s">
        <v>5844</v>
      </c>
      <c r="J1658" s="2" t="s">
        <v>6306</v>
      </c>
      <c r="K1658" s="2" t="s">
        <v>6300</v>
      </c>
      <c r="L1658" s="2" t="s">
        <v>5849</v>
      </c>
      <c r="N1658" s="1" t="s">
        <v>2703</v>
      </c>
    </row>
    <row r="1659" spans="1:14" ht="43.5" x14ac:dyDescent="0.35">
      <c r="A1659" s="121" t="s">
        <v>2707</v>
      </c>
      <c r="B1659" s="99" t="s">
        <v>5629</v>
      </c>
      <c r="C1659" s="121" t="str" cm="1">
        <f t="array" ref="C1659:F1659">_xlfn.TEXTSPLIT('איחוד שאלות'!$B1659,"_")</f>
        <v>perception</v>
      </c>
      <c r="D1659" s="99" t="str">
        <v>importance</v>
      </c>
      <c r="E1659" s="99" t="str">
        <v>elections</v>
      </c>
      <c r="F1659" s="99" t="str">
        <v>campaignadvertising</v>
      </c>
      <c r="G1659" s="100"/>
      <c r="H1659" s="136" t="s">
        <v>3309</v>
      </c>
      <c r="I1659" s="2" t="s">
        <v>5844</v>
      </c>
      <c r="J1659" s="2" t="s">
        <v>5857</v>
      </c>
      <c r="K1659" s="2" t="s">
        <v>5954</v>
      </c>
      <c r="L1659" s="2" t="s">
        <v>6300</v>
      </c>
      <c r="N1659" s="1" t="s">
        <v>2707</v>
      </c>
    </row>
    <row r="1660" spans="1:14" ht="58" x14ac:dyDescent="0.35">
      <c r="A1660" s="113" t="s">
        <v>2742</v>
      </c>
      <c r="B1660" s="102" t="s">
        <v>5630</v>
      </c>
      <c r="C1660" s="123" t="str" cm="1">
        <f t="array" ref="C1660:F1660">_xlfn.TEXTSPLIT('איחוד שאלות'!$B1660,"_")</f>
        <v>behavior</v>
      </c>
      <c r="D1660" s="102" t="str">
        <v>political</v>
      </c>
      <c r="E1660" s="102" t="str">
        <v>elections</v>
      </c>
      <c r="F1660" s="102" t="str">
        <v>read</v>
      </c>
      <c r="G1660" s="103"/>
      <c r="H1660" s="135" t="s">
        <v>3309</v>
      </c>
      <c r="I1660" s="2" t="s">
        <v>5806</v>
      </c>
      <c r="J1660" s="2" t="s">
        <v>5918</v>
      </c>
      <c r="K1660" s="2" t="s">
        <v>5954</v>
      </c>
      <c r="L1660" s="2" t="s">
        <v>5943</v>
      </c>
      <c r="N1660" s="1" t="s">
        <v>2742</v>
      </c>
    </row>
    <row r="1661" spans="1:14" ht="58" x14ac:dyDescent="0.35">
      <c r="A1661" s="121" t="s">
        <v>2744</v>
      </c>
      <c r="B1661" s="99" t="s">
        <v>5631</v>
      </c>
      <c r="C1661" s="121" t="str" cm="1">
        <f t="array" ref="C1661:G1661">_xlfn.TEXTSPLIT('איחוד שאלות'!$B1661,"_")</f>
        <v>behavior</v>
      </c>
      <c r="D1661" s="99" t="str">
        <v>political</v>
      </c>
      <c r="E1661" s="99" t="str">
        <v>media</v>
      </c>
      <c r="F1661" s="99" t="str">
        <v>campaignadvertising</v>
      </c>
      <c r="G1661" s="100" t="str">
        <v>similaropinions</v>
      </c>
      <c r="H1661" s="136" t="s">
        <v>3309</v>
      </c>
      <c r="I1661" s="2" t="s">
        <v>5806</v>
      </c>
      <c r="J1661" s="2" t="s">
        <v>5918</v>
      </c>
      <c r="K1661" s="2" t="s">
        <v>6306</v>
      </c>
      <c r="L1661" s="2" t="s">
        <v>6300</v>
      </c>
      <c r="M1661" s="2" t="s">
        <v>6756</v>
      </c>
      <c r="N1661" s="1" t="s">
        <v>2744</v>
      </c>
    </row>
    <row r="1662" spans="1:14" ht="58" x14ac:dyDescent="0.35">
      <c r="A1662" s="113" t="s">
        <v>2745</v>
      </c>
      <c r="B1662" s="102" t="s">
        <v>5632</v>
      </c>
      <c r="C1662" s="123" t="str" cm="1">
        <f t="array" ref="C1662:G1662">_xlfn.TEXTSPLIT('איחוד שאלות'!$B1662,"_")</f>
        <v>behavior</v>
      </c>
      <c r="D1662" s="102" t="str">
        <v>political</v>
      </c>
      <c r="E1662" s="102" t="str">
        <v>media</v>
      </c>
      <c r="F1662" s="102" t="str">
        <v>campaignadvertising</v>
      </c>
      <c r="G1662" s="103" t="str">
        <v>differentopinions</v>
      </c>
      <c r="H1662" s="135" t="s">
        <v>3309</v>
      </c>
      <c r="I1662" s="2" t="s">
        <v>5806</v>
      </c>
      <c r="J1662" s="2" t="s">
        <v>5918</v>
      </c>
      <c r="K1662" s="2" t="s">
        <v>6306</v>
      </c>
      <c r="L1662" s="2" t="s">
        <v>6300</v>
      </c>
      <c r="M1662" s="2" t="s">
        <v>6757</v>
      </c>
      <c r="N1662" s="1" t="s">
        <v>2745</v>
      </c>
    </row>
    <row r="1663" spans="1:14" ht="43.5" x14ac:dyDescent="0.35">
      <c r="A1663" s="121" t="s">
        <v>2746</v>
      </c>
      <c r="B1663" s="99" t="s">
        <v>5633</v>
      </c>
      <c r="C1663" s="121" t="str" cm="1">
        <f t="array" ref="C1663:G1663">_xlfn.TEXTSPLIT('איחוד שאלות'!$B1663,"_")</f>
        <v>behavior</v>
      </c>
      <c r="D1663" s="99" t="str">
        <v>political</v>
      </c>
      <c r="E1663" s="99" t="str">
        <v>media</v>
      </c>
      <c r="F1663" s="99" t="str">
        <v>radio</v>
      </c>
      <c r="G1663" s="100" t="str">
        <v>campaignadvertising</v>
      </c>
      <c r="H1663" s="136" t="s">
        <v>3309</v>
      </c>
      <c r="I1663" s="2" t="s">
        <v>5806</v>
      </c>
      <c r="J1663" s="2" t="s">
        <v>5918</v>
      </c>
      <c r="K1663" s="2" t="s">
        <v>6306</v>
      </c>
      <c r="L1663" s="2" t="s">
        <v>6302</v>
      </c>
      <c r="M1663" s="2" t="s">
        <v>6300</v>
      </c>
      <c r="N1663" s="1" t="s">
        <v>2746</v>
      </c>
    </row>
    <row r="1664" spans="1:14" ht="58" x14ac:dyDescent="0.35">
      <c r="A1664" s="113" t="s">
        <v>2747</v>
      </c>
      <c r="B1664" s="102" t="s">
        <v>5634</v>
      </c>
      <c r="C1664" s="123" t="e" cm="1" vm="1">
        <f t="array" aca="1" ref="C1664" ca="1">_xlfn.TEXTSPLIT('איחוד שאלות'!$B1664,"_")</f>
        <v>#VALUE!</v>
      </c>
      <c r="D1664" s="102"/>
      <c r="E1664" s="102"/>
      <c r="F1664" s="102"/>
      <c r="G1664" s="103"/>
      <c r="H1664" s="135" t="s">
        <v>3309</v>
      </c>
      <c r="I1664" s="2" t="e" vm="1">
        <v>#VALUE!</v>
      </c>
      <c r="N1664" s="1" t="s">
        <v>2747</v>
      </c>
    </row>
    <row r="1665" spans="1:14" ht="101.5" x14ac:dyDescent="0.35">
      <c r="A1665" s="121" t="s">
        <v>2805</v>
      </c>
      <c r="B1665" s="99" t="s">
        <v>5635</v>
      </c>
      <c r="C1665" s="121" t="str" cm="1">
        <f t="array" ref="C1665:G1665">_xlfn.TEXTSPLIT('איחוד שאלות'!$B1665,"_")</f>
        <v>preference</v>
      </c>
      <c r="D1665" s="99" t="str">
        <v>media</v>
      </c>
      <c r="E1665" s="99" t="str">
        <v>tv</v>
      </c>
      <c r="F1665" s="99" t="str">
        <v>campaignadvertising</v>
      </c>
      <c r="G1665" s="100" t="str">
        <v>politician1</v>
      </c>
      <c r="H1665" s="136" t="s">
        <v>3309</v>
      </c>
      <c r="I1665" s="2" t="s">
        <v>5856</v>
      </c>
      <c r="J1665" s="2" t="s">
        <v>6306</v>
      </c>
      <c r="K1665" s="2" t="s">
        <v>6299</v>
      </c>
      <c r="L1665" s="2" t="s">
        <v>6300</v>
      </c>
      <c r="M1665" s="2" t="s">
        <v>6758</v>
      </c>
      <c r="N1665" s="1" t="s">
        <v>2805</v>
      </c>
    </row>
    <row r="1666" spans="1:14" ht="43.5" x14ac:dyDescent="0.35">
      <c r="A1666" s="113" t="s">
        <v>2836</v>
      </c>
      <c r="B1666" s="102" t="s">
        <v>5636</v>
      </c>
      <c r="C1666" s="123" t="str" cm="1">
        <f t="array" ref="C1666:G1666">_xlfn.TEXTSPLIT('איחוד שאלות'!$B1666,"_")</f>
        <v>preference</v>
      </c>
      <c r="D1666" s="102" t="str">
        <v>media</v>
      </c>
      <c r="E1666" s="102" t="str">
        <v>tv</v>
      </c>
      <c r="F1666" s="102" t="str">
        <v>campaignadvertising</v>
      </c>
      <c r="G1666" s="103" t="str">
        <v>politician2</v>
      </c>
      <c r="H1666" s="135" t="s">
        <v>3309</v>
      </c>
      <c r="I1666" s="2" t="s">
        <v>5856</v>
      </c>
      <c r="J1666" s="2" t="s">
        <v>6306</v>
      </c>
      <c r="K1666" s="2" t="s">
        <v>6299</v>
      </c>
      <c r="L1666" s="2" t="s">
        <v>6300</v>
      </c>
      <c r="M1666" s="2" t="s">
        <v>6759</v>
      </c>
      <c r="N1666" s="1" t="s">
        <v>2836</v>
      </c>
    </row>
    <row r="1667" spans="1:14" ht="145" x14ac:dyDescent="0.35">
      <c r="A1667" s="121" t="s">
        <v>4000</v>
      </c>
      <c r="B1667" s="99" t="s">
        <v>5665</v>
      </c>
      <c r="C1667" s="121" t="str" cm="1">
        <f t="array" ref="C1667:G1667">_xlfn.TEXTSPLIT('איחוד שאלות'!$B1667,"_")</f>
        <v>preference</v>
      </c>
      <c r="D1667" s="99" t="str">
        <v>media</v>
      </c>
      <c r="E1667" s="99" t="str">
        <v>tv</v>
      </c>
      <c r="F1667" s="99" t="str">
        <v>campaignadvertising</v>
      </c>
      <c r="G1667" s="100" t="str">
        <v>publicvspersonal1</v>
      </c>
      <c r="H1667" s="136" t="s">
        <v>3309</v>
      </c>
      <c r="I1667" s="2" t="s">
        <v>5856</v>
      </c>
      <c r="J1667" s="2" t="s">
        <v>6306</v>
      </c>
      <c r="K1667" s="2" t="s">
        <v>6299</v>
      </c>
      <c r="L1667" s="2" t="s">
        <v>6300</v>
      </c>
      <c r="M1667" s="2" t="s">
        <v>6760</v>
      </c>
      <c r="N1667" s="1" t="s">
        <v>7560</v>
      </c>
    </row>
    <row r="1668" spans="1:14" ht="145" x14ac:dyDescent="0.35">
      <c r="A1668" s="113" t="s">
        <v>4001</v>
      </c>
      <c r="B1668" s="102" t="s">
        <v>5666</v>
      </c>
      <c r="C1668" s="123" t="str" cm="1">
        <f t="array" ref="C1668:G1668">_xlfn.TEXTSPLIT('איחוד שאלות'!$B1668,"_")</f>
        <v>preference</v>
      </c>
      <c r="D1668" s="102" t="str">
        <v>media</v>
      </c>
      <c r="E1668" s="102" t="str">
        <v>tv</v>
      </c>
      <c r="F1668" s="102" t="str">
        <v>campaignadvertising</v>
      </c>
      <c r="G1668" s="103" t="str">
        <v>publicvspersonal2</v>
      </c>
      <c r="H1668" s="135" t="s">
        <v>3309</v>
      </c>
      <c r="I1668" s="2" t="s">
        <v>5856</v>
      </c>
      <c r="J1668" s="2" t="s">
        <v>6306</v>
      </c>
      <c r="K1668" s="2" t="s">
        <v>6299</v>
      </c>
      <c r="L1668" s="2" t="s">
        <v>6300</v>
      </c>
      <c r="M1668" s="2" t="s">
        <v>6761</v>
      </c>
      <c r="N1668" s="1" t="s">
        <v>7561</v>
      </c>
    </row>
    <row r="1669" spans="1:14" ht="58" x14ac:dyDescent="0.35">
      <c r="A1669" s="121" t="s">
        <v>2806</v>
      </c>
      <c r="B1669" s="99" t="s">
        <v>5637</v>
      </c>
      <c r="C1669" s="121" t="str" cm="1">
        <f t="array" ref="C1669:G1669">_xlfn.TEXTSPLIT('איחוד שאלות'!$B1669,"_")</f>
        <v>preference</v>
      </c>
      <c r="D1669" s="99" t="str">
        <v>media</v>
      </c>
      <c r="E1669" s="99" t="str">
        <v>tv</v>
      </c>
      <c r="F1669" s="99" t="str">
        <v>campaignadvertising</v>
      </c>
      <c r="G1669" s="100" t="str">
        <v>debatvsseparate</v>
      </c>
      <c r="H1669" s="136" t="s">
        <v>3309</v>
      </c>
      <c r="I1669" s="2" t="s">
        <v>5856</v>
      </c>
      <c r="J1669" s="2" t="s">
        <v>6306</v>
      </c>
      <c r="K1669" s="2" t="s">
        <v>6299</v>
      </c>
      <c r="L1669" s="2" t="s">
        <v>6300</v>
      </c>
      <c r="M1669" s="2" t="s">
        <v>6762</v>
      </c>
      <c r="N1669" s="1" t="s">
        <v>2806</v>
      </c>
    </row>
    <row r="1670" spans="1:14" ht="43.5" x14ac:dyDescent="0.35">
      <c r="A1670" s="113" t="s">
        <v>2834</v>
      </c>
      <c r="B1670" s="102" t="s">
        <v>5638</v>
      </c>
      <c r="C1670" s="123" t="str" cm="1">
        <f t="array" ref="C1670:G1670">_xlfn.TEXTSPLIT('איחוד שאלות'!$B1670,"_")</f>
        <v>behavior</v>
      </c>
      <c r="D1670" s="102" t="str">
        <v>political</v>
      </c>
      <c r="E1670" s="102" t="str">
        <v>media</v>
      </c>
      <c r="F1670" s="102" t="str">
        <v>newspaper</v>
      </c>
      <c r="G1670" s="103" t="str">
        <v>electionssection</v>
      </c>
      <c r="H1670" s="135" t="s">
        <v>3309</v>
      </c>
      <c r="I1670" s="2" t="s">
        <v>5806</v>
      </c>
      <c r="J1670" s="2" t="s">
        <v>5918</v>
      </c>
      <c r="K1670" s="2" t="s">
        <v>6306</v>
      </c>
      <c r="L1670" s="2" t="s">
        <v>6727</v>
      </c>
      <c r="M1670" s="2" t="s">
        <v>6763</v>
      </c>
      <c r="N1670" s="1" t="s">
        <v>2834</v>
      </c>
    </row>
    <row r="1671" spans="1:14" ht="72.5" x14ac:dyDescent="0.35">
      <c r="A1671" s="121" t="s">
        <v>2957</v>
      </c>
      <c r="B1671" s="99" t="s">
        <v>5639</v>
      </c>
      <c r="C1671" s="121" t="str" cm="1">
        <f t="array" ref="C1671:E1671">_xlfn.TEXTSPLIT('איחוד שאלות'!$B1671,"_")</f>
        <v>preference</v>
      </c>
      <c r="D1671" s="99" t="str">
        <v>media</v>
      </c>
      <c r="E1671" s="99" t="str">
        <v>medium</v>
      </c>
      <c r="F1671" s="99"/>
      <c r="G1671" s="100"/>
      <c r="H1671" s="136" t="s">
        <v>3309</v>
      </c>
      <c r="I1671" s="2" t="s">
        <v>5856</v>
      </c>
      <c r="J1671" s="2" t="s">
        <v>6306</v>
      </c>
      <c r="K1671" s="2" t="s">
        <v>6764</v>
      </c>
      <c r="N1671" s="1" t="s">
        <v>2957</v>
      </c>
    </row>
    <row r="1672" spans="1:14" ht="29" x14ac:dyDescent="0.35">
      <c r="A1672" s="113" t="s">
        <v>2509</v>
      </c>
      <c r="B1672" s="102" t="s">
        <v>5640</v>
      </c>
      <c r="C1672" s="123" t="str" cm="1">
        <f t="array" ref="C1672:E1672">_xlfn.TEXTSPLIT('איחוד שאלות'!$B1672,"_")</f>
        <v>demography</v>
      </c>
      <c r="D1672" s="102" t="str">
        <v>household</v>
      </c>
      <c r="E1672" s="102" t="str">
        <v>phone</v>
      </c>
      <c r="F1672" s="102"/>
      <c r="G1672" s="103"/>
      <c r="H1672" s="135" t="s">
        <v>3309</v>
      </c>
      <c r="I1672" s="2" t="s">
        <v>5765</v>
      </c>
      <c r="J1672" s="2" t="s">
        <v>5795</v>
      </c>
      <c r="K1672" s="2" t="s">
        <v>6465</v>
      </c>
      <c r="N1672" s="1" t="s">
        <v>2509</v>
      </c>
    </row>
    <row r="1673" spans="1:14" ht="43.5" x14ac:dyDescent="0.35">
      <c r="A1673" s="121" t="s">
        <v>2973</v>
      </c>
      <c r="B1673" s="99" t="s">
        <v>5641</v>
      </c>
      <c r="C1673" s="121" t="str" cm="1">
        <f t="array" ref="C1673:F1673">_xlfn.TEXTSPLIT('איחוד שאלות'!$B1673,"_")</f>
        <v>behavior</v>
      </c>
      <c r="D1673" s="99" t="str">
        <v>media</v>
      </c>
      <c r="E1673" s="99" t="str">
        <v>tv</v>
      </c>
      <c r="F1673" s="99" t="str">
        <v>frequency</v>
      </c>
      <c r="G1673" s="100"/>
      <c r="H1673" s="136" t="s">
        <v>3309</v>
      </c>
      <c r="I1673" s="2" t="s">
        <v>5806</v>
      </c>
      <c r="J1673" s="2" t="s">
        <v>6306</v>
      </c>
      <c r="K1673" s="2" t="s">
        <v>6299</v>
      </c>
      <c r="L1673" s="2" t="s">
        <v>6765</v>
      </c>
      <c r="N1673" s="1" t="s">
        <v>2973</v>
      </c>
    </row>
    <row r="1674" spans="1:14" ht="72.5" x14ac:dyDescent="0.35">
      <c r="A1674" s="113" t="s">
        <v>3080</v>
      </c>
      <c r="B1674" s="102" t="s">
        <v>5642</v>
      </c>
      <c r="C1674" s="123" t="str" cm="1">
        <f t="array" ref="C1674:F1674">_xlfn.TEXTSPLIT('איחוד שאלות'!$B1674,"_")</f>
        <v>behavior</v>
      </c>
      <c r="D1674" s="102" t="str">
        <v>media</v>
      </c>
      <c r="E1674" s="102" t="str">
        <v>tv</v>
      </c>
      <c r="F1674" s="102" t="str">
        <v>subject</v>
      </c>
      <c r="G1674" s="103"/>
      <c r="H1674" s="135" t="s">
        <v>3309</v>
      </c>
      <c r="I1674" s="2" t="s">
        <v>5806</v>
      </c>
      <c r="J1674" s="2" t="s">
        <v>6306</v>
      </c>
      <c r="K1674" s="2" t="s">
        <v>6299</v>
      </c>
      <c r="L1674" s="2" t="s">
        <v>6753</v>
      </c>
      <c r="N1674" s="1" t="s">
        <v>3080</v>
      </c>
    </row>
    <row r="1675" spans="1:14" ht="145" x14ac:dyDescent="0.35">
      <c r="A1675" s="121" t="s">
        <v>4002</v>
      </c>
      <c r="B1675" s="99" t="s">
        <v>5646</v>
      </c>
      <c r="C1675" s="121" t="str" cm="1">
        <f t="array" ref="C1675:G1675">_xlfn.TEXTSPLIT('איחוד שאלות'!$B1675,"_")</f>
        <v>perception</v>
      </c>
      <c r="D1675" s="99" t="str">
        <v>argument</v>
      </c>
      <c r="E1675" s="99" t="str">
        <v>campaignadvertising</v>
      </c>
      <c r="F1675" s="99" t="str">
        <v>reasonyes</v>
      </c>
      <c r="G1675" s="100" t="str">
        <v>knowledgefordebates</v>
      </c>
      <c r="H1675" s="136" t="s">
        <v>3309</v>
      </c>
      <c r="I1675" s="2" t="s">
        <v>5844</v>
      </c>
      <c r="J1675" s="2" t="s">
        <v>6224</v>
      </c>
      <c r="K1675" s="2" t="s">
        <v>6300</v>
      </c>
      <c r="L1675" s="2" t="s">
        <v>6754</v>
      </c>
      <c r="M1675" s="2" t="s">
        <v>6766</v>
      </c>
      <c r="N1675" s="1" t="s">
        <v>7562</v>
      </c>
    </row>
    <row r="1676" spans="1:14" ht="130.5" x14ac:dyDescent="0.35">
      <c r="A1676" s="113" t="s">
        <v>4003</v>
      </c>
      <c r="B1676" s="102" t="s">
        <v>5647</v>
      </c>
      <c r="C1676" s="123" t="str" cm="1">
        <f t="array" ref="C1676:G1676">_xlfn.TEXTSPLIT('איחוד שאלות'!$B1676,"_")</f>
        <v>perception</v>
      </c>
      <c r="D1676" s="102" t="str">
        <v>argument</v>
      </c>
      <c r="E1676" s="102" t="str">
        <v>campaignadvertising</v>
      </c>
      <c r="F1676" s="102" t="str">
        <v>reasonyes</v>
      </c>
      <c r="G1676" s="103" t="str">
        <v>knowledgepoliticians</v>
      </c>
      <c r="H1676" s="135" t="s">
        <v>3309</v>
      </c>
      <c r="I1676" s="2" t="s">
        <v>5844</v>
      </c>
      <c r="J1676" s="2" t="s">
        <v>6224</v>
      </c>
      <c r="K1676" s="2" t="s">
        <v>6300</v>
      </c>
      <c r="L1676" s="2" t="s">
        <v>6754</v>
      </c>
      <c r="M1676" s="2" t="s">
        <v>6767</v>
      </c>
      <c r="N1676" s="1" t="s">
        <v>7563</v>
      </c>
    </row>
    <row r="1677" spans="1:14" ht="145" x14ac:dyDescent="0.35">
      <c r="A1677" s="121" t="s">
        <v>4004</v>
      </c>
      <c r="B1677" s="99" t="s">
        <v>5648</v>
      </c>
      <c r="C1677" s="121" t="str" cm="1">
        <f t="array" ref="C1677:G1677">_xlfn.TEXTSPLIT('איחוד שאלות'!$B1677,"_")</f>
        <v>perception</v>
      </c>
      <c r="D1677" s="99" t="str">
        <v>argument</v>
      </c>
      <c r="E1677" s="99" t="str">
        <v>campaignadvertising</v>
      </c>
      <c r="F1677" s="99" t="str">
        <v>reasonyes</v>
      </c>
      <c r="G1677" s="100" t="str">
        <v>knowledgeparty</v>
      </c>
      <c r="H1677" s="136" t="s">
        <v>3309</v>
      </c>
      <c r="I1677" s="2" t="s">
        <v>5844</v>
      </c>
      <c r="J1677" s="2" t="s">
        <v>6224</v>
      </c>
      <c r="K1677" s="2" t="s">
        <v>6300</v>
      </c>
      <c r="L1677" s="2" t="s">
        <v>6754</v>
      </c>
      <c r="M1677" s="2" t="s">
        <v>6768</v>
      </c>
      <c r="N1677" s="1" t="s">
        <v>7564</v>
      </c>
    </row>
    <row r="1678" spans="1:14" ht="130.5" x14ac:dyDescent="0.35">
      <c r="A1678" s="113" t="s">
        <v>4005</v>
      </c>
      <c r="B1678" s="102" t="s">
        <v>5649</v>
      </c>
      <c r="C1678" s="123" t="str" cm="1">
        <f t="array" ref="C1678:G1678">_xlfn.TEXTSPLIT('איחוד שאלות'!$B1678,"_")</f>
        <v>perception</v>
      </c>
      <c r="D1678" s="102" t="str">
        <v>argument</v>
      </c>
      <c r="E1678" s="102" t="str">
        <v>campaignadvertising</v>
      </c>
      <c r="F1678" s="102" t="str">
        <v>reasonyes</v>
      </c>
      <c r="G1678" s="103" t="str">
        <v>helpdecisionvote</v>
      </c>
      <c r="H1678" s="135" t="s">
        <v>3309</v>
      </c>
      <c r="I1678" s="2" t="s">
        <v>5844</v>
      </c>
      <c r="J1678" s="2" t="s">
        <v>6224</v>
      </c>
      <c r="K1678" s="2" t="s">
        <v>6300</v>
      </c>
      <c r="L1678" s="2" t="s">
        <v>6754</v>
      </c>
      <c r="M1678" s="2" t="s">
        <v>6769</v>
      </c>
      <c r="N1678" s="1" t="s">
        <v>7565</v>
      </c>
    </row>
    <row r="1679" spans="1:14" ht="145" x14ac:dyDescent="0.35">
      <c r="A1679" s="121" t="s">
        <v>4006</v>
      </c>
      <c r="B1679" s="99" t="s">
        <v>5650</v>
      </c>
      <c r="C1679" s="121" t="str" cm="1">
        <f t="array" ref="C1679:G1679">_xlfn.TEXTSPLIT('איחוד שאלות'!$B1679,"_")</f>
        <v>perception</v>
      </c>
      <c r="D1679" s="99" t="str">
        <v>argument</v>
      </c>
      <c r="E1679" s="99" t="str">
        <v>campaignadvertising</v>
      </c>
      <c r="F1679" s="99" t="str">
        <v>reasonyes</v>
      </c>
      <c r="G1679" s="100" t="str">
        <v>reevaluatfavoritparty</v>
      </c>
      <c r="H1679" s="136" t="s">
        <v>3309</v>
      </c>
      <c r="I1679" s="2" t="s">
        <v>5844</v>
      </c>
      <c r="J1679" s="2" t="s">
        <v>6224</v>
      </c>
      <c r="K1679" s="2" t="s">
        <v>6300</v>
      </c>
      <c r="L1679" s="2" t="s">
        <v>6754</v>
      </c>
      <c r="M1679" s="2" t="s">
        <v>6770</v>
      </c>
      <c r="N1679" s="1" t="s">
        <v>7566</v>
      </c>
    </row>
    <row r="1680" spans="1:14" ht="145" x14ac:dyDescent="0.35">
      <c r="A1680" s="113" t="s">
        <v>4007</v>
      </c>
      <c r="B1680" s="102" t="s">
        <v>5651</v>
      </c>
      <c r="C1680" s="123" t="str" cm="1">
        <f t="array" ref="C1680:G1680">_xlfn.TEXTSPLIT('איחוד שאלות'!$B1680,"_")</f>
        <v>perception</v>
      </c>
      <c r="D1680" s="102" t="str">
        <v>argument</v>
      </c>
      <c r="E1680" s="102" t="str">
        <v>campaignadvertising</v>
      </c>
      <c r="F1680" s="102" t="str">
        <v>reasonyes</v>
      </c>
      <c r="G1680" s="103" t="str">
        <v>evaluatwinchance</v>
      </c>
      <c r="H1680" s="135" t="s">
        <v>3309</v>
      </c>
      <c r="I1680" s="2" t="s">
        <v>5844</v>
      </c>
      <c r="J1680" s="2" t="s">
        <v>6224</v>
      </c>
      <c r="K1680" s="2" t="s">
        <v>6300</v>
      </c>
      <c r="L1680" s="2" t="s">
        <v>6754</v>
      </c>
      <c r="M1680" s="2" t="s">
        <v>6771</v>
      </c>
      <c r="N1680" s="1" t="s">
        <v>7567</v>
      </c>
    </row>
    <row r="1681" spans="1:14" ht="130.5" x14ac:dyDescent="0.35">
      <c r="A1681" s="121" t="s">
        <v>4008</v>
      </c>
      <c r="B1681" s="99" t="s">
        <v>5652</v>
      </c>
      <c r="C1681" s="121" t="str" cm="1">
        <f t="array" ref="C1681:G1681">_xlfn.TEXTSPLIT('איחוד שאלות'!$B1681,"_")</f>
        <v>perception</v>
      </c>
      <c r="D1681" s="99" t="str">
        <v>argument</v>
      </c>
      <c r="E1681" s="99" t="str">
        <v>campaignadvertising</v>
      </c>
      <c r="F1681" s="99" t="str">
        <v>reasonyes</v>
      </c>
      <c r="G1681" s="100" t="str">
        <v>knowledgepoliticalcondition</v>
      </c>
      <c r="H1681" s="136" t="s">
        <v>3309</v>
      </c>
      <c r="I1681" s="2" t="s">
        <v>5844</v>
      </c>
      <c r="J1681" s="2" t="s">
        <v>6224</v>
      </c>
      <c r="K1681" s="2" t="s">
        <v>6300</v>
      </c>
      <c r="L1681" s="2" t="s">
        <v>6754</v>
      </c>
      <c r="M1681" s="2" t="s">
        <v>6772</v>
      </c>
      <c r="N1681" s="1" t="s">
        <v>7568</v>
      </c>
    </row>
    <row r="1682" spans="1:14" ht="130.5" x14ac:dyDescent="0.35">
      <c r="A1682" s="113" t="s">
        <v>4009</v>
      </c>
      <c r="B1682" s="102" t="s">
        <v>5654</v>
      </c>
      <c r="C1682" s="123" t="str" cm="1">
        <f t="array" ref="C1682:G1682">_xlfn.TEXTSPLIT('איחוד שאלות'!$B1682,"_")</f>
        <v>perception</v>
      </c>
      <c r="D1682" s="102" t="str">
        <v>argument</v>
      </c>
      <c r="E1682" s="102" t="str">
        <v>campaignadvertising</v>
      </c>
      <c r="F1682" s="102" t="str">
        <v>reasonyes</v>
      </c>
      <c r="G1682" s="103" t="str">
        <v>affecthappinessstruggle</v>
      </c>
      <c r="H1682" s="135" t="s">
        <v>3309</v>
      </c>
      <c r="I1682" s="2" t="s">
        <v>5844</v>
      </c>
      <c r="J1682" s="2" t="s">
        <v>6224</v>
      </c>
      <c r="K1682" s="2" t="s">
        <v>6300</v>
      </c>
      <c r="L1682" s="2" t="s">
        <v>6754</v>
      </c>
      <c r="M1682" s="2" t="s">
        <v>6773</v>
      </c>
      <c r="N1682" s="1" t="s">
        <v>7569</v>
      </c>
    </row>
    <row r="1683" spans="1:14" ht="145" x14ac:dyDescent="0.35">
      <c r="A1683" s="121" t="s">
        <v>4010</v>
      </c>
      <c r="B1683" s="99" t="s">
        <v>5655</v>
      </c>
      <c r="C1683" s="121" t="str" cm="1">
        <f t="array" ref="C1683:G1683">_xlfn.TEXTSPLIT('איחוד שאלות'!$B1683,"_")</f>
        <v>perception</v>
      </c>
      <c r="D1683" s="99" t="str">
        <v>argument</v>
      </c>
      <c r="E1683" s="99" t="str">
        <v>campaignadvertising</v>
      </c>
      <c r="F1683" s="99" t="str">
        <v>reasonyes</v>
      </c>
      <c r="G1683" s="100" t="str">
        <v>olnyoption</v>
      </c>
      <c r="H1683" s="136" t="s">
        <v>3309</v>
      </c>
      <c r="I1683" s="2" t="s">
        <v>5844</v>
      </c>
      <c r="J1683" s="2" t="s">
        <v>6224</v>
      </c>
      <c r="K1683" s="2" t="s">
        <v>6300</v>
      </c>
      <c r="L1683" s="2" t="s">
        <v>6754</v>
      </c>
      <c r="M1683" s="2" t="s">
        <v>6774</v>
      </c>
      <c r="N1683" s="1" t="s">
        <v>7570</v>
      </c>
    </row>
    <row r="1684" spans="1:14" ht="130.5" x14ac:dyDescent="0.35">
      <c r="A1684" s="113" t="s">
        <v>4011</v>
      </c>
      <c r="B1684" s="102" t="s">
        <v>5656</v>
      </c>
      <c r="C1684" s="123" t="str" cm="1">
        <f t="array" ref="C1684:G1684">_xlfn.TEXTSPLIT('איחוד שאלות'!$B1684,"_")</f>
        <v>perception</v>
      </c>
      <c r="D1684" s="102" t="str">
        <v>argument</v>
      </c>
      <c r="E1684" s="102" t="str">
        <v>campaignadvertising</v>
      </c>
      <c r="F1684" s="102" t="str">
        <v>reasonno</v>
      </c>
      <c r="G1684" s="103" t="str">
        <v>nointerestpolitics</v>
      </c>
      <c r="H1684" s="135" t="s">
        <v>3309</v>
      </c>
      <c r="I1684" s="2" t="s">
        <v>5844</v>
      </c>
      <c r="J1684" s="2" t="s">
        <v>6224</v>
      </c>
      <c r="K1684" s="2" t="s">
        <v>6300</v>
      </c>
      <c r="L1684" s="2" t="s">
        <v>6755</v>
      </c>
      <c r="M1684" s="2" t="s">
        <v>6775</v>
      </c>
      <c r="N1684" s="1" t="s">
        <v>7571</v>
      </c>
    </row>
    <row r="1685" spans="1:14" ht="116" x14ac:dyDescent="0.35">
      <c r="A1685" s="121" t="s">
        <v>4012</v>
      </c>
      <c r="B1685" s="99" t="s">
        <v>5657</v>
      </c>
      <c r="C1685" s="121" t="str" cm="1">
        <f t="array" ref="C1685:G1685">_xlfn.TEXTSPLIT('איחוד שאלות'!$B1685,"_")</f>
        <v>perception</v>
      </c>
      <c r="D1685" s="99" t="str">
        <v>argument</v>
      </c>
      <c r="E1685" s="99" t="str">
        <v>campaignadvertising</v>
      </c>
      <c r="F1685" s="99" t="str">
        <v>reasonno</v>
      </c>
      <c r="G1685" s="100" t="str">
        <v>preferenceentertainment</v>
      </c>
      <c r="H1685" s="136" t="s">
        <v>3309</v>
      </c>
      <c r="I1685" s="2" t="s">
        <v>5844</v>
      </c>
      <c r="J1685" s="2" t="s">
        <v>6224</v>
      </c>
      <c r="K1685" s="2" t="s">
        <v>6300</v>
      </c>
      <c r="L1685" s="2" t="s">
        <v>6755</v>
      </c>
      <c r="M1685" s="2" t="s">
        <v>6776</v>
      </c>
      <c r="N1685" s="1" t="s">
        <v>7572</v>
      </c>
    </row>
    <row r="1686" spans="1:14" ht="130.5" x14ac:dyDescent="0.35">
      <c r="A1686" s="113" t="s">
        <v>4013</v>
      </c>
      <c r="B1686" s="102" t="s">
        <v>5663</v>
      </c>
      <c r="C1686" s="123" t="str" cm="1">
        <f t="array" ref="C1686:G1686">_xlfn.TEXTSPLIT('איחוד שאלות'!$B1686,"_")</f>
        <v>perception</v>
      </c>
      <c r="D1686" s="102" t="str">
        <v>argument</v>
      </c>
      <c r="E1686" s="102" t="str">
        <v>campaignadvertising</v>
      </c>
      <c r="F1686" s="102" t="str">
        <v>reasonno</v>
      </c>
      <c r="G1686" s="103" t="str">
        <v>affectnotrustparty</v>
      </c>
      <c r="H1686" s="135" t="s">
        <v>3309</v>
      </c>
      <c r="I1686" s="2" t="s">
        <v>5844</v>
      </c>
      <c r="J1686" s="2" t="s">
        <v>6224</v>
      </c>
      <c r="K1686" s="2" t="s">
        <v>6300</v>
      </c>
      <c r="L1686" s="2" t="s">
        <v>6755</v>
      </c>
      <c r="M1686" s="2" t="s">
        <v>6777</v>
      </c>
      <c r="N1686" s="1" t="s">
        <v>7573</v>
      </c>
    </row>
    <row r="1687" spans="1:14" ht="159.5" x14ac:dyDescent="0.35">
      <c r="A1687" s="121" t="s">
        <v>4014</v>
      </c>
      <c r="B1687" s="99" t="s">
        <v>5658</v>
      </c>
      <c r="C1687" s="121" t="str" cm="1">
        <f t="array" ref="C1687:G1687">_xlfn.TEXTSPLIT('איחוד שאלות'!$B1687,"_")</f>
        <v>perception</v>
      </c>
      <c r="D1687" s="99" t="str">
        <v>argument</v>
      </c>
      <c r="E1687" s="99" t="str">
        <v>campaignadvertising</v>
      </c>
      <c r="F1687" s="99" t="str">
        <v>reasonno</v>
      </c>
      <c r="G1687" s="100" t="str">
        <v>unseriouspoliticians</v>
      </c>
      <c r="H1687" s="136" t="s">
        <v>3309</v>
      </c>
      <c r="I1687" s="2" t="s">
        <v>5844</v>
      </c>
      <c r="J1687" s="2" t="s">
        <v>6224</v>
      </c>
      <c r="K1687" s="2" t="s">
        <v>6300</v>
      </c>
      <c r="L1687" s="2" t="s">
        <v>6755</v>
      </c>
      <c r="M1687" s="2" t="s">
        <v>6778</v>
      </c>
      <c r="N1687" s="1" t="s">
        <v>7574</v>
      </c>
    </row>
    <row r="1688" spans="1:14" ht="145" x14ac:dyDescent="0.35">
      <c r="A1688" s="113" t="s">
        <v>4015</v>
      </c>
      <c r="B1688" s="102" t="s">
        <v>5659</v>
      </c>
      <c r="C1688" s="123" t="str" cm="1">
        <f t="array" ref="C1688:G1688">_xlfn.TEXTSPLIT('איחוד שאלות'!$B1688,"_")</f>
        <v>perception</v>
      </c>
      <c r="D1688" s="102" t="str">
        <v>argument</v>
      </c>
      <c r="E1688" s="102" t="str">
        <v>campaignadvertising</v>
      </c>
      <c r="F1688" s="102" t="str">
        <v>reasonno</v>
      </c>
      <c r="G1688" s="103" t="str">
        <v>decisionmade</v>
      </c>
      <c r="H1688" s="135" t="s">
        <v>3309</v>
      </c>
      <c r="I1688" s="2" t="s">
        <v>5844</v>
      </c>
      <c r="J1688" s="2" t="s">
        <v>6224</v>
      </c>
      <c r="K1688" s="2" t="s">
        <v>6300</v>
      </c>
      <c r="L1688" s="2" t="s">
        <v>6755</v>
      </c>
      <c r="M1688" s="2" t="s">
        <v>6779</v>
      </c>
      <c r="N1688" s="1" t="s">
        <v>7575</v>
      </c>
    </row>
    <row r="1689" spans="1:14" ht="159.5" x14ac:dyDescent="0.35">
      <c r="A1689" s="121" t="s">
        <v>4016</v>
      </c>
      <c r="B1689" s="99" t="s">
        <v>5660</v>
      </c>
      <c r="C1689" s="121" t="str" cm="1">
        <f t="array" ref="C1689:G1689">_xlfn.TEXTSPLIT('איחוד שאלות'!$B1689,"_")</f>
        <v>perception</v>
      </c>
      <c r="D1689" s="99" t="str">
        <v>argument</v>
      </c>
      <c r="E1689" s="99" t="str">
        <v>campaignadvertising</v>
      </c>
      <c r="F1689" s="99" t="str">
        <v>reasonno</v>
      </c>
      <c r="G1689" s="100" t="str">
        <v>hardtounderstand</v>
      </c>
      <c r="H1689" s="136" t="s">
        <v>3309</v>
      </c>
      <c r="I1689" s="2" t="s">
        <v>5844</v>
      </c>
      <c r="J1689" s="2" t="s">
        <v>6224</v>
      </c>
      <c r="K1689" s="2" t="s">
        <v>6300</v>
      </c>
      <c r="L1689" s="2" t="s">
        <v>6755</v>
      </c>
      <c r="M1689" s="2" t="s">
        <v>6780</v>
      </c>
      <c r="N1689" s="1" t="s">
        <v>7576</v>
      </c>
    </row>
    <row r="1690" spans="1:14" ht="130.5" x14ac:dyDescent="0.35">
      <c r="A1690" s="113" t="s">
        <v>4017</v>
      </c>
      <c r="B1690" s="102" t="s">
        <v>5661</v>
      </c>
      <c r="C1690" s="123" t="str" cm="1">
        <f t="array" ref="C1690:G1690">_xlfn.TEXTSPLIT('איחוד שאלות'!$B1690,"_")</f>
        <v>perception</v>
      </c>
      <c r="D1690" s="102" t="str">
        <v>argument</v>
      </c>
      <c r="E1690" s="102" t="str">
        <v>campaignadvertising</v>
      </c>
      <c r="F1690" s="102" t="str">
        <v>reasonno</v>
      </c>
      <c r="G1690" s="103" t="str">
        <v>nopropagandahousehold</v>
      </c>
      <c r="H1690" s="135" t="s">
        <v>3309</v>
      </c>
      <c r="I1690" s="2" t="s">
        <v>5844</v>
      </c>
      <c r="J1690" s="2" t="s">
        <v>6224</v>
      </c>
      <c r="K1690" s="2" t="s">
        <v>6300</v>
      </c>
      <c r="L1690" s="2" t="s">
        <v>6755</v>
      </c>
      <c r="M1690" s="2" t="s">
        <v>6781</v>
      </c>
      <c r="N1690" s="1" t="s">
        <v>7577</v>
      </c>
    </row>
    <row r="1691" spans="1:14" ht="130.5" x14ac:dyDescent="0.35">
      <c r="A1691" s="121" t="s">
        <v>4018</v>
      </c>
      <c r="B1691" s="99" t="s">
        <v>5662</v>
      </c>
      <c r="C1691" s="121" t="str" cm="1">
        <f t="array" ref="C1691:G1691">_xlfn.TEXTSPLIT('איחוד שאלות'!$B1691,"_")</f>
        <v>perception</v>
      </c>
      <c r="D1691" s="99" t="str">
        <v>argument</v>
      </c>
      <c r="E1691" s="99" t="str">
        <v>campaignadvertising</v>
      </c>
      <c r="F1691" s="99" t="str">
        <v>reasonno</v>
      </c>
      <c r="G1691" s="100" t="str">
        <v>nonewknowledge</v>
      </c>
      <c r="H1691" s="136" t="s">
        <v>3309</v>
      </c>
      <c r="I1691" s="2" t="s">
        <v>5844</v>
      </c>
      <c r="J1691" s="2" t="s">
        <v>6224</v>
      </c>
      <c r="K1691" s="2" t="s">
        <v>6300</v>
      </c>
      <c r="L1691" s="2" t="s">
        <v>6755</v>
      </c>
      <c r="M1691" s="2" t="s">
        <v>6782</v>
      </c>
      <c r="N1691" s="1" t="s">
        <v>7578</v>
      </c>
    </row>
    <row r="1692" spans="1:14" ht="145" x14ac:dyDescent="0.35">
      <c r="A1692" s="113" t="s">
        <v>4019</v>
      </c>
      <c r="B1692" s="102" t="s">
        <v>5664</v>
      </c>
      <c r="C1692" s="123" t="str" cm="1">
        <f t="array" ref="C1692:G1692">_xlfn.TEXTSPLIT('איחוד שאלות'!$B1692,"_")</f>
        <v>perception</v>
      </c>
      <c r="D1692" s="102" t="str">
        <v>argument</v>
      </c>
      <c r="E1692" s="102" t="str">
        <v>campaignadvertising</v>
      </c>
      <c r="F1692" s="102" t="str">
        <v>reasonno</v>
      </c>
      <c r="G1692" s="103" t="str">
        <v>affectnotrustpoliticians</v>
      </c>
      <c r="H1692" s="135" t="s">
        <v>3309</v>
      </c>
      <c r="I1692" s="2" t="s">
        <v>5844</v>
      </c>
      <c r="J1692" s="2" t="s">
        <v>6224</v>
      </c>
      <c r="K1692" s="2" t="s">
        <v>6300</v>
      </c>
      <c r="L1692" s="2" t="s">
        <v>6755</v>
      </c>
      <c r="M1692" s="2" t="s">
        <v>6783</v>
      </c>
      <c r="N1692" s="1" t="s">
        <v>7579</v>
      </c>
    </row>
    <row r="1693" spans="1:14" ht="58" x14ac:dyDescent="0.35">
      <c r="A1693" s="121" t="s">
        <v>3002</v>
      </c>
      <c r="B1693" s="99" t="s">
        <v>5667</v>
      </c>
      <c r="C1693" s="121" t="str" cm="1">
        <f t="array" ref="C1693:G1693">_xlfn.TEXTSPLIT('איחוד שאלות'!$B1693,"_")</f>
        <v>preference</v>
      </c>
      <c r="D1693" s="99" t="str">
        <v>media</v>
      </c>
      <c r="E1693" s="99" t="str">
        <v>campaignadvertising</v>
      </c>
      <c r="F1693" s="99" t="str">
        <v>interesting</v>
      </c>
      <c r="G1693" s="100" t="str">
        <v>leadervsmovie</v>
      </c>
      <c r="H1693" s="136" t="s">
        <v>3309</v>
      </c>
      <c r="I1693" s="2" t="s">
        <v>5856</v>
      </c>
      <c r="J1693" s="2" t="s">
        <v>6306</v>
      </c>
      <c r="K1693" s="2" t="s">
        <v>6300</v>
      </c>
      <c r="L1693" s="2" t="s">
        <v>6784</v>
      </c>
      <c r="M1693" s="2" t="s">
        <v>6785</v>
      </c>
      <c r="N1693" s="1" t="s">
        <v>3002</v>
      </c>
    </row>
    <row r="1694" spans="1:14" ht="58" x14ac:dyDescent="0.35">
      <c r="A1694" s="113" t="s">
        <v>3003</v>
      </c>
      <c r="B1694" s="102" t="s">
        <v>5668</v>
      </c>
      <c r="C1694" s="123" t="str" cm="1">
        <f t="array" ref="C1694:G1694">_xlfn.TEXTSPLIT('איחוד שאלות'!$B1694,"_")</f>
        <v>preference</v>
      </c>
      <c r="D1694" s="102" t="str">
        <v>media</v>
      </c>
      <c r="E1694" s="102" t="str">
        <v>campaignadvertising</v>
      </c>
      <c r="F1694" s="102" t="str">
        <v>convincing</v>
      </c>
      <c r="G1694" s="103" t="str">
        <v>leadervsmovie</v>
      </c>
      <c r="H1694" s="135" t="s">
        <v>3309</v>
      </c>
      <c r="I1694" s="2" t="s">
        <v>5856</v>
      </c>
      <c r="J1694" s="2" t="s">
        <v>6306</v>
      </c>
      <c r="K1694" s="2" t="s">
        <v>6300</v>
      </c>
      <c r="L1694" s="2" t="s">
        <v>6786</v>
      </c>
      <c r="M1694" s="2" t="s">
        <v>6785</v>
      </c>
      <c r="N1694" s="1" t="s">
        <v>3003</v>
      </c>
    </row>
    <row r="1695" spans="1:14" ht="43.5" x14ac:dyDescent="0.35">
      <c r="A1695" s="121" t="s">
        <v>3020</v>
      </c>
      <c r="B1695" s="99" t="s">
        <v>5669</v>
      </c>
      <c r="C1695" s="121" t="str" cm="1">
        <f t="array" ref="C1695:F1695">_xlfn.TEXTSPLIT('איחוד שאלות'!$B1695,"_")</f>
        <v>perception</v>
      </c>
      <c r="D1695" s="99" t="str">
        <v>media</v>
      </c>
      <c r="E1695" s="99" t="str">
        <v>campaignadvertising</v>
      </c>
      <c r="F1695" s="99" t="str">
        <v>influence</v>
      </c>
      <c r="G1695" s="100"/>
      <c r="H1695" s="136" t="s">
        <v>3309</v>
      </c>
      <c r="I1695" s="2" t="s">
        <v>5844</v>
      </c>
      <c r="J1695" s="2" t="s">
        <v>6306</v>
      </c>
      <c r="K1695" s="2" t="s">
        <v>6300</v>
      </c>
      <c r="L1695" s="2" t="s">
        <v>5968</v>
      </c>
      <c r="N1695" s="1" t="s">
        <v>3020</v>
      </c>
    </row>
    <row r="1696" spans="1:14" ht="43.5" x14ac:dyDescent="0.35">
      <c r="A1696" s="113" t="s">
        <v>4020</v>
      </c>
      <c r="B1696" s="102" t="s">
        <v>5670</v>
      </c>
      <c r="C1696" s="123" t="str" cm="1">
        <f t="array" ref="C1696:F1696">_xlfn.TEXTSPLIT('איחוד שאלות'!$B1696,"_")</f>
        <v>behavior</v>
      </c>
      <c r="D1696" s="102" t="str">
        <v>media</v>
      </c>
      <c r="E1696" s="102" t="str">
        <v>newspaper</v>
      </c>
      <c r="F1696" s="102" t="str">
        <v>haaretz</v>
      </c>
      <c r="G1696" s="103"/>
      <c r="H1696" s="135" t="s">
        <v>3309</v>
      </c>
      <c r="I1696" s="2" t="s">
        <v>5806</v>
      </c>
      <c r="J1696" s="2" t="s">
        <v>6306</v>
      </c>
      <c r="K1696" s="2" t="s">
        <v>6727</v>
      </c>
      <c r="L1696" s="2" t="s">
        <v>6787</v>
      </c>
      <c r="N1696" s="1" t="s">
        <v>7580</v>
      </c>
    </row>
    <row r="1697" spans="1:14" ht="43.5" x14ac:dyDescent="0.35">
      <c r="A1697" s="121" t="s">
        <v>4021</v>
      </c>
      <c r="B1697" s="99" t="s">
        <v>5671</v>
      </c>
      <c r="C1697" s="121" t="str" cm="1">
        <f t="array" ref="C1697:F1697">_xlfn.TEXTSPLIT('איחוד שאלות'!$B1697,"_")</f>
        <v>behavior</v>
      </c>
      <c r="D1697" s="99" t="str">
        <v>media</v>
      </c>
      <c r="E1697" s="99" t="str">
        <v>newspaper</v>
      </c>
      <c r="F1697" s="99" t="str">
        <v>davar</v>
      </c>
      <c r="G1697" s="100"/>
      <c r="H1697" s="136" t="s">
        <v>3309</v>
      </c>
      <c r="I1697" s="2" t="s">
        <v>5806</v>
      </c>
      <c r="J1697" s="2" t="s">
        <v>6306</v>
      </c>
      <c r="K1697" s="2" t="s">
        <v>6727</v>
      </c>
      <c r="L1697" s="2" t="s">
        <v>6788</v>
      </c>
      <c r="N1697" s="1" t="s">
        <v>7581</v>
      </c>
    </row>
    <row r="1698" spans="1:14" ht="43.5" x14ac:dyDescent="0.35">
      <c r="A1698" s="113" t="s">
        <v>4022</v>
      </c>
      <c r="B1698" s="102" t="s">
        <v>5672</v>
      </c>
      <c r="C1698" s="123" t="str" cm="1">
        <f t="array" ref="C1698:F1698">_xlfn.TEXTSPLIT('איחוד שאלות'!$B1698,"_")</f>
        <v>behavior</v>
      </c>
      <c r="D1698" s="102" t="str">
        <v>media</v>
      </c>
      <c r="E1698" s="102" t="str">
        <v>newspaper</v>
      </c>
      <c r="F1698" s="102" t="str">
        <v>omer</v>
      </c>
      <c r="G1698" s="103"/>
      <c r="H1698" s="135" t="s">
        <v>3309</v>
      </c>
      <c r="I1698" s="2" t="s">
        <v>5806</v>
      </c>
      <c r="J1698" s="2" t="s">
        <v>6306</v>
      </c>
      <c r="K1698" s="2" t="s">
        <v>6727</v>
      </c>
      <c r="L1698" s="2" t="s">
        <v>6789</v>
      </c>
      <c r="N1698" s="1" t="s">
        <v>7582</v>
      </c>
    </row>
    <row r="1699" spans="1:14" ht="43.5" x14ac:dyDescent="0.35">
      <c r="A1699" s="121" t="s">
        <v>4023</v>
      </c>
      <c r="B1699" s="99" t="s">
        <v>5673</v>
      </c>
      <c r="C1699" s="121" t="str" cm="1">
        <f t="array" ref="C1699:F1699">_xlfn.TEXTSPLIT('איחוד שאלות'!$B1699,"_")</f>
        <v>behavior</v>
      </c>
      <c r="D1699" s="99" t="str">
        <v>media</v>
      </c>
      <c r="E1699" s="99" t="str">
        <v>newspaper</v>
      </c>
      <c r="F1699" s="99" t="str">
        <v>lamerhav</v>
      </c>
      <c r="G1699" s="100"/>
      <c r="H1699" s="136" t="s">
        <v>3309</v>
      </c>
      <c r="I1699" s="2" t="s">
        <v>5806</v>
      </c>
      <c r="J1699" s="2" t="s">
        <v>6306</v>
      </c>
      <c r="K1699" s="2" t="s">
        <v>6727</v>
      </c>
      <c r="L1699" s="2" t="s">
        <v>6790</v>
      </c>
      <c r="N1699" s="1" t="s">
        <v>7583</v>
      </c>
    </row>
    <row r="1700" spans="1:14" ht="43.5" x14ac:dyDescent="0.35">
      <c r="A1700" s="113" t="s">
        <v>4024</v>
      </c>
      <c r="B1700" s="102" t="s">
        <v>5674</v>
      </c>
      <c r="C1700" s="123" t="str" cm="1">
        <f t="array" ref="C1700:F1700">_xlfn.TEXTSPLIT('איחוד שאלות'!$B1700,"_")</f>
        <v>behavior</v>
      </c>
      <c r="D1700" s="102" t="str">
        <v>media</v>
      </c>
      <c r="E1700" s="102" t="str">
        <v>newspaper</v>
      </c>
      <c r="F1700" s="102" t="str">
        <v>alhamishmar</v>
      </c>
      <c r="G1700" s="103"/>
      <c r="H1700" s="135" t="s">
        <v>3309</v>
      </c>
      <c r="I1700" s="2" t="s">
        <v>5806</v>
      </c>
      <c r="J1700" s="2" t="s">
        <v>6306</v>
      </c>
      <c r="K1700" s="2" t="s">
        <v>6727</v>
      </c>
      <c r="L1700" s="2" t="s">
        <v>6791</v>
      </c>
      <c r="N1700" s="1" t="s">
        <v>7584</v>
      </c>
    </row>
    <row r="1701" spans="1:14" ht="43.5" x14ac:dyDescent="0.35">
      <c r="A1701" s="121" t="s">
        <v>4025</v>
      </c>
      <c r="B1701" s="99" t="s">
        <v>5675</v>
      </c>
      <c r="C1701" s="121" t="str" cm="1">
        <f t="array" ref="C1701:F1701">_xlfn.TEXTSPLIT('איחוד שאלות'!$B1701,"_")</f>
        <v>behavior</v>
      </c>
      <c r="D1701" s="99" t="str">
        <v>media</v>
      </c>
      <c r="E1701" s="99" t="str">
        <v>newspaper</v>
      </c>
      <c r="F1701" s="99" t="str">
        <v>hayom</v>
      </c>
      <c r="G1701" s="100"/>
      <c r="H1701" s="136" t="s">
        <v>3309</v>
      </c>
      <c r="I1701" s="2" t="s">
        <v>5806</v>
      </c>
      <c r="J1701" s="2" t="s">
        <v>6306</v>
      </c>
      <c r="K1701" s="2" t="s">
        <v>6727</v>
      </c>
      <c r="L1701" s="2" t="s">
        <v>6792</v>
      </c>
      <c r="N1701" s="1" t="s">
        <v>7585</v>
      </c>
    </row>
    <row r="1702" spans="1:14" ht="43.5" x14ac:dyDescent="0.35">
      <c r="A1702" s="113" t="s">
        <v>4026</v>
      </c>
      <c r="B1702" s="102" t="s">
        <v>5676</v>
      </c>
      <c r="C1702" s="123" t="str" cm="1">
        <f t="array" ref="C1702:F1702">_xlfn.TEXTSPLIT('איחוד שאלות'!$B1702,"_")</f>
        <v>behavior</v>
      </c>
      <c r="D1702" s="102" t="str">
        <v>media</v>
      </c>
      <c r="E1702" s="102" t="str">
        <v>newspaper</v>
      </c>
      <c r="F1702" s="102" t="str">
        <v>kolhaam</v>
      </c>
      <c r="G1702" s="103"/>
      <c r="H1702" s="135" t="s">
        <v>3309</v>
      </c>
      <c r="I1702" s="2" t="s">
        <v>5806</v>
      </c>
      <c r="J1702" s="2" t="s">
        <v>6306</v>
      </c>
      <c r="K1702" s="2" t="s">
        <v>6727</v>
      </c>
      <c r="L1702" s="2" t="s">
        <v>6793</v>
      </c>
      <c r="N1702" s="1" t="s">
        <v>7586</v>
      </c>
    </row>
    <row r="1703" spans="1:14" ht="43.5" x14ac:dyDescent="0.35">
      <c r="A1703" s="121" t="s">
        <v>4027</v>
      </c>
      <c r="B1703" s="99" t="s">
        <v>5677</v>
      </c>
      <c r="C1703" s="121" t="str" cm="1">
        <f t="array" ref="C1703:F1703">_xlfn.TEXTSPLIT('איחוד שאלות'!$B1703,"_")</f>
        <v>behavior</v>
      </c>
      <c r="D1703" s="99" t="str">
        <v>media</v>
      </c>
      <c r="E1703" s="99" t="str">
        <v>newspaper</v>
      </c>
      <c r="F1703" s="99" t="str">
        <v>hatzofe</v>
      </c>
      <c r="G1703" s="100"/>
      <c r="H1703" s="136" t="s">
        <v>3309</v>
      </c>
      <c r="I1703" s="2" t="s">
        <v>5806</v>
      </c>
      <c r="J1703" s="2" t="s">
        <v>6306</v>
      </c>
      <c r="K1703" s="2" t="s">
        <v>6727</v>
      </c>
      <c r="L1703" s="2" t="s">
        <v>6794</v>
      </c>
      <c r="N1703" s="1" t="s">
        <v>7587</v>
      </c>
    </row>
    <row r="1704" spans="1:14" ht="43.5" x14ac:dyDescent="0.35">
      <c r="A1704" s="113" t="s">
        <v>4028</v>
      </c>
      <c r="B1704" s="102" t="s">
        <v>5678</v>
      </c>
      <c r="C1704" s="123" t="str" cm="1">
        <f t="array" ref="C1704:F1704">_xlfn.TEXTSPLIT('איחוד שאלות'!$B1704,"_")</f>
        <v>behavior</v>
      </c>
      <c r="D1704" s="102" t="str">
        <v>media</v>
      </c>
      <c r="E1704" s="102" t="str">
        <v>newspaper</v>
      </c>
      <c r="F1704" s="102" t="str">
        <v>maariv</v>
      </c>
      <c r="G1704" s="103"/>
      <c r="H1704" s="135" t="s">
        <v>3309</v>
      </c>
      <c r="I1704" s="2" t="s">
        <v>5806</v>
      </c>
      <c r="J1704" s="2" t="s">
        <v>6306</v>
      </c>
      <c r="K1704" s="2" t="s">
        <v>6727</v>
      </c>
      <c r="L1704" s="2" t="s">
        <v>6795</v>
      </c>
      <c r="N1704" s="1" t="s">
        <v>7588</v>
      </c>
    </row>
    <row r="1705" spans="1:14" ht="43.5" x14ac:dyDescent="0.35">
      <c r="A1705" s="121" t="s">
        <v>4029</v>
      </c>
      <c r="B1705" s="99" t="s">
        <v>5679</v>
      </c>
      <c r="C1705" s="121" t="str" cm="1">
        <f t="array" ref="C1705:F1705">_xlfn.TEXTSPLIT('איחוד שאלות'!$B1705,"_")</f>
        <v>behavior</v>
      </c>
      <c r="D1705" s="99" t="str">
        <v>media</v>
      </c>
      <c r="E1705" s="99" t="str">
        <v>newspaper</v>
      </c>
      <c r="F1705" s="99" t="str">
        <v>yediothahronoth</v>
      </c>
      <c r="G1705" s="100"/>
      <c r="H1705" s="136" t="s">
        <v>3309</v>
      </c>
      <c r="I1705" s="2" t="s">
        <v>5806</v>
      </c>
      <c r="J1705" s="2" t="s">
        <v>6306</v>
      </c>
      <c r="K1705" s="2" t="s">
        <v>6727</v>
      </c>
      <c r="L1705" s="2" t="s">
        <v>6796</v>
      </c>
      <c r="N1705" s="1" t="s">
        <v>7589</v>
      </c>
    </row>
    <row r="1706" spans="1:14" ht="43.5" x14ac:dyDescent="0.35">
      <c r="A1706" s="113" t="s">
        <v>4030</v>
      </c>
      <c r="B1706" s="102" t="s">
        <v>5680</v>
      </c>
      <c r="C1706" s="123" t="str" cm="1">
        <f t="array" ref="C1706:F1706">_xlfn.TEXTSPLIT('איחוד שאלות'!$B1706,"_")</f>
        <v>behavior</v>
      </c>
      <c r="D1706" s="102" t="str">
        <v>media</v>
      </c>
      <c r="E1706" s="102" t="str">
        <v>newspaper</v>
      </c>
      <c r="F1706" s="102" t="str">
        <v>jerusalempost</v>
      </c>
      <c r="G1706" s="103"/>
      <c r="H1706" s="135" t="s">
        <v>3309</v>
      </c>
      <c r="I1706" s="2" t="s">
        <v>5806</v>
      </c>
      <c r="J1706" s="2" t="s">
        <v>6306</v>
      </c>
      <c r="K1706" s="2" t="s">
        <v>6727</v>
      </c>
      <c r="L1706" s="2" t="s">
        <v>6797</v>
      </c>
      <c r="N1706" s="1" t="s">
        <v>7590</v>
      </c>
    </row>
    <row r="1707" spans="1:14" ht="43.5" x14ac:dyDescent="0.35">
      <c r="A1707" s="121" t="s">
        <v>4031</v>
      </c>
      <c r="B1707" s="99" t="s">
        <v>5681</v>
      </c>
      <c r="C1707" s="121" t="str" cm="1">
        <f t="array" ref="C1707:F1707">_xlfn.TEXTSPLIT('איחוד שאלות'!$B1707,"_")</f>
        <v>behavior</v>
      </c>
      <c r="D1707" s="99" t="str">
        <v>media</v>
      </c>
      <c r="E1707" s="99" t="str">
        <v>newspaper</v>
      </c>
      <c r="F1707" s="99" t="str">
        <v>foreign</v>
      </c>
      <c r="G1707" s="100"/>
      <c r="H1707" s="136" t="s">
        <v>3309</v>
      </c>
      <c r="I1707" s="2" t="s">
        <v>5806</v>
      </c>
      <c r="J1707" s="2" t="s">
        <v>6306</v>
      </c>
      <c r="K1707" s="2" t="s">
        <v>6727</v>
      </c>
      <c r="L1707" s="2" t="s">
        <v>5908</v>
      </c>
      <c r="N1707" s="1" t="s">
        <v>7591</v>
      </c>
    </row>
    <row r="1708" spans="1:14" ht="43.5" x14ac:dyDescent="0.35">
      <c r="A1708" s="113" t="s">
        <v>4032</v>
      </c>
      <c r="B1708" s="102" t="s">
        <v>5682</v>
      </c>
      <c r="C1708" s="123" t="str" cm="1">
        <f t="array" ref="C1708:F1708">_xlfn.TEXTSPLIT('איחוד שאלות'!$B1708,"_")</f>
        <v>behavior</v>
      </c>
      <c r="D1708" s="102" t="str">
        <v>media</v>
      </c>
      <c r="E1708" s="102" t="str">
        <v>newspaper</v>
      </c>
      <c r="F1708" s="102" t="str">
        <v>other</v>
      </c>
      <c r="G1708" s="103"/>
      <c r="H1708" s="135" t="s">
        <v>3309</v>
      </c>
      <c r="I1708" s="2" t="s">
        <v>5806</v>
      </c>
      <c r="J1708" s="2" t="s">
        <v>6306</v>
      </c>
      <c r="K1708" s="2" t="s">
        <v>6727</v>
      </c>
      <c r="L1708" s="2" t="s">
        <v>6798</v>
      </c>
      <c r="N1708" s="1" t="s">
        <v>7592</v>
      </c>
    </row>
    <row r="1709" spans="1:14" ht="72.5" x14ac:dyDescent="0.35">
      <c r="A1709" s="121" t="s">
        <v>3101</v>
      </c>
      <c r="B1709" s="99" t="s">
        <v>5683</v>
      </c>
      <c r="C1709" s="121" t="str" cm="1">
        <f t="array" ref="C1709:F1709">_xlfn.TEXTSPLIT('איחוד שאלות'!$B1709,"_")</f>
        <v>affect</v>
      </c>
      <c r="D1709" s="99" t="str">
        <v>trust</v>
      </c>
      <c r="E1709" s="99" t="str">
        <v>newspaper</v>
      </c>
      <c r="F1709" s="99" t="str">
        <v>politicalknowledge</v>
      </c>
      <c r="G1709" s="100"/>
      <c r="H1709" s="136" t="s">
        <v>3309</v>
      </c>
      <c r="I1709" s="2" t="s">
        <v>5815</v>
      </c>
      <c r="J1709" s="2" t="s">
        <v>5901</v>
      </c>
      <c r="K1709" s="2" t="s">
        <v>6727</v>
      </c>
      <c r="L1709" s="2" t="s">
        <v>6799</v>
      </c>
      <c r="N1709" s="1" t="s">
        <v>3101</v>
      </c>
    </row>
    <row r="1710" spans="1:14" ht="58" x14ac:dyDescent="0.35">
      <c r="A1710" s="113" t="s">
        <v>3102</v>
      </c>
      <c r="B1710" s="102" t="s">
        <v>5684</v>
      </c>
      <c r="C1710" s="123" t="str" cm="1">
        <f t="array" ref="C1710:F1710">_xlfn.TEXTSPLIT('איחוד שאלות'!$B1710,"_")</f>
        <v>affect</v>
      </c>
      <c r="D1710" s="102" t="str">
        <v>trust</v>
      </c>
      <c r="E1710" s="102" t="str">
        <v>radiotv</v>
      </c>
      <c r="F1710" s="102" t="str">
        <v>politicalknowledge</v>
      </c>
      <c r="G1710" s="103"/>
      <c r="H1710" s="135" t="s">
        <v>3309</v>
      </c>
      <c r="I1710" s="2" t="s">
        <v>5815</v>
      </c>
      <c r="J1710" s="2" t="s">
        <v>5901</v>
      </c>
      <c r="K1710" s="2" t="s">
        <v>6464</v>
      </c>
      <c r="L1710" s="2" t="s">
        <v>6799</v>
      </c>
      <c r="N1710" s="1" t="s">
        <v>3102</v>
      </c>
    </row>
    <row r="1711" spans="1:14" ht="43.5" x14ac:dyDescent="0.35">
      <c r="A1711" s="121" t="s">
        <v>103</v>
      </c>
      <c r="B1711" s="99" t="s">
        <v>5685</v>
      </c>
      <c r="C1711" s="121" t="str" cm="1">
        <f t="array" ref="C1711:E1711">_xlfn.TEXTSPLIT('איחוד שאלות'!$B1711,"_")</f>
        <v>attribute</v>
      </c>
      <c r="D1711" s="99" t="str">
        <v>knowledge</v>
      </c>
      <c r="E1711" s="99" t="str">
        <v>threshold</v>
      </c>
      <c r="F1711" s="99"/>
      <c r="G1711" s="100"/>
      <c r="H1711" s="136" t="s">
        <v>4033</v>
      </c>
      <c r="I1711" s="2" t="s">
        <v>5775</v>
      </c>
      <c r="J1711" s="2" t="s">
        <v>5942</v>
      </c>
      <c r="K1711" s="2" t="s">
        <v>6296</v>
      </c>
      <c r="N1711" s="1" t="s">
        <v>103</v>
      </c>
    </row>
    <row r="1712" spans="1:14" ht="43.5" x14ac:dyDescent="0.35">
      <c r="A1712" s="113" t="s">
        <v>128</v>
      </c>
      <c r="B1712" s="102" t="s">
        <v>5686</v>
      </c>
      <c r="C1712" s="123" t="str" cm="1">
        <f t="array" ref="C1712:E1712">_xlfn.TEXTSPLIT('איחוד שאלות'!$B1712,"_")</f>
        <v>attribute</v>
      </c>
      <c r="D1712" s="102" t="str">
        <v>knowledge</v>
      </c>
      <c r="E1712" s="102" t="str">
        <v>supremecourtpresident</v>
      </c>
      <c r="F1712" s="102"/>
      <c r="G1712" s="103"/>
      <c r="H1712" s="135" t="s">
        <v>4033</v>
      </c>
      <c r="I1712" s="2" t="s">
        <v>5775</v>
      </c>
      <c r="J1712" s="2" t="s">
        <v>5942</v>
      </c>
      <c r="K1712" s="2" t="s">
        <v>6800</v>
      </c>
      <c r="N1712" s="1" t="s">
        <v>128</v>
      </c>
    </row>
    <row r="1713" spans="1:14" ht="58" x14ac:dyDescent="0.35">
      <c r="A1713" s="121" t="s">
        <v>261</v>
      </c>
      <c r="B1713" s="99" t="s">
        <v>5687</v>
      </c>
      <c r="C1713" s="121" t="str" cm="1">
        <f t="array" ref="C1713:E1713">_xlfn.TEXTSPLIT('איחוד שאלות'!$B1713,"_")</f>
        <v>attribute</v>
      </c>
      <c r="D1713" s="99" t="str">
        <v>knowledge</v>
      </c>
      <c r="E1713" s="99" t="str">
        <v>secoundhighestbudget</v>
      </c>
      <c r="F1713" s="99"/>
      <c r="G1713" s="100"/>
      <c r="H1713" s="136" t="s">
        <v>4033</v>
      </c>
      <c r="I1713" s="2" t="s">
        <v>5775</v>
      </c>
      <c r="J1713" s="2" t="s">
        <v>5942</v>
      </c>
      <c r="K1713" s="2" t="s">
        <v>6801</v>
      </c>
      <c r="N1713" s="1" t="s">
        <v>261</v>
      </c>
    </row>
    <row r="1714" spans="1:14" ht="43.5" x14ac:dyDescent="0.35">
      <c r="A1714" s="113" t="s">
        <v>282</v>
      </c>
      <c r="B1714" s="102" t="s">
        <v>5688</v>
      </c>
      <c r="C1714" s="123" t="str" cm="1">
        <f t="array" ref="C1714:E1714">_xlfn.TEXTSPLIT('איחוד שאלות'!$B1714,"_")</f>
        <v>attribute</v>
      </c>
      <c r="D1714" s="102" t="str">
        <v>knowledge</v>
      </c>
      <c r="E1714" s="102" t="str">
        <v>Speakerofparliament</v>
      </c>
      <c r="F1714" s="102"/>
      <c r="G1714" s="103"/>
      <c r="H1714" s="135" t="s">
        <v>4033</v>
      </c>
      <c r="I1714" s="2" t="s">
        <v>5775</v>
      </c>
      <c r="J1714" s="2" t="s">
        <v>5942</v>
      </c>
      <c r="K1714" s="2" t="s">
        <v>6802</v>
      </c>
      <c r="N1714" s="1" t="s">
        <v>282</v>
      </c>
    </row>
    <row r="1715" spans="1:14" ht="58" x14ac:dyDescent="0.35">
      <c r="A1715" s="121" t="s">
        <v>284</v>
      </c>
      <c r="B1715" s="99" t="s">
        <v>5689</v>
      </c>
      <c r="C1715" s="121" t="str" cm="1">
        <f t="array" ref="C1715:E1715">_xlfn.TEXTSPLIT('איחוד שאלות'!$B1715,"_")</f>
        <v>attribute</v>
      </c>
      <c r="D1715" s="99" t="str">
        <v>knowledge</v>
      </c>
      <c r="E1715" s="99" t="str">
        <v>renewdiplomaticrelations</v>
      </c>
      <c r="F1715" s="99"/>
      <c r="G1715" s="100"/>
      <c r="H1715" s="136" t="s">
        <v>4033</v>
      </c>
      <c r="I1715" s="2" t="s">
        <v>5775</v>
      </c>
      <c r="J1715" s="2" t="s">
        <v>5942</v>
      </c>
      <c r="K1715" s="2" t="s">
        <v>6803</v>
      </c>
      <c r="N1715" s="1" t="s">
        <v>284</v>
      </c>
    </row>
    <row r="1716" spans="1:14" ht="58" x14ac:dyDescent="0.35">
      <c r="A1716" s="113" t="s">
        <v>531</v>
      </c>
      <c r="B1716" s="102" t="s">
        <v>5690</v>
      </c>
      <c r="C1716" s="123" t="str" cm="1">
        <f t="array" ref="C1716:E1716">_xlfn.TEXTSPLIT('איחוד שאלות'!$B1716,"_")</f>
        <v>attribute</v>
      </c>
      <c r="D1716" s="102" t="str">
        <v>knowledge</v>
      </c>
      <c r="E1716" s="102" t="str">
        <v>securitybudget</v>
      </c>
      <c r="F1716" s="102"/>
      <c r="G1716" s="103"/>
      <c r="H1716" s="135" t="s">
        <v>4033</v>
      </c>
      <c r="I1716" s="2" t="s">
        <v>5775</v>
      </c>
      <c r="J1716" s="2" t="s">
        <v>5942</v>
      </c>
      <c r="K1716" s="2" t="s">
        <v>6804</v>
      </c>
      <c r="N1716" s="1" t="s">
        <v>531</v>
      </c>
    </row>
    <row r="1717" spans="1:14" ht="43.5" x14ac:dyDescent="0.35">
      <c r="A1717" s="121" t="s">
        <v>1898</v>
      </c>
      <c r="B1717" s="99" t="s">
        <v>5691</v>
      </c>
      <c r="C1717" s="121" t="str" cm="1">
        <f t="array" ref="C1717:E1717">_xlfn.TEXTSPLIT('איחוד שאלות'!$B1717,"_")</f>
        <v>attribute</v>
      </c>
      <c r="D1717" s="99" t="str">
        <v>knowledge</v>
      </c>
      <c r="E1717" s="99" t="str">
        <v>manufacturF16</v>
      </c>
      <c r="F1717" s="99"/>
      <c r="G1717" s="100"/>
      <c r="H1717" s="136" t="s">
        <v>4033</v>
      </c>
      <c r="I1717" s="2" t="s">
        <v>5775</v>
      </c>
      <c r="J1717" s="2" t="s">
        <v>5942</v>
      </c>
      <c r="K1717" s="2" t="s">
        <v>6805</v>
      </c>
      <c r="N1717" s="1" t="s">
        <v>1898</v>
      </c>
    </row>
    <row r="1718" spans="1:14" ht="43.5" x14ac:dyDescent="0.35">
      <c r="A1718" s="113" t="s">
        <v>1899</v>
      </c>
      <c r="B1718" s="102" t="s">
        <v>5692</v>
      </c>
      <c r="C1718" s="123" t="str" cm="1">
        <f t="array" ref="C1718:E1718">_xlfn.TEXTSPLIT('איחוד שאלות'!$B1718,"_")</f>
        <v>attribute</v>
      </c>
      <c r="D1718" s="102" t="str">
        <v>knowledge</v>
      </c>
      <c r="E1718" s="102" t="str">
        <v>USAmilitaryaid</v>
      </c>
      <c r="F1718" s="102"/>
      <c r="G1718" s="103"/>
      <c r="H1718" s="135" t="s">
        <v>4033</v>
      </c>
      <c r="I1718" s="2" t="s">
        <v>5775</v>
      </c>
      <c r="J1718" s="2" t="s">
        <v>5942</v>
      </c>
      <c r="K1718" s="2" t="s">
        <v>6806</v>
      </c>
      <c r="N1718" s="1" t="s">
        <v>1899</v>
      </c>
    </row>
    <row r="1719" spans="1:14" ht="29" x14ac:dyDescent="0.35">
      <c r="A1719" s="121" t="s">
        <v>1900</v>
      </c>
      <c r="B1719" s="99" t="s">
        <v>5693</v>
      </c>
      <c r="C1719" s="121" t="str" cm="1">
        <f t="array" ref="C1719:E1719">_xlfn.TEXTSPLIT('איחוד שאלות'!$B1719,"_")</f>
        <v>attribute</v>
      </c>
      <c r="D1719" s="99" t="str">
        <v>knowledge</v>
      </c>
      <c r="E1719" s="99" t="str">
        <v>IDFsubmarine</v>
      </c>
      <c r="F1719" s="99"/>
      <c r="G1719" s="100"/>
      <c r="H1719" s="136" t="s">
        <v>4033</v>
      </c>
      <c r="I1719" s="2" t="s">
        <v>5775</v>
      </c>
      <c r="J1719" s="2" t="s">
        <v>5942</v>
      </c>
      <c r="K1719" s="2" t="s">
        <v>6807</v>
      </c>
      <c r="N1719" s="1" t="s">
        <v>1900</v>
      </c>
    </row>
    <row r="1720" spans="1:14" ht="72.5" x14ac:dyDescent="0.35">
      <c r="A1720" s="113" t="s">
        <v>1901</v>
      </c>
      <c r="B1720" s="102" t="s">
        <v>5694</v>
      </c>
      <c r="C1720" s="123" t="str" cm="1">
        <f t="array" ref="C1720:E1720">_xlfn.TEXTSPLIT('איחוד שאלות'!$B1720,"_")</f>
        <v>attribute</v>
      </c>
      <c r="D1720" s="102" t="str">
        <v>knowledge</v>
      </c>
      <c r="E1720" s="102" t="str">
        <v>jibrilagreement</v>
      </c>
      <c r="F1720" s="102"/>
      <c r="G1720" s="103"/>
      <c r="H1720" s="135" t="s">
        <v>4033</v>
      </c>
      <c r="I1720" s="2" t="s">
        <v>5775</v>
      </c>
      <c r="J1720" s="2" t="s">
        <v>5942</v>
      </c>
      <c r="K1720" s="2" t="s">
        <v>6808</v>
      </c>
      <c r="N1720" s="1" t="s">
        <v>1901</v>
      </c>
    </row>
    <row r="1721" spans="1:14" ht="43.5" x14ac:dyDescent="0.35">
      <c r="A1721" s="121" t="s">
        <v>1902</v>
      </c>
      <c r="B1721" s="99" t="s">
        <v>5695</v>
      </c>
      <c r="C1721" s="121" t="str" cm="1">
        <f t="array" ref="C1721:E1721">_xlfn.TEXTSPLIT('איחוד שאלות'!$B1721,"_")</f>
        <v>attribute</v>
      </c>
      <c r="D1721" s="99" t="str">
        <v>knowledge</v>
      </c>
      <c r="E1721" s="99" t="str">
        <v>territoriespalestinianssupremecourt</v>
      </c>
      <c r="F1721" s="99"/>
      <c r="G1721" s="100"/>
      <c r="H1721" s="136" t="s">
        <v>4033</v>
      </c>
      <c r="I1721" s="2" t="s">
        <v>5775</v>
      </c>
      <c r="J1721" s="2" t="s">
        <v>5942</v>
      </c>
      <c r="K1721" s="2" t="s">
        <v>6809</v>
      </c>
      <c r="N1721" s="1" t="s">
        <v>1902</v>
      </c>
    </row>
    <row r="1722" spans="1:14" ht="43.5" x14ac:dyDescent="0.35">
      <c r="A1722" s="113" t="s">
        <v>1903</v>
      </c>
      <c r="B1722" s="102" t="s">
        <v>5696</v>
      </c>
      <c r="C1722" s="123" t="str" cm="1">
        <f t="array" ref="C1722:E1722">_xlfn.TEXTSPLIT('איחוד שאלות'!$B1722,"_")</f>
        <v>attribute</v>
      </c>
      <c r="D1722" s="102" t="str">
        <v>knowledge</v>
      </c>
      <c r="E1722" s="102" t="str">
        <v>territoriespalestiniansvotingright</v>
      </c>
      <c r="F1722" s="102"/>
      <c r="G1722" s="103"/>
      <c r="H1722" s="135" t="s">
        <v>4033</v>
      </c>
      <c r="I1722" s="2" t="s">
        <v>5775</v>
      </c>
      <c r="J1722" s="2" t="s">
        <v>5942</v>
      </c>
      <c r="K1722" s="2" t="s">
        <v>6810</v>
      </c>
      <c r="N1722" s="1" t="s">
        <v>1903</v>
      </c>
    </row>
    <row r="1723" spans="1:14" ht="29" x14ac:dyDescent="0.35">
      <c r="A1723" s="121" t="s">
        <v>528</v>
      </c>
      <c r="B1723" s="99" t="s">
        <v>5697</v>
      </c>
      <c r="C1723" s="121" t="str" cm="1">
        <f t="array" ref="C1723:E1723">_xlfn.TEXTSPLIT('איחוד שאלות'!$B1723,"_")</f>
        <v>attribute</v>
      </c>
      <c r="D1723" s="99" t="str">
        <v>polidentity</v>
      </c>
      <c r="E1723" s="99" t="str">
        <v>feminist</v>
      </c>
      <c r="F1723" s="99"/>
      <c r="G1723" s="100"/>
      <c r="H1723" s="136" t="s">
        <v>2565</v>
      </c>
      <c r="I1723" s="2" t="s">
        <v>5775</v>
      </c>
      <c r="J1723" s="2" t="s">
        <v>6017</v>
      </c>
      <c r="K1723" s="2" t="s">
        <v>6811</v>
      </c>
      <c r="N1723" s="1" t="s">
        <v>528</v>
      </c>
    </row>
    <row r="1724" spans="1:14" ht="29" x14ac:dyDescent="0.35">
      <c r="A1724" s="113" t="s">
        <v>542</v>
      </c>
      <c r="B1724" s="102" t="s">
        <v>5698</v>
      </c>
      <c r="C1724" s="123" t="str" cm="1">
        <f t="array" ref="C1724:F1724">_xlfn.TEXTSPLIT('איחוד שאלות'!$B1724,"_")</f>
        <v>affect</v>
      </c>
      <c r="D1724" s="102" t="str">
        <v>importance</v>
      </c>
      <c r="E1724" s="102" t="str">
        <v>polidentity</v>
      </c>
      <c r="F1724" s="102" t="str">
        <v>gender</v>
      </c>
      <c r="G1724" s="103"/>
      <c r="H1724" s="135" t="s">
        <v>2565</v>
      </c>
      <c r="I1724" s="2" t="s">
        <v>5815</v>
      </c>
      <c r="J1724" s="2" t="s">
        <v>5857</v>
      </c>
      <c r="K1724" s="2" t="s">
        <v>6017</v>
      </c>
      <c r="L1724" s="2" t="s">
        <v>4</v>
      </c>
      <c r="N1724" s="1" t="s">
        <v>542</v>
      </c>
    </row>
    <row r="1725" spans="1:14" ht="87" x14ac:dyDescent="0.35">
      <c r="A1725" s="121" t="s">
        <v>4034</v>
      </c>
      <c r="B1725" s="99" t="s">
        <v>5699</v>
      </c>
      <c r="C1725" s="121" t="str" cm="1">
        <f t="array" ref="C1725:F1725">_xlfn.TEXTSPLIT('איחוד שאלות'!$B1725,"_")</f>
        <v>perception</v>
      </c>
      <c r="D1725" s="99" t="str">
        <v>groups</v>
      </c>
      <c r="E1725" s="99" t="str">
        <v>women</v>
      </c>
      <c r="F1725" s="99" t="str">
        <v>economicinequality</v>
      </c>
      <c r="G1725" s="100"/>
      <c r="H1725" s="136" t="s">
        <v>2565</v>
      </c>
      <c r="I1725" s="2" t="s">
        <v>5844</v>
      </c>
      <c r="J1725" s="2" t="s">
        <v>6457</v>
      </c>
      <c r="K1725" s="2" t="s">
        <v>6812</v>
      </c>
      <c r="L1725" s="2" t="s">
        <v>6455</v>
      </c>
      <c r="N1725" s="1" t="s">
        <v>7593</v>
      </c>
    </row>
    <row r="1726" spans="1:14" ht="58" x14ac:dyDescent="0.35">
      <c r="A1726" s="113" t="s">
        <v>662</v>
      </c>
      <c r="B1726" s="102" t="s">
        <v>5700</v>
      </c>
      <c r="C1726" s="123" t="str" cm="1">
        <f t="array" ref="C1726:G1726">_xlfn.TEXTSPLIT('איחוד שאלות'!$B1726,"_")</f>
        <v>preference</v>
      </c>
      <c r="D1726" s="102" t="str">
        <v>policy</v>
      </c>
      <c r="E1726" s="102" t="str">
        <v>groups</v>
      </c>
      <c r="F1726" s="102" t="str">
        <v>women</v>
      </c>
      <c r="G1726" s="103" t="str">
        <v>IDFservice</v>
      </c>
      <c r="H1726" s="135" t="s">
        <v>2565</v>
      </c>
      <c r="I1726" s="2" t="s">
        <v>5856</v>
      </c>
      <c r="J1726" s="2" t="s">
        <v>5882</v>
      </c>
      <c r="K1726" s="2" t="s">
        <v>6457</v>
      </c>
      <c r="L1726" s="2" t="s">
        <v>6812</v>
      </c>
      <c r="M1726" s="2" t="s">
        <v>6813</v>
      </c>
      <c r="N1726" s="1" t="s">
        <v>662</v>
      </c>
    </row>
    <row r="1727" spans="1:14" ht="43.5" x14ac:dyDescent="0.35">
      <c r="A1727" s="121" t="s">
        <v>663</v>
      </c>
      <c r="B1727" s="99" t="s">
        <v>5701</v>
      </c>
      <c r="C1727" s="121" t="str" cm="1">
        <f t="array" ref="C1727:F1727">_xlfn.TEXTSPLIT('איחוד שאלות'!$B1727,"_")</f>
        <v>perception</v>
      </c>
      <c r="D1727" s="99" t="str">
        <v>groups</v>
      </c>
      <c r="E1727" s="99" t="str">
        <v>women</v>
      </c>
      <c r="F1727" s="99" t="str">
        <v>harassmentresponsibility</v>
      </c>
      <c r="G1727" s="100"/>
      <c r="H1727" s="136" t="s">
        <v>2565</v>
      </c>
      <c r="I1727" s="2" t="s">
        <v>5844</v>
      </c>
      <c r="J1727" s="2" t="s">
        <v>6457</v>
      </c>
      <c r="K1727" s="2" t="s">
        <v>6812</v>
      </c>
      <c r="L1727" s="2" t="s">
        <v>6814</v>
      </c>
      <c r="N1727" s="1" t="s">
        <v>663</v>
      </c>
    </row>
    <row r="1728" spans="1:14" ht="58" x14ac:dyDescent="0.35">
      <c r="A1728" s="113" t="s">
        <v>664</v>
      </c>
      <c r="B1728" s="102" t="s">
        <v>5702</v>
      </c>
      <c r="C1728" s="123" t="str" cm="1">
        <f t="array" ref="C1728:G1728">_xlfn.TEXTSPLIT('איחוד שאלות'!$B1728,"_")</f>
        <v>preference</v>
      </c>
      <c r="D1728" s="102" t="str">
        <v>policy</v>
      </c>
      <c r="E1728" s="102" t="str">
        <v>groups</v>
      </c>
      <c r="F1728" s="102" t="str">
        <v>women</v>
      </c>
      <c r="G1728" s="103" t="str">
        <v>abortionright</v>
      </c>
      <c r="H1728" s="135" t="s">
        <v>2565</v>
      </c>
      <c r="I1728" s="2" t="s">
        <v>5856</v>
      </c>
      <c r="J1728" s="2" t="s">
        <v>5882</v>
      </c>
      <c r="K1728" s="2" t="s">
        <v>6457</v>
      </c>
      <c r="L1728" s="2" t="s">
        <v>6812</v>
      </c>
      <c r="M1728" s="2" t="s">
        <v>6815</v>
      </c>
      <c r="N1728" s="1" t="s">
        <v>664</v>
      </c>
    </row>
    <row r="1729" spans="1:14" ht="72.5" x14ac:dyDescent="0.35">
      <c r="A1729" s="121" t="s">
        <v>665</v>
      </c>
      <c r="B1729" s="99" t="s">
        <v>5703</v>
      </c>
      <c r="C1729" s="121" t="str" cm="1">
        <f t="array" ref="C1729:G1729">_xlfn.TEXTSPLIT('איחוד שאלות'!$B1729,"_")</f>
        <v>preference</v>
      </c>
      <c r="D1729" s="99" t="str">
        <v>policy</v>
      </c>
      <c r="E1729" s="99" t="str">
        <v>groups</v>
      </c>
      <c r="F1729" s="99" t="str">
        <v>women</v>
      </c>
      <c r="G1729" s="100" t="str">
        <v>affirmativeaction</v>
      </c>
      <c r="H1729" s="136" t="s">
        <v>2565</v>
      </c>
      <c r="I1729" s="2" t="s">
        <v>5856</v>
      </c>
      <c r="J1729" s="2" t="s">
        <v>5882</v>
      </c>
      <c r="K1729" s="2" t="s">
        <v>6457</v>
      </c>
      <c r="L1729" s="2" t="s">
        <v>6812</v>
      </c>
      <c r="M1729" s="2" t="s">
        <v>6816</v>
      </c>
      <c r="N1729" s="1" t="s">
        <v>665</v>
      </c>
    </row>
    <row r="1730" spans="1:14" ht="43.5" x14ac:dyDescent="0.35">
      <c r="A1730" s="113" t="s">
        <v>666</v>
      </c>
      <c r="B1730" s="102" t="s">
        <v>5704</v>
      </c>
      <c r="C1730" s="123" t="str" cm="1">
        <f t="array" ref="C1730:F1730">_xlfn.TEXTSPLIT('איחוד שאלות'!$B1730,"_")</f>
        <v>perception</v>
      </c>
      <c r="D1730" s="102" t="str">
        <v>groups</v>
      </c>
      <c r="E1730" s="102" t="str">
        <v>women</v>
      </c>
      <c r="F1730" s="102" t="str">
        <v>politicsforman</v>
      </c>
      <c r="G1730" s="103"/>
      <c r="H1730" s="135" t="s">
        <v>2565</v>
      </c>
      <c r="I1730" s="2" t="s">
        <v>5844</v>
      </c>
      <c r="J1730" s="2" t="s">
        <v>6457</v>
      </c>
      <c r="K1730" s="2" t="s">
        <v>6812</v>
      </c>
      <c r="L1730" s="2" t="s">
        <v>6817</v>
      </c>
      <c r="N1730" s="1" t="s">
        <v>666</v>
      </c>
    </row>
    <row r="1731" spans="1:14" ht="43.5" x14ac:dyDescent="0.35">
      <c r="A1731" s="121" t="s">
        <v>667</v>
      </c>
      <c r="B1731" s="99" t="s">
        <v>5705</v>
      </c>
      <c r="C1731" s="121" t="str" cm="1">
        <f t="array" ref="C1731:F1731">_xlfn.TEXTSPLIT('איחוד שאלות'!$B1731,"_")</f>
        <v>perception</v>
      </c>
      <c r="D1731" s="99" t="str">
        <v>behavior</v>
      </c>
      <c r="E1731" s="99" t="str">
        <v>household</v>
      </c>
      <c r="F1731" s="99" t="str">
        <v>gendereddivisionoflabor</v>
      </c>
      <c r="G1731" s="100"/>
      <c r="H1731" s="136" t="s">
        <v>2565</v>
      </c>
      <c r="I1731" s="2" t="s">
        <v>5844</v>
      </c>
      <c r="J1731" s="2" t="s">
        <v>5806</v>
      </c>
      <c r="K1731" s="2" t="s">
        <v>5795</v>
      </c>
      <c r="L1731" s="2" t="s">
        <v>6818</v>
      </c>
      <c r="N1731" s="1" t="s">
        <v>667</v>
      </c>
    </row>
    <row r="1732" spans="1:14" ht="43.5" x14ac:dyDescent="0.35">
      <c r="A1732" s="113" t="s">
        <v>669</v>
      </c>
      <c r="B1732" s="102" t="s">
        <v>5706</v>
      </c>
      <c r="C1732" s="123" t="str" cm="1">
        <f t="array" ref="C1732:F1732">_xlfn.TEXTSPLIT('איחוד שאלות'!$B1732,"_")</f>
        <v>perception</v>
      </c>
      <c r="D1732" s="102" t="str">
        <v>expectation</v>
      </c>
      <c r="E1732" s="102" t="str">
        <v>personal</v>
      </c>
      <c r="F1732" s="102" t="str">
        <v>durablerelationship</v>
      </c>
      <c r="G1732" s="103"/>
      <c r="H1732" s="135" t="s">
        <v>2565</v>
      </c>
      <c r="I1732" s="2" t="s">
        <v>5844</v>
      </c>
      <c r="J1732" s="2" t="s">
        <v>5850</v>
      </c>
      <c r="K1732" s="2" t="s">
        <v>5866</v>
      </c>
      <c r="L1732" s="2" t="s">
        <v>6819</v>
      </c>
      <c r="N1732" s="1" t="s">
        <v>669</v>
      </c>
    </row>
    <row r="1733" spans="1:14" ht="145" x14ac:dyDescent="0.35">
      <c r="A1733" s="121" t="s">
        <v>46</v>
      </c>
      <c r="B1733" s="99" t="s">
        <v>5707</v>
      </c>
      <c r="C1733" s="121" t="str" cm="1">
        <f t="array" ref="C1733:E1733">_xlfn.TEXTSPLIT('איחוד שאלות'!$B1733,"_")</f>
        <v>perception</v>
      </c>
      <c r="D1733" s="99" t="str">
        <v>representativeness</v>
      </c>
      <c r="E1733" s="99" t="str">
        <v>partypolitician</v>
      </c>
      <c r="F1733" s="99"/>
      <c r="G1733" s="100"/>
      <c r="H1733" s="136" t="s">
        <v>4044</v>
      </c>
      <c r="I1733" s="2" t="s">
        <v>5844</v>
      </c>
      <c r="J1733" s="2" t="s">
        <v>6820</v>
      </c>
      <c r="K1733" s="2" t="s">
        <v>6821</v>
      </c>
      <c r="N1733" s="1" t="s">
        <v>46</v>
      </c>
    </row>
    <row r="1734" spans="1:14" ht="58" x14ac:dyDescent="0.35">
      <c r="A1734" s="113" t="s">
        <v>47</v>
      </c>
      <c r="B1734" s="102" t="s">
        <v>5708</v>
      </c>
      <c r="C1734" s="123" t="str" cm="1">
        <f t="array" ref="C1734:E1734">_xlfn.TEXTSPLIT('איחוד שאלות'!$B1734,"_")</f>
        <v>perception</v>
      </c>
      <c r="D1734" s="102" t="str">
        <v>representativeness</v>
      </c>
      <c r="E1734" s="102" t="str">
        <v>passinglaws</v>
      </c>
      <c r="F1734" s="102"/>
      <c r="G1734" s="103"/>
      <c r="H1734" s="135" t="s">
        <v>4044</v>
      </c>
      <c r="I1734" s="2" t="s">
        <v>5844</v>
      </c>
      <c r="J1734" s="2" t="s">
        <v>6820</v>
      </c>
      <c r="K1734" s="2" t="s">
        <v>6822</v>
      </c>
      <c r="N1734" s="1" t="s">
        <v>47</v>
      </c>
    </row>
    <row r="1735" spans="1:14" ht="72.5" x14ac:dyDescent="0.35">
      <c r="A1735" s="121" t="s">
        <v>48</v>
      </c>
      <c r="B1735" s="99" t="s">
        <v>5709</v>
      </c>
      <c r="C1735" s="121" t="str" cm="1">
        <f t="array" ref="C1735:F1735">_xlfn.TEXTSPLIT('איחוד שאלות'!$B1735,"_")</f>
        <v>perception</v>
      </c>
      <c r="D1735" s="99" t="str">
        <v>representativeness</v>
      </c>
      <c r="E1735" s="99" t="str">
        <v>politicians</v>
      </c>
      <c r="F1735" s="99" t="str">
        <v>similarity</v>
      </c>
      <c r="G1735" s="100"/>
      <c r="H1735" s="136" t="s">
        <v>4044</v>
      </c>
      <c r="I1735" s="2" t="s">
        <v>5844</v>
      </c>
      <c r="J1735" s="2" t="s">
        <v>6820</v>
      </c>
      <c r="K1735" s="2" t="s">
        <v>6004</v>
      </c>
      <c r="L1735" s="2" t="s">
        <v>5927</v>
      </c>
      <c r="N1735" s="1" t="s">
        <v>48</v>
      </c>
    </row>
    <row r="1736" spans="1:14" ht="43.5" x14ac:dyDescent="0.35">
      <c r="A1736" s="113" t="s">
        <v>49</v>
      </c>
      <c r="B1736" s="102" t="s">
        <v>5710</v>
      </c>
      <c r="C1736" s="123" t="str" cm="1">
        <f t="array" ref="C1736:E1736">_xlfn.TEXTSPLIT('איחוד שאלות'!$B1736,"_")</f>
        <v>perception</v>
      </c>
      <c r="D1736" s="102" t="str">
        <v>representativeness</v>
      </c>
      <c r="E1736" s="102" t="str">
        <v>parliament</v>
      </c>
      <c r="F1736" s="102"/>
      <c r="G1736" s="103"/>
      <c r="H1736" s="135" t="s">
        <v>4044</v>
      </c>
      <c r="I1736" s="2" t="s">
        <v>5844</v>
      </c>
      <c r="J1736" s="2" t="s">
        <v>6820</v>
      </c>
      <c r="K1736" s="2" t="s">
        <v>6676</v>
      </c>
      <c r="N1736" s="1" t="s">
        <v>49</v>
      </c>
    </row>
    <row r="1737" spans="1:14" ht="58" x14ac:dyDescent="0.35">
      <c r="A1737" s="121" t="s">
        <v>50</v>
      </c>
      <c r="B1737" s="99" t="s">
        <v>5717</v>
      </c>
      <c r="C1737" s="121" t="str" cm="1">
        <f t="array" ref="C1737:G1737">_xlfn.TEXTSPLIT('איחוד שאלות'!$B1737,"_")</f>
        <v>affect</v>
      </c>
      <c r="D1737" s="99" t="str">
        <v>representativeness</v>
      </c>
      <c r="E1737" s="99" t="str">
        <v>belonging</v>
      </c>
      <c r="F1737" s="99" t="str">
        <v>pride</v>
      </c>
      <c r="G1737" s="100" t="str">
        <v>partypolitician</v>
      </c>
      <c r="H1737" s="136" t="s">
        <v>4044</v>
      </c>
      <c r="I1737" s="2" t="s">
        <v>5815</v>
      </c>
      <c r="J1737" s="2" t="s">
        <v>6820</v>
      </c>
      <c r="K1737" s="2" t="s">
        <v>5965</v>
      </c>
      <c r="L1737" s="2" t="s">
        <v>6120</v>
      </c>
      <c r="M1737" s="2" t="s">
        <v>6821</v>
      </c>
      <c r="N1737" s="1" t="s">
        <v>50</v>
      </c>
    </row>
    <row r="1738" spans="1:14" ht="43.5" x14ac:dyDescent="0.35">
      <c r="A1738" s="113" t="s">
        <v>51</v>
      </c>
      <c r="B1738" s="102" t="s">
        <v>5718</v>
      </c>
      <c r="C1738" s="123" t="str" cm="1">
        <f t="array" ref="C1738:G1738">_xlfn.TEXTSPLIT('איחוד שאלות'!$B1738,"_")</f>
        <v>affect</v>
      </c>
      <c r="D1738" s="102" t="str">
        <v>representativeness</v>
      </c>
      <c r="E1738" s="102" t="str">
        <v>belonging</v>
      </c>
      <c r="F1738" s="102" t="str">
        <v>pride</v>
      </c>
      <c r="G1738" s="103" t="str">
        <v>parliament</v>
      </c>
      <c r="H1738" s="135" t="s">
        <v>4044</v>
      </c>
      <c r="I1738" s="2" t="s">
        <v>5815</v>
      </c>
      <c r="J1738" s="2" t="s">
        <v>6820</v>
      </c>
      <c r="K1738" s="2" t="s">
        <v>5965</v>
      </c>
      <c r="L1738" s="2" t="s">
        <v>6120</v>
      </c>
      <c r="M1738" s="2" t="s">
        <v>6676</v>
      </c>
      <c r="N1738" s="1" t="s">
        <v>51</v>
      </c>
    </row>
    <row r="1739" spans="1:14" ht="72.5" x14ac:dyDescent="0.35">
      <c r="A1739" s="121" t="s">
        <v>52</v>
      </c>
      <c r="B1739" s="99" t="s">
        <v>5711</v>
      </c>
      <c r="C1739" s="121" t="str" cm="1">
        <f t="array" ref="C1739:F1739">_xlfn.TEXTSPLIT('איחוד שאלות'!$B1739,"_")</f>
        <v>perception</v>
      </c>
      <c r="D1739" s="99" t="str">
        <v>representativeness</v>
      </c>
      <c r="E1739" s="99" t="str">
        <v>responsibility</v>
      </c>
      <c r="F1739" s="99" t="str">
        <v>chosenpartypolitician</v>
      </c>
      <c r="G1739" s="100"/>
      <c r="H1739" s="136" t="s">
        <v>4044</v>
      </c>
      <c r="I1739" s="2" t="s">
        <v>5844</v>
      </c>
      <c r="J1739" s="2" t="s">
        <v>6820</v>
      </c>
      <c r="K1739" s="2" t="s">
        <v>5961</v>
      </c>
      <c r="L1739" s="2" t="s">
        <v>6823</v>
      </c>
      <c r="N1739" s="1" t="s">
        <v>52</v>
      </c>
    </row>
    <row r="1740" spans="1:14" ht="58" x14ac:dyDescent="0.35">
      <c r="A1740" s="113" t="s">
        <v>53</v>
      </c>
      <c r="B1740" s="102" t="s">
        <v>5712</v>
      </c>
      <c r="C1740" s="123" t="str" cm="1">
        <f t="array" ref="C1740:F1740">_xlfn.TEXTSPLIT('איחוד שאלות'!$B1740,"_")</f>
        <v>perception</v>
      </c>
      <c r="D1740" s="102" t="str">
        <v>representativeness</v>
      </c>
      <c r="E1740" s="102" t="str">
        <v>responsibility</v>
      </c>
      <c r="F1740" s="102" t="str">
        <v>parliament</v>
      </c>
      <c r="G1740" s="103"/>
      <c r="H1740" s="135" t="s">
        <v>4044</v>
      </c>
      <c r="I1740" s="2" t="s">
        <v>5844</v>
      </c>
      <c r="J1740" s="2" t="s">
        <v>6820</v>
      </c>
      <c r="K1740" s="2" t="s">
        <v>5961</v>
      </c>
      <c r="L1740" s="2" t="s">
        <v>6676</v>
      </c>
      <c r="N1740" s="1" t="s">
        <v>53</v>
      </c>
    </row>
    <row r="1741" spans="1:14" ht="72.5" x14ac:dyDescent="0.35">
      <c r="A1741" s="121" t="s">
        <v>54</v>
      </c>
      <c r="B1741" s="99" t="s">
        <v>5713</v>
      </c>
      <c r="C1741" s="121" t="str" cm="1">
        <f t="array" ref="C1741:F1741">_xlfn.TEXTSPLIT('איחוד שאלות'!$B1741,"_")</f>
        <v>preference</v>
      </c>
      <c r="D1741" s="99" t="str">
        <v>importance</v>
      </c>
      <c r="E1741" s="99" t="str">
        <v>representativeness</v>
      </c>
      <c r="F1741" s="99" t="str">
        <v>party</v>
      </c>
      <c r="G1741" s="100"/>
      <c r="H1741" s="136" t="s">
        <v>4044</v>
      </c>
      <c r="I1741" s="2" t="s">
        <v>5856</v>
      </c>
      <c r="J1741" s="2" t="s">
        <v>5857</v>
      </c>
      <c r="K1741" s="2" t="s">
        <v>6820</v>
      </c>
      <c r="L1741" s="2" t="s">
        <v>5853</v>
      </c>
      <c r="N1741" s="1" t="s">
        <v>54</v>
      </c>
    </row>
    <row r="1742" spans="1:14" ht="43.5" x14ac:dyDescent="0.35">
      <c r="A1742" s="113" t="s">
        <v>55</v>
      </c>
      <c r="B1742" s="102" t="s">
        <v>5714</v>
      </c>
      <c r="C1742" s="123" t="str" cm="1">
        <f t="array" ref="C1742:F1742">_xlfn.TEXTSPLIT('איחוד שאלות'!$B1742,"_")</f>
        <v>preference</v>
      </c>
      <c r="D1742" s="102" t="str">
        <v>importance</v>
      </c>
      <c r="E1742" s="102" t="str">
        <v>representativeness</v>
      </c>
      <c r="F1742" s="102" t="str">
        <v>parliament</v>
      </c>
      <c r="G1742" s="103"/>
      <c r="H1742" s="135" t="s">
        <v>4044</v>
      </c>
      <c r="I1742" s="2" t="s">
        <v>5856</v>
      </c>
      <c r="J1742" s="2" t="s">
        <v>5857</v>
      </c>
      <c r="K1742" s="2" t="s">
        <v>6820</v>
      </c>
      <c r="L1742" s="2" t="s">
        <v>6676</v>
      </c>
      <c r="N1742" s="1" t="s">
        <v>55</v>
      </c>
    </row>
    <row r="1743" spans="1:14" ht="58" x14ac:dyDescent="0.35">
      <c r="A1743" s="121" t="s">
        <v>124</v>
      </c>
      <c r="B1743" s="99" t="s">
        <v>5715</v>
      </c>
      <c r="C1743" s="121" t="str" cm="1">
        <f t="array" ref="C1743:E1743">_xlfn.TEXTSPLIT('איחוד שאלות'!$B1743,"_")</f>
        <v>affect</v>
      </c>
      <c r="D1743" s="99" t="str">
        <v>representativeness</v>
      </c>
      <c r="E1743" s="99" t="str">
        <v>partypolitician</v>
      </c>
      <c r="F1743" s="99"/>
      <c r="G1743" s="100"/>
      <c r="H1743" s="136" t="s">
        <v>4044</v>
      </c>
      <c r="I1743" s="2" t="s">
        <v>5815</v>
      </c>
      <c r="J1743" s="2" t="s">
        <v>6820</v>
      </c>
      <c r="K1743" s="2" t="s">
        <v>6821</v>
      </c>
      <c r="N1743" s="1" t="s">
        <v>124</v>
      </c>
    </row>
    <row r="1744" spans="1:14" ht="72.5" x14ac:dyDescent="0.35">
      <c r="A1744" s="113" t="s">
        <v>125</v>
      </c>
      <c r="B1744" s="102" t="s">
        <v>5716</v>
      </c>
      <c r="C1744" s="123" t="str" cm="1">
        <f t="array" ref="C1744:E1744">_xlfn.TEXTSPLIT('איחוד שאלות'!$B1744,"_")</f>
        <v>affect</v>
      </c>
      <c r="D1744" s="102" t="str">
        <v>representativeness</v>
      </c>
      <c r="E1744" s="102" t="str">
        <v>politicalsystem</v>
      </c>
      <c r="F1744" s="102"/>
      <c r="G1744" s="103"/>
      <c r="H1744" s="135" t="s">
        <v>4044</v>
      </c>
      <c r="I1744" s="2" t="s">
        <v>5815</v>
      </c>
      <c r="J1744" s="2" t="s">
        <v>6820</v>
      </c>
      <c r="K1744" s="2" t="s">
        <v>5855</v>
      </c>
      <c r="N1744" s="1" t="s">
        <v>125</v>
      </c>
    </row>
    <row r="1745" spans="1:14" ht="58" x14ac:dyDescent="0.35">
      <c r="A1745" s="121" t="s">
        <v>175</v>
      </c>
      <c r="B1745" s="99" t="s">
        <v>5716</v>
      </c>
      <c r="C1745" s="121" t="str" cm="1">
        <f t="array" ref="C1745:E1745">_xlfn.TEXTSPLIT('איחוד שאלות'!$B1745,"_")</f>
        <v>affect</v>
      </c>
      <c r="D1745" s="99" t="str">
        <v>representativeness</v>
      </c>
      <c r="E1745" s="99" t="str">
        <v>politicalsystem</v>
      </c>
      <c r="F1745" s="99"/>
      <c r="G1745" s="100"/>
      <c r="H1745" s="136" t="s">
        <v>4044</v>
      </c>
      <c r="I1745" s="2" t="s">
        <v>5815</v>
      </c>
      <c r="J1745" s="2" t="s">
        <v>6820</v>
      </c>
      <c r="K1745" s="2" t="s">
        <v>5855</v>
      </c>
      <c r="N1745" s="1" t="s">
        <v>175</v>
      </c>
    </row>
    <row r="1746" spans="1:14" ht="87" x14ac:dyDescent="0.35">
      <c r="A1746" s="113" t="s">
        <v>4035</v>
      </c>
      <c r="B1746" s="102" t="s">
        <v>5719</v>
      </c>
      <c r="C1746" s="123" t="str" cm="1">
        <f t="array" ref="C1746:F1746">_xlfn.TEXTSPLIT('איחוד שאלות'!$B1746,"_")</f>
        <v>perception</v>
      </c>
      <c r="D1746" s="102" t="str">
        <v>politician</v>
      </c>
      <c r="E1746" s="102" t="str">
        <v>representativeness</v>
      </c>
      <c r="F1746" s="102" t="str">
        <v>considerpublicopinion</v>
      </c>
      <c r="G1746" s="103"/>
      <c r="H1746" s="135" t="s">
        <v>4044</v>
      </c>
      <c r="I1746" s="2" t="s">
        <v>5844</v>
      </c>
      <c r="J1746" s="2" t="s">
        <v>6151</v>
      </c>
      <c r="K1746" s="2" t="s">
        <v>6820</v>
      </c>
      <c r="L1746" s="2" t="s">
        <v>6824</v>
      </c>
      <c r="N1746" s="1" t="s">
        <v>7594</v>
      </c>
    </row>
    <row r="1747" spans="1:14" ht="29" x14ac:dyDescent="0.35">
      <c r="A1747" s="121" t="s">
        <v>244</v>
      </c>
      <c r="B1747" s="99" t="s">
        <v>5720</v>
      </c>
      <c r="C1747" s="121" t="str" cm="1">
        <f t="array" ref="C1747:F1747">_xlfn.TEXTSPLIT('איחוד שאלות'!$B1747,"_")</f>
        <v>affect</v>
      </c>
      <c r="D1747" s="99" t="str">
        <v>emotion</v>
      </c>
      <c r="E1747" s="99" t="str">
        <v>closeness</v>
      </c>
      <c r="F1747" s="99" t="str">
        <v>party</v>
      </c>
      <c r="G1747" s="100"/>
      <c r="H1747" s="136" t="s">
        <v>4044</v>
      </c>
      <c r="I1747" s="2" t="s">
        <v>5815</v>
      </c>
      <c r="J1747" s="2" t="s">
        <v>5936</v>
      </c>
      <c r="K1747" s="2" t="s">
        <v>6825</v>
      </c>
      <c r="L1747" s="2" t="s">
        <v>5853</v>
      </c>
      <c r="N1747" s="1" t="s">
        <v>244</v>
      </c>
    </row>
    <row r="1748" spans="1:14" ht="87" x14ac:dyDescent="0.35">
      <c r="A1748" s="113" t="s">
        <v>4036</v>
      </c>
      <c r="B1748" s="102" t="s">
        <v>5724</v>
      </c>
      <c r="C1748" s="123" t="str" cm="1">
        <f t="array" ref="C1748:F1748">_xlfn.TEXTSPLIT('איחוד שאלות'!$B1748,"_")</f>
        <v>perception</v>
      </c>
      <c r="D1748" s="102" t="str">
        <v>government</v>
      </c>
      <c r="E1748" s="102" t="str">
        <v>representativeness</v>
      </c>
      <c r="F1748" s="102" t="str">
        <v>diversegroups</v>
      </c>
      <c r="G1748" s="103"/>
      <c r="H1748" s="135" t="s">
        <v>4044</v>
      </c>
      <c r="I1748" s="2" t="s">
        <v>5844</v>
      </c>
      <c r="J1748" s="2" t="s">
        <v>5848</v>
      </c>
      <c r="K1748" s="2" t="s">
        <v>6820</v>
      </c>
      <c r="L1748" s="2" t="s">
        <v>6826</v>
      </c>
      <c r="N1748" s="1" t="s">
        <v>7595</v>
      </c>
    </row>
    <row r="1749" spans="1:14" ht="58" x14ac:dyDescent="0.35">
      <c r="A1749" s="121" t="s">
        <v>255</v>
      </c>
      <c r="B1749" s="99" t="s">
        <v>5721</v>
      </c>
      <c r="C1749" s="121" t="str" cm="1">
        <f t="array" ref="C1749:F1749">_xlfn.TEXTSPLIT('איחוד שאלות'!$B1749,"_")</f>
        <v>perception</v>
      </c>
      <c r="D1749" s="99" t="str">
        <v>government</v>
      </c>
      <c r="E1749" s="99" t="str">
        <v>representativeness</v>
      </c>
      <c r="F1749" s="99" t="str">
        <v>considerpublicopinion</v>
      </c>
      <c r="G1749" s="100"/>
      <c r="H1749" s="136" t="s">
        <v>4044</v>
      </c>
      <c r="I1749" s="2" t="s">
        <v>5844</v>
      </c>
      <c r="J1749" s="2" t="s">
        <v>5848</v>
      </c>
      <c r="K1749" s="2" t="s">
        <v>6820</v>
      </c>
      <c r="L1749" s="2" t="s">
        <v>6824</v>
      </c>
      <c r="N1749" s="1" t="s">
        <v>255</v>
      </c>
    </row>
    <row r="1750" spans="1:14" ht="58" x14ac:dyDescent="0.35">
      <c r="A1750" s="113" t="s">
        <v>256</v>
      </c>
      <c r="B1750" s="102" t="s">
        <v>5722</v>
      </c>
      <c r="C1750" s="123" t="str" cm="1">
        <f t="array" ref="C1750:F1750">_xlfn.TEXTSPLIT('איחוד שאלות'!$B1750,"_")</f>
        <v>perception</v>
      </c>
      <c r="D1750" s="102" t="str">
        <v>government</v>
      </c>
      <c r="E1750" s="102" t="str">
        <v>representativeness</v>
      </c>
      <c r="F1750" s="102" t="str">
        <v>pridebelongingpublic</v>
      </c>
      <c r="G1750" s="103"/>
      <c r="H1750" s="135" t="s">
        <v>4044</v>
      </c>
      <c r="I1750" s="2" t="s">
        <v>5844</v>
      </c>
      <c r="J1750" s="2" t="s">
        <v>5848</v>
      </c>
      <c r="K1750" s="2" t="s">
        <v>6820</v>
      </c>
      <c r="L1750" s="2" t="s">
        <v>6827</v>
      </c>
      <c r="N1750" s="1" t="s">
        <v>256</v>
      </c>
    </row>
    <row r="1751" spans="1:14" ht="43.5" x14ac:dyDescent="0.35">
      <c r="A1751" s="121" t="s">
        <v>257</v>
      </c>
      <c r="B1751" s="99" t="s">
        <v>5723</v>
      </c>
      <c r="C1751" s="121" t="str" cm="1">
        <f t="array" ref="C1751:F1751">_xlfn.TEXTSPLIT('איחוד שאלות'!$B1751,"_")</f>
        <v>perception</v>
      </c>
      <c r="D1751" s="99" t="str">
        <v>parliament</v>
      </c>
      <c r="E1751" s="99" t="str">
        <v>representativeness</v>
      </c>
      <c r="F1751" s="99" t="str">
        <v>diversegroups</v>
      </c>
      <c r="G1751" s="100"/>
      <c r="H1751" s="136" t="s">
        <v>4044</v>
      </c>
      <c r="I1751" s="2" t="s">
        <v>5844</v>
      </c>
      <c r="J1751" s="2" t="s">
        <v>6676</v>
      </c>
      <c r="K1751" s="2" t="s">
        <v>6820</v>
      </c>
      <c r="L1751" s="2" t="s">
        <v>6826</v>
      </c>
      <c r="N1751" s="1" t="s">
        <v>257</v>
      </c>
    </row>
    <row r="1752" spans="1:14" ht="58" x14ac:dyDescent="0.35">
      <c r="A1752" s="113" t="s">
        <v>258</v>
      </c>
      <c r="B1752" s="102" t="s">
        <v>5725</v>
      </c>
      <c r="C1752" s="123" t="str" cm="1">
        <f t="array" ref="C1752:F1752">_xlfn.TEXTSPLIT('איחוד שאלות'!$B1752,"_")</f>
        <v>perception</v>
      </c>
      <c r="D1752" s="102" t="str">
        <v>parliament</v>
      </c>
      <c r="E1752" s="102" t="str">
        <v>representativeness</v>
      </c>
      <c r="F1752" s="102" t="str">
        <v>diverseopinions</v>
      </c>
      <c r="G1752" s="103"/>
      <c r="H1752" s="135" t="s">
        <v>4044</v>
      </c>
      <c r="I1752" s="2" t="s">
        <v>5844</v>
      </c>
      <c r="J1752" s="2" t="s">
        <v>6676</v>
      </c>
      <c r="K1752" s="2" t="s">
        <v>6820</v>
      </c>
      <c r="L1752" s="2" t="s">
        <v>6828</v>
      </c>
      <c r="N1752" s="1" t="s">
        <v>258</v>
      </c>
    </row>
    <row r="1753" spans="1:14" ht="58" x14ac:dyDescent="0.35">
      <c r="A1753" s="121" t="s">
        <v>259</v>
      </c>
      <c r="B1753" s="99" t="s">
        <v>5726</v>
      </c>
      <c r="C1753" s="121" t="str" cm="1">
        <f t="array" ref="C1753:F1753">_xlfn.TEXTSPLIT('איחוד שאלות'!$B1753,"_")</f>
        <v>perception</v>
      </c>
      <c r="D1753" s="99" t="str">
        <v>parliament</v>
      </c>
      <c r="E1753" s="99" t="str">
        <v>representativeness</v>
      </c>
      <c r="F1753" s="99" t="str">
        <v>pridebelongingpublic</v>
      </c>
      <c r="G1753" s="100"/>
      <c r="H1753" s="136" t="s">
        <v>4044</v>
      </c>
      <c r="I1753" s="2" t="s">
        <v>5844</v>
      </c>
      <c r="J1753" s="2" t="s">
        <v>6676</v>
      </c>
      <c r="K1753" s="2" t="s">
        <v>6820</v>
      </c>
      <c r="L1753" s="2" t="s">
        <v>6827</v>
      </c>
      <c r="N1753" s="1" t="s">
        <v>259</v>
      </c>
    </row>
    <row r="1754" spans="1:14" ht="87" x14ac:dyDescent="0.35">
      <c r="A1754" s="113" t="s">
        <v>260</v>
      </c>
      <c r="B1754" s="102" t="s">
        <v>5727</v>
      </c>
      <c r="C1754" s="123" t="str" cm="1">
        <f t="array" ref="C1754:F1754">_xlfn.TEXTSPLIT('איחוד שאלות'!$B1754,"_")</f>
        <v>preference</v>
      </c>
      <c r="D1754" s="102" t="str">
        <v>politician</v>
      </c>
      <c r="E1754" s="102" t="str">
        <v>similarity</v>
      </c>
      <c r="F1754" s="102" t="str">
        <v>identitiy</v>
      </c>
      <c r="G1754" s="103"/>
      <c r="H1754" s="135" t="s">
        <v>4044</v>
      </c>
      <c r="I1754" s="2" t="s">
        <v>5856</v>
      </c>
      <c r="J1754" s="2" t="s">
        <v>6151</v>
      </c>
      <c r="K1754" s="2" t="s">
        <v>5927</v>
      </c>
      <c r="L1754" s="2" t="s">
        <v>6829</v>
      </c>
      <c r="N1754" s="1" t="s">
        <v>260</v>
      </c>
    </row>
    <row r="1755" spans="1:14" ht="87" x14ac:dyDescent="0.35">
      <c r="A1755" s="121" t="s">
        <v>4037</v>
      </c>
      <c r="B1755" s="99" t="s">
        <v>5728</v>
      </c>
      <c r="C1755" s="121" t="str" cm="1">
        <f t="array" ref="C1755:F1755">_xlfn.TEXTSPLIT('איחוד שאלות'!$B1755,"_")</f>
        <v>perception</v>
      </c>
      <c r="D1755" s="99" t="str">
        <v>elections</v>
      </c>
      <c r="E1755" s="99" t="str">
        <v>representativeness</v>
      </c>
      <c r="F1755" s="99" t="str">
        <v>votingdoesntmatter</v>
      </c>
      <c r="G1755" s="100"/>
      <c r="H1755" s="136" t="s">
        <v>4044</v>
      </c>
      <c r="I1755" s="2" t="s">
        <v>5844</v>
      </c>
      <c r="J1755" s="2" t="s">
        <v>5954</v>
      </c>
      <c r="K1755" s="2" t="s">
        <v>6820</v>
      </c>
      <c r="L1755" s="2" t="s">
        <v>6830</v>
      </c>
      <c r="N1755" s="1" t="s">
        <v>7596</v>
      </c>
    </row>
    <row r="1756" spans="1:14" ht="101.5" x14ac:dyDescent="0.35">
      <c r="A1756" s="113" t="s">
        <v>4038</v>
      </c>
      <c r="B1756" s="102" t="s">
        <v>5729</v>
      </c>
      <c r="C1756" s="123" t="str" cm="1">
        <f t="array" ref="C1756:F1756">_xlfn.TEXTSPLIT('איחוד שאלות'!$B1756,"_")</f>
        <v>perception</v>
      </c>
      <c r="D1756" s="102" t="str">
        <v>politician</v>
      </c>
      <c r="E1756" s="102" t="str">
        <v>representativeness</v>
      </c>
      <c r="F1756" s="102" t="str">
        <v>falsepromises</v>
      </c>
      <c r="G1756" s="103"/>
      <c r="H1756" s="135" t="s">
        <v>4044</v>
      </c>
      <c r="I1756" s="2" t="s">
        <v>5844</v>
      </c>
      <c r="J1756" s="2" t="s">
        <v>6151</v>
      </c>
      <c r="K1756" s="2" t="s">
        <v>6820</v>
      </c>
      <c r="L1756" s="2" t="s">
        <v>6831</v>
      </c>
      <c r="N1756" s="1" t="s">
        <v>7597</v>
      </c>
    </row>
    <row r="1757" spans="1:14" ht="72.5" x14ac:dyDescent="0.35">
      <c r="A1757" s="121" t="s">
        <v>4039</v>
      </c>
      <c r="B1757" s="99" t="s">
        <v>5730</v>
      </c>
      <c r="C1757" s="121" t="str" cm="1">
        <f t="array" ref="C1757:F1757">_xlfn.TEXTSPLIT('איחוד שאלות'!$B1757,"_")</f>
        <v>perception</v>
      </c>
      <c r="D1757" s="99" t="str">
        <v>politician</v>
      </c>
      <c r="E1757" s="99" t="str">
        <v>representativeness</v>
      </c>
      <c r="F1757" s="99" t="str">
        <v>corruptionuncommon</v>
      </c>
      <c r="G1757" s="100"/>
      <c r="H1757" s="136" t="s">
        <v>4044</v>
      </c>
      <c r="I1757" s="2" t="s">
        <v>5844</v>
      </c>
      <c r="J1757" s="2" t="s">
        <v>6151</v>
      </c>
      <c r="K1757" s="2" t="s">
        <v>6820</v>
      </c>
      <c r="L1757" s="2" t="s">
        <v>6832</v>
      </c>
      <c r="N1757" s="1" t="s">
        <v>7598</v>
      </c>
    </row>
    <row r="1758" spans="1:14" ht="101.5" x14ac:dyDescent="0.35">
      <c r="A1758" s="113" t="s">
        <v>4040</v>
      </c>
      <c r="B1758" s="102" t="s">
        <v>5731</v>
      </c>
      <c r="C1758" s="123" t="str" cm="1">
        <f t="array" ref="C1758:F1758">_xlfn.TEXTSPLIT('איחוד שאלות'!$B1758,"_")</f>
        <v>perception</v>
      </c>
      <c r="D1758" s="102" t="str">
        <v>elections</v>
      </c>
      <c r="E1758" s="102" t="str">
        <v>representativeness</v>
      </c>
      <c r="F1758" s="102" t="str">
        <v>unrepresentative</v>
      </c>
      <c r="G1758" s="103"/>
      <c r="H1758" s="135" t="s">
        <v>4044</v>
      </c>
      <c r="I1758" s="2" t="s">
        <v>5844</v>
      </c>
      <c r="J1758" s="2" t="s">
        <v>5954</v>
      </c>
      <c r="K1758" s="2" t="s">
        <v>6820</v>
      </c>
      <c r="L1758" s="2" t="s">
        <v>6833</v>
      </c>
      <c r="N1758" s="1" t="s">
        <v>7599</v>
      </c>
    </row>
    <row r="1759" spans="1:14" ht="87" x14ac:dyDescent="0.35">
      <c r="A1759" s="121" t="s">
        <v>4041</v>
      </c>
      <c r="B1759" s="99" t="s">
        <v>5732</v>
      </c>
      <c r="C1759" s="121" t="str" cm="1">
        <f t="array" ref="C1759:F1759">_xlfn.TEXTSPLIT('איחוד שאלות'!$B1759,"_")</f>
        <v>perception</v>
      </c>
      <c r="D1759" s="99" t="str">
        <v>electionsysetem</v>
      </c>
      <c r="E1759" s="99" t="str">
        <v>representativeness</v>
      </c>
      <c r="F1759" s="99" t="str">
        <v>twistvoterswill</v>
      </c>
      <c r="G1759" s="100"/>
      <c r="H1759" s="136" t="s">
        <v>4044</v>
      </c>
      <c r="I1759" s="2" t="s">
        <v>5844</v>
      </c>
      <c r="J1759" s="2" t="s">
        <v>6834</v>
      </c>
      <c r="K1759" s="2" t="s">
        <v>6820</v>
      </c>
      <c r="L1759" s="2" t="s">
        <v>6835</v>
      </c>
      <c r="N1759" s="1" t="s">
        <v>7600</v>
      </c>
    </row>
    <row r="1760" spans="1:14" ht="72.5" x14ac:dyDescent="0.35">
      <c r="A1760" s="113" t="s">
        <v>1241</v>
      </c>
      <c r="B1760" s="102" t="s">
        <v>5728</v>
      </c>
      <c r="C1760" s="123" t="str" cm="1">
        <f t="array" ref="C1760:F1760">_xlfn.TEXTSPLIT('איחוד שאלות'!$B1760,"_")</f>
        <v>perception</v>
      </c>
      <c r="D1760" s="102" t="str">
        <v>elections</v>
      </c>
      <c r="E1760" s="102" t="str">
        <v>representativeness</v>
      </c>
      <c r="F1760" s="102" t="str">
        <v>votingdoesntmatter</v>
      </c>
      <c r="G1760" s="103"/>
      <c r="H1760" s="135" t="s">
        <v>4044</v>
      </c>
      <c r="I1760" s="2" t="s">
        <v>5844</v>
      </c>
      <c r="J1760" s="2" t="s">
        <v>5954</v>
      </c>
      <c r="K1760" s="2" t="s">
        <v>6820</v>
      </c>
      <c r="L1760" s="2" t="s">
        <v>6830</v>
      </c>
      <c r="N1760" s="1" t="s">
        <v>1241</v>
      </c>
    </row>
    <row r="1761" spans="1:14" ht="87" x14ac:dyDescent="0.35">
      <c r="A1761" s="121" t="s">
        <v>870</v>
      </c>
      <c r="B1761" s="99" t="s">
        <v>5733</v>
      </c>
      <c r="C1761" s="121" t="str" cm="1">
        <f t="array" ref="C1761:G1761">_xlfn.TEXTSPLIT('איחוד שאלות'!$B1761,"_")</f>
        <v>perception</v>
      </c>
      <c r="D1761" s="99" t="str">
        <v>party</v>
      </c>
      <c r="E1761" s="99" t="str">
        <v>yisraelbeiteinu</v>
      </c>
      <c r="F1761" s="99" t="str">
        <v>representativeness</v>
      </c>
      <c r="G1761" s="100" t="str">
        <v>imm</v>
      </c>
      <c r="H1761" s="136" t="s">
        <v>4044</v>
      </c>
      <c r="I1761" s="2" t="s">
        <v>5844</v>
      </c>
      <c r="J1761" s="2" t="s">
        <v>5853</v>
      </c>
      <c r="K1761" s="2" t="s">
        <v>6035</v>
      </c>
      <c r="L1761" s="2" t="s">
        <v>6820</v>
      </c>
      <c r="M1761" s="2" t="s">
        <v>5781</v>
      </c>
      <c r="N1761" s="1" t="s">
        <v>870</v>
      </c>
    </row>
    <row r="1762" spans="1:14" ht="58" x14ac:dyDescent="0.35">
      <c r="A1762" s="113" t="s">
        <v>1099</v>
      </c>
      <c r="B1762" s="102" t="s">
        <v>5734</v>
      </c>
      <c r="C1762" s="123" t="str" cm="1">
        <f t="array" ref="C1762:F1762">_xlfn.TEXTSPLIT('איחוד שאלות'!$B1762,"_")</f>
        <v>preference</v>
      </c>
      <c r="D1762" s="102" t="str">
        <v>party</v>
      </c>
      <c r="E1762" s="102" t="str">
        <v>imm</v>
      </c>
      <c r="F1762" s="102" t="str">
        <v>USSR</v>
      </c>
      <c r="G1762" s="103"/>
      <c r="H1762" s="135" t="s">
        <v>4044</v>
      </c>
      <c r="I1762" s="2" t="s">
        <v>5856</v>
      </c>
      <c r="J1762" s="2" t="s">
        <v>5853</v>
      </c>
      <c r="K1762" s="2" t="s">
        <v>5781</v>
      </c>
      <c r="L1762" s="2" t="s">
        <v>5783</v>
      </c>
      <c r="N1762" s="1" t="s">
        <v>1099</v>
      </c>
    </row>
    <row r="1763" spans="1:14" ht="130.5" x14ac:dyDescent="0.35">
      <c r="A1763" s="121" t="s">
        <v>4042</v>
      </c>
      <c r="B1763" s="99" t="s">
        <v>5735</v>
      </c>
      <c r="C1763" s="121" t="str" cm="1">
        <f t="array" ref="C1763:G1763">_xlfn.TEXTSPLIT('איחוד שאלות'!$B1763,"_")</f>
        <v>preference</v>
      </c>
      <c r="D1763" s="99" t="str">
        <v>party</v>
      </c>
      <c r="E1763" s="99" t="str">
        <v>representativeness</v>
      </c>
      <c r="F1763" s="99" t="str">
        <v>groups</v>
      </c>
      <c r="G1763" s="100" t="str">
        <v>1</v>
      </c>
      <c r="H1763" s="136" t="s">
        <v>4044</v>
      </c>
      <c r="I1763" s="2" t="s">
        <v>5856</v>
      </c>
      <c r="J1763" s="2" t="s">
        <v>5853</v>
      </c>
      <c r="K1763" s="2" t="s">
        <v>6820</v>
      </c>
      <c r="L1763" s="2" t="s">
        <v>6457</v>
      </c>
      <c r="M1763" s="2" t="s">
        <v>5789</v>
      </c>
      <c r="N1763" s="1" t="s">
        <v>7601</v>
      </c>
    </row>
    <row r="1764" spans="1:14" ht="130.5" x14ac:dyDescent="0.35">
      <c r="A1764" s="113" t="s">
        <v>4043</v>
      </c>
      <c r="B1764" s="102" t="s">
        <v>5736</v>
      </c>
      <c r="C1764" s="123" t="str" cm="1">
        <f t="array" ref="C1764:G1764">_xlfn.TEXTSPLIT('איחוד שאלות'!$B1764,"_")</f>
        <v>preference</v>
      </c>
      <c r="D1764" s="102" t="str">
        <v>party</v>
      </c>
      <c r="E1764" s="102" t="str">
        <v>representativeness</v>
      </c>
      <c r="F1764" s="102" t="str">
        <v>groups</v>
      </c>
      <c r="G1764" s="103" t="str">
        <v>2</v>
      </c>
      <c r="H1764" s="135" t="s">
        <v>4044</v>
      </c>
      <c r="I1764" s="2" t="s">
        <v>5856</v>
      </c>
      <c r="J1764" s="2" t="s">
        <v>5853</v>
      </c>
      <c r="K1764" s="2" t="s">
        <v>6820</v>
      </c>
      <c r="L1764" s="2" t="s">
        <v>6457</v>
      </c>
      <c r="M1764" s="2" t="s">
        <v>5790</v>
      </c>
      <c r="N1764" s="1" t="s">
        <v>7602</v>
      </c>
    </row>
    <row r="1765" spans="1:14" ht="101.5" x14ac:dyDescent="0.35">
      <c r="A1765" s="121" t="s">
        <v>3173</v>
      </c>
      <c r="B1765" s="99" t="s">
        <v>5737</v>
      </c>
      <c r="C1765" s="121" t="str" cm="1">
        <f t="array" ref="C1765:F1765">_xlfn.TEXTSPLIT('איחוד שאלות'!$B1765,"_")</f>
        <v>perception</v>
      </c>
      <c r="D1765" s="99" t="str">
        <v>representativeness</v>
      </c>
      <c r="E1765" s="99" t="str">
        <v>partypolitician</v>
      </c>
      <c r="F1765" s="99" t="str">
        <v>lastvoted</v>
      </c>
      <c r="G1765" s="100"/>
      <c r="H1765" s="136" t="s">
        <v>4044</v>
      </c>
      <c r="I1765" s="2" t="s">
        <v>5844</v>
      </c>
      <c r="J1765" s="2" t="s">
        <v>6820</v>
      </c>
      <c r="K1765" s="2" t="s">
        <v>6821</v>
      </c>
      <c r="L1765" s="2" t="s">
        <v>6836</v>
      </c>
      <c r="N1765" s="1" t="s">
        <v>3173</v>
      </c>
    </row>
    <row r="1766" spans="1:14" ht="87" x14ac:dyDescent="0.35">
      <c r="A1766" s="113" t="s">
        <v>3174</v>
      </c>
      <c r="B1766" s="102" t="s">
        <v>5739</v>
      </c>
      <c r="C1766" s="123" t="str" cm="1">
        <f t="array" ref="C1766:G1766">_xlfn.TEXTSPLIT('איחוד שאלות'!$B1766,"_")</f>
        <v>perception</v>
      </c>
      <c r="D1766" s="102" t="str">
        <v>representativeness</v>
      </c>
      <c r="E1766" s="102" t="str">
        <v>partypolitician</v>
      </c>
      <c r="F1766" s="102" t="str">
        <v>vs</v>
      </c>
      <c r="G1766" s="103" t="str">
        <v>outsidepoliticalsystem</v>
      </c>
      <c r="H1766" s="135" t="s">
        <v>4044</v>
      </c>
      <c r="I1766" s="2" t="s">
        <v>5844</v>
      </c>
      <c r="J1766" s="2" t="s">
        <v>6820</v>
      </c>
      <c r="K1766" s="2" t="s">
        <v>6821</v>
      </c>
      <c r="L1766" s="2" t="s">
        <v>6837</v>
      </c>
      <c r="M1766" s="2" t="s">
        <v>6838</v>
      </c>
      <c r="N1766" s="1" t="s">
        <v>3174</v>
      </c>
    </row>
    <row r="1767" spans="1:14" ht="43.5" x14ac:dyDescent="0.35">
      <c r="A1767" s="121" t="s">
        <v>3175</v>
      </c>
      <c r="B1767" s="99" t="s">
        <v>5738</v>
      </c>
      <c r="C1767" s="121" t="str" cm="1">
        <f t="array" ref="C1767:E1767">_xlfn.TEXTSPLIT('איחוד שאלות'!$B1767,"_")</f>
        <v>perception</v>
      </c>
      <c r="D1767" s="99" t="str">
        <v>representativeness</v>
      </c>
      <c r="E1767" s="99" t="str">
        <v>outsidepoliticalsystem</v>
      </c>
      <c r="F1767" s="99"/>
      <c r="G1767" s="100"/>
      <c r="H1767" s="136" t="s">
        <v>4044</v>
      </c>
      <c r="I1767" s="2" t="s">
        <v>5844</v>
      </c>
      <c r="J1767" s="2" t="s">
        <v>6820</v>
      </c>
      <c r="K1767" s="2" t="s">
        <v>6838</v>
      </c>
      <c r="N1767" s="1" t="s">
        <v>3175</v>
      </c>
    </row>
    <row r="1768" spans="1:14" ht="87" x14ac:dyDescent="0.35">
      <c r="A1768" s="113" t="s">
        <v>41</v>
      </c>
      <c r="B1768" s="102" t="s">
        <v>5742</v>
      </c>
      <c r="C1768" s="123" t="str" cm="1">
        <f t="array" ref="C1768:G1768">_xlfn.TEXTSPLIT('איחוד שאלות'!$B1768,"_")</f>
        <v>preference</v>
      </c>
      <c r="D1768" s="102" t="str">
        <v>policy</v>
      </c>
      <c r="E1768" s="102" t="str">
        <v>corruption</v>
      </c>
      <c r="F1768" s="102" t="str">
        <v>netanyahu</v>
      </c>
      <c r="G1768" s="103" t="str">
        <v>primeministerontrial</v>
      </c>
      <c r="H1768" s="135" t="s">
        <v>4047</v>
      </c>
      <c r="I1768" s="2" t="s">
        <v>5856</v>
      </c>
      <c r="J1768" s="2" t="s">
        <v>5882</v>
      </c>
      <c r="K1768" s="2" t="s">
        <v>6029</v>
      </c>
      <c r="L1768" s="2" t="s">
        <v>6072</v>
      </c>
      <c r="M1768" s="2" t="s">
        <v>6839</v>
      </c>
      <c r="N1768" s="1" t="s">
        <v>41</v>
      </c>
    </row>
    <row r="1769" spans="1:14" ht="101.5" x14ac:dyDescent="0.35">
      <c r="A1769" s="121" t="s">
        <v>43</v>
      </c>
      <c r="B1769" s="99" t="s">
        <v>5743</v>
      </c>
      <c r="C1769" s="121" t="str" cm="1">
        <f t="array" ref="C1769:F1769">_xlfn.TEXTSPLIT('איחוד שאלות'!$B1769,"_")</f>
        <v>preference</v>
      </c>
      <c r="D1769" s="99" t="str">
        <v>policy</v>
      </c>
      <c r="E1769" s="99" t="str">
        <v>corruption</v>
      </c>
      <c r="F1769" s="99" t="str">
        <v>convictedpoliticianholdoffice</v>
      </c>
      <c r="G1769" s="100"/>
      <c r="H1769" s="136" t="s">
        <v>4047</v>
      </c>
      <c r="I1769" s="2" t="s">
        <v>5856</v>
      </c>
      <c r="J1769" s="2" t="s">
        <v>5882</v>
      </c>
      <c r="K1769" s="2" t="s">
        <v>6029</v>
      </c>
      <c r="L1769" s="2" t="s">
        <v>6840</v>
      </c>
      <c r="N1769" s="1" t="s">
        <v>43</v>
      </c>
    </row>
    <row r="1770" spans="1:14" ht="217.5" x14ac:dyDescent="0.35">
      <c r="A1770" s="113" t="s">
        <v>45</v>
      </c>
      <c r="B1770" s="102" t="s">
        <v>5740</v>
      </c>
      <c r="C1770" s="123" t="str" cm="1">
        <f t="array" ref="C1770:F1770">_xlfn.TEXTSPLIT('איחוד שאלות'!$B1770,"_")</f>
        <v>perception</v>
      </c>
      <c r="D1770" s="102" t="str">
        <v>corruption</v>
      </c>
      <c r="E1770" s="102" t="str">
        <v>netanyahu</v>
      </c>
      <c r="F1770" s="102" t="str">
        <v>persecutionvsjust</v>
      </c>
      <c r="G1770" s="103"/>
      <c r="H1770" s="135" t="s">
        <v>4047</v>
      </c>
      <c r="I1770" s="2" t="s">
        <v>5844</v>
      </c>
      <c r="J1770" s="2" t="s">
        <v>6029</v>
      </c>
      <c r="K1770" s="2" t="s">
        <v>6072</v>
      </c>
      <c r="L1770" s="2" t="s">
        <v>6841</v>
      </c>
      <c r="N1770" s="1" t="s">
        <v>45</v>
      </c>
    </row>
    <row r="1771" spans="1:14" ht="130.5" x14ac:dyDescent="0.35">
      <c r="A1771" s="121" t="s">
        <v>2864</v>
      </c>
      <c r="B1771" s="99" t="s">
        <v>5741</v>
      </c>
      <c r="C1771" s="121" t="str" cm="1">
        <f t="array" ref="C1771:E1771">_xlfn.TEXTSPLIT('איחוד שאלות'!$B1771,"_")</f>
        <v>perception</v>
      </c>
      <c r="D1771" s="99" t="str">
        <v>corruption</v>
      </c>
      <c r="E1771" s="99" t="str">
        <v>natural</v>
      </c>
      <c r="F1771" s="99"/>
      <c r="G1771" s="100"/>
      <c r="H1771" s="136" t="s">
        <v>4047</v>
      </c>
      <c r="I1771" s="2" t="s">
        <v>5844</v>
      </c>
      <c r="J1771" s="2" t="s">
        <v>6029</v>
      </c>
      <c r="K1771" s="2" t="s">
        <v>6842</v>
      </c>
      <c r="N1771" s="1" t="s">
        <v>2864</v>
      </c>
    </row>
    <row r="1772" spans="1:14" ht="72.5" x14ac:dyDescent="0.35">
      <c r="A1772" s="113" t="s">
        <v>2865</v>
      </c>
      <c r="B1772" s="102" t="s">
        <v>5744</v>
      </c>
      <c r="C1772" s="123" t="str" cm="1">
        <f t="array" ref="C1772:F1772">_xlfn.TEXTSPLIT('איחוד שאלות'!$B1772,"_")</f>
        <v>preference</v>
      </c>
      <c r="D1772" s="102" t="str">
        <v>policy</v>
      </c>
      <c r="E1772" s="102" t="str">
        <v>corruption</v>
      </c>
      <c r="F1772" s="102" t="str">
        <v>turnblindeye</v>
      </c>
      <c r="G1772" s="103"/>
      <c r="H1772" s="135" t="s">
        <v>4047</v>
      </c>
      <c r="I1772" s="2" t="s">
        <v>5856</v>
      </c>
      <c r="J1772" s="2" t="s">
        <v>5882</v>
      </c>
      <c r="K1772" s="2" t="s">
        <v>6029</v>
      </c>
      <c r="L1772" s="2" t="s">
        <v>6843</v>
      </c>
      <c r="N1772" s="1" t="s">
        <v>2865</v>
      </c>
    </row>
    <row r="1773" spans="1:14" ht="58" x14ac:dyDescent="0.35">
      <c r="A1773" s="121" t="s">
        <v>2867</v>
      </c>
      <c r="B1773" s="99" t="s">
        <v>5745</v>
      </c>
      <c r="C1773" s="121" t="str" cm="1">
        <f t="array" ref="C1773:F1773">_xlfn.TEXTSPLIT('איחוד שאלות'!$B1773,"_")</f>
        <v>perception</v>
      </c>
      <c r="D1773" s="99" t="str">
        <v>party</v>
      </c>
      <c r="E1773" s="99" t="str">
        <v>similarity</v>
      </c>
      <c r="F1773" s="99" t="str">
        <v>corruption</v>
      </c>
      <c r="G1773" s="100"/>
      <c r="H1773" s="136" t="s">
        <v>4047</v>
      </c>
      <c r="I1773" s="2" t="s">
        <v>5844</v>
      </c>
      <c r="J1773" s="2" t="s">
        <v>5853</v>
      </c>
      <c r="K1773" s="2" t="s">
        <v>5927</v>
      </c>
      <c r="L1773" s="2" t="s">
        <v>6029</v>
      </c>
      <c r="N1773" s="1" t="s">
        <v>2867</v>
      </c>
    </row>
    <row r="1774" spans="1:14" ht="72.5" x14ac:dyDescent="0.35">
      <c r="A1774" s="113" t="s">
        <v>2895</v>
      </c>
      <c r="B1774" s="102" t="s">
        <v>5746</v>
      </c>
      <c r="C1774" s="123" t="str" cm="1">
        <f t="array" ref="C1774:F1774">_xlfn.TEXTSPLIT('איחוד שאלות'!$B1774,"_")</f>
        <v>perception</v>
      </c>
      <c r="D1774" s="102" t="str">
        <v>expectation</v>
      </c>
      <c r="E1774" s="102" t="str">
        <v>likud</v>
      </c>
      <c r="F1774" s="102" t="str">
        <v>corruption</v>
      </c>
      <c r="G1774" s="103"/>
      <c r="H1774" s="135" t="s">
        <v>4047</v>
      </c>
      <c r="I1774" s="2" t="s">
        <v>5844</v>
      </c>
      <c r="J1774" s="2" t="s">
        <v>5850</v>
      </c>
      <c r="K1774" s="2" t="s">
        <v>6030</v>
      </c>
      <c r="L1774" s="2" t="s">
        <v>6029</v>
      </c>
      <c r="N1774" s="1" t="s">
        <v>2895</v>
      </c>
    </row>
    <row r="1775" spans="1:14" ht="188.5" x14ac:dyDescent="0.35">
      <c r="A1775" s="121" t="s">
        <v>32</v>
      </c>
      <c r="B1775" s="99" t="s">
        <v>5747</v>
      </c>
      <c r="C1775" s="121" t="str" cm="1">
        <f t="array" ref="C1775:G1775">_xlfn.TEXTSPLIT('איחוד שאלות'!$B1775,"_")</f>
        <v>arabonly</v>
      </c>
      <c r="D1775" s="99" t="str">
        <v>preference</v>
      </c>
      <c r="E1775" s="99" t="str">
        <v>policy</v>
      </c>
      <c r="F1775" s="99" t="str">
        <v>peaceprocess</v>
      </c>
      <c r="G1775" s="100" t="str">
        <v>twovsone</v>
      </c>
      <c r="H1775" s="136" t="s">
        <v>4048</v>
      </c>
      <c r="I1775" s="2" t="s">
        <v>6844</v>
      </c>
      <c r="J1775" s="2" t="s">
        <v>5856</v>
      </c>
      <c r="K1775" s="2" t="s">
        <v>5882</v>
      </c>
      <c r="L1775" s="2" t="s">
        <v>5874</v>
      </c>
      <c r="M1775" s="2" t="s">
        <v>6845</v>
      </c>
      <c r="N1775" s="1" t="s">
        <v>32</v>
      </c>
    </row>
    <row r="1776" spans="1:14" ht="116" x14ac:dyDescent="0.35">
      <c r="A1776" s="113" t="s">
        <v>4045</v>
      </c>
      <c r="B1776" s="102" t="s">
        <v>5748</v>
      </c>
      <c r="C1776" s="123" t="str" cm="1">
        <f t="array" ref="C1776:G1776">_xlfn.TEXTSPLIT('איחוד שאלות'!$B1776,"_")</f>
        <v>arabonly</v>
      </c>
      <c r="D1776" s="102" t="str">
        <v>preference</v>
      </c>
      <c r="E1776" s="102" t="str">
        <v>policy</v>
      </c>
      <c r="F1776" s="102" t="str">
        <v>peaceprocess</v>
      </c>
      <c r="G1776" s="103" t="str">
        <v>palastinianstate</v>
      </c>
      <c r="H1776" s="135" t="s">
        <v>4048</v>
      </c>
      <c r="I1776" s="2" t="s">
        <v>6844</v>
      </c>
      <c r="J1776" s="2" t="s">
        <v>5856</v>
      </c>
      <c r="K1776" s="2" t="s">
        <v>5882</v>
      </c>
      <c r="L1776" s="2" t="s">
        <v>5874</v>
      </c>
      <c r="M1776" s="2" t="s">
        <v>6846</v>
      </c>
      <c r="N1776" s="1" t="s">
        <v>7603</v>
      </c>
    </row>
    <row r="1777" spans="1:14" ht="101.5" x14ac:dyDescent="0.35">
      <c r="A1777" s="121" t="s">
        <v>4046</v>
      </c>
      <c r="B1777" s="99" t="s">
        <v>5749</v>
      </c>
      <c r="C1777" s="121" t="str" cm="1">
        <f t="array" ref="C1777:G1777">_xlfn.TEXTSPLIT('איחוד שאלות'!$B1777,"_")</f>
        <v>arabonly</v>
      </c>
      <c r="D1777" s="99" t="str">
        <v>perception</v>
      </c>
      <c r="E1777" s="99" t="str">
        <v>groups</v>
      </c>
      <c r="F1777" s="99" t="str">
        <v>PCI</v>
      </c>
      <c r="G1777" s="100" t="str">
        <v>civilequalitymaingoal</v>
      </c>
      <c r="H1777" s="136" t="s">
        <v>4048</v>
      </c>
      <c r="I1777" s="2" t="s">
        <v>6844</v>
      </c>
      <c r="J1777" s="2" t="s">
        <v>5844</v>
      </c>
      <c r="K1777" s="2" t="s">
        <v>6457</v>
      </c>
      <c r="L1777" s="2" t="s">
        <v>6847</v>
      </c>
      <c r="M1777" s="2" t="s">
        <v>6848</v>
      </c>
      <c r="N1777" s="1" t="s">
        <v>7604</v>
      </c>
    </row>
    <row r="1778" spans="1:14" ht="72.5" x14ac:dyDescent="0.35">
      <c r="A1778" s="113" t="s">
        <v>35</v>
      </c>
      <c r="B1778" s="102" t="s">
        <v>5750</v>
      </c>
      <c r="C1778" s="123" t="str" cm="1">
        <f t="array" ref="C1778:F1778">_xlfn.TEXTSPLIT('איחוד שאלות'!$B1778,"_")</f>
        <v>arabonly</v>
      </c>
      <c r="D1778" s="102" t="str">
        <v>preference</v>
      </c>
      <c r="E1778" s="102" t="str">
        <v>policy</v>
      </c>
      <c r="F1778" s="102" t="str">
        <v>equalitythroughparliament</v>
      </c>
      <c r="G1778" s="103"/>
      <c r="H1778" s="135" t="s">
        <v>4048</v>
      </c>
      <c r="I1778" s="2" t="s">
        <v>6844</v>
      </c>
      <c r="J1778" s="2" t="s">
        <v>5856</v>
      </c>
      <c r="K1778" s="2" t="s">
        <v>5882</v>
      </c>
      <c r="L1778" s="2" t="s">
        <v>6849</v>
      </c>
      <c r="N1778" s="1" t="s">
        <v>35</v>
      </c>
    </row>
    <row r="1779" spans="1:14" ht="87" x14ac:dyDescent="0.35">
      <c r="A1779" s="121" t="s">
        <v>3233</v>
      </c>
      <c r="B1779" s="99" t="s">
        <v>5751</v>
      </c>
      <c r="C1779" s="121" t="str" cm="1">
        <f t="array" ref="C1779:F1779">_xlfn.TEXTSPLIT('איחוד שאלות'!$B1779,"_")</f>
        <v>arabonly</v>
      </c>
      <c r="D1779" s="99" t="str">
        <v>perception</v>
      </c>
      <c r="E1779" s="99" t="str">
        <v>arabparty</v>
      </c>
      <c r="F1779" s="99" t="str">
        <v>fightingforPCIinterest</v>
      </c>
      <c r="G1779" s="100"/>
      <c r="H1779" s="136" t="s">
        <v>4048</v>
      </c>
      <c r="I1779" s="2" t="s">
        <v>6844</v>
      </c>
      <c r="J1779" s="2" t="s">
        <v>5844</v>
      </c>
      <c r="K1779" s="2" t="s">
        <v>5871</v>
      </c>
      <c r="L1779" s="2" t="s">
        <v>6850</v>
      </c>
      <c r="N1779" s="1" t="s">
        <v>3233</v>
      </c>
    </row>
    <row r="1780" spans="1:14" ht="58" x14ac:dyDescent="0.35">
      <c r="A1780" s="113" t="s">
        <v>38</v>
      </c>
      <c r="B1780" s="102" t="s">
        <v>5752</v>
      </c>
      <c r="C1780" s="123" t="str" cm="1">
        <f t="array" ref="C1780:G1780">_xlfn.TEXTSPLIT('איחוד שאלות'!$B1780,"_")</f>
        <v>arabonly</v>
      </c>
      <c r="D1780" s="102" t="str">
        <v>perception</v>
      </c>
      <c r="E1780" s="102" t="str">
        <v>behavior</v>
      </c>
      <c r="F1780" s="102" t="str">
        <v>voting</v>
      </c>
      <c r="G1780" s="103" t="str">
        <v>harmpalastinianstruggle</v>
      </c>
      <c r="H1780" s="135" t="s">
        <v>4048</v>
      </c>
      <c r="I1780" s="2" t="s">
        <v>6844</v>
      </c>
      <c r="J1780" s="2" t="s">
        <v>5844</v>
      </c>
      <c r="K1780" s="2" t="s">
        <v>5806</v>
      </c>
      <c r="L1780" s="2" t="s">
        <v>5967</v>
      </c>
      <c r="M1780" s="2" t="s">
        <v>6851</v>
      </c>
      <c r="N1780" s="1" t="s">
        <v>38</v>
      </c>
    </row>
    <row r="1781" spans="1:14" ht="58" x14ac:dyDescent="0.35">
      <c r="A1781" s="121" t="s">
        <v>3151</v>
      </c>
      <c r="B1781" s="99" t="s">
        <v>5753</v>
      </c>
      <c r="C1781" s="121" t="str" cm="1">
        <f t="array" ref="C1781:G1781">_xlfn.TEXTSPLIT('איחוד שאלות'!$B1781,"_")</f>
        <v>arabonly</v>
      </c>
      <c r="D1781" s="99" t="str">
        <v>preference</v>
      </c>
      <c r="E1781" s="99" t="str">
        <v>policy</v>
      </c>
      <c r="F1781" s="99" t="str">
        <v>arabparty</v>
      </c>
      <c r="G1781" s="100" t="str">
        <v>joincoalition</v>
      </c>
      <c r="H1781" s="136" t="s">
        <v>4048</v>
      </c>
      <c r="I1781" s="2" t="s">
        <v>6844</v>
      </c>
      <c r="J1781" s="2" t="s">
        <v>5856</v>
      </c>
      <c r="K1781" s="2" t="s">
        <v>5882</v>
      </c>
      <c r="L1781" s="2" t="s">
        <v>5871</v>
      </c>
      <c r="M1781" s="2" t="s">
        <v>6852</v>
      </c>
      <c r="N1781" s="1" t="s">
        <v>3151</v>
      </c>
    </row>
    <row r="1782" spans="1:14" ht="87" x14ac:dyDescent="0.35">
      <c r="A1782" s="113" t="s">
        <v>339</v>
      </c>
      <c r="B1782" s="102" t="s">
        <v>5754</v>
      </c>
      <c r="C1782" s="123" t="str" cm="1">
        <f t="array" ref="C1782:G1782">_xlfn.TEXTSPLIT('איחוד שאלות'!$B1782,"_")</f>
        <v>arabonly</v>
      </c>
      <c r="D1782" s="102" t="str">
        <v>preference</v>
      </c>
      <c r="E1782" s="102" t="str">
        <v>importance</v>
      </c>
      <c r="F1782" s="102" t="str">
        <v>historical</v>
      </c>
      <c r="G1782" s="103" t="str">
        <v>event</v>
      </c>
      <c r="H1782" s="135" t="s">
        <v>4048</v>
      </c>
      <c r="I1782" s="2" t="s">
        <v>6844</v>
      </c>
      <c r="J1782" s="2" t="s">
        <v>5856</v>
      </c>
      <c r="K1782" s="2" t="s">
        <v>5857</v>
      </c>
      <c r="L1782" s="2" t="s">
        <v>5858</v>
      </c>
      <c r="M1782" s="2" t="s">
        <v>5859</v>
      </c>
      <c r="N1782" s="1" t="s">
        <v>339</v>
      </c>
    </row>
    <row r="1783" spans="1:14" ht="87" x14ac:dyDescent="0.35">
      <c r="A1783" s="121" t="s">
        <v>340</v>
      </c>
      <c r="B1783" s="99" t="s">
        <v>5755</v>
      </c>
      <c r="C1783" s="121" t="str" cm="1">
        <f t="array" ref="C1783:G1783">_xlfn.TEXTSPLIT('איחוד שאלות'!$B1783,"_")</f>
        <v>arabonly</v>
      </c>
      <c r="D1783" s="99" t="str">
        <v>preference</v>
      </c>
      <c r="E1783" s="99" t="str">
        <v>importance</v>
      </c>
      <c r="F1783" s="99" t="str">
        <v>event</v>
      </c>
      <c r="G1783" s="100" t="str">
        <v>future</v>
      </c>
      <c r="H1783" s="136" t="s">
        <v>4048</v>
      </c>
      <c r="I1783" s="2" t="s">
        <v>6844</v>
      </c>
      <c r="J1783" s="2" t="s">
        <v>5856</v>
      </c>
      <c r="K1783" s="2" t="s">
        <v>5857</v>
      </c>
      <c r="L1783" s="2" t="s">
        <v>5859</v>
      </c>
      <c r="M1783" s="2" t="s">
        <v>5860</v>
      </c>
      <c r="N1783" s="1" t="s">
        <v>340</v>
      </c>
    </row>
    <row r="1784" spans="1:14" ht="58" x14ac:dyDescent="0.35">
      <c r="A1784" s="113" t="s">
        <v>341</v>
      </c>
      <c r="B1784" s="102" t="s">
        <v>5756</v>
      </c>
      <c r="C1784" s="123" t="str" cm="1">
        <f t="array" ref="C1784:G1784">_xlfn.TEXTSPLIT('איחוד שאלות'!$B1784,"_")</f>
        <v>arabonly</v>
      </c>
      <c r="D1784" s="102" t="str">
        <v>preference</v>
      </c>
      <c r="E1784" s="102" t="str">
        <v>importance</v>
      </c>
      <c r="F1784" s="102" t="str">
        <v>historical</v>
      </c>
      <c r="G1784" s="103" t="str">
        <v>persona</v>
      </c>
      <c r="H1784" s="135" t="s">
        <v>4048</v>
      </c>
      <c r="I1784" s="2" t="s">
        <v>6844</v>
      </c>
      <c r="J1784" s="2" t="s">
        <v>5856</v>
      </c>
      <c r="K1784" s="2" t="s">
        <v>5857</v>
      </c>
      <c r="L1784" s="2" t="s">
        <v>5858</v>
      </c>
      <c r="M1784" s="2" t="s">
        <v>5861</v>
      </c>
      <c r="N1784" s="1" t="s">
        <v>341</v>
      </c>
    </row>
    <row r="1785" spans="1:14" ht="58" x14ac:dyDescent="0.35">
      <c r="A1785" s="121" t="s">
        <v>812</v>
      </c>
      <c r="B1785" s="150" t="s">
        <v>5757</v>
      </c>
      <c r="C1785" s="121" t="str" cm="1">
        <f t="array" ref="C1785:G1785">_xlfn.TEXTSPLIT('איחוד שאלות'!$B1785,"_")</f>
        <v>arabonly</v>
      </c>
      <c r="D1785" s="99" t="str">
        <v>demography</v>
      </c>
      <c r="E1785" s="99" t="str">
        <v>identity</v>
      </c>
      <c r="F1785" s="99" t="str">
        <v>hierarchy</v>
      </c>
      <c r="G1785" s="100" t="str">
        <v>1</v>
      </c>
      <c r="H1785" s="136" t="s">
        <v>4048</v>
      </c>
      <c r="I1785" s="2" t="s">
        <v>6844</v>
      </c>
      <c r="J1785" s="2" t="s">
        <v>5765</v>
      </c>
      <c r="K1785" s="2" t="s">
        <v>5766</v>
      </c>
      <c r="L1785" s="2" t="s">
        <v>5788</v>
      </c>
      <c r="M1785" s="2" t="s">
        <v>5789</v>
      </c>
      <c r="N1785" s="1" t="s">
        <v>812</v>
      </c>
    </row>
    <row r="1786" spans="1:14" ht="43.5" x14ac:dyDescent="0.35">
      <c r="A1786" s="113" t="s">
        <v>806</v>
      </c>
      <c r="B1786" s="146" t="s">
        <v>5758</v>
      </c>
      <c r="C1786" s="123" t="str" cm="1">
        <f t="array" ref="C1786:G1786">_xlfn.TEXTSPLIT('איחוד שאלות'!$B1786,"_")</f>
        <v>arabonly</v>
      </c>
      <c r="D1786" s="102" t="str">
        <v>demography</v>
      </c>
      <c r="E1786" s="102" t="str">
        <v>identity</v>
      </c>
      <c r="F1786" s="102" t="str">
        <v>hierarchy</v>
      </c>
      <c r="G1786" s="103" t="str">
        <v>2</v>
      </c>
      <c r="H1786" s="135" t="s">
        <v>4048</v>
      </c>
      <c r="I1786" s="2" t="s">
        <v>6844</v>
      </c>
      <c r="J1786" s="2" t="s">
        <v>5765</v>
      </c>
      <c r="K1786" s="2" t="s">
        <v>5766</v>
      </c>
      <c r="L1786" s="2" t="s">
        <v>5788</v>
      </c>
      <c r="M1786" s="2" t="s">
        <v>5790</v>
      </c>
      <c r="N1786" s="1" t="s">
        <v>806</v>
      </c>
    </row>
    <row r="1787" spans="1:14" ht="43.5" x14ac:dyDescent="0.35">
      <c r="A1787" s="121" t="s">
        <v>807</v>
      </c>
      <c r="B1787" s="150" t="s">
        <v>5759</v>
      </c>
      <c r="C1787" s="121" t="str" cm="1">
        <f t="array" ref="C1787:G1787">_xlfn.TEXTSPLIT('איחוד שאלות'!$B1787,"_")</f>
        <v>arabonly</v>
      </c>
      <c r="D1787" s="99" t="str">
        <v>demography</v>
      </c>
      <c r="E1787" s="99" t="str">
        <v>identity</v>
      </c>
      <c r="F1787" s="99" t="str">
        <v>hierarchy</v>
      </c>
      <c r="G1787" s="100" t="str">
        <v>3</v>
      </c>
      <c r="H1787" s="136" t="s">
        <v>4048</v>
      </c>
      <c r="I1787" s="2" t="s">
        <v>6844</v>
      </c>
      <c r="J1787" s="2" t="s">
        <v>5765</v>
      </c>
      <c r="K1787" s="2" t="s">
        <v>5766</v>
      </c>
      <c r="L1787" s="2" t="s">
        <v>5788</v>
      </c>
      <c r="M1787" s="2" t="s">
        <v>5791</v>
      </c>
      <c r="N1787" s="1" t="s">
        <v>807</v>
      </c>
    </row>
    <row r="1788" spans="1:14" ht="43.5" x14ac:dyDescent="0.35">
      <c r="A1788" s="113" t="s">
        <v>808</v>
      </c>
      <c r="B1788" s="146" t="s">
        <v>5760</v>
      </c>
      <c r="C1788" s="123" t="str" cm="1">
        <f t="array" ref="C1788:G1788">_xlfn.TEXTSPLIT('איחוד שאלות'!$B1788,"_")</f>
        <v>arabonly</v>
      </c>
      <c r="D1788" s="116" t="str">
        <v>demography</v>
      </c>
      <c r="E1788" s="116" t="str">
        <v>identity</v>
      </c>
      <c r="F1788" s="116" t="str">
        <v>hierarchy</v>
      </c>
      <c r="G1788" s="117" t="str">
        <v>4</v>
      </c>
      <c r="H1788" s="137" t="s">
        <v>4048</v>
      </c>
      <c r="I1788" s="2" t="s">
        <v>6844</v>
      </c>
      <c r="J1788" s="2" t="s">
        <v>5765</v>
      </c>
      <c r="K1788" s="2" t="s">
        <v>5766</v>
      </c>
      <c r="L1788" s="2" t="s">
        <v>5788</v>
      </c>
      <c r="M1788" s="2" t="s">
        <v>5792</v>
      </c>
      <c r="N1788" s="1" t="s">
        <v>808</v>
      </c>
    </row>
    <row r="1789" spans="1:14" ht="58" x14ac:dyDescent="0.35">
      <c r="A1789" s="113" t="s">
        <v>3152</v>
      </c>
      <c r="B1789" s="102" t="s">
        <v>5761</v>
      </c>
      <c r="C1789" s="123" t="str" cm="1">
        <f t="array" ref="C1789:F1789">_xlfn.TEXTSPLIT('איחוד שאלות'!$B1789,"_")</f>
        <v>arabonly</v>
      </c>
      <c r="D1789" s="116" t="str">
        <v>perception</v>
      </c>
      <c r="E1789" s="116" t="str">
        <v>arabparty</v>
      </c>
      <c r="F1789" s="116" t="str">
        <v>splitharmPCIinterest</v>
      </c>
      <c r="G1789" s="117"/>
      <c r="H1789" s="137" t="s">
        <v>4048</v>
      </c>
      <c r="I1789" s="2" t="s">
        <v>6844</v>
      </c>
      <c r="J1789" s="2" t="s">
        <v>5844</v>
      </c>
      <c r="K1789" s="2" t="s">
        <v>5871</v>
      </c>
      <c r="L1789" s="2" t="s">
        <v>6853</v>
      </c>
      <c r="N1789" s="1" t="s">
        <v>3152</v>
      </c>
    </row>
  </sheetData>
  <autoFilter ref="H1:N1789" xr:uid="{E5B7B15B-7288-4A69-82BA-6A50AE00ACB0}"/>
  <phoneticPr fontId="10" type="noConversion"/>
  <pageMargins left="0.7" right="0.7" top="0.75" bottom="0.75"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0ACD-16ED-4537-9A23-2304E984F48C}">
  <sheetPr codeName="Sheet3"/>
  <dimension ref="A1:I1788"/>
  <sheetViews>
    <sheetView rightToLeft="1" topLeftCell="A771" zoomScale="79" workbookViewId="0">
      <selection activeCell="H776" sqref="A1:I1788"/>
    </sheetView>
  </sheetViews>
  <sheetFormatPr defaultRowHeight="14.5" x14ac:dyDescent="0.35"/>
  <cols>
    <col min="2" max="2" width="14.7265625" customWidth="1"/>
    <col min="3" max="3" width="21.54296875" customWidth="1"/>
    <col min="4" max="4" width="22.6328125" customWidth="1"/>
    <col min="5" max="5" width="15.54296875" customWidth="1"/>
    <col min="6" max="6" width="13.453125" customWidth="1"/>
    <col min="7" max="7" width="9" customWidth="1"/>
    <col min="8" max="8" width="61.6328125" style="164" customWidth="1"/>
  </cols>
  <sheetData>
    <row r="1" spans="1:8" x14ac:dyDescent="0.35">
      <c r="A1" t="s">
        <v>3310</v>
      </c>
      <c r="B1" t="s">
        <v>7605</v>
      </c>
      <c r="C1" t="s">
        <v>3345</v>
      </c>
      <c r="D1" t="s">
        <v>3346</v>
      </c>
      <c r="E1" t="s">
        <v>3347</v>
      </c>
      <c r="F1" t="s">
        <v>5554</v>
      </c>
      <c r="G1" t="s">
        <v>7616</v>
      </c>
      <c r="H1" s="164" t="s">
        <v>0</v>
      </c>
    </row>
    <row r="2" spans="1:8" hidden="1" x14ac:dyDescent="0.35">
      <c r="A2" s="186" t="s">
        <v>3332</v>
      </c>
      <c r="B2" s="2" t="s">
        <v>5815</v>
      </c>
      <c r="C2" s="100" t="s">
        <v>6147</v>
      </c>
      <c r="D2" s="100" t="s">
        <v>7639</v>
      </c>
      <c r="E2" s="101" t="s">
        <v>5931</v>
      </c>
      <c r="F2" s="15" t="s">
        <v>7655</v>
      </c>
      <c r="G2" s="15"/>
      <c r="H2" s="5" t="s">
        <v>1917</v>
      </c>
    </row>
    <row r="3" spans="1:8" hidden="1" x14ac:dyDescent="0.35">
      <c r="A3" s="133" t="s">
        <v>3332</v>
      </c>
      <c r="B3" s="161" t="s">
        <v>5815</v>
      </c>
      <c r="C3" s="100" t="s">
        <v>6147</v>
      </c>
      <c r="D3" s="103" t="s">
        <v>7639</v>
      </c>
      <c r="E3" s="104" t="s">
        <v>5931</v>
      </c>
      <c r="F3" s="15"/>
      <c r="G3" s="15"/>
      <c r="H3" s="5" t="s">
        <v>1916</v>
      </c>
    </row>
    <row r="4" spans="1:8" hidden="1" x14ac:dyDescent="0.35">
      <c r="A4" s="132" t="s">
        <v>3954</v>
      </c>
      <c r="B4" s="2" t="s">
        <v>5815</v>
      </c>
      <c r="C4" s="100" t="s">
        <v>6147</v>
      </c>
      <c r="D4" s="100" t="s">
        <v>6457</v>
      </c>
      <c r="E4" s="101" t="s">
        <v>5878</v>
      </c>
      <c r="F4" s="16" t="s">
        <v>6666</v>
      </c>
      <c r="G4" s="16"/>
      <c r="H4" s="5" t="s">
        <v>3129</v>
      </c>
    </row>
    <row r="5" spans="1:8" hidden="1" x14ac:dyDescent="0.35">
      <c r="A5" s="133" t="s">
        <v>3954</v>
      </c>
      <c r="B5" s="2" t="s">
        <v>5815</v>
      </c>
      <c r="C5" s="100" t="s">
        <v>6147</v>
      </c>
      <c r="D5" s="100" t="s">
        <v>6457</v>
      </c>
      <c r="E5" s="2" t="s">
        <v>5878</v>
      </c>
      <c r="F5" s="101" t="s">
        <v>5795</v>
      </c>
      <c r="G5" s="15"/>
      <c r="H5" s="5" t="s">
        <v>3128</v>
      </c>
    </row>
    <row r="6" spans="1:8" hidden="1" x14ac:dyDescent="0.35">
      <c r="A6" s="132" t="s">
        <v>3533</v>
      </c>
      <c r="B6" s="100" t="s">
        <v>5815</v>
      </c>
      <c r="C6" s="100" t="s">
        <v>6147</v>
      </c>
      <c r="D6" s="100" t="s">
        <v>6457</v>
      </c>
      <c r="E6" s="101" t="s">
        <v>5878</v>
      </c>
      <c r="F6" s="15"/>
      <c r="G6" s="15"/>
      <c r="H6" s="5" t="s">
        <v>6984</v>
      </c>
    </row>
    <row r="7" spans="1:8" hidden="1" x14ac:dyDescent="0.35">
      <c r="A7" s="132" t="s">
        <v>3533</v>
      </c>
      <c r="B7" s="2" t="s">
        <v>5815</v>
      </c>
      <c r="C7" s="100" t="s">
        <v>6147</v>
      </c>
      <c r="D7" s="100" t="s">
        <v>6457</v>
      </c>
      <c r="E7" s="101" t="s">
        <v>5768</v>
      </c>
      <c r="F7" s="15" t="s">
        <v>7656</v>
      </c>
      <c r="G7" s="15"/>
      <c r="H7" s="5" t="s">
        <v>6988</v>
      </c>
    </row>
    <row r="8" spans="1:8" hidden="1" x14ac:dyDescent="0.35">
      <c r="A8" s="133" t="s">
        <v>3308</v>
      </c>
      <c r="B8" s="2" t="s">
        <v>5815</v>
      </c>
      <c r="C8" s="100" t="s">
        <v>6147</v>
      </c>
      <c r="D8" s="100" t="s">
        <v>6457</v>
      </c>
      <c r="E8" s="101" t="s">
        <v>5768</v>
      </c>
      <c r="F8" s="15" t="s">
        <v>5787</v>
      </c>
      <c r="G8" s="15"/>
      <c r="H8" s="5" t="s">
        <v>3124</v>
      </c>
    </row>
    <row r="9" spans="1:8" hidden="1" x14ac:dyDescent="0.35">
      <c r="A9" s="132" t="s">
        <v>3308</v>
      </c>
      <c r="B9" s="2" t="s">
        <v>5815</v>
      </c>
      <c r="C9" s="100" t="s">
        <v>6147</v>
      </c>
      <c r="D9" s="100" t="s">
        <v>6457</v>
      </c>
      <c r="E9" s="101" t="s">
        <v>5768</v>
      </c>
      <c r="F9" s="15" t="s">
        <v>5795</v>
      </c>
      <c r="G9" s="15"/>
      <c r="H9" s="5" t="s">
        <v>3125</v>
      </c>
    </row>
    <row r="10" spans="1:8" hidden="1" x14ac:dyDescent="0.35">
      <c r="A10" s="133" t="s">
        <v>3308</v>
      </c>
      <c r="B10" s="100" t="s">
        <v>5815</v>
      </c>
      <c r="C10" s="100" t="s">
        <v>6147</v>
      </c>
      <c r="D10" s="100" t="s">
        <v>6457</v>
      </c>
      <c r="E10" s="101" t="s">
        <v>5768</v>
      </c>
      <c r="F10" s="16" t="s">
        <v>6470</v>
      </c>
      <c r="G10" s="16"/>
      <c r="H10" s="5" t="s">
        <v>3127</v>
      </c>
    </row>
    <row r="11" spans="1:8" hidden="1" x14ac:dyDescent="0.35">
      <c r="A11" s="133" t="s">
        <v>3533</v>
      </c>
      <c r="B11" s="100" t="s">
        <v>5815</v>
      </c>
      <c r="C11" s="100" t="s">
        <v>6147</v>
      </c>
      <c r="D11" s="100" t="s">
        <v>6457</v>
      </c>
      <c r="E11" s="101" t="s">
        <v>5768</v>
      </c>
      <c r="F11" s="15" t="s">
        <v>6067</v>
      </c>
      <c r="G11" s="15"/>
      <c r="H11" s="5" t="s">
        <v>6989</v>
      </c>
    </row>
    <row r="12" spans="1:8" ht="29" hidden="1" x14ac:dyDescent="0.35">
      <c r="A12" s="133" t="s">
        <v>3533</v>
      </c>
      <c r="B12" s="100" t="s">
        <v>5815</v>
      </c>
      <c r="C12" s="100" t="s">
        <v>6147</v>
      </c>
      <c r="D12" s="100" t="s">
        <v>6457</v>
      </c>
      <c r="E12" s="101" t="s">
        <v>7657</v>
      </c>
      <c r="F12" s="16"/>
      <c r="G12" s="16"/>
      <c r="H12" s="5" t="s">
        <v>6983</v>
      </c>
    </row>
    <row r="13" spans="1:8" ht="29" hidden="1" x14ac:dyDescent="0.35">
      <c r="A13" s="132" t="s">
        <v>3383</v>
      </c>
      <c r="B13" s="100" t="s">
        <v>5815</v>
      </c>
      <c r="C13" s="100" t="s">
        <v>6147</v>
      </c>
      <c r="D13" s="100" t="s">
        <v>6457</v>
      </c>
      <c r="E13" s="101" t="s">
        <v>6013</v>
      </c>
      <c r="F13" s="16" t="s">
        <v>7638</v>
      </c>
      <c r="G13" s="16"/>
      <c r="H13" s="5" t="s">
        <v>229</v>
      </c>
    </row>
    <row r="14" spans="1:8" hidden="1" x14ac:dyDescent="0.35">
      <c r="A14" s="133" t="s">
        <v>3383</v>
      </c>
      <c r="B14" s="100" t="s">
        <v>5815</v>
      </c>
      <c r="C14" s="100" t="s">
        <v>6147</v>
      </c>
      <c r="D14" s="100" t="s">
        <v>6457</v>
      </c>
      <c r="E14" s="101" t="s">
        <v>6013</v>
      </c>
      <c r="F14" s="16" t="s">
        <v>7637</v>
      </c>
      <c r="G14" s="16"/>
      <c r="H14" s="5" t="s">
        <v>227</v>
      </c>
    </row>
    <row r="15" spans="1:8" ht="43.5" hidden="1" x14ac:dyDescent="0.35">
      <c r="A15" s="132" t="s">
        <v>3383</v>
      </c>
      <c r="B15" s="100" t="s">
        <v>5815</v>
      </c>
      <c r="C15" s="101" t="s">
        <v>6147</v>
      </c>
      <c r="D15" s="100" t="s">
        <v>6457</v>
      </c>
      <c r="E15" s="101" t="s">
        <v>6013</v>
      </c>
      <c r="F15" s="16" t="s">
        <v>7636</v>
      </c>
      <c r="G15" s="16"/>
      <c r="H15" s="5" t="s">
        <v>225</v>
      </c>
    </row>
    <row r="16" spans="1:8" ht="29" hidden="1" x14ac:dyDescent="0.35">
      <c r="A16" s="167" t="s">
        <v>3533</v>
      </c>
      <c r="B16" s="100" t="s">
        <v>5815</v>
      </c>
      <c r="C16" s="101" t="s">
        <v>6147</v>
      </c>
      <c r="D16" s="100" t="s">
        <v>6457</v>
      </c>
      <c r="E16" s="2" t="s">
        <v>5853</v>
      </c>
      <c r="F16" s="101" t="s">
        <v>7638</v>
      </c>
      <c r="G16" s="1"/>
      <c r="H16" s="5" t="s">
        <v>252</v>
      </c>
    </row>
    <row r="17" spans="1:8" hidden="1" x14ac:dyDescent="0.35">
      <c r="A17" s="166" t="s">
        <v>3533</v>
      </c>
      <c r="B17" s="100" t="s">
        <v>5815</v>
      </c>
      <c r="C17" s="101" t="s">
        <v>6147</v>
      </c>
      <c r="D17" s="100" t="s">
        <v>6457</v>
      </c>
      <c r="E17" s="100" t="s">
        <v>5853</v>
      </c>
      <c r="F17" s="16" t="s">
        <v>7637</v>
      </c>
      <c r="G17" s="16"/>
      <c r="H17" s="5" t="s">
        <v>250</v>
      </c>
    </row>
    <row r="18" spans="1:8" ht="29" hidden="1" x14ac:dyDescent="0.35">
      <c r="A18" s="167" t="s">
        <v>3533</v>
      </c>
      <c r="B18" s="100" t="s">
        <v>5815</v>
      </c>
      <c r="C18" s="100" t="s">
        <v>6147</v>
      </c>
      <c r="D18" s="100" t="s">
        <v>6457</v>
      </c>
      <c r="E18" s="101" t="s">
        <v>5853</v>
      </c>
      <c r="F18" s="16" t="s">
        <v>7636</v>
      </c>
      <c r="G18" s="16"/>
      <c r="H18" s="5" t="s">
        <v>7042</v>
      </c>
    </row>
    <row r="19" spans="1:8" hidden="1" x14ac:dyDescent="0.35">
      <c r="A19" s="133" t="s">
        <v>3533</v>
      </c>
      <c r="B19" s="100" t="s">
        <v>5815</v>
      </c>
      <c r="C19" s="101" t="s">
        <v>6147</v>
      </c>
      <c r="D19" s="100" t="s">
        <v>6457</v>
      </c>
      <c r="E19" s="100" t="s">
        <v>5771</v>
      </c>
      <c r="F19" s="16"/>
      <c r="G19" s="16"/>
      <c r="H19" s="5" t="s">
        <v>6985</v>
      </c>
    </row>
    <row r="20" spans="1:8" ht="29" hidden="1" x14ac:dyDescent="0.35">
      <c r="A20" s="132" t="s">
        <v>3533</v>
      </c>
      <c r="B20" s="100" t="s">
        <v>5815</v>
      </c>
      <c r="C20" s="100" t="s">
        <v>6147</v>
      </c>
      <c r="D20" s="100" t="s">
        <v>6457</v>
      </c>
      <c r="E20" s="101" t="s">
        <v>6061</v>
      </c>
      <c r="F20" s="16"/>
      <c r="G20" s="16"/>
      <c r="H20" s="5" t="s">
        <v>6982</v>
      </c>
    </row>
    <row r="21" spans="1:8" hidden="1" x14ac:dyDescent="0.35">
      <c r="A21" s="133" t="s">
        <v>3533</v>
      </c>
      <c r="B21" s="100" t="s">
        <v>5815</v>
      </c>
      <c r="C21" s="100" t="s">
        <v>6147</v>
      </c>
      <c r="D21" s="2" t="s">
        <v>6457</v>
      </c>
      <c r="E21" s="2" t="s">
        <v>6065</v>
      </c>
      <c r="F21" s="2"/>
      <c r="G21" s="16"/>
      <c r="H21" s="5" t="s">
        <v>6987</v>
      </c>
    </row>
    <row r="22" spans="1:8" hidden="1" x14ac:dyDescent="0.35">
      <c r="A22" s="132" t="s">
        <v>3533</v>
      </c>
      <c r="B22" s="100" t="s">
        <v>5815</v>
      </c>
      <c r="C22" s="100" t="s">
        <v>6147</v>
      </c>
      <c r="D22" s="100" t="s">
        <v>6457</v>
      </c>
      <c r="E22" s="2" t="s">
        <v>6064</v>
      </c>
      <c r="F22" s="2"/>
      <c r="G22" s="16"/>
      <c r="H22" s="5" t="s">
        <v>6986</v>
      </c>
    </row>
    <row r="23" spans="1:8" hidden="1" x14ac:dyDescent="0.35">
      <c r="A23" s="132" t="s">
        <v>3533</v>
      </c>
      <c r="B23" s="100" t="s">
        <v>5815</v>
      </c>
      <c r="C23" s="100" t="s">
        <v>6147</v>
      </c>
      <c r="D23" s="100" t="s">
        <v>7654</v>
      </c>
      <c r="E23" s="2" t="s">
        <v>6070</v>
      </c>
      <c r="F23" s="2"/>
      <c r="G23" s="16"/>
      <c r="H23" s="5" t="s">
        <v>6992</v>
      </c>
    </row>
    <row r="24" spans="1:8" hidden="1" x14ac:dyDescent="0.35">
      <c r="A24" s="133" t="s">
        <v>3533</v>
      </c>
      <c r="B24" s="100" t="s">
        <v>5815</v>
      </c>
      <c r="C24" s="100" t="s">
        <v>6147</v>
      </c>
      <c r="D24" s="100" t="s">
        <v>7654</v>
      </c>
      <c r="E24" s="100" t="s">
        <v>6069</v>
      </c>
      <c r="F24" s="2"/>
      <c r="G24" s="16"/>
      <c r="H24" s="5" t="s">
        <v>6991</v>
      </c>
    </row>
    <row r="25" spans="1:8" hidden="1" x14ac:dyDescent="0.35">
      <c r="A25" s="132" t="s">
        <v>3533</v>
      </c>
      <c r="B25" s="100" t="s">
        <v>5815</v>
      </c>
      <c r="C25" s="100" t="s">
        <v>6147</v>
      </c>
      <c r="D25" s="101" t="s">
        <v>7654</v>
      </c>
      <c r="E25" s="100" t="s">
        <v>6068</v>
      </c>
      <c r="F25" s="2"/>
      <c r="G25" s="16"/>
      <c r="H25" s="5" t="s">
        <v>6990</v>
      </c>
    </row>
    <row r="26" spans="1:8" hidden="1" x14ac:dyDescent="0.35">
      <c r="A26" s="133" t="s">
        <v>3533</v>
      </c>
      <c r="B26" s="100" t="s">
        <v>5815</v>
      </c>
      <c r="C26" s="100" t="s">
        <v>6147</v>
      </c>
      <c r="D26" s="2" t="s">
        <v>7654</v>
      </c>
      <c r="E26" s="101" t="s">
        <v>6071</v>
      </c>
      <c r="F26" s="100"/>
      <c r="G26" s="1"/>
      <c r="H26" s="5" t="s">
        <v>6993</v>
      </c>
    </row>
    <row r="27" spans="1:8" hidden="1" x14ac:dyDescent="0.35">
      <c r="A27" s="166" t="s">
        <v>3533</v>
      </c>
      <c r="B27" s="100" t="s">
        <v>5815</v>
      </c>
      <c r="C27" s="100" t="s">
        <v>6147</v>
      </c>
      <c r="D27" s="2" t="s">
        <v>7648</v>
      </c>
      <c r="E27" s="160" t="s">
        <v>5790</v>
      </c>
      <c r="F27" s="122"/>
      <c r="G27" s="2"/>
      <c r="H27" s="5" t="s">
        <v>7083</v>
      </c>
    </row>
    <row r="28" spans="1:8" hidden="1" x14ac:dyDescent="0.35">
      <c r="A28" s="167" t="s">
        <v>3533</v>
      </c>
      <c r="B28" s="100" t="s">
        <v>5815</v>
      </c>
      <c r="C28" s="100" t="s">
        <v>6147</v>
      </c>
      <c r="D28" s="2" t="s">
        <v>7648</v>
      </c>
      <c r="E28" s="109" t="s">
        <v>5791</v>
      </c>
      <c r="F28" s="108"/>
      <c r="G28" s="2"/>
      <c r="H28" s="5" t="s">
        <v>7084</v>
      </c>
    </row>
    <row r="29" spans="1:8" hidden="1" x14ac:dyDescent="0.35">
      <c r="A29" s="167" t="s">
        <v>3533</v>
      </c>
      <c r="B29" s="100" t="s">
        <v>5815</v>
      </c>
      <c r="C29" s="100" t="s">
        <v>6147</v>
      </c>
      <c r="D29" s="2" t="s">
        <v>7648</v>
      </c>
      <c r="E29" s="109" t="s">
        <v>5792</v>
      </c>
      <c r="F29" s="108"/>
      <c r="G29" s="2"/>
      <c r="H29" s="5" t="s">
        <v>7088</v>
      </c>
    </row>
    <row r="30" spans="1:8" hidden="1" x14ac:dyDescent="0.35">
      <c r="A30" s="166" t="s">
        <v>3533</v>
      </c>
      <c r="B30" s="100" t="s">
        <v>5815</v>
      </c>
      <c r="C30" s="100" t="s">
        <v>6147</v>
      </c>
      <c r="D30" s="2" t="s">
        <v>7648</v>
      </c>
      <c r="E30" s="109" t="s">
        <v>5896</v>
      </c>
      <c r="F30" s="108"/>
      <c r="G30" s="2"/>
      <c r="H30" s="5" t="s">
        <v>7089</v>
      </c>
    </row>
    <row r="31" spans="1:8" hidden="1" x14ac:dyDescent="0.35">
      <c r="A31" s="167" t="s">
        <v>3533</v>
      </c>
      <c r="B31" s="2" t="s">
        <v>5815</v>
      </c>
      <c r="C31" s="100" t="s">
        <v>6147</v>
      </c>
      <c r="D31" s="2" t="s">
        <v>7648</v>
      </c>
      <c r="E31" s="101" t="s">
        <v>5897</v>
      </c>
      <c r="F31" s="100"/>
      <c r="G31" s="1"/>
      <c r="H31" s="5" t="s">
        <v>7090</v>
      </c>
    </row>
    <row r="32" spans="1:8" hidden="1" x14ac:dyDescent="0.35">
      <c r="A32" s="166" t="s">
        <v>3533</v>
      </c>
      <c r="B32" s="100" t="s">
        <v>5815</v>
      </c>
      <c r="C32" s="100" t="s">
        <v>6147</v>
      </c>
      <c r="D32" s="2" t="s">
        <v>7648</v>
      </c>
      <c r="E32" s="101" t="s">
        <v>5898</v>
      </c>
      <c r="F32" s="100"/>
      <c r="G32" s="1"/>
      <c r="H32" s="5" t="s">
        <v>7091</v>
      </c>
    </row>
    <row r="33" spans="1:8" hidden="1" x14ac:dyDescent="0.35">
      <c r="A33" s="166" t="s">
        <v>3533</v>
      </c>
      <c r="B33" s="100" t="s">
        <v>5815</v>
      </c>
      <c r="C33" s="100" t="s">
        <v>6147</v>
      </c>
      <c r="D33" s="2" t="s">
        <v>7648</v>
      </c>
      <c r="E33" s="101" t="s">
        <v>5899</v>
      </c>
      <c r="F33" s="100"/>
      <c r="G33" s="1"/>
      <c r="H33" s="5" t="s">
        <v>7087</v>
      </c>
    </row>
    <row r="34" spans="1:8" hidden="1" x14ac:dyDescent="0.35">
      <c r="A34" s="167" t="s">
        <v>3533</v>
      </c>
      <c r="B34" s="100" t="s">
        <v>5815</v>
      </c>
      <c r="C34" s="100" t="s">
        <v>6147</v>
      </c>
      <c r="D34" s="2" t="s">
        <v>7648</v>
      </c>
      <c r="E34" s="101" t="s">
        <v>5900</v>
      </c>
      <c r="F34" s="100"/>
      <c r="G34" s="1"/>
      <c r="H34" s="5" t="s">
        <v>7086</v>
      </c>
    </row>
    <row r="35" spans="1:8" hidden="1" x14ac:dyDescent="0.35">
      <c r="A35" s="132" t="s">
        <v>3533</v>
      </c>
      <c r="B35" s="100" t="s">
        <v>5815</v>
      </c>
      <c r="C35" s="100" t="s">
        <v>6147</v>
      </c>
      <c r="D35" s="2" t="s">
        <v>7648</v>
      </c>
      <c r="E35" s="160" t="s">
        <v>6060</v>
      </c>
      <c r="F35" s="122"/>
      <c r="G35" s="2"/>
      <c r="H35" s="5" t="s">
        <v>6976</v>
      </c>
    </row>
    <row r="36" spans="1:8" hidden="1" x14ac:dyDescent="0.35">
      <c r="A36" s="167" t="s">
        <v>3533</v>
      </c>
      <c r="B36" s="100" t="s">
        <v>5815</v>
      </c>
      <c r="C36" s="100" t="s">
        <v>6147</v>
      </c>
      <c r="D36" s="2" t="s">
        <v>7648</v>
      </c>
      <c r="E36" s="101" t="s">
        <v>7610</v>
      </c>
      <c r="F36" s="100"/>
      <c r="G36" s="1"/>
      <c r="H36" s="5" t="s">
        <v>598</v>
      </c>
    </row>
    <row r="37" spans="1:8" hidden="1" x14ac:dyDescent="0.35">
      <c r="A37" s="166" t="s">
        <v>3533</v>
      </c>
      <c r="B37" s="100" t="s">
        <v>5815</v>
      </c>
      <c r="C37" s="100" t="s">
        <v>6147</v>
      </c>
      <c r="D37" s="2" t="s">
        <v>7648</v>
      </c>
      <c r="E37" s="101" t="s">
        <v>7629</v>
      </c>
      <c r="F37" s="100" t="s">
        <v>7749</v>
      </c>
      <c r="G37" s="1"/>
      <c r="H37" s="5" t="s">
        <v>600</v>
      </c>
    </row>
    <row r="38" spans="1:8" hidden="1" x14ac:dyDescent="0.35">
      <c r="A38" s="167" t="s">
        <v>3533</v>
      </c>
      <c r="B38" s="100" t="s">
        <v>5815</v>
      </c>
      <c r="C38" s="100" t="s">
        <v>6147</v>
      </c>
      <c r="D38" s="101" t="s">
        <v>7648</v>
      </c>
      <c r="E38" s="101" t="s">
        <v>7629</v>
      </c>
      <c r="F38" s="100" t="s">
        <v>7749</v>
      </c>
      <c r="G38" s="1"/>
      <c r="H38" s="5" t="s">
        <v>1659</v>
      </c>
    </row>
    <row r="39" spans="1:8" hidden="1" x14ac:dyDescent="0.35">
      <c r="A39" s="167" t="s">
        <v>3533</v>
      </c>
      <c r="B39" s="100" t="s">
        <v>5815</v>
      </c>
      <c r="C39" s="100" t="s">
        <v>6147</v>
      </c>
      <c r="D39" s="101" t="s">
        <v>7648</v>
      </c>
      <c r="E39" s="101" t="s">
        <v>7629</v>
      </c>
      <c r="F39" s="100" t="s">
        <v>7749</v>
      </c>
      <c r="G39" s="1"/>
      <c r="H39" s="5" t="s">
        <v>3030</v>
      </c>
    </row>
    <row r="40" spans="1:8" hidden="1" x14ac:dyDescent="0.35">
      <c r="A40" s="166" t="s">
        <v>3533</v>
      </c>
      <c r="B40" s="100" t="s">
        <v>5815</v>
      </c>
      <c r="C40" s="100" t="s">
        <v>6147</v>
      </c>
      <c r="D40" s="101" t="s">
        <v>7648</v>
      </c>
      <c r="E40" s="101" t="s">
        <v>7629</v>
      </c>
      <c r="F40" s="100" t="s">
        <v>7749</v>
      </c>
      <c r="G40" s="1"/>
      <c r="H40" s="5" t="s">
        <v>1660</v>
      </c>
    </row>
    <row r="41" spans="1:8" hidden="1" x14ac:dyDescent="0.35">
      <c r="A41" s="167" t="s">
        <v>3533</v>
      </c>
      <c r="B41" s="100" t="s">
        <v>5815</v>
      </c>
      <c r="C41" s="100" t="s">
        <v>6147</v>
      </c>
      <c r="D41" s="101" t="s">
        <v>7648</v>
      </c>
      <c r="E41" s="101" t="s">
        <v>7629</v>
      </c>
      <c r="F41" s="100" t="s">
        <v>7749</v>
      </c>
      <c r="G41" s="1"/>
      <c r="H41" s="5" t="s">
        <v>1661</v>
      </c>
    </row>
    <row r="42" spans="1:8" hidden="1" x14ac:dyDescent="0.35">
      <c r="A42" s="166" t="s">
        <v>3533</v>
      </c>
      <c r="B42" s="100" t="s">
        <v>5815</v>
      </c>
      <c r="C42" s="100" t="s">
        <v>6147</v>
      </c>
      <c r="D42" s="101" t="s">
        <v>7648</v>
      </c>
      <c r="E42" s="101" t="s">
        <v>7629</v>
      </c>
      <c r="F42" s="100" t="s">
        <v>7749</v>
      </c>
      <c r="G42" s="1"/>
      <c r="H42" s="5" t="s">
        <v>1662</v>
      </c>
    </row>
    <row r="43" spans="1:8" hidden="1" x14ac:dyDescent="0.35">
      <c r="A43" s="167" t="s">
        <v>3533</v>
      </c>
      <c r="B43" s="100" t="s">
        <v>5815</v>
      </c>
      <c r="C43" s="100" t="s">
        <v>6147</v>
      </c>
      <c r="D43" s="101" t="s">
        <v>7648</v>
      </c>
      <c r="E43" s="101" t="s">
        <v>7629</v>
      </c>
      <c r="F43" s="100" t="s">
        <v>7749</v>
      </c>
      <c r="G43" s="1"/>
      <c r="H43" s="5" t="s">
        <v>1660</v>
      </c>
    </row>
    <row r="44" spans="1:8" hidden="1" x14ac:dyDescent="0.35">
      <c r="A44" s="166" t="s">
        <v>3533</v>
      </c>
      <c r="B44" s="100" t="s">
        <v>5815</v>
      </c>
      <c r="C44" s="100" t="s">
        <v>6147</v>
      </c>
      <c r="D44" s="101" t="s">
        <v>7648</v>
      </c>
      <c r="E44" s="101" t="s">
        <v>7629</v>
      </c>
      <c r="F44" s="100" t="s">
        <v>7749</v>
      </c>
      <c r="G44" s="1"/>
      <c r="H44" s="5" t="s">
        <v>1661</v>
      </c>
    </row>
    <row r="45" spans="1:8" hidden="1" x14ac:dyDescent="0.35">
      <c r="A45" s="133" t="s">
        <v>4044</v>
      </c>
      <c r="B45" s="100" t="s">
        <v>5815</v>
      </c>
      <c r="C45" s="100" t="s">
        <v>6147</v>
      </c>
      <c r="D45" s="101" t="s">
        <v>7648</v>
      </c>
      <c r="E45" s="101" t="s">
        <v>7629</v>
      </c>
      <c r="F45" s="100"/>
      <c r="G45" s="1"/>
      <c r="H45" s="5" t="s">
        <v>244</v>
      </c>
    </row>
    <row r="46" spans="1:8" hidden="1" x14ac:dyDescent="0.35">
      <c r="A46" s="166" t="s">
        <v>3533</v>
      </c>
      <c r="B46" s="100" t="s">
        <v>5815</v>
      </c>
      <c r="C46" s="100" t="s">
        <v>6147</v>
      </c>
      <c r="D46" s="101" t="s">
        <v>7648</v>
      </c>
      <c r="E46" s="1" t="s">
        <v>7630</v>
      </c>
      <c r="F46" s="1"/>
      <c r="G46" s="1"/>
      <c r="H46" s="5" t="s">
        <v>7085</v>
      </c>
    </row>
    <row r="47" spans="1:8" hidden="1" x14ac:dyDescent="0.35">
      <c r="A47" s="132" t="s">
        <v>3533</v>
      </c>
      <c r="B47" s="103" t="s">
        <v>5815</v>
      </c>
      <c r="C47" s="100" t="s">
        <v>6147</v>
      </c>
      <c r="D47" s="101" t="s">
        <v>7648</v>
      </c>
      <c r="E47" s="1" t="s">
        <v>6031</v>
      </c>
      <c r="F47" s="2"/>
      <c r="G47" s="1"/>
      <c r="H47" s="5" t="s">
        <v>6956</v>
      </c>
    </row>
    <row r="48" spans="1:8" hidden="1" x14ac:dyDescent="0.35">
      <c r="A48" s="133" t="s">
        <v>3533</v>
      </c>
      <c r="B48" s="2" t="s">
        <v>5815</v>
      </c>
      <c r="C48" s="100" t="s">
        <v>6147</v>
      </c>
      <c r="D48" s="101" t="s">
        <v>7648</v>
      </c>
      <c r="E48" s="101" t="s">
        <v>6034</v>
      </c>
      <c r="F48" s="1"/>
      <c r="G48" s="1"/>
      <c r="H48" s="5" t="s">
        <v>6963</v>
      </c>
    </row>
    <row r="49" spans="1:8" hidden="1" x14ac:dyDescent="0.35">
      <c r="A49" s="133" t="s">
        <v>3533</v>
      </c>
      <c r="B49" s="2" t="s">
        <v>5815</v>
      </c>
      <c r="C49" s="101" t="s">
        <v>6147</v>
      </c>
      <c r="D49" s="101" t="s">
        <v>7648</v>
      </c>
      <c r="E49" s="2" t="s">
        <v>6058</v>
      </c>
      <c r="F49" s="2"/>
      <c r="G49" s="1"/>
      <c r="H49" s="5" t="s">
        <v>6973</v>
      </c>
    </row>
    <row r="50" spans="1:8" hidden="1" x14ac:dyDescent="0.35">
      <c r="A50" s="132" t="s">
        <v>3533</v>
      </c>
      <c r="B50" s="2" t="s">
        <v>5815</v>
      </c>
      <c r="C50" s="100" t="s">
        <v>6147</v>
      </c>
      <c r="D50" s="101" t="s">
        <v>7648</v>
      </c>
      <c r="E50" s="101" t="s">
        <v>6042</v>
      </c>
      <c r="F50" s="2"/>
      <c r="G50" s="1"/>
      <c r="H50" s="5" t="s">
        <v>6970</v>
      </c>
    </row>
    <row r="51" spans="1:8" hidden="1" x14ac:dyDescent="0.35">
      <c r="A51" s="133" t="s">
        <v>3533</v>
      </c>
      <c r="B51" s="100" t="s">
        <v>5815</v>
      </c>
      <c r="C51" s="100" t="s">
        <v>6147</v>
      </c>
      <c r="D51" s="101" t="s">
        <v>7648</v>
      </c>
      <c r="E51" s="101" t="s">
        <v>6052</v>
      </c>
      <c r="F51" s="1"/>
      <c r="G51" s="1"/>
      <c r="H51" s="5" t="s">
        <v>6959</v>
      </c>
    </row>
    <row r="52" spans="1:8" hidden="1" x14ac:dyDescent="0.35">
      <c r="A52" s="132" t="s">
        <v>3533</v>
      </c>
      <c r="B52" s="103" t="s">
        <v>5815</v>
      </c>
      <c r="C52" s="100" t="s">
        <v>6147</v>
      </c>
      <c r="D52" s="101" t="s">
        <v>7648</v>
      </c>
      <c r="E52" s="101" t="s">
        <v>6032</v>
      </c>
      <c r="F52" s="1"/>
      <c r="G52" s="1"/>
      <c r="H52" s="5" t="s">
        <v>6958</v>
      </c>
    </row>
    <row r="53" spans="1:8" hidden="1" x14ac:dyDescent="0.35">
      <c r="A53" s="132" t="s">
        <v>3533</v>
      </c>
      <c r="B53" s="103" t="s">
        <v>5815</v>
      </c>
      <c r="C53" s="100" t="s">
        <v>6147</v>
      </c>
      <c r="D53" s="101" t="s">
        <v>7648</v>
      </c>
      <c r="E53" s="101" t="s">
        <v>6037</v>
      </c>
      <c r="F53" s="1"/>
      <c r="G53" s="1"/>
      <c r="H53" s="5" t="s">
        <v>6952</v>
      </c>
    </row>
    <row r="54" spans="1:8" hidden="1" x14ac:dyDescent="0.35">
      <c r="A54" s="133" t="s">
        <v>3533</v>
      </c>
      <c r="B54" s="100" t="s">
        <v>5815</v>
      </c>
      <c r="C54" s="100" t="s">
        <v>6147</v>
      </c>
      <c r="D54" s="101" t="s">
        <v>7648</v>
      </c>
      <c r="E54" s="101" t="s">
        <v>6055</v>
      </c>
      <c r="F54" s="1"/>
      <c r="G54" s="1"/>
      <c r="H54" s="5" t="s">
        <v>6969</v>
      </c>
    </row>
    <row r="55" spans="1:8" hidden="1" x14ac:dyDescent="0.35">
      <c r="A55" s="133" t="s">
        <v>3533</v>
      </c>
      <c r="B55" s="100" t="s">
        <v>5815</v>
      </c>
      <c r="C55" s="100" t="s">
        <v>6147</v>
      </c>
      <c r="D55" s="101" t="s">
        <v>7648</v>
      </c>
      <c r="E55" s="100" t="s">
        <v>6030</v>
      </c>
      <c r="F55" s="1"/>
      <c r="G55" s="1"/>
      <c r="H55" s="5" t="s">
        <v>6951</v>
      </c>
    </row>
    <row r="56" spans="1:8" hidden="1" x14ac:dyDescent="0.35">
      <c r="A56" s="132" t="s">
        <v>3533</v>
      </c>
      <c r="B56" s="103" t="s">
        <v>5815</v>
      </c>
      <c r="C56" s="100" t="s">
        <v>6147</v>
      </c>
      <c r="D56" s="101" t="s">
        <v>7648</v>
      </c>
      <c r="E56" s="101" t="s">
        <v>6036</v>
      </c>
      <c r="F56" s="1"/>
      <c r="G56" s="1"/>
      <c r="H56" s="5" t="s">
        <v>6960</v>
      </c>
    </row>
    <row r="57" spans="1:8" hidden="1" x14ac:dyDescent="0.35">
      <c r="A57" s="133" t="s">
        <v>3533</v>
      </c>
      <c r="B57" s="2" t="s">
        <v>5815</v>
      </c>
      <c r="C57" s="100" t="s">
        <v>6147</v>
      </c>
      <c r="D57" s="101" t="s">
        <v>7648</v>
      </c>
      <c r="E57" s="101" t="s">
        <v>6050</v>
      </c>
      <c r="F57" s="1"/>
      <c r="G57" s="1"/>
      <c r="H57" s="5" t="s">
        <v>6955</v>
      </c>
    </row>
    <row r="58" spans="1:8" hidden="1" x14ac:dyDescent="0.35">
      <c r="A58" s="134" t="s">
        <v>3533</v>
      </c>
      <c r="B58" s="100" t="s">
        <v>5815</v>
      </c>
      <c r="C58" s="100" t="s">
        <v>6147</v>
      </c>
      <c r="D58" s="101" t="s">
        <v>7648</v>
      </c>
      <c r="E58" s="101" t="s">
        <v>6054</v>
      </c>
      <c r="F58" s="1"/>
      <c r="G58" s="1"/>
      <c r="H58" s="5" t="s">
        <v>6967</v>
      </c>
    </row>
    <row r="59" spans="1:8" hidden="1" x14ac:dyDescent="0.35">
      <c r="A59" s="160" t="s">
        <v>3533</v>
      </c>
      <c r="B59" s="100" t="s">
        <v>5815</v>
      </c>
      <c r="C59" s="100" t="s">
        <v>6147</v>
      </c>
      <c r="D59" s="101" t="s">
        <v>7648</v>
      </c>
      <c r="E59" s="100" t="s">
        <v>6043</v>
      </c>
      <c r="F59" s="1"/>
      <c r="G59" s="1"/>
      <c r="H59" s="5" t="s">
        <v>6975</v>
      </c>
    </row>
    <row r="60" spans="1:8" hidden="1" x14ac:dyDescent="0.35">
      <c r="A60" s="133" t="s">
        <v>3533</v>
      </c>
      <c r="B60" s="100" t="s">
        <v>5815</v>
      </c>
      <c r="C60" s="100" t="s">
        <v>6147</v>
      </c>
      <c r="D60" s="101" t="s">
        <v>7648</v>
      </c>
      <c r="E60" s="101" t="s">
        <v>6056</v>
      </c>
      <c r="F60" s="1"/>
      <c r="G60" s="1"/>
      <c r="H60" s="5" t="s">
        <v>6971</v>
      </c>
    </row>
    <row r="61" spans="1:8" hidden="1" x14ac:dyDescent="0.35">
      <c r="A61" s="132" t="s">
        <v>3533</v>
      </c>
      <c r="B61" s="100" t="s">
        <v>5815</v>
      </c>
      <c r="C61" s="100" t="s">
        <v>6147</v>
      </c>
      <c r="D61" s="101" t="s">
        <v>7648</v>
      </c>
      <c r="E61" s="101" t="s">
        <v>6057</v>
      </c>
      <c r="F61" s="1"/>
      <c r="G61" s="1"/>
      <c r="H61" s="5" t="s">
        <v>6972</v>
      </c>
    </row>
    <row r="62" spans="1:8" hidden="1" x14ac:dyDescent="0.35">
      <c r="A62" s="133" t="s">
        <v>3533</v>
      </c>
      <c r="B62" s="100" t="s">
        <v>5815</v>
      </c>
      <c r="C62" s="100" t="s">
        <v>6147</v>
      </c>
      <c r="D62" s="2" t="s">
        <v>7648</v>
      </c>
      <c r="E62" s="100" t="s">
        <v>6033</v>
      </c>
      <c r="F62" s="1"/>
      <c r="G62" s="1"/>
      <c r="H62" s="5" t="s">
        <v>6965</v>
      </c>
    </row>
    <row r="63" spans="1:8" hidden="1" x14ac:dyDescent="0.35">
      <c r="A63" s="132" t="s">
        <v>3533</v>
      </c>
      <c r="B63" s="103" t="s">
        <v>5815</v>
      </c>
      <c r="C63" s="100" t="s">
        <v>6147</v>
      </c>
      <c r="D63" s="100" t="s">
        <v>7648</v>
      </c>
      <c r="E63" s="101" t="s">
        <v>6049</v>
      </c>
      <c r="F63" s="1"/>
      <c r="G63" s="1"/>
      <c r="H63" s="5" t="s">
        <v>6954</v>
      </c>
    </row>
    <row r="64" spans="1:8" hidden="1" x14ac:dyDescent="0.35">
      <c r="A64" s="132" t="s">
        <v>3533</v>
      </c>
      <c r="B64" s="100" t="s">
        <v>5815</v>
      </c>
      <c r="C64" s="100" t="s">
        <v>6147</v>
      </c>
      <c r="D64" s="101" t="s">
        <v>7648</v>
      </c>
      <c r="E64" s="101" t="s">
        <v>6059</v>
      </c>
      <c r="F64" s="1"/>
      <c r="G64" s="1"/>
      <c r="H64" s="5" t="s">
        <v>6974</v>
      </c>
    </row>
    <row r="65" spans="1:9" hidden="1" x14ac:dyDescent="0.35">
      <c r="A65" s="167" t="s">
        <v>3533</v>
      </c>
      <c r="B65" s="2" t="s">
        <v>5815</v>
      </c>
      <c r="C65" s="100" t="s">
        <v>6147</v>
      </c>
      <c r="D65" s="101" t="s">
        <v>7648</v>
      </c>
      <c r="E65" s="101" t="s">
        <v>5930</v>
      </c>
      <c r="F65" s="1"/>
      <c r="G65" s="1"/>
      <c r="H65" s="5" t="s">
        <v>602</v>
      </c>
    </row>
    <row r="66" spans="1:9" hidden="1" x14ac:dyDescent="0.35">
      <c r="A66" s="132" t="s">
        <v>3533</v>
      </c>
      <c r="B66" s="161" t="s">
        <v>5815</v>
      </c>
      <c r="C66" s="100" t="s">
        <v>6147</v>
      </c>
      <c r="D66" s="100" t="s">
        <v>7648</v>
      </c>
      <c r="E66" s="101" t="s">
        <v>6039</v>
      </c>
      <c r="F66" s="1"/>
      <c r="G66" s="1"/>
      <c r="H66" s="5" t="s">
        <v>6962</v>
      </c>
    </row>
    <row r="67" spans="1:9" hidden="1" x14ac:dyDescent="0.35">
      <c r="A67" s="132" t="s">
        <v>3533</v>
      </c>
      <c r="B67" s="2" t="s">
        <v>5815</v>
      </c>
      <c r="C67" s="2" t="s">
        <v>6147</v>
      </c>
      <c r="D67" s="100" t="s">
        <v>7648</v>
      </c>
      <c r="E67" s="100" t="s">
        <v>6041</v>
      </c>
      <c r="F67" s="101"/>
      <c r="G67" s="1"/>
      <c r="H67" s="5" t="s">
        <v>6968</v>
      </c>
    </row>
    <row r="68" spans="1:9" hidden="1" x14ac:dyDescent="0.35">
      <c r="A68" s="133" t="s">
        <v>3533</v>
      </c>
      <c r="B68" s="2" t="s">
        <v>5815</v>
      </c>
      <c r="C68" s="2" t="s">
        <v>6147</v>
      </c>
      <c r="D68" s="100" t="s">
        <v>7648</v>
      </c>
      <c r="E68" s="100" t="s">
        <v>6040</v>
      </c>
      <c r="F68" s="101"/>
      <c r="G68" s="1"/>
      <c r="H68" s="5" t="s">
        <v>6961</v>
      </c>
    </row>
    <row r="69" spans="1:9" hidden="1" x14ac:dyDescent="0.35">
      <c r="A69" s="133" t="s">
        <v>3533</v>
      </c>
      <c r="B69" s="2" t="s">
        <v>5815</v>
      </c>
      <c r="C69" s="2" t="s">
        <v>6147</v>
      </c>
      <c r="D69" s="100" t="s">
        <v>7648</v>
      </c>
      <c r="E69" s="100" t="s">
        <v>6038</v>
      </c>
      <c r="F69" s="1"/>
      <c r="G69" s="1"/>
      <c r="H69" s="5" t="s">
        <v>6953</v>
      </c>
    </row>
    <row r="70" spans="1:9" hidden="1" x14ac:dyDescent="0.35">
      <c r="A70" s="133" t="s">
        <v>3533</v>
      </c>
      <c r="B70" s="2" t="s">
        <v>5815</v>
      </c>
      <c r="C70" s="2" t="s">
        <v>6147</v>
      </c>
      <c r="D70" s="100" t="s">
        <v>7648</v>
      </c>
      <c r="E70" s="100" t="s">
        <v>6051</v>
      </c>
      <c r="F70" s="101"/>
      <c r="G70" s="1"/>
      <c r="H70" s="5" t="s">
        <v>6957</v>
      </c>
    </row>
    <row r="71" spans="1:9" hidden="1" x14ac:dyDescent="0.35">
      <c r="A71" s="132" t="s">
        <v>3533</v>
      </c>
      <c r="B71" s="100" t="s">
        <v>5815</v>
      </c>
      <c r="C71" s="2" t="s">
        <v>6147</v>
      </c>
      <c r="D71" s="100" t="s">
        <v>7648</v>
      </c>
      <c r="E71" s="100" t="s">
        <v>6053</v>
      </c>
      <c r="F71" s="101"/>
      <c r="G71" s="1"/>
      <c r="H71" s="5" t="s">
        <v>6966</v>
      </c>
    </row>
    <row r="72" spans="1:9" hidden="1" x14ac:dyDescent="0.35">
      <c r="A72" s="132" t="s">
        <v>3533</v>
      </c>
      <c r="B72" s="103" t="s">
        <v>5815</v>
      </c>
      <c r="C72" s="2" t="s">
        <v>6147</v>
      </c>
      <c r="D72" s="100" t="s">
        <v>7648</v>
      </c>
      <c r="E72" s="100" t="s">
        <v>6035</v>
      </c>
      <c r="F72" s="1"/>
      <c r="G72" s="1"/>
      <c r="H72" s="5" t="s">
        <v>6964</v>
      </c>
    </row>
    <row r="73" spans="1:9" hidden="1" x14ac:dyDescent="0.35">
      <c r="A73" s="132" t="s">
        <v>3533</v>
      </c>
      <c r="B73" s="100" t="s">
        <v>5815</v>
      </c>
      <c r="C73" s="100" t="s">
        <v>6147</v>
      </c>
      <c r="D73" s="100" t="s">
        <v>6004</v>
      </c>
      <c r="E73" s="101" t="s">
        <v>6084</v>
      </c>
      <c r="F73" s="1"/>
      <c r="G73" s="1"/>
      <c r="H73" s="5" t="s">
        <v>7006</v>
      </c>
    </row>
    <row r="74" spans="1:9" hidden="1" x14ac:dyDescent="0.35">
      <c r="A74" s="133" t="s">
        <v>3533</v>
      </c>
      <c r="B74" s="100" t="s">
        <v>5815</v>
      </c>
      <c r="C74" s="100" t="s">
        <v>6147</v>
      </c>
      <c r="D74" s="100" t="s">
        <v>6004</v>
      </c>
      <c r="E74" s="2" t="s">
        <v>6119</v>
      </c>
      <c r="F74" s="2"/>
      <c r="G74" s="1"/>
      <c r="H74" s="5" t="s">
        <v>7041</v>
      </c>
      <c r="I74" s="178"/>
    </row>
    <row r="75" spans="1:9" hidden="1" x14ac:dyDescent="0.35">
      <c r="A75" s="132" t="s">
        <v>3533</v>
      </c>
      <c r="B75" s="100" t="s">
        <v>5815</v>
      </c>
      <c r="C75" s="100" t="s">
        <v>6147</v>
      </c>
      <c r="D75" s="100" t="s">
        <v>6004</v>
      </c>
      <c r="E75" s="2" t="s">
        <v>6118</v>
      </c>
      <c r="F75" s="2"/>
      <c r="G75" s="1"/>
      <c r="H75" s="5" t="s">
        <v>7040</v>
      </c>
    </row>
    <row r="76" spans="1:9" hidden="1" x14ac:dyDescent="0.35">
      <c r="A76" s="133" t="s">
        <v>3533</v>
      </c>
      <c r="B76" s="100" t="s">
        <v>5815</v>
      </c>
      <c r="C76" s="2" t="s">
        <v>6147</v>
      </c>
      <c r="D76" s="100" t="s">
        <v>6004</v>
      </c>
      <c r="E76" s="100" t="s">
        <v>6087</v>
      </c>
      <c r="F76" s="1"/>
      <c r="G76" s="1"/>
      <c r="H76" s="5" t="s">
        <v>7009</v>
      </c>
    </row>
    <row r="77" spans="1:9" hidden="1" x14ac:dyDescent="0.35">
      <c r="A77" s="133" t="s">
        <v>3533</v>
      </c>
      <c r="B77" s="100" t="s">
        <v>5815</v>
      </c>
      <c r="C77" s="2" t="s">
        <v>6147</v>
      </c>
      <c r="D77" s="100" t="s">
        <v>6004</v>
      </c>
      <c r="E77" s="100" t="s">
        <v>6095</v>
      </c>
      <c r="F77" s="1"/>
      <c r="G77" s="1"/>
      <c r="H77" s="5" t="s">
        <v>7017</v>
      </c>
    </row>
    <row r="78" spans="1:9" hidden="1" x14ac:dyDescent="0.35">
      <c r="A78" s="133" t="s">
        <v>3533</v>
      </c>
      <c r="B78" s="100" t="s">
        <v>5815</v>
      </c>
      <c r="C78" s="2" t="s">
        <v>6147</v>
      </c>
      <c r="D78" s="100" t="s">
        <v>6004</v>
      </c>
      <c r="E78" s="100" t="s">
        <v>6077</v>
      </c>
      <c r="F78" s="1"/>
      <c r="G78" s="1"/>
      <c r="H78" s="5" t="s">
        <v>6999</v>
      </c>
    </row>
    <row r="79" spans="1:9" hidden="1" x14ac:dyDescent="0.35">
      <c r="A79" s="133" t="s">
        <v>3533</v>
      </c>
      <c r="B79" s="2" t="s">
        <v>5815</v>
      </c>
      <c r="C79" s="2" t="s">
        <v>6147</v>
      </c>
      <c r="D79" s="100" t="s">
        <v>6004</v>
      </c>
      <c r="E79" s="100" t="s">
        <v>6097</v>
      </c>
      <c r="F79" s="101"/>
      <c r="G79" s="1"/>
      <c r="H79" s="5" t="s">
        <v>7019</v>
      </c>
    </row>
    <row r="80" spans="1:9" hidden="1" x14ac:dyDescent="0.35">
      <c r="A80" s="133" t="s">
        <v>3533</v>
      </c>
      <c r="B80" s="100" t="s">
        <v>5815</v>
      </c>
      <c r="C80" s="2" t="s">
        <v>6147</v>
      </c>
      <c r="D80" s="100" t="s">
        <v>6004</v>
      </c>
      <c r="E80" s="100" t="s">
        <v>6079</v>
      </c>
      <c r="F80" s="101"/>
      <c r="G80" s="1"/>
      <c r="H80" s="5" t="s">
        <v>7001</v>
      </c>
    </row>
    <row r="81" spans="1:8" ht="29" hidden="1" x14ac:dyDescent="0.35">
      <c r="A81" s="167" t="s">
        <v>3533</v>
      </c>
      <c r="B81" s="100" t="s">
        <v>5815</v>
      </c>
      <c r="C81" s="2" t="s">
        <v>6147</v>
      </c>
      <c r="D81" s="100" t="s">
        <v>6004</v>
      </c>
      <c r="E81" s="100" t="s">
        <v>6140</v>
      </c>
      <c r="F81" s="101" t="s">
        <v>5857</v>
      </c>
      <c r="G81" s="1"/>
      <c r="H81" s="5" t="s">
        <v>7071</v>
      </c>
    </row>
    <row r="82" spans="1:8" hidden="1" x14ac:dyDescent="0.35">
      <c r="A82" s="133" t="s">
        <v>3533</v>
      </c>
      <c r="B82" s="100" t="s">
        <v>5815</v>
      </c>
      <c r="C82" s="2" t="s">
        <v>6147</v>
      </c>
      <c r="D82" s="100" t="s">
        <v>6004</v>
      </c>
      <c r="E82" s="100" t="s">
        <v>6105</v>
      </c>
      <c r="F82" s="101"/>
      <c r="G82" s="1"/>
      <c r="H82" s="5" t="s">
        <v>7027</v>
      </c>
    </row>
    <row r="83" spans="1:8" hidden="1" x14ac:dyDescent="0.35">
      <c r="A83" s="132" t="s">
        <v>3533</v>
      </c>
      <c r="B83" s="100" t="s">
        <v>5815</v>
      </c>
      <c r="C83" s="2" t="s">
        <v>6147</v>
      </c>
      <c r="D83" s="100" t="s">
        <v>6004</v>
      </c>
      <c r="E83" s="100" t="s">
        <v>6106</v>
      </c>
      <c r="F83" s="101"/>
      <c r="G83" s="1"/>
      <c r="H83" s="5" t="s">
        <v>7028</v>
      </c>
    </row>
    <row r="84" spans="1:8" ht="29" hidden="1" x14ac:dyDescent="0.35">
      <c r="A84" s="166" t="s">
        <v>3533</v>
      </c>
      <c r="B84" s="100" t="s">
        <v>5815</v>
      </c>
      <c r="C84" s="2" t="s">
        <v>6147</v>
      </c>
      <c r="D84" s="100" t="s">
        <v>6004</v>
      </c>
      <c r="E84" s="100" t="s">
        <v>7700</v>
      </c>
      <c r="F84" s="101"/>
      <c r="G84" s="1"/>
      <c r="H84" s="5" t="s">
        <v>3029</v>
      </c>
    </row>
    <row r="85" spans="1:8" hidden="1" x14ac:dyDescent="0.35">
      <c r="A85" s="133" t="s">
        <v>3533</v>
      </c>
      <c r="B85" s="2" t="s">
        <v>5815</v>
      </c>
      <c r="C85" s="2" t="s">
        <v>6147</v>
      </c>
      <c r="D85" s="100" t="s">
        <v>6004</v>
      </c>
      <c r="E85" s="100" t="s">
        <v>6091</v>
      </c>
      <c r="F85" s="101"/>
      <c r="G85" s="1"/>
      <c r="H85" s="5" t="s">
        <v>7013</v>
      </c>
    </row>
    <row r="86" spans="1:8" hidden="1" x14ac:dyDescent="0.35">
      <c r="A86" s="133" t="s">
        <v>3533</v>
      </c>
      <c r="B86" s="2" t="s">
        <v>5815</v>
      </c>
      <c r="C86" s="2" t="s">
        <v>6147</v>
      </c>
      <c r="D86" s="100" t="s">
        <v>6004</v>
      </c>
      <c r="E86" s="100" t="s">
        <v>6101</v>
      </c>
      <c r="F86" s="101"/>
      <c r="G86" s="1"/>
      <c r="H86" s="5" t="s">
        <v>7023</v>
      </c>
    </row>
    <row r="87" spans="1:8" hidden="1" x14ac:dyDescent="0.35">
      <c r="A87" s="133" t="s">
        <v>3533</v>
      </c>
      <c r="B87" s="100" t="s">
        <v>5815</v>
      </c>
      <c r="C87" s="2" t="s">
        <v>6147</v>
      </c>
      <c r="D87" s="100" t="s">
        <v>6004</v>
      </c>
      <c r="E87" s="101" t="s">
        <v>6081</v>
      </c>
      <c r="F87" s="1"/>
      <c r="G87" s="1"/>
      <c r="H87" s="5" t="s">
        <v>7003</v>
      </c>
    </row>
    <row r="88" spans="1:8" ht="29" hidden="1" x14ac:dyDescent="0.35">
      <c r="A88" s="167" t="s">
        <v>3533</v>
      </c>
      <c r="B88" s="100" t="s">
        <v>5815</v>
      </c>
      <c r="C88" s="2" t="s">
        <v>6147</v>
      </c>
      <c r="D88" s="100" t="s">
        <v>6004</v>
      </c>
      <c r="E88" s="101" t="s">
        <v>5964</v>
      </c>
      <c r="F88" s="1" t="s">
        <v>5857</v>
      </c>
      <c r="G88" s="1"/>
      <c r="H88" s="5" t="s">
        <v>7069</v>
      </c>
    </row>
    <row r="89" spans="1:8" hidden="1" x14ac:dyDescent="0.35">
      <c r="A89" s="133" t="s">
        <v>3533</v>
      </c>
      <c r="B89" s="100" t="s">
        <v>5815</v>
      </c>
      <c r="C89" s="2" t="s">
        <v>6147</v>
      </c>
      <c r="D89" s="100" t="s">
        <v>6004</v>
      </c>
      <c r="E89" s="101" t="s">
        <v>6115</v>
      </c>
      <c r="F89" s="1"/>
      <c r="G89" s="1"/>
      <c r="H89" s="5" t="s">
        <v>7037</v>
      </c>
    </row>
    <row r="90" spans="1:8" hidden="1" x14ac:dyDescent="0.35">
      <c r="A90" s="133" t="s">
        <v>3533</v>
      </c>
      <c r="B90" s="100" t="s">
        <v>5815</v>
      </c>
      <c r="C90" s="2" t="s">
        <v>6147</v>
      </c>
      <c r="D90" s="100" t="s">
        <v>6004</v>
      </c>
      <c r="E90" s="101" t="s">
        <v>6089</v>
      </c>
      <c r="F90" s="1"/>
      <c r="G90" s="1"/>
      <c r="H90" s="5" t="s">
        <v>7011</v>
      </c>
    </row>
    <row r="91" spans="1:8" hidden="1" x14ac:dyDescent="0.35">
      <c r="A91" s="133" t="s">
        <v>3533</v>
      </c>
      <c r="B91" s="100" t="s">
        <v>5815</v>
      </c>
      <c r="C91" s="2" t="s">
        <v>6147</v>
      </c>
      <c r="D91" s="100" t="s">
        <v>6004</v>
      </c>
      <c r="E91" s="101" t="s">
        <v>6103</v>
      </c>
      <c r="F91" s="1"/>
      <c r="G91" s="1"/>
      <c r="H91" s="5" t="s">
        <v>7025</v>
      </c>
    </row>
    <row r="92" spans="1:8" hidden="1" x14ac:dyDescent="0.35">
      <c r="A92" s="133" t="s">
        <v>3533</v>
      </c>
      <c r="B92" s="100" t="s">
        <v>5815</v>
      </c>
      <c r="C92" s="2" t="s">
        <v>6147</v>
      </c>
      <c r="D92" s="100" t="s">
        <v>6004</v>
      </c>
      <c r="E92" s="101" t="s">
        <v>6117</v>
      </c>
      <c r="F92" s="1"/>
      <c r="G92" s="1"/>
      <c r="H92" s="5" t="s">
        <v>7039</v>
      </c>
    </row>
    <row r="93" spans="1:8" hidden="1" x14ac:dyDescent="0.35">
      <c r="A93" s="132" t="s">
        <v>3533</v>
      </c>
      <c r="B93" s="100" t="s">
        <v>5815</v>
      </c>
      <c r="C93" s="2" t="s">
        <v>6147</v>
      </c>
      <c r="D93" s="100" t="s">
        <v>6004</v>
      </c>
      <c r="E93" s="101" t="s">
        <v>6114</v>
      </c>
      <c r="F93" s="1"/>
      <c r="G93" s="1"/>
      <c r="H93" s="5" t="s">
        <v>7036</v>
      </c>
    </row>
    <row r="94" spans="1:8" hidden="1" x14ac:dyDescent="0.35">
      <c r="A94" s="133" t="s">
        <v>3533</v>
      </c>
      <c r="B94" s="100" t="s">
        <v>5815</v>
      </c>
      <c r="C94" s="2" t="s">
        <v>6147</v>
      </c>
      <c r="D94" s="100" t="s">
        <v>6004</v>
      </c>
      <c r="E94" s="101" t="s">
        <v>6099</v>
      </c>
      <c r="F94" s="1"/>
      <c r="G94" s="1"/>
      <c r="H94" s="5" t="s">
        <v>7021</v>
      </c>
    </row>
    <row r="95" spans="1:8" hidden="1" x14ac:dyDescent="0.35">
      <c r="A95" s="132" t="s">
        <v>3533</v>
      </c>
      <c r="B95" s="100" t="s">
        <v>5815</v>
      </c>
      <c r="C95" s="2" t="s">
        <v>6147</v>
      </c>
      <c r="D95" s="100" t="s">
        <v>6004</v>
      </c>
      <c r="E95" s="101" t="s">
        <v>6104</v>
      </c>
      <c r="F95" s="1"/>
      <c r="G95" s="1"/>
      <c r="H95" s="5" t="s">
        <v>7026</v>
      </c>
    </row>
    <row r="96" spans="1:8" hidden="1" x14ac:dyDescent="0.35">
      <c r="A96" s="133" t="s">
        <v>3533</v>
      </c>
      <c r="B96" s="100" t="s">
        <v>5815</v>
      </c>
      <c r="C96" s="2" t="s">
        <v>6147</v>
      </c>
      <c r="D96" s="100" t="s">
        <v>6004</v>
      </c>
      <c r="E96" s="101" t="s">
        <v>6083</v>
      </c>
      <c r="F96" s="1"/>
      <c r="G96" s="1"/>
      <c r="H96" s="5" t="s">
        <v>7005</v>
      </c>
    </row>
    <row r="97" spans="1:8" hidden="1" x14ac:dyDescent="0.35">
      <c r="A97" s="132" t="s">
        <v>3533</v>
      </c>
      <c r="B97" s="100" t="s">
        <v>5815</v>
      </c>
      <c r="C97" s="2" t="s">
        <v>6147</v>
      </c>
      <c r="D97" s="100" t="s">
        <v>6004</v>
      </c>
      <c r="E97" s="101" t="s">
        <v>6082</v>
      </c>
      <c r="F97" s="1"/>
      <c r="G97" s="1"/>
      <c r="H97" s="5" t="s">
        <v>7004</v>
      </c>
    </row>
    <row r="98" spans="1:8" hidden="1" x14ac:dyDescent="0.35">
      <c r="A98" s="185" t="s">
        <v>3533</v>
      </c>
      <c r="B98" s="100" t="s">
        <v>5815</v>
      </c>
      <c r="C98" s="2" t="s">
        <v>6147</v>
      </c>
      <c r="D98" s="100" t="s">
        <v>6004</v>
      </c>
      <c r="E98" s="101" t="s">
        <v>6090</v>
      </c>
      <c r="F98" s="1"/>
      <c r="G98" s="1"/>
      <c r="H98" s="5" t="s">
        <v>7012</v>
      </c>
    </row>
    <row r="99" spans="1:8" hidden="1" x14ac:dyDescent="0.35">
      <c r="A99" s="132" t="s">
        <v>3533</v>
      </c>
      <c r="B99" s="100" t="s">
        <v>5815</v>
      </c>
      <c r="C99" s="2" t="s">
        <v>6147</v>
      </c>
      <c r="D99" s="100" t="s">
        <v>6004</v>
      </c>
      <c r="E99" s="101" t="s">
        <v>6110</v>
      </c>
      <c r="F99" s="1"/>
      <c r="G99" s="1"/>
      <c r="H99" s="5" t="s">
        <v>7032</v>
      </c>
    </row>
    <row r="100" spans="1:8" hidden="1" x14ac:dyDescent="0.35">
      <c r="A100" s="133" t="s">
        <v>3533</v>
      </c>
      <c r="B100" s="100" t="s">
        <v>5815</v>
      </c>
      <c r="C100" s="2" t="s">
        <v>6147</v>
      </c>
      <c r="D100" s="100" t="s">
        <v>6004</v>
      </c>
      <c r="E100" s="101" t="s">
        <v>6113</v>
      </c>
      <c r="F100" s="1"/>
      <c r="G100" s="1"/>
      <c r="H100" s="5" t="s">
        <v>7035</v>
      </c>
    </row>
    <row r="101" spans="1:8" ht="29" hidden="1" x14ac:dyDescent="0.35">
      <c r="A101" s="166" t="s">
        <v>3533</v>
      </c>
      <c r="B101" s="100" t="s">
        <v>5815</v>
      </c>
      <c r="C101" s="2" t="s">
        <v>6147</v>
      </c>
      <c r="D101" s="100" t="s">
        <v>6004</v>
      </c>
      <c r="E101" s="101" t="s">
        <v>6075</v>
      </c>
      <c r="F101" s="1" t="s">
        <v>5857</v>
      </c>
      <c r="G101" s="1"/>
      <c r="H101" s="5" t="s">
        <v>7070</v>
      </c>
    </row>
    <row r="102" spans="1:8" hidden="1" x14ac:dyDescent="0.35">
      <c r="A102" s="133" t="s">
        <v>3533</v>
      </c>
      <c r="B102" s="100" t="s">
        <v>5815</v>
      </c>
      <c r="C102" s="2" t="s">
        <v>6147</v>
      </c>
      <c r="D102" s="100" t="s">
        <v>6004</v>
      </c>
      <c r="E102" s="101" t="s">
        <v>6075</v>
      </c>
      <c r="F102" s="1"/>
      <c r="G102" s="1"/>
      <c r="H102" s="5" t="s">
        <v>6997</v>
      </c>
    </row>
    <row r="103" spans="1:8" hidden="1" x14ac:dyDescent="0.35">
      <c r="A103" s="133" t="s">
        <v>3533</v>
      </c>
      <c r="B103" s="100" t="s">
        <v>5815</v>
      </c>
      <c r="C103" s="2" t="s">
        <v>6147</v>
      </c>
      <c r="D103" s="100" t="s">
        <v>6004</v>
      </c>
      <c r="E103" s="101" t="s">
        <v>6093</v>
      </c>
      <c r="F103" s="1"/>
      <c r="G103" s="1"/>
      <c r="H103" s="5" t="s">
        <v>7015</v>
      </c>
    </row>
    <row r="104" spans="1:8" hidden="1" x14ac:dyDescent="0.35">
      <c r="A104" s="132" t="s">
        <v>3533</v>
      </c>
      <c r="B104" s="100" t="s">
        <v>5815</v>
      </c>
      <c r="C104" s="2" t="s">
        <v>6147</v>
      </c>
      <c r="D104" s="100" t="s">
        <v>6004</v>
      </c>
      <c r="E104" s="101" t="s">
        <v>6116</v>
      </c>
      <c r="F104" s="1"/>
      <c r="G104" s="1"/>
      <c r="H104" s="5" t="s">
        <v>7038</v>
      </c>
    </row>
    <row r="105" spans="1:8" hidden="1" x14ac:dyDescent="0.35">
      <c r="A105" s="133" t="s">
        <v>3533</v>
      </c>
      <c r="B105" s="100" t="s">
        <v>5815</v>
      </c>
      <c r="C105" s="2" t="s">
        <v>6147</v>
      </c>
      <c r="D105" s="100" t="s">
        <v>6004</v>
      </c>
      <c r="E105" s="101" t="s">
        <v>6111</v>
      </c>
      <c r="F105" s="1"/>
      <c r="G105" s="1"/>
      <c r="H105" s="5" t="s">
        <v>7033</v>
      </c>
    </row>
    <row r="106" spans="1:8" hidden="1" x14ac:dyDescent="0.35">
      <c r="A106" s="133" t="s">
        <v>3533</v>
      </c>
      <c r="B106" s="100" t="s">
        <v>5815</v>
      </c>
      <c r="C106" s="2" t="s">
        <v>6147</v>
      </c>
      <c r="D106" s="100" t="s">
        <v>6004</v>
      </c>
      <c r="E106" s="101" t="s">
        <v>6107</v>
      </c>
      <c r="F106" s="1"/>
      <c r="G106" s="1"/>
      <c r="H106" s="5" t="s">
        <v>7029</v>
      </c>
    </row>
    <row r="107" spans="1:8" hidden="1" x14ac:dyDescent="0.35">
      <c r="A107" s="132" t="s">
        <v>3533</v>
      </c>
      <c r="B107" s="100" t="s">
        <v>5815</v>
      </c>
      <c r="C107" s="2" t="s">
        <v>6147</v>
      </c>
      <c r="D107" s="100" t="s">
        <v>6004</v>
      </c>
      <c r="E107" s="101" t="s">
        <v>6072</v>
      </c>
      <c r="F107" s="1"/>
      <c r="G107" s="1"/>
      <c r="H107" s="5" t="s">
        <v>6994</v>
      </c>
    </row>
    <row r="108" spans="1:8" hidden="1" x14ac:dyDescent="0.35">
      <c r="A108" s="132" t="s">
        <v>3533</v>
      </c>
      <c r="B108" s="100" t="s">
        <v>5815</v>
      </c>
      <c r="C108" s="2" t="s">
        <v>6147</v>
      </c>
      <c r="D108" s="100" t="s">
        <v>6004</v>
      </c>
      <c r="E108" s="101" t="s">
        <v>6108</v>
      </c>
      <c r="F108" s="1"/>
      <c r="G108" s="1"/>
      <c r="H108" s="5" t="s">
        <v>7030</v>
      </c>
    </row>
    <row r="109" spans="1:8" hidden="1" x14ac:dyDescent="0.35">
      <c r="A109" s="132" t="s">
        <v>3533</v>
      </c>
      <c r="B109" s="100" t="s">
        <v>5815</v>
      </c>
      <c r="C109" s="2" t="s">
        <v>6147</v>
      </c>
      <c r="D109" s="100" t="s">
        <v>6004</v>
      </c>
      <c r="E109" s="101" t="s">
        <v>6076</v>
      </c>
      <c r="F109" s="1"/>
      <c r="G109" s="1"/>
      <c r="H109" s="5" t="s">
        <v>6998</v>
      </c>
    </row>
    <row r="110" spans="1:8" hidden="1" x14ac:dyDescent="0.35">
      <c r="A110" s="132" t="s">
        <v>3533</v>
      </c>
      <c r="B110" s="100" t="s">
        <v>5815</v>
      </c>
      <c r="C110" s="2" t="s">
        <v>6147</v>
      </c>
      <c r="D110" s="100" t="s">
        <v>6004</v>
      </c>
      <c r="E110" s="101" t="s">
        <v>6086</v>
      </c>
      <c r="F110" s="1"/>
      <c r="G110" s="1"/>
      <c r="H110" s="5" t="s">
        <v>7008</v>
      </c>
    </row>
    <row r="111" spans="1:8" hidden="1" x14ac:dyDescent="0.35">
      <c r="A111" s="132" t="s">
        <v>3533</v>
      </c>
      <c r="B111" s="100" t="s">
        <v>5815</v>
      </c>
      <c r="C111" s="2" t="s">
        <v>6147</v>
      </c>
      <c r="D111" s="100" t="s">
        <v>6004</v>
      </c>
      <c r="E111" s="101" t="s">
        <v>6092</v>
      </c>
      <c r="F111" s="1"/>
      <c r="G111" s="1"/>
      <c r="H111" s="5" t="s">
        <v>7014</v>
      </c>
    </row>
    <row r="112" spans="1:8" ht="29" hidden="1" x14ac:dyDescent="0.35">
      <c r="A112" s="166" t="s">
        <v>3533</v>
      </c>
      <c r="B112" s="100" t="s">
        <v>5815</v>
      </c>
      <c r="C112" s="2" t="s">
        <v>6147</v>
      </c>
      <c r="D112" s="100" t="s">
        <v>6004</v>
      </c>
      <c r="E112" s="101" t="s">
        <v>6141</v>
      </c>
      <c r="F112" s="1" t="s">
        <v>5857</v>
      </c>
      <c r="G112" s="1"/>
      <c r="H112" s="5" t="s">
        <v>7072</v>
      </c>
    </row>
    <row r="113" spans="1:8" hidden="1" x14ac:dyDescent="0.35">
      <c r="A113" s="133" t="s">
        <v>3533</v>
      </c>
      <c r="B113" s="100" t="s">
        <v>5815</v>
      </c>
      <c r="C113" s="2" t="s">
        <v>6147</v>
      </c>
      <c r="D113" s="100" t="s">
        <v>6004</v>
      </c>
      <c r="E113" s="101" t="s">
        <v>6085</v>
      </c>
      <c r="F113" s="1"/>
      <c r="G113" s="1"/>
      <c r="H113" s="5" t="s">
        <v>7007</v>
      </c>
    </row>
    <row r="114" spans="1:8" hidden="1" x14ac:dyDescent="0.35">
      <c r="A114" s="132" t="s">
        <v>3533</v>
      </c>
      <c r="B114" s="100" t="s">
        <v>5815</v>
      </c>
      <c r="C114" s="2" t="s">
        <v>6147</v>
      </c>
      <c r="D114" s="100" t="s">
        <v>6004</v>
      </c>
      <c r="E114" s="101" t="s">
        <v>6094</v>
      </c>
      <c r="F114" s="1"/>
      <c r="G114" s="1"/>
      <c r="H114" s="5" t="s">
        <v>7016</v>
      </c>
    </row>
    <row r="115" spans="1:8" hidden="1" x14ac:dyDescent="0.35">
      <c r="A115" s="132" t="s">
        <v>3533</v>
      </c>
      <c r="B115" s="100" t="s">
        <v>5815</v>
      </c>
      <c r="C115" s="2" t="s">
        <v>6147</v>
      </c>
      <c r="D115" s="100" t="s">
        <v>6004</v>
      </c>
      <c r="E115" s="101" t="s">
        <v>6096</v>
      </c>
      <c r="F115" s="1"/>
      <c r="G115" s="1"/>
      <c r="H115" s="5" t="s">
        <v>7018</v>
      </c>
    </row>
    <row r="116" spans="1:8" hidden="1" x14ac:dyDescent="0.35">
      <c r="A116" s="132" t="s">
        <v>3533</v>
      </c>
      <c r="B116" s="100" t="s">
        <v>5815</v>
      </c>
      <c r="C116" s="2" t="s">
        <v>6147</v>
      </c>
      <c r="D116" s="100" t="s">
        <v>6004</v>
      </c>
      <c r="E116" s="101" t="s">
        <v>6074</v>
      </c>
      <c r="F116" s="1"/>
      <c r="G116" s="1"/>
      <c r="H116" s="5" t="s">
        <v>6996</v>
      </c>
    </row>
    <row r="117" spans="1:8" ht="29" hidden="1" x14ac:dyDescent="0.35">
      <c r="A117" s="167" t="s">
        <v>3533</v>
      </c>
      <c r="B117" s="100" t="s">
        <v>5815</v>
      </c>
      <c r="C117" s="2" t="s">
        <v>6147</v>
      </c>
      <c r="D117" s="100" t="s">
        <v>6004</v>
      </c>
      <c r="E117" s="101" t="s">
        <v>6073</v>
      </c>
      <c r="F117" s="1" t="s">
        <v>5857</v>
      </c>
      <c r="G117" s="1"/>
      <c r="H117" s="5" t="s">
        <v>7073</v>
      </c>
    </row>
    <row r="118" spans="1:8" hidden="1" x14ac:dyDescent="0.35">
      <c r="A118" s="133" t="s">
        <v>3533</v>
      </c>
      <c r="B118" s="100" t="s">
        <v>5815</v>
      </c>
      <c r="C118" s="2" t="s">
        <v>6147</v>
      </c>
      <c r="D118" s="100" t="s">
        <v>6004</v>
      </c>
      <c r="E118" s="101" t="s">
        <v>6073</v>
      </c>
      <c r="F118" s="1"/>
      <c r="G118" s="1"/>
      <c r="H118" s="5" t="s">
        <v>6995</v>
      </c>
    </row>
    <row r="119" spans="1:8" hidden="1" x14ac:dyDescent="0.35">
      <c r="A119" s="132" t="s">
        <v>3533</v>
      </c>
      <c r="B119" s="100" t="s">
        <v>5815</v>
      </c>
      <c r="C119" s="2" t="s">
        <v>6147</v>
      </c>
      <c r="D119" s="100" t="s">
        <v>6004</v>
      </c>
      <c r="E119" s="101" t="s">
        <v>6098</v>
      </c>
      <c r="F119" s="1"/>
      <c r="G119" s="1"/>
      <c r="H119" s="5" t="s">
        <v>7020</v>
      </c>
    </row>
    <row r="120" spans="1:8" hidden="1" x14ac:dyDescent="0.35">
      <c r="A120" s="133" t="s">
        <v>3533</v>
      </c>
      <c r="B120" s="100" t="s">
        <v>5815</v>
      </c>
      <c r="C120" s="2" t="s">
        <v>6147</v>
      </c>
      <c r="D120" s="100" t="s">
        <v>6004</v>
      </c>
      <c r="E120" s="101" t="s">
        <v>6109</v>
      </c>
      <c r="F120" s="1"/>
      <c r="G120" s="1"/>
      <c r="H120" s="5" t="s">
        <v>7031</v>
      </c>
    </row>
    <row r="121" spans="1:8" hidden="1" x14ac:dyDescent="0.35">
      <c r="A121" s="132" t="s">
        <v>3533</v>
      </c>
      <c r="B121" s="100" t="s">
        <v>5815</v>
      </c>
      <c r="C121" s="2" t="s">
        <v>6147</v>
      </c>
      <c r="D121" s="100" t="s">
        <v>6004</v>
      </c>
      <c r="E121" s="101" t="s">
        <v>6112</v>
      </c>
      <c r="F121" s="1"/>
      <c r="G121" s="1"/>
      <c r="H121" s="5" t="s">
        <v>7034</v>
      </c>
    </row>
    <row r="122" spans="1:8" hidden="1" x14ac:dyDescent="0.35">
      <c r="A122" s="132" t="s">
        <v>3533</v>
      </c>
      <c r="B122" s="100" t="s">
        <v>5815</v>
      </c>
      <c r="C122" s="2" t="s">
        <v>6147</v>
      </c>
      <c r="D122" s="100" t="s">
        <v>6004</v>
      </c>
      <c r="E122" s="101" t="s">
        <v>6088</v>
      </c>
      <c r="F122" s="1"/>
      <c r="G122" s="1"/>
      <c r="H122" s="5" t="s">
        <v>7010</v>
      </c>
    </row>
    <row r="123" spans="1:8" ht="29" hidden="1" x14ac:dyDescent="0.35">
      <c r="A123" s="166" t="s">
        <v>3533</v>
      </c>
      <c r="B123" s="100" t="s">
        <v>5815</v>
      </c>
      <c r="C123" s="2" t="s">
        <v>6147</v>
      </c>
      <c r="D123" s="100" t="s">
        <v>6004</v>
      </c>
      <c r="E123" s="101" t="s">
        <v>6142</v>
      </c>
      <c r="F123" s="1" t="s">
        <v>5857</v>
      </c>
      <c r="G123" s="1"/>
      <c r="H123" s="5" t="s">
        <v>7074</v>
      </c>
    </row>
    <row r="124" spans="1:8" hidden="1" x14ac:dyDescent="0.35">
      <c r="A124" s="132" t="s">
        <v>3533</v>
      </c>
      <c r="B124" s="100" t="s">
        <v>5815</v>
      </c>
      <c r="C124" s="2" t="s">
        <v>6147</v>
      </c>
      <c r="D124" s="101" t="s">
        <v>6004</v>
      </c>
      <c r="E124" s="100" t="s">
        <v>6078</v>
      </c>
      <c r="F124" s="2"/>
      <c r="G124" s="1"/>
      <c r="H124" s="5" t="s">
        <v>7000</v>
      </c>
    </row>
    <row r="125" spans="1:8" hidden="1" x14ac:dyDescent="0.35">
      <c r="A125" s="132" t="s">
        <v>3533</v>
      </c>
      <c r="B125" s="100" t="s">
        <v>5815</v>
      </c>
      <c r="C125" s="2" t="s">
        <v>6147</v>
      </c>
      <c r="D125" s="101" t="s">
        <v>6004</v>
      </c>
      <c r="E125" s="100" t="s">
        <v>6080</v>
      </c>
      <c r="F125" s="2"/>
      <c r="G125" s="1"/>
      <c r="H125" s="5" t="s">
        <v>7002</v>
      </c>
    </row>
    <row r="126" spans="1:8" hidden="1" x14ac:dyDescent="0.35">
      <c r="A126" s="132" t="s">
        <v>3533</v>
      </c>
      <c r="B126" s="100" t="s">
        <v>5815</v>
      </c>
      <c r="C126" s="2" t="s">
        <v>6147</v>
      </c>
      <c r="D126" s="101" t="s">
        <v>6004</v>
      </c>
      <c r="E126" s="100" t="s">
        <v>6100</v>
      </c>
      <c r="F126" s="2"/>
      <c r="G126" s="1"/>
      <c r="H126" s="5" t="s">
        <v>7022</v>
      </c>
    </row>
    <row r="127" spans="1:8" hidden="1" x14ac:dyDescent="0.35">
      <c r="A127" s="132" t="s">
        <v>3533</v>
      </c>
      <c r="B127" s="100" t="s">
        <v>5815</v>
      </c>
      <c r="C127" s="2" t="s">
        <v>6147</v>
      </c>
      <c r="D127" s="101" t="s">
        <v>6004</v>
      </c>
      <c r="E127" s="100" t="s">
        <v>6102</v>
      </c>
      <c r="F127" s="2"/>
      <c r="G127" s="1"/>
      <c r="H127" s="5" t="s">
        <v>7024</v>
      </c>
    </row>
    <row r="128" spans="1:8" ht="29" hidden="1" x14ac:dyDescent="0.35">
      <c r="A128" s="167" t="s">
        <v>3533</v>
      </c>
      <c r="B128" s="100" t="s">
        <v>5815</v>
      </c>
      <c r="C128" s="161" t="s">
        <v>5936</v>
      </c>
      <c r="D128" s="100" t="s">
        <v>6132</v>
      </c>
      <c r="E128" s="101" t="s">
        <v>7631</v>
      </c>
      <c r="F128" s="1"/>
      <c r="G128" s="1"/>
      <c r="H128" s="5" t="s">
        <v>7045</v>
      </c>
    </row>
    <row r="129" spans="1:8" hidden="1" x14ac:dyDescent="0.35">
      <c r="A129" s="167" t="s">
        <v>3533</v>
      </c>
      <c r="B129" s="100" t="s">
        <v>5815</v>
      </c>
      <c r="C129" s="161" t="s">
        <v>5936</v>
      </c>
      <c r="D129" s="100" t="s">
        <v>6132</v>
      </c>
      <c r="E129" s="101" t="s">
        <v>6004</v>
      </c>
      <c r="F129" s="1" t="s">
        <v>6087</v>
      </c>
      <c r="G129" s="1"/>
      <c r="H129" s="5" t="s">
        <v>7053</v>
      </c>
    </row>
    <row r="130" spans="1:8" hidden="1" x14ac:dyDescent="0.35">
      <c r="A130" s="167" t="s">
        <v>3533</v>
      </c>
      <c r="B130" s="100" t="s">
        <v>5815</v>
      </c>
      <c r="C130" s="161" t="s">
        <v>5936</v>
      </c>
      <c r="D130" s="2" t="s">
        <v>6132</v>
      </c>
      <c r="E130" s="100" t="s">
        <v>6004</v>
      </c>
      <c r="F130" s="101" t="s">
        <v>7662</v>
      </c>
      <c r="G130" s="1"/>
      <c r="H130" s="5" t="s">
        <v>7065</v>
      </c>
    </row>
    <row r="131" spans="1:8" hidden="1" x14ac:dyDescent="0.35">
      <c r="A131" s="167" t="s">
        <v>3533</v>
      </c>
      <c r="B131" s="100" t="s">
        <v>5815</v>
      </c>
      <c r="C131" s="161" t="s">
        <v>5936</v>
      </c>
      <c r="D131" s="101" t="s">
        <v>6132</v>
      </c>
      <c r="E131" s="100" t="s">
        <v>6004</v>
      </c>
      <c r="F131" s="2" t="s">
        <v>6072</v>
      </c>
      <c r="G131" s="1"/>
      <c r="H131" s="5" t="s">
        <v>7061</v>
      </c>
    </row>
    <row r="132" spans="1:8" hidden="1" x14ac:dyDescent="0.35">
      <c r="A132" s="167" t="s">
        <v>3533</v>
      </c>
      <c r="B132" s="100" t="s">
        <v>5815</v>
      </c>
      <c r="C132" s="161" t="s">
        <v>5936</v>
      </c>
      <c r="D132" s="100" t="s">
        <v>6132</v>
      </c>
      <c r="E132" s="101" t="s">
        <v>6004</v>
      </c>
      <c r="F132" s="1" t="s">
        <v>6086</v>
      </c>
      <c r="G132" s="1"/>
      <c r="H132" s="5" t="s">
        <v>7057</v>
      </c>
    </row>
    <row r="133" spans="1:8" hidden="1" x14ac:dyDescent="0.35">
      <c r="A133" s="167" t="s">
        <v>3533</v>
      </c>
      <c r="B133" s="100" t="s">
        <v>5815</v>
      </c>
      <c r="C133" s="161" t="s">
        <v>5936</v>
      </c>
      <c r="D133" s="101" t="s">
        <v>6132</v>
      </c>
      <c r="E133" s="100" t="s">
        <v>6004</v>
      </c>
      <c r="F133" s="2" t="s">
        <v>6073</v>
      </c>
      <c r="G133" s="1"/>
      <c r="H133" s="5" t="s">
        <v>7049</v>
      </c>
    </row>
    <row r="134" spans="1:8" hidden="1" x14ac:dyDescent="0.35">
      <c r="A134" s="167" t="s">
        <v>3533</v>
      </c>
      <c r="B134" s="100" t="s">
        <v>5815</v>
      </c>
      <c r="C134" s="2" t="s">
        <v>5936</v>
      </c>
      <c r="D134" s="101" t="s">
        <v>6127</v>
      </c>
      <c r="E134" s="100" t="s">
        <v>6129</v>
      </c>
      <c r="F134" s="2"/>
      <c r="G134" s="1"/>
      <c r="H134" s="5" t="s">
        <v>565</v>
      </c>
    </row>
    <row r="135" spans="1:8" hidden="1" x14ac:dyDescent="0.35">
      <c r="A135" s="166" t="s">
        <v>3533</v>
      </c>
      <c r="B135" s="100" t="s">
        <v>5815</v>
      </c>
      <c r="C135" s="2" t="s">
        <v>5936</v>
      </c>
      <c r="D135" s="100" t="s">
        <v>6127</v>
      </c>
      <c r="E135" s="101" t="s">
        <v>6128</v>
      </c>
      <c r="F135" s="1"/>
      <c r="G135" s="1"/>
      <c r="H135" s="5" t="s">
        <v>564</v>
      </c>
    </row>
    <row r="136" spans="1:8" ht="29" hidden="1" x14ac:dyDescent="0.35">
      <c r="A136" s="166" t="s">
        <v>3533</v>
      </c>
      <c r="B136" s="100" t="s">
        <v>5815</v>
      </c>
      <c r="C136" s="161" t="s">
        <v>5936</v>
      </c>
      <c r="D136" s="101" t="s">
        <v>6135</v>
      </c>
      <c r="E136" s="100" t="s">
        <v>7631</v>
      </c>
      <c r="F136" s="2"/>
      <c r="G136" s="1"/>
      <c r="H136" s="5" t="s">
        <v>7048</v>
      </c>
    </row>
    <row r="137" spans="1:8" ht="29" hidden="1" x14ac:dyDescent="0.35">
      <c r="A137" s="166" t="s">
        <v>3533</v>
      </c>
      <c r="B137" s="100" t="s">
        <v>5815</v>
      </c>
      <c r="C137" s="161" t="s">
        <v>5936</v>
      </c>
      <c r="D137" s="1" t="s">
        <v>6133</v>
      </c>
      <c r="E137" s="100" t="s">
        <v>7631</v>
      </c>
      <c r="F137" s="101"/>
      <c r="G137" s="2"/>
      <c r="H137" s="5" t="s">
        <v>7046</v>
      </c>
    </row>
    <row r="138" spans="1:8" hidden="1" x14ac:dyDescent="0.35">
      <c r="A138" s="166" t="s">
        <v>3533</v>
      </c>
      <c r="B138" s="100" t="s">
        <v>5815</v>
      </c>
      <c r="C138" s="161" t="s">
        <v>5936</v>
      </c>
      <c r="D138" s="1" t="s">
        <v>6136</v>
      </c>
      <c r="E138" s="100" t="s">
        <v>6004</v>
      </c>
      <c r="F138" s="101" t="s">
        <v>6087</v>
      </c>
      <c r="G138" s="2"/>
      <c r="H138" s="5" t="s">
        <v>7054</v>
      </c>
    </row>
    <row r="139" spans="1:8" hidden="1" x14ac:dyDescent="0.35">
      <c r="A139" s="166" t="s">
        <v>3533</v>
      </c>
      <c r="B139" s="100" t="s">
        <v>5815</v>
      </c>
      <c r="C139" s="161" t="s">
        <v>5936</v>
      </c>
      <c r="D139" s="1" t="s">
        <v>6136</v>
      </c>
      <c r="E139" s="100" t="s">
        <v>6004</v>
      </c>
      <c r="F139" s="101" t="s">
        <v>7662</v>
      </c>
      <c r="G139" s="2"/>
      <c r="H139" s="5" t="s">
        <v>7066</v>
      </c>
    </row>
    <row r="140" spans="1:8" hidden="1" x14ac:dyDescent="0.35">
      <c r="A140" s="166" t="s">
        <v>3533</v>
      </c>
      <c r="B140" s="100" t="s">
        <v>5815</v>
      </c>
      <c r="C140" s="161" t="s">
        <v>5936</v>
      </c>
      <c r="D140" s="1" t="s">
        <v>6136</v>
      </c>
      <c r="E140" s="100" t="s">
        <v>6004</v>
      </c>
      <c r="F140" s="101" t="s">
        <v>6072</v>
      </c>
      <c r="G140" s="2"/>
      <c r="H140" s="5" t="s">
        <v>7062</v>
      </c>
    </row>
    <row r="141" spans="1:8" hidden="1" x14ac:dyDescent="0.35">
      <c r="A141" s="166" t="s">
        <v>3533</v>
      </c>
      <c r="B141" s="100" t="s">
        <v>5815</v>
      </c>
      <c r="C141" s="161" t="s">
        <v>5936</v>
      </c>
      <c r="D141" s="1" t="s">
        <v>6136</v>
      </c>
      <c r="E141" s="100" t="s">
        <v>6004</v>
      </c>
      <c r="F141" s="101" t="s">
        <v>6086</v>
      </c>
      <c r="G141" s="2"/>
      <c r="H141" s="5" t="s">
        <v>7058</v>
      </c>
    </row>
    <row r="142" spans="1:8" hidden="1" x14ac:dyDescent="0.35">
      <c r="A142" s="166" t="s">
        <v>3533</v>
      </c>
      <c r="B142" s="100" t="s">
        <v>5815</v>
      </c>
      <c r="C142" s="161" t="s">
        <v>5936</v>
      </c>
      <c r="D142" s="1" t="s">
        <v>6136</v>
      </c>
      <c r="E142" s="100" t="s">
        <v>6004</v>
      </c>
      <c r="F142" s="101" t="s">
        <v>6073</v>
      </c>
      <c r="G142" s="2"/>
      <c r="H142" s="5" t="s">
        <v>7050</v>
      </c>
    </row>
    <row r="143" spans="1:8" ht="29" hidden="1" x14ac:dyDescent="0.35">
      <c r="A143" s="133" t="s">
        <v>3332</v>
      </c>
      <c r="B143" s="103" t="s">
        <v>5815</v>
      </c>
      <c r="C143" s="161" t="s">
        <v>5936</v>
      </c>
      <c r="D143" s="118" t="s">
        <v>5937</v>
      </c>
      <c r="E143" s="100" t="s">
        <v>7661</v>
      </c>
      <c r="F143" s="101"/>
      <c r="G143" s="2"/>
      <c r="H143" s="5" t="s">
        <v>1938</v>
      </c>
    </row>
    <row r="144" spans="1:8" ht="29" hidden="1" x14ac:dyDescent="0.35">
      <c r="A144" s="132" t="s">
        <v>3920</v>
      </c>
      <c r="B144" s="100" t="s">
        <v>5815</v>
      </c>
      <c r="C144" s="161" t="s">
        <v>5936</v>
      </c>
      <c r="D144" s="1" t="s">
        <v>5937</v>
      </c>
      <c r="E144" s="100" t="s">
        <v>6129</v>
      </c>
      <c r="F144" s="101"/>
      <c r="G144" s="2"/>
      <c r="H144" s="5" t="s">
        <v>7478</v>
      </c>
    </row>
    <row r="145" spans="1:8" ht="29" hidden="1" x14ac:dyDescent="0.35">
      <c r="A145" s="132" t="s">
        <v>3332</v>
      </c>
      <c r="B145" s="100" t="s">
        <v>5815</v>
      </c>
      <c r="C145" s="2" t="s">
        <v>5936</v>
      </c>
      <c r="D145" s="1" t="s">
        <v>5937</v>
      </c>
      <c r="E145" s="100" t="s">
        <v>5967</v>
      </c>
      <c r="F145" s="101"/>
      <c r="G145" s="2"/>
      <c r="H145" s="5" t="s">
        <v>2879</v>
      </c>
    </row>
    <row r="146" spans="1:8" ht="29" hidden="1" x14ac:dyDescent="0.35">
      <c r="A146" s="167" t="s">
        <v>3533</v>
      </c>
      <c r="B146" s="100" t="s">
        <v>5815</v>
      </c>
      <c r="C146" s="161" t="s">
        <v>5936</v>
      </c>
      <c r="D146" s="1" t="s">
        <v>6134</v>
      </c>
      <c r="E146" s="100" t="s">
        <v>7631</v>
      </c>
      <c r="F146" s="101"/>
      <c r="G146" s="2"/>
      <c r="H146" s="5" t="s">
        <v>7047</v>
      </c>
    </row>
    <row r="147" spans="1:8" hidden="1" x14ac:dyDescent="0.35">
      <c r="A147" s="166" t="s">
        <v>3533</v>
      </c>
      <c r="B147" s="100" t="s">
        <v>5815</v>
      </c>
      <c r="C147" s="161" t="s">
        <v>5936</v>
      </c>
      <c r="D147" s="1" t="s">
        <v>6134</v>
      </c>
      <c r="E147" s="100" t="s">
        <v>6004</v>
      </c>
      <c r="F147" s="101" t="s">
        <v>6087</v>
      </c>
      <c r="G147" s="2"/>
      <c r="H147" s="5" t="s">
        <v>7056</v>
      </c>
    </row>
    <row r="148" spans="1:8" hidden="1" x14ac:dyDescent="0.35">
      <c r="A148" s="166" t="s">
        <v>3533</v>
      </c>
      <c r="B148" s="100" t="s">
        <v>5815</v>
      </c>
      <c r="C148" s="161" t="s">
        <v>5936</v>
      </c>
      <c r="D148" s="1" t="s">
        <v>6134</v>
      </c>
      <c r="E148" s="100" t="s">
        <v>6004</v>
      </c>
      <c r="F148" s="101" t="s">
        <v>7662</v>
      </c>
      <c r="G148" s="2"/>
      <c r="H148" s="5" t="s">
        <v>7068</v>
      </c>
    </row>
    <row r="149" spans="1:8" hidden="1" x14ac:dyDescent="0.35">
      <c r="A149" s="166" t="s">
        <v>3533</v>
      </c>
      <c r="B149" s="100" t="s">
        <v>5815</v>
      </c>
      <c r="C149" s="161" t="s">
        <v>5936</v>
      </c>
      <c r="D149" s="1" t="s">
        <v>6134</v>
      </c>
      <c r="E149" s="100" t="s">
        <v>6004</v>
      </c>
      <c r="F149" s="101" t="s">
        <v>6072</v>
      </c>
      <c r="G149" s="2"/>
      <c r="H149" s="5" t="s">
        <v>7064</v>
      </c>
    </row>
    <row r="150" spans="1:8" hidden="1" x14ac:dyDescent="0.35">
      <c r="A150" s="166" t="s">
        <v>3533</v>
      </c>
      <c r="B150" s="100" t="s">
        <v>5815</v>
      </c>
      <c r="C150" s="161" t="s">
        <v>5936</v>
      </c>
      <c r="D150" s="1" t="s">
        <v>6134</v>
      </c>
      <c r="E150" s="100" t="s">
        <v>6004</v>
      </c>
      <c r="F150" s="101" t="s">
        <v>6086</v>
      </c>
      <c r="G150" s="2"/>
      <c r="H150" s="5" t="s">
        <v>7060</v>
      </c>
    </row>
    <row r="151" spans="1:8" hidden="1" x14ac:dyDescent="0.35">
      <c r="A151" s="166" t="s">
        <v>3533</v>
      </c>
      <c r="B151" s="100" t="s">
        <v>5815</v>
      </c>
      <c r="C151" s="161" t="s">
        <v>5936</v>
      </c>
      <c r="D151" s="1" t="s">
        <v>6134</v>
      </c>
      <c r="E151" s="100" t="s">
        <v>6004</v>
      </c>
      <c r="F151" s="101" t="s">
        <v>6073</v>
      </c>
      <c r="G151" s="2"/>
      <c r="H151" s="5" t="s">
        <v>7052</v>
      </c>
    </row>
    <row r="152" spans="1:8" hidden="1" x14ac:dyDescent="0.35">
      <c r="A152" s="166" t="s">
        <v>3533</v>
      </c>
      <c r="B152" s="100" t="s">
        <v>5815</v>
      </c>
      <c r="C152" s="161" t="s">
        <v>5936</v>
      </c>
      <c r="D152" s="1" t="s">
        <v>6120</v>
      </c>
      <c r="E152" s="100" t="s">
        <v>7639</v>
      </c>
      <c r="F152" s="101"/>
      <c r="G152" s="2"/>
      <c r="H152" s="5" t="s">
        <v>334</v>
      </c>
    </row>
    <row r="153" spans="1:8" hidden="1" x14ac:dyDescent="0.35">
      <c r="A153" s="132" t="s">
        <v>4044</v>
      </c>
      <c r="B153" s="100" t="s">
        <v>5815</v>
      </c>
      <c r="C153" s="173" t="s">
        <v>5936</v>
      </c>
      <c r="D153" s="1" t="s">
        <v>6120</v>
      </c>
      <c r="E153" s="100" t="s">
        <v>6676</v>
      </c>
      <c r="F153" s="101"/>
      <c r="G153" s="2"/>
      <c r="H153" s="5" t="s">
        <v>51</v>
      </c>
    </row>
    <row r="154" spans="1:8" hidden="1" x14ac:dyDescent="0.35">
      <c r="A154" s="176" t="s">
        <v>4044</v>
      </c>
      <c r="B154" s="171" t="s">
        <v>5815</v>
      </c>
      <c r="C154" s="173" t="s">
        <v>5936</v>
      </c>
      <c r="D154" s="81" t="s">
        <v>6120</v>
      </c>
      <c r="E154" s="171" t="s">
        <v>7648</v>
      </c>
      <c r="F154" s="101"/>
      <c r="G154" s="173"/>
      <c r="H154" s="177" t="s">
        <v>50</v>
      </c>
    </row>
    <row r="155" spans="1:8" hidden="1" x14ac:dyDescent="0.35">
      <c r="A155" s="167" t="s">
        <v>3533</v>
      </c>
      <c r="B155" s="100" t="s">
        <v>5815</v>
      </c>
      <c r="C155" s="161" t="s">
        <v>5936</v>
      </c>
      <c r="D155" s="1" t="s">
        <v>6120</v>
      </c>
      <c r="E155" s="100" t="s">
        <v>6004</v>
      </c>
      <c r="F155" s="101" t="s">
        <v>6087</v>
      </c>
      <c r="G155" s="2"/>
      <c r="H155" s="5" t="s">
        <v>7055</v>
      </c>
    </row>
    <row r="156" spans="1:8" hidden="1" x14ac:dyDescent="0.35">
      <c r="A156" s="167" t="s">
        <v>3533</v>
      </c>
      <c r="B156" s="100" t="s">
        <v>5815</v>
      </c>
      <c r="C156" s="161" t="s">
        <v>5936</v>
      </c>
      <c r="D156" s="1" t="s">
        <v>6120</v>
      </c>
      <c r="E156" s="100" t="s">
        <v>6004</v>
      </c>
      <c r="F156" s="101" t="s">
        <v>7662</v>
      </c>
      <c r="G156" s="2"/>
      <c r="H156" s="5" t="s">
        <v>7067</v>
      </c>
    </row>
    <row r="157" spans="1:8" hidden="1" x14ac:dyDescent="0.35">
      <c r="A157" s="167" t="s">
        <v>3533</v>
      </c>
      <c r="B157" s="100" t="s">
        <v>5815</v>
      </c>
      <c r="C157" s="161" t="s">
        <v>5936</v>
      </c>
      <c r="D157" s="2" t="s">
        <v>6120</v>
      </c>
      <c r="E157" s="100" t="s">
        <v>6004</v>
      </c>
      <c r="F157" s="101" t="s">
        <v>6072</v>
      </c>
      <c r="G157" s="1"/>
      <c r="H157" s="5" t="s">
        <v>7063</v>
      </c>
    </row>
    <row r="158" spans="1:8" hidden="1" x14ac:dyDescent="0.35">
      <c r="A158" s="167" t="s">
        <v>3533</v>
      </c>
      <c r="B158" s="100" t="s">
        <v>5815</v>
      </c>
      <c r="C158" s="161" t="s">
        <v>5936</v>
      </c>
      <c r="D158" s="2" t="s">
        <v>6120</v>
      </c>
      <c r="E158" s="100" t="s">
        <v>6004</v>
      </c>
      <c r="F158" s="101" t="s">
        <v>6086</v>
      </c>
      <c r="G158" s="1"/>
      <c r="H158" s="5" t="s">
        <v>7059</v>
      </c>
    </row>
    <row r="159" spans="1:8" hidden="1" x14ac:dyDescent="0.35">
      <c r="A159" s="167" t="s">
        <v>3533</v>
      </c>
      <c r="B159" s="100" t="s">
        <v>5815</v>
      </c>
      <c r="C159" s="161" t="s">
        <v>5936</v>
      </c>
      <c r="D159" s="2" t="s">
        <v>6120</v>
      </c>
      <c r="E159" s="100" t="s">
        <v>6004</v>
      </c>
      <c r="F159" s="101" t="s">
        <v>6073</v>
      </c>
      <c r="G159" s="1"/>
      <c r="H159" s="5" t="s">
        <v>7051</v>
      </c>
    </row>
    <row r="160" spans="1:8" hidden="1" x14ac:dyDescent="0.35">
      <c r="A160" s="133" t="s">
        <v>3920</v>
      </c>
      <c r="B160" s="100" t="s">
        <v>5815</v>
      </c>
      <c r="C160" s="2" t="s">
        <v>5936</v>
      </c>
      <c r="D160" s="2" t="s">
        <v>5901</v>
      </c>
      <c r="E160" s="100" t="s">
        <v>6004</v>
      </c>
      <c r="F160" s="101" t="s">
        <v>5994</v>
      </c>
      <c r="G160" s="1"/>
      <c r="H160" s="5" t="s">
        <v>1889</v>
      </c>
    </row>
    <row r="161" spans="1:8" hidden="1" x14ac:dyDescent="0.35">
      <c r="A161" s="132" t="s">
        <v>3309</v>
      </c>
      <c r="B161" s="100" t="s">
        <v>5815</v>
      </c>
      <c r="C161" s="2" t="s">
        <v>5936</v>
      </c>
      <c r="D161" s="2" t="s">
        <v>5901</v>
      </c>
      <c r="E161" s="100" t="s">
        <v>6464</v>
      </c>
      <c r="F161" s="104"/>
      <c r="G161" s="1"/>
      <c r="H161" s="5" t="s">
        <v>3102</v>
      </c>
    </row>
    <row r="162" spans="1:8" hidden="1" x14ac:dyDescent="0.35">
      <c r="A162" s="133" t="s">
        <v>3996</v>
      </c>
      <c r="B162" s="100" t="s">
        <v>5815</v>
      </c>
      <c r="C162" s="2" t="s">
        <v>5857</v>
      </c>
      <c r="D162" s="2" t="s">
        <v>5942</v>
      </c>
      <c r="E162" s="100" t="s">
        <v>5883</v>
      </c>
      <c r="F162" s="101"/>
      <c r="G162" s="1"/>
      <c r="H162" s="5" t="s">
        <v>2851</v>
      </c>
    </row>
    <row r="163" spans="1:8" ht="29" hidden="1" x14ac:dyDescent="0.35">
      <c r="A163" s="132" t="s">
        <v>3383</v>
      </c>
      <c r="B163" s="103" t="s">
        <v>5815</v>
      </c>
      <c r="C163" s="161" t="s">
        <v>5857</v>
      </c>
      <c r="D163" s="2" t="s">
        <v>5942</v>
      </c>
      <c r="E163" s="100" t="s">
        <v>7634</v>
      </c>
      <c r="F163" s="101"/>
      <c r="G163" s="1"/>
      <c r="H163" s="5" t="s">
        <v>2849</v>
      </c>
    </row>
    <row r="164" spans="1:8" hidden="1" x14ac:dyDescent="0.35">
      <c r="A164" s="166" t="s">
        <v>3533</v>
      </c>
      <c r="B164" s="100" t="s">
        <v>5815</v>
      </c>
      <c r="C164" s="2" t="s">
        <v>5857</v>
      </c>
      <c r="D164" s="2" t="s">
        <v>5942</v>
      </c>
      <c r="E164" s="100" t="s">
        <v>7648</v>
      </c>
      <c r="F164" s="101"/>
      <c r="G164" s="1"/>
      <c r="H164" s="5" t="s">
        <v>2853</v>
      </c>
    </row>
    <row r="165" spans="1:8" hidden="1" x14ac:dyDescent="0.35">
      <c r="A165" s="132" t="s">
        <v>3343</v>
      </c>
      <c r="B165" s="100" t="s">
        <v>5815</v>
      </c>
      <c r="C165" s="2" t="s">
        <v>5857</v>
      </c>
      <c r="D165" s="2" t="s">
        <v>5942</v>
      </c>
      <c r="E165" s="100" t="s">
        <v>6004</v>
      </c>
      <c r="F165" s="101"/>
      <c r="G165" s="1"/>
      <c r="H165" s="5" t="s">
        <v>2850</v>
      </c>
    </row>
    <row r="166" spans="1:8" hidden="1" x14ac:dyDescent="0.35">
      <c r="A166" s="132" t="s">
        <v>3343</v>
      </c>
      <c r="B166" s="100" t="s">
        <v>5815</v>
      </c>
      <c r="C166" s="2" t="s">
        <v>5857</v>
      </c>
      <c r="D166" s="2" t="s">
        <v>5942</v>
      </c>
      <c r="E166" s="100" t="s">
        <v>7633</v>
      </c>
      <c r="F166" s="101"/>
      <c r="G166" s="1"/>
      <c r="H166" s="5" t="s">
        <v>2848</v>
      </c>
    </row>
    <row r="167" spans="1:8" hidden="1" x14ac:dyDescent="0.35">
      <c r="A167" s="133" t="s">
        <v>3996</v>
      </c>
      <c r="B167" s="100" t="s">
        <v>5815</v>
      </c>
      <c r="C167" s="2" t="s">
        <v>5857</v>
      </c>
      <c r="D167" s="2" t="s">
        <v>6707</v>
      </c>
      <c r="E167" s="100"/>
      <c r="F167" s="101"/>
      <c r="G167" s="1"/>
      <c r="H167" s="5" t="s">
        <v>2852</v>
      </c>
    </row>
    <row r="168" spans="1:8" hidden="1" x14ac:dyDescent="0.35">
      <c r="A168" s="133" t="s">
        <v>3307</v>
      </c>
      <c r="B168" s="100" t="s">
        <v>5815</v>
      </c>
      <c r="C168" s="2" t="s">
        <v>5857</v>
      </c>
      <c r="D168" s="2" t="s">
        <v>6283</v>
      </c>
      <c r="E168" s="100"/>
      <c r="F168" s="101"/>
      <c r="G168" s="1"/>
      <c r="H168" s="5" t="s">
        <v>800</v>
      </c>
    </row>
    <row r="169" spans="1:8" hidden="1" x14ac:dyDescent="0.35">
      <c r="A169" s="133" t="s">
        <v>3343</v>
      </c>
      <c r="B169" s="103" t="s">
        <v>5815</v>
      </c>
      <c r="C169" s="161" t="s">
        <v>5857</v>
      </c>
      <c r="D169" s="161" t="s">
        <v>7632</v>
      </c>
      <c r="E169" s="100" t="s">
        <v>6001</v>
      </c>
      <c r="F169" s="101"/>
      <c r="G169" s="1"/>
      <c r="H169" s="5" t="s">
        <v>2855</v>
      </c>
    </row>
    <row r="170" spans="1:8" ht="43.5" hidden="1" x14ac:dyDescent="0.35">
      <c r="A170" s="133" t="s">
        <v>3954</v>
      </c>
      <c r="B170" s="100" t="s">
        <v>5815</v>
      </c>
      <c r="C170" s="2"/>
      <c r="D170" s="2" t="s">
        <v>5936</v>
      </c>
      <c r="E170" s="100" t="s">
        <v>5816</v>
      </c>
      <c r="F170" s="101" t="s">
        <v>7643</v>
      </c>
      <c r="G170" s="1" t="s">
        <v>7644</v>
      </c>
      <c r="H170" s="5" t="s">
        <v>7485</v>
      </c>
    </row>
    <row r="171" spans="1:8" hidden="1" x14ac:dyDescent="0.35">
      <c r="A171" s="132" t="s">
        <v>3954</v>
      </c>
      <c r="B171" s="100" t="s">
        <v>5815</v>
      </c>
      <c r="C171" s="2"/>
      <c r="D171" s="2" t="s">
        <v>5936</v>
      </c>
      <c r="E171" s="100" t="s">
        <v>5816</v>
      </c>
      <c r="F171" s="101" t="s">
        <v>7643</v>
      </c>
      <c r="G171" s="1" t="s">
        <v>6250</v>
      </c>
      <c r="H171" s="5" t="s">
        <v>419</v>
      </c>
    </row>
    <row r="172" spans="1:8" hidden="1" x14ac:dyDescent="0.35">
      <c r="A172" s="133" t="s">
        <v>3954</v>
      </c>
      <c r="B172" s="100" t="s">
        <v>5815</v>
      </c>
      <c r="C172" s="2"/>
      <c r="D172" s="2" t="s">
        <v>5936</v>
      </c>
      <c r="E172" s="100" t="s">
        <v>5816</v>
      </c>
      <c r="F172" s="101" t="s">
        <v>7643</v>
      </c>
      <c r="G172" s="1" t="s">
        <v>6129</v>
      </c>
      <c r="H172" s="5" t="s">
        <v>420</v>
      </c>
    </row>
    <row r="173" spans="1:8" hidden="1" x14ac:dyDescent="0.35">
      <c r="A173" s="132" t="s">
        <v>3954</v>
      </c>
      <c r="B173" s="100" t="s">
        <v>5815</v>
      </c>
      <c r="C173" s="2"/>
      <c r="D173" s="2" t="s">
        <v>5936</v>
      </c>
      <c r="E173" s="100" t="s">
        <v>5816</v>
      </c>
      <c r="F173" s="101" t="s">
        <v>7643</v>
      </c>
      <c r="G173" s="1" t="s">
        <v>7645</v>
      </c>
      <c r="H173" s="5" t="s">
        <v>718</v>
      </c>
    </row>
    <row r="174" spans="1:8" ht="29" hidden="1" x14ac:dyDescent="0.35">
      <c r="A174" s="132" t="s">
        <v>3332</v>
      </c>
      <c r="B174" s="100" t="s">
        <v>5815</v>
      </c>
      <c r="C174" s="2"/>
      <c r="D174" s="2" t="s">
        <v>5936</v>
      </c>
      <c r="E174" s="100" t="s">
        <v>5816</v>
      </c>
      <c r="F174" s="101" t="s">
        <v>5991</v>
      </c>
      <c r="G174" s="1"/>
      <c r="H174" s="5" t="s">
        <v>3147</v>
      </c>
    </row>
    <row r="175" spans="1:8" ht="43.5" hidden="1" x14ac:dyDescent="0.35">
      <c r="A175" s="133" t="s">
        <v>3996</v>
      </c>
      <c r="B175" s="100" t="s">
        <v>5815</v>
      </c>
      <c r="C175" s="2"/>
      <c r="D175" s="2" t="s">
        <v>5936</v>
      </c>
      <c r="E175" s="100" t="s">
        <v>5816</v>
      </c>
      <c r="F175" s="101" t="s">
        <v>5883</v>
      </c>
      <c r="G175" s="1"/>
      <c r="H175" s="5" t="s">
        <v>7537</v>
      </c>
    </row>
    <row r="176" spans="1:8" ht="29" hidden="1" x14ac:dyDescent="0.35">
      <c r="A176" s="132" t="s">
        <v>3332</v>
      </c>
      <c r="B176" s="100" t="s">
        <v>5815</v>
      </c>
      <c r="C176" s="2"/>
      <c r="D176" s="2" t="s">
        <v>5936</v>
      </c>
      <c r="E176" s="100" t="s">
        <v>5816</v>
      </c>
      <c r="F176" s="101" t="s">
        <v>5879</v>
      </c>
      <c r="G176" s="1"/>
      <c r="H176" s="5" t="s">
        <v>6861</v>
      </c>
    </row>
    <row r="177" spans="1:8" ht="43.5" hidden="1" x14ac:dyDescent="0.35">
      <c r="A177" s="132" t="s">
        <v>3920</v>
      </c>
      <c r="B177" s="100" t="s">
        <v>5815</v>
      </c>
      <c r="C177" s="2"/>
      <c r="D177" s="2" t="s">
        <v>5936</v>
      </c>
      <c r="E177" s="101" t="s">
        <v>5816</v>
      </c>
      <c r="F177" s="1" t="s">
        <v>5994</v>
      </c>
      <c r="G177" s="2" t="s">
        <v>7646</v>
      </c>
      <c r="H177" s="5" t="s">
        <v>7464</v>
      </c>
    </row>
    <row r="178" spans="1:8" hidden="1" x14ac:dyDescent="0.35">
      <c r="A178" s="133" t="s">
        <v>3920</v>
      </c>
      <c r="B178" s="100" t="s">
        <v>5815</v>
      </c>
      <c r="C178" s="2"/>
      <c r="D178" s="2" t="s">
        <v>5936</v>
      </c>
      <c r="E178" s="101" t="s">
        <v>5816</v>
      </c>
      <c r="F178" s="1" t="s">
        <v>5994</v>
      </c>
      <c r="G178" s="2" t="s">
        <v>7647</v>
      </c>
      <c r="H178" s="5" t="s">
        <v>720</v>
      </c>
    </row>
    <row r="179" spans="1:8" hidden="1" x14ac:dyDescent="0.35">
      <c r="A179" s="132" t="s">
        <v>3920</v>
      </c>
      <c r="B179" s="100" t="s">
        <v>5815</v>
      </c>
      <c r="C179" s="2"/>
      <c r="D179" s="2" t="s">
        <v>5936</v>
      </c>
      <c r="E179" s="100" t="s">
        <v>5816</v>
      </c>
      <c r="F179" s="1" t="s">
        <v>5994</v>
      </c>
      <c r="G179" s="1" t="s">
        <v>7663</v>
      </c>
      <c r="H179" s="5" t="s">
        <v>717</v>
      </c>
    </row>
    <row r="180" spans="1:8" hidden="1" x14ac:dyDescent="0.35">
      <c r="A180" s="133" t="s">
        <v>3895</v>
      </c>
      <c r="B180" s="100" t="s">
        <v>5815</v>
      </c>
      <c r="C180" s="2"/>
      <c r="D180" s="2" t="s">
        <v>5936</v>
      </c>
      <c r="E180" s="100" t="s">
        <v>5816</v>
      </c>
      <c r="F180" s="1" t="s">
        <v>6025</v>
      </c>
      <c r="G180" s="1" t="s">
        <v>7642</v>
      </c>
      <c r="H180" s="5" t="s">
        <v>7455</v>
      </c>
    </row>
    <row r="181" spans="1:8" hidden="1" x14ac:dyDescent="0.35">
      <c r="A181" s="132" t="s">
        <v>3895</v>
      </c>
      <c r="B181" s="100" t="s">
        <v>5815</v>
      </c>
      <c r="C181" s="2"/>
      <c r="D181" s="2" t="s">
        <v>5936</v>
      </c>
      <c r="E181" s="100" t="s">
        <v>5816</v>
      </c>
      <c r="F181" s="101" t="s">
        <v>6025</v>
      </c>
      <c r="G181" s="1" t="s">
        <v>7641</v>
      </c>
      <c r="H181" s="5" t="s">
        <v>7456</v>
      </c>
    </row>
    <row r="182" spans="1:8" hidden="1" x14ac:dyDescent="0.35">
      <c r="A182" s="133" t="s">
        <v>3332</v>
      </c>
      <c r="B182" s="103" t="s">
        <v>5815</v>
      </c>
      <c r="C182" s="2"/>
      <c r="D182" s="2" t="s">
        <v>5936</v>
      </c>
      <c r="E182" s="103" t="s">
        <v>5816</v>
      </c>
      <c r="F182" s="104" t="s">
        <v>7640</v>
      </c>
      <c r="G182" s="1"/>
      <c r="H182" s="5" t="s">
        <v>6862</v>
      </c>
    </row>
    <row r="183" spans="1:8" hidden="1" x14ac:dyDescent="0.35">
      <c r="A183" s="133" t="s">
        <v>3343</v>
      </c>
      <c r="B183" s="103" t="s">
        <v>5815</v>
      </c>
      <c r="C183" s="2"/>
      <c r="D183" s="2" t="s">
        <v>5936</v>
      </c>
      <c r="E183" s="103" t="s">
        <v>5901</v>
      </c>
      <c r="F183" s="101" t="s">
        <v>5787</v>
      </c>
      <c r="G183" s="118" t="s">
        <v>6010</v>
      </c>
      <c r="H183" s="5" t="s">
        <v>3100</v>
      </c>
    </row>
    <row r="184" spans="1:8" ht="29" hidden="1" x14ac:dyDescent="0.35">
      <c r="A184" s="132" t="s">
        <v>3332</v>
      </c>
      <c r="B184" s="100" t="s">
        <v>5815</v>
      </c>
      <c r="C184" s="2"/>
      <c r="D184" s="2" t="s">
        <v>5936</v>
      </c>
      <c r="E184" s="100" t="s">
        <v>5901</v>
      </c>
      <c r="F184" s="101" t="s">
        <v>5848</v>
      </c>
      <c r="G184" s="1" t="s">
        <v>7664</v>
      </c>
      <c r="H184" s="5" t="s">
        <v>2821</v>
      </c>
    </row>
    <row r="185" spans="1:8" hidden="1" x14ac:dyDescent="0.35">
      <c r="A185" s="133" t="s">
        <v>3996</v>
      </c>
      <c r="B185" s="100" t="s">
        <v>5815</v>
      </c>
      <c r="C185" s="2"/>
      <c r="D185" s="2" t="s">
        <v>5936</v>
      </c>
      <c r="E185" s="100" t="s">
        <v>5901</v>
      </c>
      <c r="F185" s="101" t="s">
        <v>5848</v>
      </c>
      <c r="G185" s="1"/>
      <c r="H185" s="5" t="s">
        <v>7522</v>
      </c>
    </row>
    <row r="186" spans="1:8" hidden="1" x14ac:dyDescent="0.35">
      <c r="A186" s="133" t="s">
        <v>3996</v>
      </c>
      <c r="B186" s="100" t="s">
        <v>5815</v>
      </c>
      <c r="C186" s="2"/>
      <c r="D186" s="2" t="s">
        <v>5936</v>
      </c>
      <c r="E186" s="100" t="s">
        <v>5901</v>
      </c>
      <c r="F186" s="101" t="s">
        <v>6306</v>
      </c>
      <c r="G186" s="1"/>
      <c r="H186" s="5" t="s">
        <v>7528</v>
      </c>
    </row>
    <row r="187" spans="1:8" hidden="1" x14ac:dyDescent="0.35">
      <c r="A187" s="133" t="s">
        <v>3309</v>
      </c>
      <c r="B187" s="100" t="s">
        <v>5815</v>
      </c>
      <c r="C187" s="2"/>
      <c r="D187" s="2" t="s">
        <v>5936</v>
      </c>
      <c r="E187" s="100" t="s">
        <v>5901</v>
      </c>
      <c r="F187" s="101" t="s">
        <v>6727</v>
      </c>
      <c r="G187" s="118"/>
      <c r="H187" s="5" t="s">
        <v>3101</v>
      </c>
    </row>
    <row r="188" spans="1:8" hidden="1" x14ac:dyDescent="0.35">
      <c r="A188" s="132" t="s">
        <v>3996</v>
      </c>
      <c r="B188" s="100" t="s">
        <v>5815</v>
      </c>
      <c r="C188" s="2"/>
      <c r="D188" s="2" t="s">
        <v>5936</v>
      </c>
      <c r="E188" s="100" t="s">
        <v>5901</v>
      </c>
      <c r="F188" s="101" t="s">
        <v>6676</v>
      </c>
      <c r="G188" s="1"/>
      <c r="H188" s="5" t="s">
        <v>7523</v>
      </c>
    </row>
    <row r="189" spans="1:8" hidden="1" x14ac:dyDescent="0.35">
      <c r="A189" s="132" t="s">
        <v>3332</v>
      </c>
      <c r="B189" s="100" t="s">
        <v>5815</v>
      </c>
      <c r="C189" s="2"/>
      <c r="D189" s="2" t="s">
        <v>5936</v>
      </c>
      <c r="E189" s="100" t="s">
        <v>5901</v>
      </c>
      <c r="F189" s="101" t="s">
        <v>7648</v>
      </c>
      <c r="G189" s="1" t="s">
        <v>6369</v>
      </c>
      <c r="H189" s="5" t="s">
        <v>2705</v>
      </c>
    </row>
    <row r="190" spans="1:8" hidden="1" x14ac:dyDescent="0.35">
      <c r="A190" s="133" t="s">
        <v>3996</v>
      </c>
      <c r="B190" s="100" t="s">
        <v>5815</v>
      </c>
      <c r="C190" s="2"/>
      <c r="D190" s="2" t="s">
        <v>5936</v>
      </c>
      <c r="E190" s="101" t="s">
        <v>5901</v>
      </c>
      <c r="F190" s="2" t="s">
        <v>7648</v>
      </c>
      <c r="G190" s="1"/>
      <c r="H190" s="5" t="s">
        <v>7526</v>
      </c>
    </row>
    <row r="191" spans="1:8" ht="29" hidden="1" x14ac:dyDescent="0.35">
      <c r="A191" s="132" t="s">
        <v>3332</v>
      </c>
      <c r="B191" s="100" t="s">
        <v>5815</v>
      </c>
      <c r="C191" s="2"/>
      <c r="D191" s="2" t="s">
        <v>5936</v>
      </c>
      <c r="E191" s="100" t="s">
        <v>5901</v>
      </c>
      <c r="F191" s="101" t="s">
        <v>5911</v>
      </c>
      <c r="G191" s="1"/>
      <c r="H191" s="5" t="s">
        <v>1904</v>
      </c>
    </row>
    <row r="192" spans="1:8" hidden="1" x14ac:dyDescent="0.35">
      <c r="A192" s="133" t="s">
        <v>3996</v>
      </c>
      <c r="B192" s="100" t="s">
        <v>5815</v>
      </c>
      <c r="C192" s="2"/>
      <c r="D192" s="2" t="s">
        <v>5936</v>
      </c>
      <c r="E192" s="100" t="s">
        <v>5901</v>
      </c>
      <c r="F192" s="101" t="s">
        <v>6424</v>
      </c>
      <c r="G192" s="1"/>
      <c r="H192" s="5" t="s">
        <v>7530</v>
      </c>
    </row>
    <row r="193" spans="1:8" hidden="1" x14ac:dyDescent="0.35">
      <c r="A193" s="132" t="s">
        <v>3996</v>
      </c>
      <c r="B193" s="100" t="s">
        <v>5815</v>
      </c>
      <c r="C193" s="2"/>
      <c r="D193" s="2" t="s">
        <v>5936</v>
      </c>
      <c r="E193" s="100" t="s">
        <v>5901</v>
      </c>
      <c r="F193" s="2" t="s">
        <v>6004</v>
      </c>
      <c r="G193" s="101"/>
      <c r="H193" s="5" t="s">
        <v>7525</v>
      </c>
    </row>
    <row r="194" spans="1:8" hidden="1" x14ac:dyDescent="0.35">
      <c r="A194" s="133" t="s">
        <v>3309</v>
      </c>
      <c r="B194" s="100" t="s">
        <v>5815</v>
      </c>
      <c r="C194" s="2"/>
      <c r="D194" s="2" t="s">
        <v>5936</v>
      </c>
      <c r="E194" s="100" t="s">
        <v>5901</v>
      </c>
      <c r="F194" s="101" t="s">
        <v>6298</v>
      </c>
      <c r="G194" s="1"/>
      <c r="H194" s="5" t="s">
        <v>1248</v>
      </c>
    </row>
    <row r="195" spans="1:8" hidden="1" x14ac:dyDescent="0.35">
      <c r="A195" s="132" t="s">
        <v>3996</v>
      </c>
      <c r="B195" s="100" t="s">
        <v>5815</v>
      </c>
      <c r="C195" s="2"/>
      <c r="D195" s="2" t="s">
        <v>5936</v>
      </c>
      <c r="E195" s="100" t="s">
        <v>5901</v>
      </c>
      <c r="F195" s="101" t="s">
        <v>6283</v>
      </c>
      <c r="G195" s="1"/>
      <c r="H195" s="5" t="s">
        <v>7527</v>
      </c>
    </row>
    <row r="196" spans="1:8" hidden="1" x14ac:dyDescent="0.35">
      <c r="A196" s="132" t="s">
        <v>3996</v>
      </c>
      <c r="B196" s="100" t="s">
        <v>5815</v>
      </c>
      <c r="C196" s="2"/>
      <c r="D196" s="2" t="s">
        <v>5936</v>
      </c>
      <c r="E196" s="100" t="s">
        <v>5901</v>
      </c>
      <c r="F196" s="101" t="s">
        <v>6678</v>
      </c>
      <c r="G196" s="1"/>
      <c r="H196" s="5" t="s">
        <v>7529</v>
      </c>
    </row>
    <row r="197" spans="1:8" hidden="1" x14ac:dyDescent="0.35">
      <c r="A197" s="133" t="s">
        <v>3996</v>
      </c>
      <c r="B197" s="100" t="s">
        <v>5815</v>
      </c>
      <c r="C197" s="2"/>
      <c r="D197" s="2" t="s">
        <v>5936</v>
      </c>
      <c r="E197" s="100" t="s">
        <v>5901</v>
      </c>
      <c r="F197" s="101" t="s">
        <v>6677</v>
      </c>
      <c r="G197" s="1"/>
      <c r="H197" s="5" t="s">
        <v>7524</v>
      </c>
    </row>
    <row r="198" spans="1:8" hidden="1" x14ac:dyDescent="0.35">
      <c r="A198" s="132" t="s">
        <v>3332</v>
      </c>
      <c r="B198" s="100" t="s">
        <v>5815</v>
      </c>
      <c r="C198" s="2"/>
      <c r="D198" s="2" t="s">
        <v>5857</v>
      </c>
      <c r="E198" s="100" t="s">
        <v>7652</v>
      </c>
      <c r="F198" s="101" t="s">
        <v>5787</v>
      </c>
      <c r="G198" s="1"/>
      <c r="H198" s="5" t="s">
        <v>2857</v>
      </c>
    </row>
    <row r="199" spans="1:8" hidden="1" x14ac:dyDescent="0.35">
      <c r="A199" s="132" t="s">
        <v>3332</v>
      </c>
      <c r="B199" s="100" t="s">
        <v>5815</v>
      </c>
      <c r="C199" s="2"/>
      <c r="D199" s="100" t="s">
        <v>5857</v>
      </c>
      <c r="E199" s="101" t="s">
        <v>7658</v>
      </c>
      <c r="F199" s="1" t="s">
        <v>5966</v>
      </c>
      <c r="G199" s="1"/>
      <c r="H199" s="5" t="s">
        <v>2854</v>
      </c>
    </row>
    <row r="200" spans="1:8" hidden="1" x14ac:dyDescent="0.35">
      <c r="A200" s="167" t="s">
        <v>3533</v>
      </c>
      <c r="B200" s="100" t="s">
        <v>5815</v>
      </c>
      <c r="C200" s="2"/>
      <c r="D200" s="100" t="s">
        <v>5857</v>
      </c>
      <c r="E200" s="101" t="s">
        <v>7658</v>
      </c>
      <c r="F200" s="1" t="s">
        <v>7648</v>
      </c>
      <c r="G200" s="1"/>
      <c r="H200" s="5" t="s">
        <v>2858</v>
      </c>
    </row>
    <row r="201" spans="1:8" hidden="1" x14ac:dyDescent="0.35">
      <c r="A201" s="167" t="s">
        <v>3533</v>
      </c>
      <c r="B201" s="100" t="s">
        <v>5815</v>
      </c>
      <c r="C201" s="2"/>
      <c r="D201" s="100" t="s">
        <v>5857</v>
      </c>
      <c r="E201" s="101" t="s">
        <v>7658</v>
      </c>
      <c r="F201" s="1" t="s">
        <v>6004</v>
      </c>
      <c r="G201" s="1"/>
      <c r="H201" s="5" t="s">
        <v>2856</v>
      </c>
    </row>
    <row r="202" spans="1:8" hidden="1" x14ac:dyDescent="0.35">
      <c r="A202" s="133" t="s">
        <v>3895</v>
      </c>
      <c r="B202" s="100" t="s">
        <v>5815</v>
      </c>
      <c r="C202" s="100"/>
      <c r="D202" s="101" t="s">
        <v>5857</v>
      </c>
      <c r="E202" s="1" t="s">
        <v>5766</v>
      </c>
      <c r="F202" s="1" t="s">
        <v>7639</v>
      </c>
      <c r="G202" s="2"/>
      <c r="H202" s="5" t="s">
        <v>288</v>
      </c>
    </row>
    <row r="203" spans="1:8" hidden="1" x14ac:dyDescent="0.35">
      <c r="A203" s="132" t="s">
        <v>3895</v>
      </c>
      <c r="B203" s="100" t="s">
        <v>5815</v>
      </c>
      <c r="C203" s="100"/>
      <c r="D203" s="101" t="s">
        <v>5857</v>
      </c>
      <c r="E203" s="1" t="s">
        <v>5766</v>
      </c>
      <c r="F203" s="1" t="s">
        <v>7659</v>
      </c>
      <c r="G203" s="2"/>
      <c r="H203" s="5" t="s">
        <v>291</v>
      </c>
    </row>
    <row r="204" spans="1:8" hidden="1" x14ac:dyDescent="0.35">
      <c r="A204" s="132" t="s">
        <v>2565</v>
      </c>
      <c r="B204" s="100" t="s">
        <v>5815</v>
      </c>
      <c r="C204" s="100"/>
      <c r="D204" s="101" t="s">
        <v>5857</v>
      </c>
      <c r="E204" s="1" t="s">
        <v>5766</v>
      </c>
      <c r="F204" s="1" t="s">
        <v>4</v>
      </c>
      <c r="G204" s="2"/>
      <c r="H204" s="5" t="s">
        <v>542</v>
      </c>
    </row>
    <row r="205" spans="1:8" hidden="1" x14ac:dyDescent="0.35">
      <c r="A205" s="167" t="s">
        <v>3533</v>
      </c>
      <c r="B205" s="100" t="s">
        <v>5815</v>
      </c>
      <c r="C205" s="100"/>
      <c r="D205" s="101" t="s">
        <v>5857</v>
      </c>
      <c r="E205" s="1" t="s">
        <v>5766</v>
      </c>
      <c r="F205" s="1" t="s">
        <v>7660</v>
      </c>
      <c r="G205" s="2"/>
      <c r="H205" s="5" t="s">
        <v>540</v>
      </c>
    </row>
    <row r="206" spans="1:8" hidden="1" x14ac:dyDescent="0.35">
      <c r="A206" s="166" t="s">
        <v>3533</v>
      </c>
      <c r="B206" s="100" t="s">
        <v>5815</v>
      </c>
      <c r="C206" s="100"/>
      <c r="D206" s="101" t="s">
        <v>5857</v>
      </c>
      <c r="E206" s="1" t="s">
        <v>5766</v>
      </c>
      <c r="F206" s="1" t="s">
        <v>7648</v>
      </c>
      <c r="G206" s="2"/>
      <c r="H206" s="5" t="s">
        <v>246</v>
      </c>
    </row>
    <row r="207" spans="1:8" hidden="1" x14ac:dyDescent="0.35">
      <c r="A207" s="132" t="s">
        <v>3332</v>
      </c>
      <c r="B207" s="100" t="s">
        <v>5815</v>
      </c>
      <c r="C207" s="100"/>
      <c r="D207" s="101" t="s">
        <v>5857</v>
      </c>
      <c r="E207" s="1" t="s">
        <v>5968</v>
      </c>
      <c r="F207" s="1" t="s">
        <v>5954</v>
      </c>
      <c r="G207" s="2"/>
      <c r="H207" s="5" t="s">
        <v>2859</v>
      </c>
    </row>
    <row r="208" spans="1:8" ht="29" hidden="1" x14ac:dyDescent="0.35">
      <c r="A208" s="132" t="s">
        <v>3895</v>
      </c>
      <c r="B208" s="100" t="s">
        <v>5862</v>
      </c>
      <c r="C208" s="100"/>
      <c r="D208" s="101" t="s">
        <v>5882</v>
      </c>
      <c r="E208" s="1" t="s">
        <v>5804</v>
      </c>
      <c r="F208" s="1" t="s">
        <v>6474</v>
      </c>
      <c r="G208" s="2"/>
      <c r="H208" s="5" t="s">
        <v>3120</v>
      </c>
    </row>
    <row r="209" spans="1:8" hidden="1" x14ac:dyDescent="0.35">
      <c r="A209" s="133" t="s">
        <v>3895</v>
      </c>
      <c r="B209" s="100" t="s">
        <v>5862</v>
      </c>
      <c r="C209" s="100"/>
      <c r="D209" s="101" t="s">
        <v>5882</v>
      </c>
      <c r="E209" s="1" t="s">
        <v>5804</v>
      </c>
      <c r="F209" s="1" t="s">
        <v>6476</v>
      </c>
      <c r="G209" s="2"/>
      <c r="H209" s="5" t="s">
        <v>2334</v>
      </c>
    </row>
    <row r="210" spans="1:8" hidden="1" x14ac:dyDescent="0.35">
      <c r="A210" s="133" t="s">
        <v>3895</v>
      </c>
      <c r="B210" s="100" t="s">
        <v>5862</v>
      </c>
      <c r="C210" s="100"/>
      <c r="D210" s="101" t="s">
        <v>5882</v>
      </c>
      <c r="E210" s="1" t="s">
        <v>5804</v>
      </c>
      <c r="F210" s="1" t="s">
        <v>6476</v>
      </c>
      <c r="G210" s="2"/>
      <c r="H210" s="5" t="s">
        <v>3022</v>
      </c>
    </row>
    <row r="211" spans="1:8" ht="29" hidden="1" x14ac:dyDescent="0.35">
      <c r="A211" s="133" t="s">
        <v>4048</v>
      </c>
      <c r="B211" s="100" t="s">
        <v>6844</v>
      </c>
      <c r="C211" s="100" t="s">
        <v>5857</v>
      </c>
      <c r="D211" s="101" t="s">
        <v>6844</v>
      </c>
      <c r="E211" s="1" t="s">
        <v>5859</v>
      </c>
      <c r="F211" s="1" t="s">
        <v>5860</v>
      </c>
      <c r="G211" s="2"/>
      <c r="H211" s="5" t="s">
        <v>340</v>
      </c>
    </row>
    <row r="212" spans="1:8" ht="29" hidden="1" x14ac:dyDescent="0.35">
      <c r="A212" s="132" t="s">
        <v>4048</v>
      </c>
      <c r="B212" s="100" t="s">
        <v>6844</v>
      </c>
      <c r="C212" s="100" t="s">
        <v>5857</v>
      </c>
      <c r="D212" s="101" t="s">
        <v>6844</v>
      </c>
      <c r="E212" s="1" t="s">
        <v>5858</v>
      </c>
      <c r="F212" s="1" t="s">
        <v>5859</v>
      </c>
      <c r="G212" s="2"/>
      <c r="H212" s="5" t="s">
        <v>339</v>
      </c>
    </row>
    <row r="213" spans="1:8" ht="29" hidden="1" x14ac:dyDescent="0.35">
      <c r="A213" s="132" t="s">
        <v>4048</v>
      </c>
      <c r="B213" s="100" t="s">
        <v>6844</v>
      </c>
      <c r="C213" s="100" t="s">
        <v>5857</v>
      </c>
      <c r="D213" s="101" t="s">
        <v>6844</v>
      </c>
      <c r="E213" s="1" t="s">
        <v>5858</v>
      </c>
      <c r="F213" s="1" t="s">
        <v>5861</v>
      </c>
      <c r="G213" s="2"/>
      <c r="H213" s="5" t="s">
        <v>341</v>
      </c>
    </row>
    <row r="214" spans="1:8" hidden="1" x14ac:dyDescent="0.35">
      <c r="A214" s="128" t="s">
        <v>3319</v>
      </c>
      <c r="B214" s="100" t="s">
        <v>7606</v>
      </c>
      <c r="C214" s="103" t="s">
        <v>5765</v>
      </c>
      <c r="D214" s="104" t="s">
        <v>1</v>
      </c>
      <c r="E214" s="118" t="s">
        <v>5769</v>
      </c>
      <c r="F214" s="1"/>
      <c r="G214" s="2"/>
      <c r="H214" s="165" t="s">
        <v>2</v>
      </c>
    </row>
    <row r="215" spans="1:8" hidden="1" x14ac:dyDescent="0.35">
      <c r="A215" s="129" t="s">
        <v>3319</v>
      </c>
      <c r="B215" s="100" t="s">
        <v>7606</v>
      </c>
      <c r="C215" s="100" t="s">
        <v>5765</v>
      </c>
      <c r="D215" s="101" t="s">
        <v>1</v>
      </c>
      <c r="E215" s="1"/>
      <c r="F215" s="1"/>
      <c r="G215" s="2"/>
      <c r="H215" s="165" t="s">
        <v>1446</v>
      </c>
    </row>
    <row r="216" spans="1:8" hidden="1" x14ac:dyDescent="0.35">
      <c r="A216" s="128" t="s">
        <v>3319</v>
      </c>
      <c r="B216" s="103" t="s">
        <v>7606</v>
      </c>
      <c r="C216" s="103" t="s">
        <v>5765</v>
      </c>
      <c r="D216" s="104" t="s">
        <v>5776</v>
      </c>
      <c r="E216" s="1"/>
      <c r="F216" s="1"/>
      <c r="G216" s="2"/>
      <c r="H216" s="5" t="s">
        <v>7</v>
      </c>
    </row>
    <row r="217" spans="1:8" hidden="1" x14ac:dyDescent="0.35">
      <c r="A217" s="128" t="s">
        <v>3319</v>
      </c>
      <c r="B217" s="100" t="s">
        <v>7606</v>
      </c>
      <c r="C217" s="103" t="s">
        <v>5765</v>
      </c>
      <c r="D217" s="104" t="s">
        <v>6008</v>
      </c>
      <c r="E217" s="118" t="s">
        <v>5837</v>
      </c>
      <c r="F217" s="1"/>
      <c r="G217" s="2"/>
      <c r="H217" s="165" t="s">
        <v>2980</v>
      </c>
    </row>
    <row r="218" spans="1:8" ht="29" hidden="1" x14ac:dyDescent="0.35">
      <c r="A218" s="128" t="s">
        <v>3319</v>
      </c>
      <c r="B218" s="100" t="s">
        <v>7606</v>
      </c>
      <c r="C218" s="103" t="s">
        <v>5765</v>
      </c>
      <c r="D218" s="104" t="s">
        <v>6008</v>
      </c>
      <c r="E218" s="118" t="s">
        <v>5795</v>
      </c>
      <c r="F218" s="1" t="s">
        <v>5796</v>
      </c>
      <c r="G218" s="2"/>
      <c r="H218" s="165" t="s">
        <v>152</v>
      </c>
    </row>
    <row r="219" spans="1:8" hidden="1" x14ac:dyDescent="0.35">
      <c r="A219" s="129" t="s">
        <v>3319</v>
      </c>
      <c r="B219" s="100" t="s">
        <v>7606</v>
      </c>
      <c r="C219" s="100" t="s">
        <v>5765</v>
      </c>
      <c r="D219" s="104" t="s">
        <v>6008</v>
      </c>
      <c r="E219" s="1" t="s">
        <v>5795</v>
      </c>
      <c r="F219" s="1" t="s">
        <v>5796</v>
      </c>
      <c r="G219" s="2"/>
      <c r="H219" s="165" t="s">
        <v>2410</v>
      </c>
    </row>
    <row r="220" spans="1:8" ht="29" hidden="1" x14ac:dyDescent="0.35">
      <c r="A220" s="129" t="s">
        <v>3319</v>
      </c>
      <c r="B220" s="100" t="s">
        <v>7606</v>
      </c>
      <c r="C220" s="100" t="s">
        <v>5765</v>
      </c>
      <c r="D220" s="104" t="s">
        <v>6008</v>
      </c>
      <c r="E220" s="1" t="s">
        <v>5795</v>
      </c>
      <c r="F220" s="1" t="s">
        <v>7625</v>
      </c>
      <c r="G220" s="2"/>
      <c r="H220" s="165" t="s">
        <v>672</v>
      </c>
    </row>
    <row r="221" spans="1:8" hidden="1" x14ac:dyDescent="0.35">
      <c r="A221" s="128" t="s">
        <v>3319</v>
      </c>
      <c r="B221" s="100" t="s">
        <v>7606</v>
      </c>
      <c r="C221" s="103" t="s">
        <v>5765</v>
      </c>
      <c r="D221" s="104" t="s">
        <v>6008</v>
      </c>
      <c r="E221" s="118" t="s">
        <v>5795</v>
      </c>
      <c r="F221" s="1" t="s">
        <v>7626</v>
      </c>
      <c r="G221" s="2"/>
      <c r="H221" s="165" t="s">
        <v>1787</v>
      </c>
    </row>
    <row r="222" spans="1:8" ht="29" hidden="1" x14ac:dyDescent="0.35">
      <c r="A222" s="128" t="s">
        <v>3319</v>
      </c>
      <c r="B222" s="100" t="s">
        <v>7606</v>
      </c>
      <c r="C222" s="103" t="s">
        <v>5765</v>
      </c>
      <c r="D222" s="104" t="s">
        <v>6008</v>
      </c>
      <c r="E222" s="118" t="s">
        <v>5795</v>
      </c>
      <c r="F222" s="1" t="s">
        <v>7624</v>
      </c>
      <c r="G222" s="2"/>
      <c r="H222" s="165" t="s">
        <v>671</v>
      </c>
    </row>
    <row r="223" spans="1:8" hidden="1" x14ac:dyDescent="0.35">
      <c r="A223" s="129" t="s">
        <v>3319</v>
      </c>
      <c r="B223" s="100" t="s">
        <v>7606</v>
      </c>
      <c r="C223" s="100" t="s">
        <v>5765</v>
      </c>
      <c r="D223" s="104" t="s">
        <v>6008</v>
      </c>
      <c r="E223" s="1" t="s">
        <v>7625</v>
      </c>
      <c r="F223" s="1"/>
      <c r="G223" s="2"/>
      <c r="H223" s="165" t="s">
        <v>2578</v>
      </c>
    </row>
    <row r="224" spans="1:8" hidden="1" x14ac:dyDescent="0.35">
      <c r="A224" s="128" t="s">
        <v>3319</v>
      </c>
      <c r="B224" s="100" t="s">
        <v>7606</v>
      </c>
      <c r="C224" s="103" t="s">
        <v>5765</v>
      </c>
      <c r="D224" s="104" t="s">
        <v>6</v>
      </c>
      <c r="E224" s="118" t="s">
        <v>5773</v>
      </c>
      <c r="F224" s="1"/>
      <c r="G224" s="2"/>
      <c r="H224" s="165" t="s">
        <v>825</v>
      </c>
    </row>
    <row r="225" spans="1:8" hidden="1" x14ac:dyDescent="0.35">
      <c r="A225" s="129" t="s">
        <v>3319</v>
      </c>
      <c r="B225" s="100" t="s">
        <v>7606</v>
      </c>
      <c r="C225" s="100" t="s">
        <v>5765</v>
      </c>
      <c r="D225" s="101" t="s">
        <v>6</v>
      </c>
      <c r="E225" s="1" t="s">
        <v>5779</v>
      </c>
      <c r="F225" s="1"/>
      <c r="G225" s="2"/>
      <c r="H225" s="165" t="s">
        <v>2975</v>
      </c>
    </row>
    <row r="226" spans="1:8" hidden="1" x14ac:dyDescent="0.35">
      <c r="A226" s="129" t="s">
        <v>3319</v>
      </c>
      <c r="B226" s="100" t="s">
        <v>7606</v>
      </c>
      <c r="C226" s="100" t="s">
        <v>5765</v>
      </c>
      <c r="D226" s="101" t="s">
        <v>6</v>
      </c>
      <c r="E226" s="1" t="s">
        <v>5774</v>
      </c>
      <c r="F226" s="1"/>
      <c r="G226" s="2"/>
      <c r="H226" s="165" t="s">
        <v>835</v>
      </c>
    </row>
    <row r="227" spans="1:8" hidden="1" x14ac:dyDescent="0.35">
      <c r="A227" s="128" t="s">
        <v>3319</v>
      </c>
      <c r="B227" s="100" t="s">
        <v>7606</v>
      </c>
      <c r="C227" s="103" t="s">
        <v>5765</v>
      </c>
      <c r="D227" s="104" t="s">
        <v>6</v>
      </c>
      <c r="E227" s="118" t="s">
        <v>5780</v>
      </c>
      <c r="F227" s="1"/>
      <c r="G227" s="2"/>
      <c r="H227" s="165" t="s">
        <v>3014</v>
      </c>
    </row>
    <row r="228" spans="1:8" hidden="1" x14ac:dyDescent="0.35">
      <c r="A228" s="129" t="s">
        <v>3319</v>
      </c>
      <c r="B228" s="100" t="s">
        <v>7606</v>
      </c>
      <c r="C228" s="100" t="s">
        <v>5765</v>
      </c>
      <c r="D228" s="101" t="s">
        <v>6</v>
      </c>
      <c r="E228" s="1" t="s">
        <v>5772</v>
      </c>
      <c r="F228" s="1"/>
      <c r="G228" s="2"/>
      <c r="H228" s="165" t="s">
        <v>3018</v>
      </c>
    </row>
    <row r="229" spans="1:8" hidden="1" x14ac:dyDescent="0.35">
      <c r="A229" s="128" t="s">
        <v>3319</v>
      </c>
      <c r="B229" s="100" t="s">
        <v>7606</v>
      </c>
      <c r="C229" s="103" t="s">
        <v>5765</v>
      </c>
      <c r="D229" s="104" t="s">
        <v>6</v>
      </c>
      <c r="E229" s="118" t="s">
        <v>5771</v>
      </c>
      <c r="F229" s="1"/>
      <c r="G229" s="2"/>
      <c r="H229" s="165" t="s">
        <v>149</v>
      </c>
    </row>
    <row r="230" spans="1:8" hidden="1" x14ac:dyDescent="0.35">
      <c r="A230" s="129" t="s">
        <v>3319</v>
      </c>
      <c r="B230" s="100" t="s">
        <v>7606</v>
      </c>
      <c r="C230" s="100" t="s">
        <v>5765</v>
      </c>
      <c r="D230" s="101" t="s">
        <v>6</v>
      </c>
      <c r="E230" s="1" t="s">
        <v>5770</v>
      </c>
      <c r="F230" s="1"/>
      <c r="G230" s="2"/>
      <c r="H230" s="165" t="s">
        <v>1647</v>
      </c>
    </row>
    <row r="231" spans="1:8" hidden="1" x14ac:dyDescent="0.35">
      <c r="A231" s="128" t="s">
        <v>3319</v>
      </c>
      <c r="B231" s="100" t="s">
        <v>7606</v>
      </c>
      <c r="C231" s="103" t="s">
        <v>5765</v>
      </c>
      <c r="D231" s="104" t="s">
        <v>6</v>
      </c>
      <c r="E231" s="118"/>
      <c r="F231" s="1"/>
      <c r="G231" s="2"/>
      <c r="H231" s="165" t="s">
        <v>5</v>
      </c>
    </row>
    <row r="232" spans="1:8" hidden="1" x14ac:dyDescent="0.35">
      <c r="A232" s="128" t="s">
        <v>3319</v>
      </c>
      <c r="B232" s="100" t="s">
        <v>7606</v>
      </c>
      <c r="C232" s="103" t="s">
        <v>5765</v>
      </c>
      <c r="D232" s="104" t="s">
        <v>7622</v>
      </c>
      <c r="E232" s="118" t="s">
        <v>5833</v>
      </c>
      <c r="F232" s="1"/>
      <c r="G232" s="2"/>
      <c r="H232" s="165" t="s">
        <v>2979</v>
      </c>
    </row>
    <row r="233" spans="1:8" hidden="1" x14ac:dyDescent="0.35">
      <c r="A233" s="129" t="s">
        <v>3319</v>
      </c>
      <c r="B233" s="100" t="s">
        <v>7606</v>
      </c>
      <c r="C233" s="100" t="s">
        <v>5765</v>
      </c>
      <c r="D233" s="1" t="s">
        <v>7622</v>
      </c>
      <c r="E233" s="1" t="s">
        <v>5810</v>
      </c>
      <c r="F233" s="2"/>
      <c r="G233" s="2"/>
      <c r="H233" s="165" t="s">
        <v>301</v>
      </c>
    </row>
    <row r="234" spans="1:8" hidden="1" x14ac:dyDescent="0.35">
      <c r="A234" s="129" t="s">
        <v>3319</v>
      </c>
      <c r="B234" s="100" t="s">
        <v>7606</v>
      </c>
      <c r="C234" s="100" t="s">
        <v>5765</v>
      </c>
      <c r="D234" s="101" t="s">
        <v>7622</v>
      </c>
      <c r="E234" s="1" t="s">
        <v>5832</v>
      </c>
      <c r="F234" s="1"/>
      <c r="G234" s="2"/>
      <c r="H234" s="165" t="s">
        <v>2978</v>
      </c>
    </row>
    <row r="235" spans="1:8" hidden="1" x14ac:dyDescent="0.35">
      <c r="A235" s="128" t="s">
        <v>3319</v>
      </c>
      <c r="B235" s="100" t="s">
        <v>7606</v>
      </c>
      <c r="C235" s="103" t="s">
        <v>5765</v>
      </c>
      <c r="D235" s="104" t="s">
        <v>7622</v>
      </c>
      <c r="E235" s="118" t="s">
        <v>7623</v>
      </c>
      <c r="F235" s="1"/>
      <c r="G235" s="2"/>
      <c r="H235" s="165" t="s">
        <v>555</v>
      </c>
    </row>
    <row r="236" spans="1:8" hidden="1" x14ac:dyDescent="0.35">
      <c r="A236" s="128" t="s">
        <v>3319</v>
      </c>
      <c r="B236" s="100" t="s">
        <v>7606</v>
      </c>
      <c r="C236" s="103" t="s">
        <v>5765</v>
      </c>
      <c r="D236" s="104" t="s">
        <v>7622</v>
      </c>
      <c r="E236" s="118" t="s">
        <v>399</v>
      </c>
      <c r="F236" s="1"/>
      <c r="G236" s="2"/>
      <c r="H236" s="165" t="s">
        <v>556</v>
      </c>
    </row>
    <row r="237" spans="1:8" hidden="1" x14ac:dyDescent="0.35">
      <c r="A237" s="129" t="s">
        <v>3319</v>
      </c>
      <c r="B237" s="100" t="s">
        <v>7606</v>
      </c>
      <c r="C237" s="100" t="s">
        <v>5765</v>
      </c>
      <c r="D237" s="101" t="s">
        <v>7622</v>
      </c>
      <c r="E237" s="1" t="s">
        <v>5812</v>
      </c>
      <c r="F237" s="1" t="s">
        <v>7610</v>
      </c>
      <c r="G237" s="2"/>
      <c r="H237" s="165" t="s">
        <v>1451</v>
      </c>
    </row>
    <row r="238" spans="1:8" hidden="1" x14ac:dyDescent="0.35">
      <c r="A238" s="129" t="s">
        <v>3319</v>
      </c>
      <c r="B238" s="100" t="s">
        <v>7606</v>
      </c>
      <c r="C238" s="100" t="s">
        <v>5765</v>
      </c>
      <c r="D238" s="101" t="s">
        <v>7622</v>
      </c>
      <c r="E238" s="1" t="s">
        <v>5812</v>
      </c>
      <c r="F238" s="1" t="s">
        <v>5772</v>
      </c>
      <c r="G238" s="2"/>
      <c r="H238" s="165" t="s">
        <v>2566</v>
      </c>
    </row>
    <row r="239" spans="1:8" hidden="1" x14ac:dyDescent="0.35">
      <c r="A239" s="128" t="s">
        <v>3319</v>
      </c>
      <c r="B239" s="100" t="s">
        <v>7606</v>
      </c>
      <c r="C239" s="103" t="s">
        <v>5765</v>
      </c>
      <c r="D239" s="104" t="s">
        <v>7622</v>
      </c>
      <c r="E239" s="118" t="s">
        <v>5812</v>
      </c>
      <c r="F239" s="1"/>
      <c r="G239" s="2"/>
      <c r="H239" s="165" t="s">
        <v>554</v>
      </c>
    </row>
    <row r="240" spans="1:8" hidden="1" x14ac:dyDescent="0.35">
      <c r="A240" s="132" t="s">
        <v>3332</v>
      </c>
      <c r="B240" s="100" t="s">
        <v>7606</v>
      </c>
      <c r="C240" s="100" t="s">
        <v>5765</v>
      </c>
      <c r="D240" s="101" t="s">
        <v>5939</v>
      </c>
      <c r="E240" s="1" t="s">
        <v>5945</v>
      </c>
      <c r="F240" s="1" t="s">
        <v>7618</v>
      </c>
      <c r="G240" s="2"/>
      <c r="H240" s="165" t="s">
        <v>1958</v>
      </c>
    </row>
    <row r="241" spans="1:8" ht="29" hidden="1" x14ac:dyDescent="0.35">
      <c r="A241" s="133" t="s">
        <v>3332</v>
      </c>
      <c r="B241" s="100" t="s">
        <v>7606</v>
      </c>
      <c r="C241" s="103" t="s">
        <v>5765</v>
      </c>
      <c r="D241" s="104" t="s">
        <v>5939</v>
      </c>
      <c r="E241" s="118" t="s">
        <v>5945</v>
      </c>
      <c r="F241" s="2" t="s">
        <v>5946</v>
      </c>
      <c r="G241" s="2"/>
      <c r="H241" s="165" t="s">
        <v>1957</v>
      </c>
    </row>
    <row r="242" spans="1:8" hidden="1" x14ac:dyDescent="0.35">
      <c r="A242" s="132" t="s">
        <v>3803</v>
      </c>
      <c r="B242" s="100" t="s">
        <v>7606</v>
      </c>
      <c r="C242" s="100" t="s">
        <v>5765</v>
      </c>
      <c r="D242" s="101" t="s">
        <v>5939</v>
      </c>
      <c r="E242" s="1" t="s">
        <v>5967</v>
      </c>
      <c r="F242" s="2" t="s">
        <v>5840</v>
      </c>
      <c r="G242" s="2"/>
      <c r="H242" s="165" t="s">
        <v>1926</v>
      </c>
    </row>
    <row r="243" spans="1:8" hidden="1" x14ac:dyDescent="0.35">
      <c r="A243" s="133" t="s">
        <v>3803</v>
      </c>
      <c r="B243" s="100" t="s">
        <v>7606</v>
      </c>
      <c r="C243" s="100" t="s">
        <v>5765</v>
      </c>
      <c r="D243" s="101" t="s">
        <v>5939</v>
      </c>
      <c r="E243" s="1" t="s">
        <v>5967</v>
      </c>
      <c r="F243" s="1" t="s">
        <v>5840</v>
      </c>
      <c r="G243" s="2"/>
      <c r="H243" s="165" t="s">
        <v>1927</v>
      </c>
    </row>
    <row r="244" spans="1:8" hidden="1" x14ac:dyDescent="0.35">
      <c r="A244" s="133" t="s">
        <v>3803</v>
      </c>
      <c r="B244" s="100" t="s">
        <v>7606</v>
      </c>
      <c r="C244" s="100" t="s">
        <v>5765</v>
      </c>
      <c r="D244" s="101" t="s">
        <v>5939</v>
      </c>
      <c r="E244" s="1" t="s">
        <v>5967</v>
      </c>
      <c r="F244" s="1" t="s">
        <v>5840</v>
      </c>
      <c r="G244" s="2"/>
      <c r="H244" s="165" t="s">
        <v>1928</v>
      </c>
    </row>
    <row r="245" spans="1:8" hidden="1" x14ac:dyDescent="0.35">
      <c r="A245" s="133" t="s">
        <v>3803</v>
      </c>
      <c r="B245" s="100" t="s">
        <v>7606</v>
      </c>
      <c r="C245" s="100" t="s">
        <v>5765</v>
      </c>
      <c r="D245" s="101" t="s">
        <v>5939</v>
      </c>
      <c r="E245" s="1" t="s">
        <v>5967</v>
      </c>
      <c r="F245" s="1" t="s">
        <v>7619</v>
      </c>
      <c r="G245" s="2"/>
      <c r="H245" s="165" t="s">
        <v>2177</v>
      </c>
    </row>
    <row r="246" spans="1:8" hidden="1" x14ac:dyDescent="0.35">
      <c r="A246" s="132" t="s">
        <v>3803</v>
      </c>
      <c r="B246" s="100" t="s">
        <v>7606</v>
      </c>
      <c r="C246" s="100" t="s">
        <v>5765</v>
      </c>
      <c r="D246" s="101" t="s">
        <v>5939</v>
      </c>
      <c r="E246" s="1" t="s">
        <v>5967</v>
      </c>
      <c r="F246" s="1" t="s">
        <v>7619</v>
      </c>
      <c r="G246" s="2"/>
      <c r="H246" s="165" t="s">
        <v>2180</v>
      </c>
    </row>
    <row r="247" spans="1:8" hidden="1" x14ac:dyDescent="0.35">
      <c r="A247" s="132" t="s">
        <v>3803</v>
      </c>
      <c r="B247" s="100" t="s">
        <v>7606</v>
      </c>
      <c r="C247" s="100" t="s">
        <v>5765</v>
      </c>
      <c r="D247" s="101" t="s">
        <v>5939</v>
      </c>
      <c r="E247" s="1" t="s">
        <v>5967</v>
      </c>
      <c r="F247" s="1" t="s">
        <v>5927</v>
      </c>
      <c r="G247" s="2"/>
      <c r="H247" s="165" t="s">
        <v>1561</v>
      </c>
    </row>
    <row r="248" spans="1:8" hidden="1" x14ac:dyDescent="0.35">
      <c r="A248" s="132" t="s">
        <v>3803</v>
      </c>
      <c r="B248" s="100" t="s">
        <v>7606</v>
      </c>
      <c r="C248" s="101" t="s">
        <v>5765</v>
      </c>
      <c r="D248" s="1" t="s">
        <v>5939</v>
      </c>
      <c r="E248" s="1" t="s">
        <v>5967</v>
      </c>
      <c r="F248" s="2" t="s">
        <v>5927</v>
      </c>
      <c r="G248" s="2"/>
      <c r="H248" s="165" t="s">
        <v>2763</v>
      </c>
    </row>
    <row r="249" spans="1:8" hidden="1" x14ac:dyDescent="0.35">
      <c r="A249" s="128" t="s">
        <v>3319</v>
      </c>
      <c r="B249" s="100" t="s">
        <v>7606</v>
      </c>
      <c r="C249" s="104" t="s">
        <v>5765</v>
      </c>
      <c r="D249" s="118" t="s">
        <v>6854</v>
      </c>
      <c r="E249" s="118" t="s">
        <v>5779</v>
      </c>
      <c r="F249" s="2"/>
      <c r="G249" s="2"/>
      <c r="H249" s="165" t="s">
        <v>2295</v>
      </c>
    </row>
    <row r="250" spans="1:8" hidden="1" x14ac:dyDescent="0.35">
      <c r="A250" s="129" t="s">
        <v>3319</v>
      </c>
      <c r="B250" s="100" t="s">
        <v>7606</v>
      </c>
      <c r="C250" s="101" t="s">
        <v>5765</v>
      </c>
      <c r="D250" s="1" t="s">
        <v>6854</v>
      </c>
      <c r="E250" s="1" t="s">
        <v>5779</v>
      </c>
      <c r="F250" s="2"/>
      <c r="G250" s="2"/>
      <c r="H250" s="165" t="s">
        <v>297</v>
      </c>
    </row>
    <row r="251" spans="1:8" hidden="1" x14ac:dyDescent="0.35">
      <c r="A251" s="128" t="s">
        <v>3319</v>
      </c>
      <c r="B251" s="100" t="s">
        <v>7606</v>
      </c>
      <c r="C251" s="104" t="s">
        <v>5765</v>
      </c>
      <c r="D251" s="118" t="s">
        <v>6854</v>
      </c>
      <c r="E251" s="118" t="s">
        <v>5780</v>
      </c>
      <c r="F251" s="2"/>
      <c r="G251" s="2"/>
      <c r="H251" s="165" t="s">
        <v>299</v>
      </c>
    </row>
    <row r="252" spans="1:8" hidden="1" x14ac:dyDescent="0.35">
      <c r="A252" s="129" t="s">
        <v>3319</v>
      </c>
      <c r="B252" s="100" t="s">
        <v>7606</v>
      </c>
      <c r="C252" s="101" t="s">
        <v>5765</v>
      </c>
      <c r="D252" s="1" t="s">
        <v>6854</v>
      </c>
      <c r="E252" s="2" t="s">
        <v>5772</v>
      </c>
      <c r="F252" s="1"/>
      <c r="G252" s="2"/>
      <c r="H252" s="165" t="s">
        <v>3017</v>
      </c>
    </row>
    <row r="253" spans="1:8" hidden="1" x14ac:dyDescent="0.35">
      <c r="A253" s="129" t="s">
        <v>3319</v>
      </c>
      <c r="B253" s="100" t="s">
        <v>7606</v>
      </c>
      <c r="C253" s="101" t="s">
        <v>5765</v>
      </c>
      <c r="D253" s="1" t="s">
        <v>6854</v>
      </c>
      <c r="E253" s="2" t="s">
        <v>5778</v>
      </c>
      <c r="F253" s="1"/>
      <c r="G253" s="2"/>
      <c r="H253" s="165" t="s">
        <v>538</v>
      </c>
    </row>
    <row r="254" spans="1:8" hidden="1" x14ac:dyDescent="0.35">
      <c r="A254" s="132" t="s">
        <v>3309</v>
      </c>
      <c r="B254" s="100" t="s">
        <v>7606</v>
      </c>
      <c r="C254" s="101" t="s">
        <v>5765</v>
      </c>
      <c r="D254" s="1" t="s">
        <v>5795</v>
      </c>
      <c r="E254" s="2" t="s">
        <v>6750</v>
      </c>
      <c r="F254" s="1"/>
      <c r="G254" s="2"/>
      <c r="H254" s="165" t="s">
        <v>1774</v>
      </c>
    </row>
    <row r="255" spans="1:8" hidden="1" x14ac:dyDescent="0.35">
      <c r="A255" s="129" t="s">
        <v>3319</v>
      </c>
      <c r="B255" s="100" t="s">
        <v>7606</v>
      </c>
      <c r="C255" s="101" t="s">
        <v>5765</v>
      </c>
      <c r="D255" s="1" t="s">
        <v>5795</v>
      </c>
      <c r="E255" s="2" t="s">
        <v>5839</v>
      </c>
      <c r="F255" s="1"/>
      <c r="G255" s="2"/>
      <c r="H255" s="165" t="s">
        <v>3136</v>
      </c>
    </row>
    <row r="256" spans="1:8" hidden="1" x14ac:dyDescent="0.35">
      <c r="A256" s="133" t="s">
        <v>3309</v>
      </c>
      <c r="B256" s="100" t="s">
        <v>7606</v>
      </c>
      <c r="C256" s="101" t="s">
        <v>5765</v>
      </c>
      <c r="D256" s="1" t="s">
        <v>5795</v>
      </c>
      <c r="E256" s="1" t="s">
        <v>6751</v>
      </c>
      <c r="F256" s="2"/>
      <c r="G256" s="2"/>
      <c r="H256" s="165" t="s">
        <v>1775</v>
      </c>
    </row>
    <row r="257" spans="1:8" hidden="1" x14ac:dyDescent="0.35">
      <c r="A257" s="128" t="s">
        <v>3319</v>
      </c>
      <c r="B257" s="100" t="s">
        <v>7606</v>
      </c>
      <c r="C257" s="104" t="s">
        <v>5765</v>
      </c>
      <c r="D257" s="118" t="s">
        <v>5795</v>
      </c>
      <c r="E257" s="118" t="s">
        <v>5820</v>
      </c>
      <c r="F257" s="2" t="s">
        <v>7613</v>
      </c>
      <c r="G257" s="2"/>
      <c r="H257" s="165" t="s">
        <v>6856</v>
      </c>
    </row>
    <row r="258" spans="1:8" hidden="1" x14ac:dyDescent="0.35">
      <c r="A258" s="129" t="s">
        <v>3319</v>
      </c>
      <c r="B258" s="100" t="s">
        <v>7606</v>
      </c>
      <c r="C258" s="101" t="s">
        <v>5765</v>
      </c>
      <c r="D258" s="1" t="s">
        <v>5795</v>
      </c>
      <c r="E258" s="1" t="s">
        <v>5820</v>
      </c>
      <c r="F258" s="2" t="s">
        <v>7614</v>
      </c>
      <c r="G258" s="2"/>
      <c r="H258" s="165" t="s">
        <v>6857</v>
      </c>
    </row>
    <row r="259" spans="1:8" hidden="1" x14ac:dyDescent="0.35">
      <c r="A259" s="129" t="s">
        <v>3319</v>
      </c>
      <c r="B259" s="100" t="s">
        <v>7606</v>
      </c>
      <c r="C259" s="100" t="s">
        <v>5765</v>
      </c>
      <c r="D259" s="101" t="s">
        <v>5795</v>
      </c>
      <c r="E259" s="1" t="s">
        <v>5820</v>
      </c>
      <c r="F259" s="1" t="s">
        <v>7612</v>
      </c>
      <c r="G259" s="2"/>
      <c r="H259" s="165" t="s">
        <v>6855</v>
      </c>
    </row>
    <row r="260" spans="1:8" hidden="1" x14ac:dyDescent="0.35">
      <c r="A260" s="128" t="s">
        <v>3319</v>
      </c>
      <c r="B260" s="100" t="s">
        <v>7606</v>
      </c>
      <c r="C260" s="103" t="s">
        <v>5765</v>
      </c>
      <c r="D260" s="104" t="s">
        <v>5795</v>
      </c>
      <c r="E260" s="118" t="s">
        <v>5820</v>
      </c>
      <c r="F260" s="1" t="s">
        <v>7615</v>
      </c>
      <c r="G260" s="2"/>
      <c r="H260" s="165" t="s">
        <v>537</v>
      </c>
    </row>
    <row r="261" spans="1:8" hidden="1" x14ac:dyDescent="0.35">
      <c r="A261" s="128" t="s">
        <v>3319</v>
      </c>
      <c r="B261" s="100" t="s">
        <v>7606</v>
      </c>
      <c r="C261" s="103" t="s">
        <v>5765</v>
      </c>
      <c r="D261" s="104" t="s">
        <v>5795</v>
      </c>
      <c r="E261" s="118" t="s">
        <v>5818</v>
      </c>
      <c r="F261" s="1" t="s">
        <v>7611</v>
      </c>
      <c r="G261" s="2"/>
      <c r="H261" s="165" t="s">
        <v>535</v>
      </c>
    </row>
    <row r="262" spans="1:8" hidden="1" x14ac:dyDescent="0.35">
      <c r="A262" s="129" t="s">
        <v>3319</v>
      </c>
      <c r="B262" s="100" t="s">
        <v>7606</v>
      </c>
      <c r="C262" s="100" t="s">
        <v>5765</v>
      </c>
      <c r="D262" s="101" t="s">
        <v>5795</v>
      </c>
      <c r="E262" s="1" t="s">
        <v>5818</v>
      </c>
      <c r="F262" s="1" t="s">
        <v>7610</v>
      </c>
      <c r="G262" s="2"/>
      <c r="H262" s="165" t="s">
        <v>534</v>
      </c>
    </row>
    <row r="263" spans="1:8" hidden="1" x14ac:dyDescent="0.35">
      <c r="A263" s="128" t="s">
        <v>3319</v>
      </c>
      <c r="B263" s="100" t="s">
        <v>7606</v>
      </c>
      <c r="C263" s="103" t="s">
        <v>5765</v>
      </c>
      <c r="D263" s="104" t="s">
        <v>5795</v>
      </c>
      <c r="E263" s="118" t="s">
        <v>7608</v>
      </c>
      <c r="F263" s="1"/>
      <c r="G263" s="2"/>
      <c r="H263" s="165" t="s">
        <v>3016</v>
      </c>
    </row>
    <row r="264" spans="1:8" hidden="1" x14ac:dyDescent="0.35">
      <c r="A264" s="128" t="s">
        <v>3319</v>
      </c>
      <c r="B264" s="100" t="s">
        <v>7606</v>
      </c>
      <c r="C264" s="103" t="s">
        <v>5765</v>
      </c>
      <c r="D264" s="104" t="s">
        <v>5795</v>
      </c>
      <c r="E264" s="118" t="s">
        <v>5831</v>
      </c>
      <c r="F264" s="81" t="s">
        <v>7622</v>
      </c>
      <c r="G264" s="2"/>
      <c r="H264" s="165" t="s">
        <v>2977</v>
      </c>
    </row>
    <row r="265" spans="1:8" hidden="1" x14ac:dyDescent="0.35">
      <c r="A265" s="170" t="s">
        <v>3319</v>
      </c>
      <c r="B265" s="171" t="s">
        <v>7606</v>
      </c>
      <c r="C265" s="171" t="s">
        <v>5765</v>
      </c>
      <c r="D265" s="172" t="s">
        <v>5795</v>
      </c>
      <c r="E265" s="81" t="s">
        <v>5831</v>
      </c>
      <c r="F265" s="81" t="s">
        <v>5810</v>
      </c>
      <c r="G265" s="2"/>
      <c r="H265" s="174" t="s">
        <v>2976</v>
      </c>
    </row>
    <row r="266" spans="1:8" hidden="1" x14ac:dyDescent="0.35">
      <c r="A266" s="128" t="s">
        <v>3319</v>
      </c>
      <c r="B266" s="100" t="s">
        <v>7606</v>
      </c>
      <c r="C266" s="103" t="s">
        <v>5765</v>
      </c>
      <c r="D266" s="104" t="s">
        <v>5795</v>
      </c>
      <c r="E266" s="118" t="s">
        <v>5831</v>
      </c>
      <c r="F266" s="1"/>
      <c r="G266" s="2"/>
      <c r="H266" s="165" t="s">
        <v>2974</v>
      </c>
    </row>
    <row r="267" spans="1:8" hidden="1" x14ac:dyDescent="0.35">
      <c r="A267" s="129" t="s">
        <v>3319</v>
      </c>
      <c r="B267" s="100" t="s">
        <v>7606</v>
      </c>
      <c r="C267" s="100" t="s">
        <v>5765</v>
      </c>
      <c r="D267" s="101" t="s">
        <v>5795</v>
      </c>
      <c r="E267" s="1" t="s">
        <v>5767</v>
      </c>
      <c r="F267" s="1"/>
      <c r="G267" s="2"/>
      <c r="H267" s="165" t="s">
        <v>3015</v>
      </c>
    </row>
    <row r="268" spans="1:8" hidden="1" x14ac:dyDescent="0.35">
      <c r="A268" s="128" t="s">
        <v>3319</v>
      </c>
      <c r="B268" s="100" t="s">
        <v>7606</v>
      </c>
      <c r="C268" s="103" t="s">
        <v>5765</v>
      </c>
      <c r="D268" s="104" t="s">
        <v>5795</v>
      </c>
      <c r="E268" s="118" t="s">
        <v>7609</v>
      </c>
      <c r="F268" s="1"/>
      <c r="G268" s="2"/>
      <c r="H268" s="165" t="s">
        <v>292</v>
      </c>
    </row>
    <row r="269" spans="1:8" hidden="1" x14ac:dyDescent="0.35">
      <c r="A269" s="129" t="s">
        <v>3319</v>
      </c>
      <c r="B269" s="100" t="s">
        <v>7606</v>
      </c>
      <c r="C269" s="100" t="s">
        <v>5765</v>
      </c>
      <c r="D269" s="101" t="s">
        <v>5795</v>
      </c>
      <c r="E269" s="1" t="s">
        <v>7607</v>
      </c>
      <c r="F269" s="1"/>
      <c r="G269" s="2"/>
      <c r="H269" s="165" t="s">
        <v>155</v>
      </c>
    </row>
    <row r="270" spans="1:8" hidden="1" x14ac:dyDescent="0.35">
      <c r="A270" s="132" t="s">
        <v>3309</v>
      </c>
      <c r="B270" s="100" t="s">
        <v>7606</v>
      </c>
      <c r="C270" s="100" t="s">
        <v>5765</v>
      </c>
      <c r="D270" s="101" t="s">
        <v>5795</v>
      </c>
      <c r="E270" s="1" t="s">
        <v>6465</v>
      </c>
      <c r="F270" s="1"/>
      <c r="G270" s="2"/>
      <c r="H270" s="165" t="s">
        <v>2509</v>
      </c>
    </row>
    <row r="271" spans="1:8" hidden="1" x14ac:dyDescent="0.35">
      <c r="A271" s="128" t="s">
        <v>3319</v>
      </c>
      <c r="B271" s="100" t="s">
        <v>7606</v>
      </c>
      <c r="C271" s="103" t="s">
        <v>5765</v>
      </c>
      <c r="D271" s="104" t="s">
        <v>5795</v>
      </c>
      <c r="E271" s="118" t="s">
        <v>5801</v>
      </c>
      <c r="F271" s="1"/>
      <c r="G271" s="2"/>
      <c r="H271" s="165" t="s">
        <v>153</v>
      </c>
    </row>
    <row r="272" spans="1:8" hidden="1" x14ac:dyDescent="0.35">
      <c r="A272" s="133" t="s">
        <v>3309</v>
      </c>
      <c r="B272" s="100" t="s">
        <v>7606</v>
      </c>
      <c r="C272" s="100" t="s">
        <v>5765</v>
      </c>
      <c r="D272" s="101" t="s">
        <v>5795</v>
      </c>
      <c r="E272" s="1" t="s">
        <v>6299</v>
      </c>
      <c r="F272" s="1"/>
      <c r="G272" s="2"/>
      <c r="H272" s="165" t="s">
        <v>3135</v>
      </c>
    </row>
    <row r="273" spans="1:8" hidden="1" x14ac:dyDescent="0.35">
      <c r="A273" s="132" t="s">
        <v>3309</v>
      </c>
      <c r="B273" s="100" t="s">
        <v>7606</v>
      </c>
      <c r="C273" s="100" t="s">
        <v>5765</v>
      </c>
      <c r="D273" s="101" t="s">
        <v>5795</v>
      </c>
      <c r="E273" s="101" t="s">
        <v>6752</v>
      </c>
      <c r="F273" s="1"/>
      <c r="G273" s="2"/>
      <c r="H273" s="165" t="s">
        <v>1776</v>
      </c>
    </row>
    <row r="274" spans="1:8" hidden="1" x14ac:dyDescent="0.35">
      <c r="A274" s="128" t="s">
        <v>3319</v>
      </c>
      <c r="B274" s="100" t="s">
        <v>7606</v>
      </c>
      <c r="C274" s="103" t="s">
        <v>5765</v>
      </c>
      <c r="D274" s="104" t="s">
        <v>5795</v>
      </c>
      <c r="E274" s="118" t="s">
        <v>5838</v>
      </c>
      <c r="F274" s="1"/>
      <c r="G274" s="2"/>
      <c r="H274" s="165" t="s">
        <v>3134</v>
      </c>
    </row>
    <row r="275" spans="1:8" hidden="1" x14ac:dyDescent="0.35">
      <c r="A275" s="133" t="s">
        <v>3332</v>
      </c>
      <c r="B275" s="100" t="s">
        <v>7606</v>
      </c>
      <c r="C275" s="103" t="s">
        <v>5765</v>
      </c>
      <c r="D275" s="104" t="s">
        <v>5825</v>
      </c>
      <c r="E275" s="118" t="s">
        <v>5939</v>
      </c>
      <c r="F275" s="118" t="s">
        <v>5940</v>
      </c>
      <c r="G275" s="2"/>
      <c r="H275" s="165" t="s">
        <v>1959</v>
      </c>
    </row>
    <row r="276" spans="1:8" hidden="1" x14ac:dyDescent="0.35">
      <c r="A276" s="132" t="s">
        <v>3332</v>
      </c>
      <c r="B276" s="100" t="s">
        <v>7606</v>
      </c>
      <c r="C276" s="100" t="s">
        <v>5765</v>
      </c>
      <c r="D276" s="101" t="s">
        <v>5825</v>
      </c>
      <c r="E276" s="1" t="s">
        <v>5939</v>
      </c>
      <c r="F276" s="1" t="s">
        <v>5941</v>
      </c>
      <c r="G276" s="2"/>
      <c r="H276" s="165" t="s">
        <v>1960</v>
      </c>
    </row>
    <row r="277" spans="1:8" hidden="1" x14ac:dyDescent="0.35">
      <c r="A277" s="132" t="s">
        <v>3332</v>
      </c>
      <c r="B277" s="100" t="s">
        <v>7606</v>
      </c>
      <c r="C277" s="100" t="s">
        <v>5765</v>
      </c>
      <c r="D277" s="101" t="s">
        <v>5825</v>
      </c>
      <c r="E277" s="1" t="s">
        <v>5939</v>
      </c>
      <c r="F277" s="1" t="s">
        <v>5826</v>
      </c>
      <c r="G277" s="2"/>
      <c r="H277" s="165" t="s">
        <v>1948</v>
      </c>
    </row>
    <row r="278" spans="1:8" hidden="1" x14ac:dyDescent="0.35">
      <c r="A278" s="133" t="s">
        <v>3332</v>
      </c>
      <c r="B278" s="152" t="s">
        <v>7606</v>
      </c>
      <c r="C278" s="152" t="s">
        <v>5765</v>
      </c>
      <c r="D278" s="187" t="s">
        <v>5825</v>
      </c>
      <c r="E278" s="81" t="s">
        <v>5938</v>
      </c>
      <c r="F278" s="81"/>
      <c r="G278" s="173"/>
      <c r="H278" s="5" t="s">
        <v>1947</v>
      </c>
    </row>
    <row r="279" spans="1:8" hidden="1" x14ac:dyDescent="0.35">
      <c r="A279" s="129" t="s">
        <v>3319</v>
      </c>
      <c r="B279" s="100" t="s">
        <v>7606</v>
      </c>
      <c r="C279" s="100" t="s">
        <v>5765</v>
      </c>
      <c r="D279" s="101" t="s">
        <v>5825</v>
      </c>
      <c r="E279" s="1" t="s">
        <v>5830</v>
      </c>
      <c r="F279" s="1"/>
      <c r="G279" s="2"/>
      <c r="H279" s="165" t="s">
        <v>1944</v>
      </c>
    </row>
    <row r="280" spans="1:8" hidden="1" x14ac:dyDescent="0.35">
      <c r="A280" s="132" t="s">
        <v>3332</v>
      </c>
      <c r="B280" s="16" t="s">
        <v>7606</v>
      </c>
      <c r="C280" s="16" t="s">
        <v>5765</v>
      </c>
      <c r="D280" s="101" t="s">
        <v>5825</v>
      </c>
      <c r="E280" s="1" t="s">
        <v>5827</v>
      </c>
      <c r="F280" s="1" t="s">
        <v>5959</v>
      </c>
      <c r="G280" s="2"/>
      <c r="H280" s="165" t="s">
        <v>2784</v>
      </c>
    </row>
    <row r="281" spans="1:8" hidden="1" x14ac:dyDescent="0.35">
      <c r="A281" s="129" t="s">
        <v>3319</v>
      </c>
      <c r="B281" s="1" t="s">
        <v>7606</v>
      </c>
      <c r="C281" s="100" t="s">
        <v>5765</v>
      </c>
      <c r="D281" s="1" t="s">
        <v>5781</v>
      </c>
      <c r="E281" s="1" t="s">
        <v>5783</v>
      </c>
      <c r="F281" s="2" t="s">
        <v>5785</v>
      </c>
      <c r="G281" s="2"/>
      <c r="H281" s="165" t="s">
        <v>1095</v>
      </c>
    </row>
    <row r="282" spans="1:8" hidden="1" x14ac:dyDescent="0.35">
      <c r="A282" s="128" t="s">
        <v>3319</v>
      </c>
      <c r="B282" s="100" t="s">
        <v>7606</v>
      </c>
      <c r="C282" s="103" t="s">
        <v>5765</v>
      </c>
      <c r="D282" s="118" t="s">
        <v>5781</v>
      </c>
      <c r="E282" s="118" t="s">
        <v>5783</v>
      </c>
      <c r="F282" s="1" t="s">
        <v>5784</v>
      </c>
      <c r="G282" s="2"/>
      <c r="H282" s="165" t="s">
        <v>1093</v>
      </c>
    </row>
    <row r="283" spans="1:8" hidden="1" x14ac:dyDescent="0.35">
      <c r="A283" s="159" t="s">
        <v>3319</v>
      </c>
      <c r="B283" s="100" t="s">
        <v>7606</v>
      </c>
      <c r="C283" s="100" t="s">
        <v>5765</v>
      </c>
      <c r="D283" s="1" t="s">
        <v>5781</v>
      </c>
      <c r="E283" s="1" t="s">
        <v>5783</v>
      </c>
      <c r="F283" s="1"/>
      <c r="G283" s="2"/>
      <c r="H283" s="165" t="s">
        <v>1259</v>
      </c>
    </row>
    <row r="284" spans="1:8" hidden="1" x14ac:dyDescent="0.35">
      <c r="A284" s="158" t="s">
        <v>3319</v>
      </c>
      <c r="B284" s="1" t="s">
        <v>7606</v>
      </c>
      <c r="C284" s="103" t="s">
        <v>5765</v>
      </c>
      <c r="D284" s="118" t="s">
        <v>5781</v>
      </c>
      <c r="E284" s="118" t="s">
        <v>5782</v>
      </c>
      <c r="F284" s="1"/>
      <c r="G284" s="2"/>
      <c r="H284" s="165" t="s">
        <v>147</v>
      </c>
    </row>
    <row r="285" spans="1:8" hidden="1" x14ac:dyDescent="0.35">
      <c r="A285" s="158" t="s">
        <v>3319</v>
      </c>
      <c r="B285" s="1" t="s">
        <v>7606</v>
      </c>
      <c r="C285" s="103" t="s">
        <v>5765</v>
      </c>
      <c r="D285" s="118" t="s">
        <v>5784</v>
      </c>
      <c r="E285" s="1" t="s">
        <v>5840</v>
      </c>
      <c r="F285" s="1"/>
      <c r="G285" s="2"/>
      <c r="H285" s="165" t="s">
        <v>3137</v>
      </c>
    </row>
    <row r="286" spans="1:8" ht="29" hidden="1" x14ac:dyDescent="0.35">
      <c r="A286" s="135" t="s">
        <v>3803</v>
      </c>
      <c r="B286" s="1" t="s">
        <v>7606</v>
      </c>
      <c r="C286" s="1" t="s">
        <v>6202</v>
      </c>
      <c r="D286" s="1" t="s">
        <v>7673</v>
      </c>
      <c r="E286" s="1"/>
      <c r="F286" s="1"/>
      <c r="G286" s="2"/>
      <c r="H286" s="165" t="s">
        <v>2574</v>
      </c>
    </row>
    <row r="287" spans="1:8" hidden="1" x14ac:dyDescent="0.35">
      <c r="A287" s="158" t="s">
        <v>3319</v>
      </c>
      <c r="B287" s="1" t="s">
        <v>7606</v>
      </c>
      <c r="C287" s="118" t="s">
        <v>6202</v>
      </c>
      <c r="D287" s="118" t="s">
        <v>5787</v>
      </c>
      <c r="E287" s="118" t="s">
        <v>5781</v>
      </c>
      <c r="F287" s="1" t="s">
        <v>5783</v>
      </c>
      <c r="G287" s="2"/>
      <c r="H287" s="5" t="s">
        <v>1097</v>
      </c>
    </row>
    <row r="288" spans="1:8" ht="29" hidden="1" x14ac:dyDescent="0.35">
      <c r="A288" s="135" t="s">
        <v>3332</v>
      </c>
      <c r="B288" s="1" t="s">
        <v>7606</v>
      </c>
      <c r="C288" s="1" t="s">
        <v>6202</v>
      </c>
      <c r="D288" s="1" t="s">
        <v>5945</v>
      </c>
      <c r="E288" s="1" t="s">
        <v>5946</v>
      </c>
      <c r="F288" s="1"/>
      <c r="G288" s="2"/>
      <c r="H288" s="165" t="s">
        <v>1956</v>
      </c>
    </row>
    <row r="289" spans="1:8" hidden="1" x14ac:dyDescent="0.35">
      <c r="A289" s="159" t="s">
        <v>3319</v>
      </c>
      <c r="B289" s="1" t="s">
        <v>7606</v>
      </c>
      <c r="C289" s="1" t="s">
        <v>5766</v>
      </c>
      <c r="D289" s="1" t="s">
        <v>5793</v>
      </c>
      <c r="E289" s="1"/>
      <c r="F289" s="1"/>
      <c r="G289" s="2"/>
      <c r="H289" s="165" t="s">
        <v>303</v>
      </c>
    </row>
    <row r="290" spans="1:8" hidden="1" x14ac:dyDescent="0.35">
      <c r="A290" s="136" t="s">
        <v>2565</v>
      </c>
      <c r="B290" s="1" t="s">
        <v>7606</v>
      </c>
      <c r="C290" s="1" t="s">
        <v>5766</v>
      </c>
      <c r="D290" s="1" t="s">
        <v>6811</v>
      </c>
      <c r="E290" s="1"/>
      <c r="F290" s="1"/>
      <c r="G290" s="2"/>
      <c r="H290" s="5" t="s">
        <v>528</v>
      </c>
    </row>
    <row r="291" spans="1:8" hidden="1" x14ac:dyDescent="0.35">
      <c r="A291" s="159" t="s">
        <v>3319</v>
      </c>
      <c r="B291" s="1" t="s">
        <v>7606</v>
      </c>
      <c r="C291" s="1" t="s">
        <v>5766</v>
      </c>
      <c r="D291" s="1" t="s">
        <v>4</v>
      </c>
      <c r="E291" s="1"/>
      <c r="F291" s="1"/>
      <c r="G291" s="2"/>
      <c r="H291" s="165" t="s">
        <v>2565</v>
      </c>
    </row>
    <row r="292" spans="1:8" hidden="1" x14ac:dyDescent="0.35">
      <c r="A292" s="158" t="s">
        <v>3319</v>
      </c>
      <c r="B292" s="1" t="s">
        <v>7606</v>
      </c>
      <c r="C292" s="118" t="s">
        <v>5766</v>
      </c>
      <c r="D292" s="118" t="s">
        <v>5768</v>
      </c>
      <c r="E292" s="1"/>
      <c r="F292" s="1"/>
      <c r="G292" s="2"/>
      <c r="H292" s="165" t="s">
        <v>1450</v>
      </c>
    </row>
    <row r="293" spans="1:8" hidden="1" x14ac:dyDescent="0.35">
      <c r="A293" s="159" t="s">
        <v>3319</v>
      </c>
      <c r="B293" s="1" t="s">
        <v>7606</v>
      </c>
      <c r="C293" s="1" t="s">
        <v>5766</v>
      </c>
      <c r="D293" s="1" t="s">
        <v>5768</v>
      </c>
      <c r="E293" s="1"/>
      <c r="F293" s="1"/>
      <c r="G293" s="2"/>
      <c r="H293" s="165" t="s">
        <v>1672</v>
      </c>
    </row>
    <row r="294" spans="1:8" ht="29" hidden="1" x14ac:dyDescent="0.35">
      <c r="A294" s="136" t="s">
        <v>3383</v>
      </c>
      <c r="B294" s="1" t="s">
        <v>7606</v>
      </c>
      <c r="C294" s="1" t="s">
        <v>5766</v>
      </c>
      <c r="D294" s="1" t="s">
        <v>6013</v>
      </c>
      <c r="E294" s="1" t="s">
        <v>6020</v>
      </c>
      <c r="F294" s="1"/>
      <c r="G294" s="2"/>
      <c r="H294" s="5" t="s">
        <v>773</v>
      </c>
    </row>
    <row r="295" spans="1:8" hidden="1" x14ac:dyDescent="0.35">
      <c r="A295" s="136" t="s">
        <v>3383</v>
      </c>
      <c r="B295" s="1" t="s">
        <v>7606</v>
      </c>
      <c r="C295" s="1" t="s">
        <v>5766</v>
      </c>
      <c r="D295" s="1" t="s">
        <v>6013</v>
      </c>
      <c r="E295" s="1" t="s">
        <v>5896</v>
      </c>
      <c r="F295" s="1"/>
      <c r="G295" s="2"/>
      <c r="H295" s="5" t="s">
        <v>2218</v>
      </c>
    </row>
    <row r="296" spans="1:8" ht="29" hidden="1" x14ac:dyDescent="0.35">
      <c r="A296" s="135" t="s">
        <v>3383</v>
      </c>
      <c r="B296" s="100" t="s">
        <v>7606</v>
      </c>
      <c r="C296" s="1" t="s">
        <v>5766</v>
      </c>
      <c r="D296" s="1" t="s">
        <v>6013</v>
      </c>
      <c r="E296" s="1" t="s">
        <v>5898</v>
      </c>
      <c r="F296" s="1"/>
      <c r="G296" s="2"/>
      <c r="H296" s="5" t="s">
        <v>126</v>
      </c>
    </row>
    <row r="297" spans="1:8" ht="29" hidden="1" x14ac:dyDescent="0.35">
      <c r="A297" s="136" t="s">
        <v>3383</v>
      </c>
      <c r="B297" s="100" t="s">
        <v>7606</v>
      </c>
      <c r="C297" s="1" t="s">
        <v>5766</v>
      </c>
      <c r="D297" s="1" t="s">
        <v>6013</v>
      </c>
      <c r="E297" s="1" t="s">
        <v>6008</v>
      </c>
      <c r="F297" s="1"/>
      <c r="G297" s="2"/>
      <c r="H297" s="5" t="s">
        <v>6921</v>
      </c>
    </row>
    <row r="298" spans="1:8" ht="29" hidden="1" x14ac:dyDescent="0.35">
      <c r="A298" s="136" t="s">
        <v>3383</v>
      </c>
      <c r="B298" s="100" t="s">
        <v>7606</v>
      </c>
      <c r="C298" s="1" t="s">
        <v>5766</v>
      </c>
      <c r="D298" s="1" t="s">
        <v>6013</v>
      </c>
      <c r="E298" s="1" t="s">
        <v>7628</v>
      </c>
      <c r="F298" s="1"/>
      <c r="G298" s="2"/>
      <c r="H298" s="5" t="s">
        <v>1327</v>
      </c>
    </row>
    <row r="299" spans="1:8" ht="29" hidden="1" x14ac:dyDescent="0.35">
      <c r="A299" s="135" t="s">
        <v>3383</v>
      </c>
      <c r="B299" s="100" t="s">
        <v>7606</v>
      </c>
      <c r="C299" s="1" t="s">
        <v>5766</v>
      </c>
      <c r="D299" s="1" t="s">
        <v>6013</v>
      </c>
      <c r="E299" s="1" t="s">
        <v>7628</v>
      </c>
      <c r="F299" s="1"/>
      <c r="G299" s="2"/>
      <c r="H299" s="5" t="s">
        <v>1326</v>
      </c>
    </row>
    <row r="300" spans="1:8" ht="29" hidden="1" x14ac:dyDescent="0.35">
      <c r="A300" s="135" t="s">
        <v>3383</v>
      </c>
      <c r="B300" s="100" t="s">
        <v>7606</v>
      </c>
      <c r="C300" s="1" t="s">
        <v>5766</v>
      </c>
      <c r="D300" s="1" t="s">
        <v>6013</v>
      </c>
      <c r="E300" s="1" t="s">
        <v>6021</v>
      </c>
      <c r="F300" s="1"/>
      <c r="G300" s="2"/>
      <c r="H300" s="5" t="s">
        <v>6922</v>
      </c>
    </row>
    <row r="301" spans="1:8" hidden="1" x14ac:dyDescent="0.35">
      <c r="A301" s="136" t="s">
        <v>3383</v>
      </c>
      <c r="B301" s="100" t="s">
        <v>7606</v>
      </c>
      <c r="C301" s="1" t="s">
        <v>5766</v>
      </c>
      <c r="D301" s="1" t="s">
        <v>6013</v>
      </c>
      <c r="E301" s="1" t="s">
        <v>5857</v>
      </c>
      <c r="F301" s="1"/>
      <c r="G301" s="2"/>
      <c r="H301" s="5" t="s">
        <v>223</v>
      </c>
    </row>
    <row r="302" spans="1:8" ht="29" hidden="1" x14ac:dyDescent="0.35">
      <c r="A302" s="135" t="s">
        <v>3383</v>
      </c>
      <c r="B302" s="100" t="s">
        <v>7606</v>
      </c>
      <c r="C302" s="1" t="s">
        <v>5766</v>
      </c>
      <c r="D302" s="1" t="s">
        <v>6013</v>
      </c>
      <c r="E302" s="1" t="s">
        <v>5994</v>
      </c>
      <c r="F302" s="1"/>
      <c r="G302" s="2"/>
      <c r="H302" s="5" t="s">
        <v>6920</v>
      </c>
    </row>
    <row r="303" spans="1:8" hidden="1" x14ac:dyDescent="0.35">
      <c r="A303" s="136" t="s">
        <v>4048</v>
      </c>
      <c r="B303" s="100" t="s">
        <v>7606</v>
      </c>
      <c r="C303" s="1" t="s">
        <v>5766</v>
      </c>
      <c r="D303" s="1" t="s">
        <v>7620</v>
      </c>
      <c r="E303" s="1" t="s">
        <v>6063</v>
      </c>
      <c r="F303" s="1" t="s">
        <v>5789</v>
      </c>
      <c r="G303" s="2"/>
      <c r="H303" s="5" t="s">
        <v>812</v>
      </c>
    </row>
    <row r="304" spans="1:8" hidden="1" x14ac:dyDescent="0.35">
      <c r="A304" s="135" t="s">
        <v>4048</v>
      </c>
      <c r="B304" s="100" t="s">
        <v>7606</v>
      </c>
      <c r="C304" s="1" t="s">
        <v>5766</v>
      </c>
      <c r="D304" s="118" t="s">
        <v>7620</v>
      </c>
      <c r="E304" s="1" t="s">
        <v>6063</v>
      </c>
      <c r="F304" s="1" t="s">
        <v>5790</v>
      </c>
      <c r="G304" s="2"/>
      <c r="H304" s="5" t="s">
        <v>806</v>
      </c>
    </row>
    <row r="305" spans="1:8" hidden="1" x14ac:dyDescent="0.35">
      <c r="A305" s="136" t="s">
        <v>4048</v>
      </c>
      <c r="B305" s="100" t="s">
        <v>7606</v>
      </c>
      <c r="C305" s="1" t="s">
        <v>5766</v>
      </c>
      <c r="D305" s="1" t="s">
        <v>7620</v>
      </c>
      <c r="E305" s="1" t="s">
        <v>6063</v>
      </c>
      <c r="F305" s="16" t="s">
        <v>5791</v>
      </c>
      <c r="G305" s="2"/>
      <c r="H305" s="5" t="s">
        <v>807</v>
      </c>
    </row>
    <row r="306" spans="1:8" hidden="1" x14ac:dyDescent="0.35">
      <c r="A306" s="135" t="s">
        <v>4048</v>
      </c>
      <c r="B306" s="100" t="s">
        <v>7606</v>
      </c>
      <c r="C306" s="1" t="s">
        <v>5766</v>
      </c>
      <c r="D306" s="118" t="s">
        <v>7620</v>
      </c>
      <c r="E306" s="1" t="s">
        <v>6063</v>
      </c>
      <c r="F306" s="16" t="s">
        <v>5792</v>
      </c>
      <c r="G306" s="2"/>
      <c r="H306" s="5" t="s">
        <v>808</v>
      </c>
    </row>
    <row r="307" spans="1:8" hidden="1" x14ac:dyDescent="0.35">
      <c r="A307" s="159" t="s">
        <v>3319</v>
      </c>
      <c r="B307" s="100" t="s">
        <v>7606</v>
      </c>
      <c r="C307" s="1" t="s">
        <v>5766</v>
      </c>
      <c r="D307" s="1" t="s">
        <v>7620</v>
      </c>
      <c r="E307" s="1" t="s">
        <v>7627</v>
      </c>
      <c r="F307" s="16" t="s">
        <v>5789</v>
      </c>
      <c r="G307" s="2"/>
      <c r="H307" s="165" t="s">
        <v>805</v>
      </c>
    </row>
    <row r="308" spans="1:8" hidden="1" x14ac:dyDescent="0.35">
      <c r="A308" s="158" t="s">
        <v>3319</v>
      </c>
      <c r="B308" s="100" t="s">
        <v>7606</v>
      </c>
      <c r="C308" s="118" t="s">
        <v>5766</v>
      </c>
      <c r="D308" s="118" t="s">
        <v>7620</v>
      </c>
      <c r="E308" s="1" t="s">
        <v>7627</v>
      </c>
      <c r="F308" s="16" t="s">
        <v>5790</v>
      </c>
      <c r="G308" s="2"/>
      <c r="H308" s="165" t="s">
        <v>806</v>
      </c>
    </row>
    <row r="309" spans="1:8" hidden="1" x14ac:dyDescent="0.35">
      <c r="A309" s="159" t="s">
        <v>3319</v>
      </c>
      <c r="B309" s="100" t="s">
        <v>7606</v>
      </c>
      <c r="C309" s="1" t="s">
        <v>5766</v>
      </c>
      <c r="D309" s="1" t="s">
        <v>7620</v>
      </c>
      <c r="E309" s="1" t="s">
        <v>7627</v>
      </c>
      <c r="F309" s="16" t="s">
        <v>5791</v>
      </c>
      <c r="G309" s="2"/>
      <c r="H309" s="165" t="s">
        <v>807</v>
      </c>
    </row>
    <row r="310" spans="1:8" hidden="1" x14ac:dyDescent="0.35">
      <c r="A310" s="158" t="s">
        <v>3319</v>
      </c>
      <c r="B310" s="100" t="s">
        <v>7606</v>
      </c>
      <c r="C310" s="118" t="s">
        <v>5766</v>
      </c>
      <c r="D310" s="118" t="s">
        <v>7620</v>
      </c>
      <c r="E310" s="1" t="s">
        <v>7627</v>
      </c>
      <c r="F310" s="16" t="s">
        <v>5792</v>
      </c>
      <c r="G310" s="2"/>
      <c r="H310" s="165" t="s">
        <v>808</v>
      </c>
    </row>
    <row r="311" spans="1:8" hidden="1" x14ac:dyDescent="0.35">
      <c r="A311" s="159" t="s">
        <v>3319</v>
      </c>
      <c r="B311" s="100" t="s">
        <v>7606</v>
      </c>
      <c r="C311" s="2" t="s">
        <v>5766</v>
      </c>
      <c r="D311" s="1" t="s">
        <v>5804</v>
      </c>
      <c r="E311" s="1"/>
      <c r="F311" s="16"/>
      <c r="G311" s="2"/>
      <c r="H311" s="165" t="s">
        <v>157</v>
      </c>
    </row>
    <row r="312" spans="1:8" hidden="1" x14ac:dyDescent="0.35">
      <c r="A312" s="158" t="s">
        <v>3319</v>
      </c>
      <c r="B312" s="100" t="s">
        <v>7606</v>
      </c>
      <c r="C312" s="118" t="s">
        <v>5766</v>
      </c>
      <c r="D312" s="161" t="s">
        <v>7621</v>
      </c>
      <c r="E312" s="16"/>
      <c r="F312" s="2"/>
      <c r="G312" s="2"/>
      <c r="H312" s="165" t="s">
        <v>159</v>
      </c>
    </row>
    <row r="313" spans="1:8" hidden="1" x14ac:dyDescent="0.35">
      <c r="A313" s="159" t="s">
        <v>3319</v>
      </c>
      <c r="B313" s="100" t="s">
        <v>7606</v>
      </c>
      <c r="C313" s="2" t="s">
        <v>5766</v>
      </c>
      <c r="D313" s="1" t="s">
        <v>399</v>
      </c>
      <c r="E313" s="1"/>
      <c r="F313" s="16"/>
      <c r="G313" s="2"/>
      <c r="H313" s="165" t="s">
        <v>398</v>
      </c>
    </row>
    <row r="314" spans="1:8" hidden="1" x14ac:dyDescent="0.35">
      <c r="A314" s="136" t="s">
        <v>4033</v>
      </c>
      <c r="B314" s="100" t="s">
        <v>7606</v>
      </c>
      <c r="C314" s="2" t="s">
        <v>5942</v>
      </c>
      <c r="D314" s="1" t="s">
        <v>6807</v>
      </c>
      <c r="E314" s="1"/>
      <c r="F314" s="16"/>
      <c r="G314" s="2"/>
      <c r="H314" s="5" t="s">
        <v>1900</v>
      </c>
    </row>
    <row r="315" spans="1:8" ht="29" hidden="1" x14ac:dyDescent="0.35">
      <c r="A315" s="135" t="s">
        <v>4033</v>
      </c>
      <c r="B315" s="100" t="s">
        <v>7606</v>
      </c>
      <c r="C315" s="2" t="s">
        <v>5942</v>
      </c>
      <c r="D315" s="1" t="s">
        <v>6808</v>
      </c>
      <c r="E315" s="1"/>
      <c r="F315" s="16"/>
      <c r="G315" s="2"/>
      <c r="H315" s="5" t="s">
        <v>1901</v>
      </c>
    </row>
    <row r="316" spans="1:8" hidden="1" x14ac:dyDescent="0.35">
      <c r="A316" s="136" t="s">
        <v>4033</v>
      </c>
      <c r="B316" s="100" t="s">
        <v>7606</v>
      </c>
      <c r="C316" s="2" t="s">
        <v>5942</v>
      </c>
      <c r="D316" s="1" t="s">
        <v>6805</v>
      </c>
      <c r="E316" s="1"/>
      <c r="F316" s="1"/>
      <c r="G316" s="2"/>
      <c r="H316" s="5" t="s">
        <v>1898</v>
      </c>
    </row>
    <row r="317" spans="1:8" hidden="1" x14ac:dyDescent="0.35">
      <c r="A317" s="136" t="s">
        <v>4033</v>
      </c>
      <c r="B317" s="100" t="s">
        <v>7606</v>
      </c>
      <c r="C317" s="2" t="s">
        <v>5942</v>
      </c>
      <c r="D317" s="2" t="s">
        <v>6803</v>
      </c>
      <c r="E317" s="2"/>
      <c r="F317" s="2"/>
      <c r="G317" s="2"/>
      <c r="H317" s="5" t="s">
        <v>284</v>
      </c>
    </row>
    <row r="318" spans="1:8" ht="29" hidden="1" x14ac:dyDescent="0.35">
      <c r="A318" s="136" t="s">
        <v>4033</v>
      </c>
      <c r="B318" s="100" t="s">
        <v>7606</v>
      </c>
      <c r="C318" s="2" t="s">
        <v>5942</v>
      </c>
      <c r="D318" s="1" t="s">
        <v>6801</v>
      </c>
      <c r="E318" s="1"/>
      <c r="F318" s="2"/>
      <c r="G318" s="2"/>
      <c r="H318" s="5" t="s">
        <v>261</v>
      </c>
    </row>
    <row r="319" spans="1:8" hidden="1" x14ac:dyDescent="0.35">
      <c r="A319" s="135" t="s">
        <v>4033</v>
      </c>
      <c r="B319" s="100" t="s">
        <v>7606</v>
      </c>
      <c r="C319" s="2" t="s">
        <v>5942</v>
      </c>
      <c r="D319" s="1" t="s">
        <v>6804</v>
      </c>
      <c r="E319" s="1"/>
      <c r="F319" s="2"/>
      <c r="G319" s="2"/>
      <c r="H319" s="5" t="s">
        <v>531</v>
      </c>
    </row>
    <row r="320" spans="1:8" hidden="1" x14ac:dyDescent="0.35">
      <c r="A320" s="135" t="s">
        <v>4033</v>
      </c>
      <c r="B320" s="100" t="s">
        <v>7606</v>
      </c>
      <c r="C320" s="2" t="s">
        <v>5942</v>
      </c>
      <c r="D320" s="1" t="s">
        <v>6802</v>
      </c>
      <c r="E320" s="1"/>
      <c r="F320" s="2"/>
      <c r="G320" s="2"/>
      <c r="H320" s="5" t="s">
        <v>282</v>
      </c>
    </row>
    <row r="321" spans="1:8" hidden="1" x14ac:dyDescent="0.35">
      <c r="A321" s="135" t="s">
        <v>4033</v>
      </c>
      <c r="B321" s="100" t="s">
        <v>7606</v>
      </c>
      <c r="C321" s="1" t="s">
        <v>5942</v>
      </c>
      <c r="D321" s="2" t="s">
        <v>6800</v>
      </c>
      <c r="E321" s="2"/>
      <c r="F321" s="2"/>
      <c r="G321" s="2"/>
      <c r="H321" s="5" t="s">
        <v>128</v>
      </c>
    </row>
    <row r="322" spans="1:8" hidden="1" x14ac:dyDescent="0.35">
      <c r="A322" s="136" t="s">
        <v>4033</v>
      </c>
      <c r="B322" s="100" t="s">
        <v>7606</v>
      </c>
      <c r="C322" s="2" t="s">
        <v>5942</v>
      </c>
      <c r="D322" s="2" t="s">
        <v>6809</v>
      </c>
      <c r="E322" s="2"/>
      <c r="F322" s="2"/>
      <c r="G322" s="2"/>
      <c r="H322" s="5" t="s">
        <v>1902</v>
      </c>
    </row>
    <row r="323" spans="1:8" hidden="1" x14ac:dyDescent="0.35">
      <c r="A323" s="135" t="s">
        <v>4033</v>
      </c>
      <c r="B323" s="100" t="s">
        <v>7606</v>
      </c>
      <c r="C323" s="2" t="s">
        <v>5942</v>
      </c>
      <c r="D323" s="1" t="s">
        <v>6810</v>
      </c>
      <c r="E323" s="2"/>
      <c r="F323" s="2"/>
      <c r="G323" s="2"/>
      <c r="H323" s="5" t="s">
        <v>1903</v>
      </c>
    </row>
    <row r="324" spans="1:8" hidden="1" x14ac:dyDescent="0.35">
      <c r="A324" s="136" t="s">
        <v>4033</v>
      </c>
      <c r="B324" s="100" t="s">
        <v>7606</v>
      </c>
      <c r="C324" s="2" t="s">
        <v>5942</v>
      </c>
      <c r="D324" s="1" t="s">
        <v>6296</v>
      </c>
      <c r="E324" s="2"/>
      <c r="F324" s="2"/>
      <c r="G324" s="2"/>
      <c r="H324" s="5" t="s">
        <v>103</v>
      </c>
    </row>
    <row r="325" spans="1:8" hidden="1" x14ac:dyDescent="0.35">
      <c r="A325" s="135" t="s">
        <v>4033</v>
      </c>
      <c r="B325" s="100" t="s">
        <v>7606</v>
      </c>
      <c r="C325" s="2" t="s">
        <v>5942</v>
      </c>
      <c r="D325" s="1" t="s">
        <v>6806</v>
      </c>
      <c r="E325" s="2"/>
      <c r="F325" s="2"/>
      <c r="G325" s="2"/>
      <c r="H325" s="5" t="s">
        <v>1899</v>
      </c>
    </row>
    <row r="326" spans="1:8" ht="29" hidden="1" x14ac:dyDescent="0.35">
      <c r="A326" s="135" t="s">
        <v>3308</v>
      </c>
      <c r="B326" s="100" t="s">
        <v>5806</v>
      </c>
      <c r="C326" s="1" t="s">
        <v>7671</v>
      </c>
      <c r="D326" s="2" t="s">
        <v>7672</v>
      </c>
      <c r="E326" s="2"/>
      <c r="F326" s="2"/>
      <c r="G326" s="2"/>
      <c r="H326" s="5" t="s">
        <v>2550</v>
      </c>
    </row>
    <row r="327" spans="1:8" hidden="1" x14ac:dyDescent="0.35">
      <c r="A327" s="136" t="s">
        <v>3332</v>
      </c>
      <c r="B327" s="103" t="s">
        <v>5806</v>
      </c>
      <c r="C327" s="1" t="s">
        <v>6303</v>
      </c>
      <c r="D327" s="2" t="s">
        <v>7678</v>
      </c>
      <c r="E327" s="2" t="s">
        <v>7681</v>
      </c>
      <c r="F327" s="2"/>
      <c r="G327" s="2"/>
      <c r="H327" s="5" t="s">
        <v>3096</v>
      </c>
    </row>
    <row r="328" spans="1:8" ht="43.5" hidden="1" x14ac:dyDescent="0.35">
      <c r="A328" s="136" t="s">
        <v>3343</v>
      </c>
      <c r="B328" s="103" t="s">
        <v>5806</v>
      </c>
      <c r="C328" s="1" t="s">
        <v>6303</v>
      </c>
      <c r="D328" s="2" t="s">
        <v>7678</v>
      </c>
      <c r="E328" s="2" t="s">
        <v>6742</v>
      </c>
      <c r="F328" s="2" t="s">
        <v>6008</v>
      </c>
      <c r="G328" s="2"/>
      <c r="H328" s="5" t="s">
        <v>6914</v>
      </c>
    </row>
    <row r="329" spans="1:8" hidden="1" x14ac:dyDescent="0.35">
      <c r="A329" s="135" t="s">
        <v>3343</v>
      </c>
      <c r="B329" s="100" t="s">
        <v>5806</v>
      </c>
      <c r="C329" s="1" t="s">
        <v>6303</v>
      </c>
      <c r="D329" s="2" t="s">
        <v>7678</v>
      </c>
      <c r="E329" s="2" t="s">
        <v>6742</v>
      </c>
      <c r="F329" s="2" t="s">
        <v>7682</v>
      </c>
      <c r="G329" s="2"/>
      <c r="H329" s="5" t="s">
        <v>56</v>
      </c>
    </row>
    <row r="330" spans="1:8" hidden="1" x14ac:dyDescent="0.35">
      <c r="A330" s="135" t="s">
        <v>3343</v>
      </c>
      <c r="B330" s="100" t="s">
        <v>5806</v>
      </c>
      <c r="C330" s="2" t="s">
        <v>6303</v>
      </c>
      <c r="D330" s="2" t="s">
        <v>7678</v>
      </c>
      <c r="E330" s="2" t="s">
        <v>6742</v>
      </c>
      <c r="F330" s="2" t="s">
        <v>5779</v>
      </c>
      <c r="G330" s="2"/>
      <c r="H330" s="5" t="s">
        <v>2963</v>
      </c>
    </row>
    <row r="331" spans="1:8" hidden="1" x14ac:dyDescent="0.35">
      <c r="A331" s="136" t="s">
        <v>3343</v>
      </c>
      <c r="B331" s="103" t="s">
        <v>5806</v>
      </c>
      <c r="C331" s="2" t="s">
        <v>6303</v>
      </c>
      <c r="D331" s="2" t="s">
        <v>7678</v>
      </c>
      <c r="E331" s="2" t="s">
        <v>6742</v>
      </c>
      <c r="F331" s="2" t="s">
        <v>5787</v>
      </c>
      <c r="G331" s="2"/>
      <c r="H331" s="5" t="s">
        <v>1955</v>
      </c>
    </row>
    <row r="332" spans="1:8" ht="29" hidden="1" x14ac:dyDescent="0.35">
      <c r="A332" s="136" t="s">
        <v>3343</v>
      </c>
      <c r="B332" s="103" t="s">
        <v>5806</v>
      </c>
      <c r="C332" s="2" t="s">
        <v>6303</v>
      </c>
      <c r="D332" s="2" t="s">
        <v>7678</v>
      </c>
      <c r="E332" s="2" t="s">
        <v>6742</v>
      </c>
      <c r="F332" s="2" t="s">
        <v>7684</v>
      </c>
      <c r="G332" s="2"/>
      <c r="H332" s="5" t="s">
        <v>1934</v>
      </c>
    </row>
    <row r="333" spans="1:8" ht="43.5" hidden="1" x14ac:dyDescent="0.35">
      <c r="A333" s="135" t="s">
        <v>3343</v>
      </c>
      <c r="B333" s="162" t="s">
        <v>5806</v>
      </c>
      <c r="C333" s="2" t="s">
        <v>6303</v>
      </c>
      <c r="D333" s="2" t="s">
        <v>7678</v>
      </c>
      <c r="E333" s="2" t="s">
        <v>6742</v>
      </c>
      <c r="F333" s="2" t="s">
        <v>5994</v>
      </c>
      <c r="G333" s="2"/>
      <c r="H333" s="5" t="s">
        <v>6913</v>
      </c>
    </row>
    <row r="334" spans="1:8" ht="43.5" hidden="1" x14ac:dyDescent="0.35">
      <c r="A334" s="135" t="s">
        <v>3343</v>
      </c>
      <c r="B334" s="100" t="s">
        <v>5806</v>
      </c>
      <c r="C334" s="2" t="s">
        <v>6303</v>
      </c>
      <c r="D334" s="2" t="s">
        <v>7678</v>
      </c>
      <c r="E334" s="2" t="s">
        <v>6742</v>
      </c>
      <c r="F334" s="2" t="s">
        <v>7685</v>
      </c>
      <c r="G334" s="2"/>
      <c r="H334" s="5" t="s">
        <v>6915</v>
      </c>
    </row>
    <row r="335" spans="1:8" hidden="1" x14ac:dyDescent="0.35">
      <c r="A335" s="135" t="s">
        <v>3343</v>
      </c>
      <c r="B335" s="100" t="s">
        <v>5806</v>
      </c>
      <c r="C335" s="1" t="s">
        <v>6303</v>
      </c>
      <c r="D335" s="2" t="s">
        <v>7678</v>
      </c>
      <c r="E335" s="2" t="s">
        <v>6742</v>
      </c>
      <c r="F335" s="2" t="s">
        <v>7683</v>
      </c>
      <c r="G335" s="2"/>
      <c r="H335" s="5" t="s">
        <v>1933</v>
      </c>
    </row>
    <row r="336" spans="1:8" hidden="1" x14ac:dyDescent="0.35">
      <c r="A336" s="135" t="s">
        <v>3332</v>
      </c>
      <c r="B336" s="162" t="s">
        <v>5806</v>
      </c>
      <c r="C336" s="1" t="s">
        <v>6303</v>
      </c>
      <c r="D336" s="2" t="s">
        <v>7678</v>
      </c>
      <c r="E336" s="2" t="s">
        <v>7680</v>
      </c>
      <c r="F336" s="2"/>
      <c r="G336" s="2"/>
      <c r="H336" s="5" t="s">
        <v>3095</v>
      </c>
    </row>
    <row r="337" spans="1:8" ht="29" hidden="1" x14ac:dyDescent="0.35">
      <c r="A337" s="135" t="s">
        <v>3332</v>
      </c>
      <c r="B337" s="162" t="s">
        <v>5806</v>
      </c>
      <c r="C337" s="1" t="s">
        <v>6303</v>
      </c>
      <c r="D337" s="2" t="s">
        <v>7678</v>
      </c>
      <c r="E337" s="2" t="s">
        <v>5933</v>
      </c>
      <c r="F337" s="2"/>
      <c r="G337" s="2"/>
      <c r="H337" s="5" t="s">
        <v>1935</v>
      </c>
    </row>
    <row r="338" spans="1:8" hidden="1" x14ac:dyDescent="0.35">
      <c r="A338" s="136" t="s">
        <v>3332</v>
      </c>
      <c r="B338" s="180" t="s">
        <v>5806</v>
      </c>
      <c r="C338" s="1" t="s">
        <v>6306</v>
      </c>
      <c r="D338" s="2" t="s">
        <v>7679</v>
      </c>
      <c r="E338" s="2" t="s">
        <v>5944</v>
      </c>
      <c r="F338" s="2"/>
      <c r="G338" s="2"/>
      <c r="H338" s="5" t="s">
        <v>1954</v>
      </c>
    </row>
    <row r="339" spans="1:8" hidden="1" x14ac:dyDescent="0.35">
      <c r="A339" s="135" t="s">
        <v>3309</v>
      </c>
      <c r="B339" s="162" t="s">
        <v>5806</v>
      </c>
      <c r="C339" s="1" t="s">
        <v>6306</v>
      </c>
      <c r="D339" s="2" t="s">
        <v>7696</v>
      </c>
      <c r="E339" s="2" t="s">
        <v>7697</v>
      </c>
      <c r="F339" s="2"/>
      <c r="G339" s="2"/>
      <c r="H339" s="5" t="s">
        <v>505</v>
      </c>
    </row>
    <row r="340" spans="1:8" hidden="1" x14ac:dyDescent="0.35">
      <c r="A340" s="135" t="s">
        <v>3309</v>
      </c>
      <c r="B340" s="162" t="s">
        <v>5806</v>
      </c>
      <c r="C340" s="1" t="s">
        <v>6306</v>
      </c>
      <c r="D340" s="2" t="s">
        <v>7696</v>
      </c>
      <c r="E340" s="2" t="s">
        <v>6740</v>
      </c>
      <c r="F340" s="2"/>
      <c r="G340" s="2"/>
      <c r="H340" s="5" t="s">
        <v>778</v>
      </c>
    </row>
    <row r="341" spans="1:8" hidden="1" x14ac:dyDescent="0.35">
      <c r="A341" s="135" t="s">
        <v>3309</v>
      </c>
      <c r="B341" s="162" t="s">
        <v>5806</v>
      </c>
      <c r="C341" s="2" t="s">
        <v>6306</v>
      </c>
      <c r="D341" s="2" t="s">
        <v>7696</v>
      </c>
      <c r="E341" s="2" t="s">
        <v>7666</v>
      </c>
      <c r="F341" s="2"/>
      <c r="G341" s="2"/>
      <c r="H341" s="5" t="s">
        <v>776</v>
      </c>
    </row>
    <row r="342" spans="1:8" hidden="1" x14ac:dyDescent="0.35">
      <c r="A342" s="135" t="s">
        <v>3309</v>
      </c>
      <c r="B342" s="162" t="s">
        <v>5806</v>
      </c>
      <c r="C342" s="2" t="s">
        <v>6306</v>
      </c>
      <c r="D342" s="2" t="s">
        <v>7696</v>
      </c>
      <c r="E342" s="2" t="s">
        <v>6742</v>
      </c>
      <c r="F342" s="2"/>
      <c r="G342" s="2"/>
      <c r="H342" s="5" t="s">
        <v>780</v>
      </c>
    </row>
    <row r="343" spans="1:8" ht="29" hidden="1" x14ac:dyDescent="0.35">
      <c r="A343" s="136" t="s">
        <v>3309</v>
      </c>
      <c r="B343" s="162" t="s">
        <v>5806</v>
      </c>
      <c r="C343" s="2" t="s">
        <v>6306</v>
      </c>
      <c r="D343" s="2" t="s">
        <v>7696</v>
      </c>
      <c r="E343" s="2" t="s">
        <v>6739</v>
      </c>
      <c r="F343" s="2"/>
      <c r="G343" s="2"/>
      <c r="H343" s="5" t="s">
        <v>7559</v>
      </c>
    </row>
    <row r="344" spans="1:8" hidden="1" x14ac:dyDescent="0.35">
      <c r="A344" s="135" t="s">
        <v>3309</v>
      </c>
      <c r="B344" s="162" t="s">
        <v>5806</v>
      </c>
      <c r="C344" s="2" t="s">
        <v>6306</v>
      </c>
      <c r="D344" s="2" t="s">
        <v>7696</v>
      </c>
      <c r="E344" s="2" t="s">
        <v>6746</v>
      </c>
      <c r="F344" s="2"/>
      <c r="G344" s="2"/>
      <c r="H344" s="5" t="s">
        <v>784</v>
      </c>
    </row>
    <row r="345" spans="1:8" hidden="1" x14ac:dyDescent="0.35">
      <c r="A345" s="136" t="s">
        <v>3309</v>
      </c>
      <c r="B345" s="162" t="s">
        <v>5806</v>
      </c>
      <c r="C345" s="2" t="s">
        <v>6306</v>
      </c>
      <c r="D345" s="2" t="s">
        <v>7696</v>
      </c>
      <c r="E345" s="2" t="s">
        <v>7699</v>
      </c>
      <c r="F345" s="2" t="s">
        <v>7700</v>
      </c>
      <c r="G345" s="2"/>
      <c r="H345" s="5" t="s">
        <v>781</v>
      </c>
    </row>
    <row r="346" spans="1:8" hidden="1" x14ac:dyDescent="0.35">
      <c r="A346" s="136" t="s">
        <v>3309</v>
      </c>
      <c r="B346" s="162" t="s">
        <v>5806</v>
      </c>
      <c r="C346" s="2" t="s">
        <v>6306</v>
      </c>
      <c r="D346" s="2" t="s">
        <v>7696</v>
      </c>
      <c r="E346" s="2" t="s">
        <v>7699</v>
      </c>
      <c r="F346" s="2" t="s">
        <v>7661</v>
      </c>
      <c r="G346" s="2"/>
      <c r="H346" s="5" t="s">
        <v>1025</v>
      </c>
    </row>
    <row r="347" spans="1:8" hidden="1" x14ac:dyDescent="0.35">
      <c r="A347" s="135" t="s">
        <v>3309</v>
      </c>
      <c r="B347" s="162" t="s">
        <v>5806</v>
      </c>
      <c r="C347" s="2" t="s">
        <v>6306</v>
      </c>
      <c r="D347" s="2" t="s">
        <v>7696</v>
      </c>
      <c r="E347" s="2" t="s">
        <v>7699</v>
      </c>
      <c r="F347" s="2" t="s">
        <v>7701</v>
      </c>
      <c r="G347" s="2"/>
      <c r="H347" s="5" t="s">
        <v>782</v>
      </c>
    </row>
    <row r="348" spans="1:8" hidden="1" x14ac:dyDescent="0.35">
      <c r="A348" s="136" t="s">
        <v>3309</v>
      </c>
      <c r="B348" s="162" t="s">
        <v>5806</v>
      </c>
      <c r="C348" s="2" t="s">
        <v>6306</v>
      </c>
      <c r="D348" s="2" t="s">
        <v>7696</v>
      </c>
      <c r="E348" s="2" t="s">
        <v>6725</v>
      </c>
      <c r="F348" s="2"/>
      <c r="G348" s="2"/>
      <c r="H348" s="5" t="s">
        <v>785</v>
      </c>
    </row>
    <row r="349" spans="1:8" hidden="1" x14ac:dyDescent="0.35">
      <c r="A349" s="136" t="s">
        <v>3309</v>
      </c>
      <c r="B349" s="162" t="s">
        <v>5806</v>
      </c>
      <c r="C349" s="2" t="s">
        <v>6306</v>
      </c>
      <c r="D349" s="2" t="s">
        <v>7696</v>
      </c>
      <c r="E349" s="2" t="s">
        <v>6741</v>
      </c>
      <c r="F349" s="2"/>
      <c r="G349" s="2"/>
      <c r="H349" s="5" t="s">
        <v>779</v>
      </c>
    </row>
    <row r="350" spans="1:8" hidden="1" x14ac:dyDescent="0.35">
      <c r="A350" s="135" t="s">
        <v>3309</v>
      </c>
      <c r="B350" s="2" t="s">
        <v>5806</v>
      </c>
      <c r="C350" s="2" t="s">
        <v>6306</v>
      </c>
      <c r="D350" s="2" t="s">
        <v>7696</v>
      </c>
      <c r="E350" s="2" t="s">
        <v>7703</v>
      </c>
      <c r="F350" s="2"/>
      <c r="G350" s="2"/>
      <c r="H350" s="5" t="s">
        <v>786</v>
      </c>
    </row>
    <row r="351" spans="1:8" hidden="1" x14ac:dyDescent="0.35">
      <c r="A351" s="136" t="s">
        <v>3309</v>
      </c>
      <c r="B351" s="2" t="s">
        <v>5806</v>
      </c>
      <c r="C351" s="2" t="s">
        <v>6306</v>
      </c>
      <c r="D351" s="2" t="s">
        <v>7696</v>
      </c>
      <c r="E351" s="2" t="s">
        <v>7702</v>
      </c>
      <c r="F351" s="2"/>
      <c r="G351" s="2"/>
      <c r="H351" s="5" t="s">
        <v>783</v>
      </c>
    </row>
    <row r="352" spans="1:8" ht="29" hidden="1" x14ac:dyDescent="0.35">
      <c r="A352" s="136" t="s">
        <v>3309</v>
      </c>
      <c r="B352" s="2" t="s">
        <v>5806</v>
      </c>
      <c r="C352" s="2" t="s">
        <v>6306</v>
      </c>
      <c r="D352" s="2" t="s">
        <v>7690</v>
      </c>
      <c r="E352" s="2" t="s">
        <v>7687</v>
      </c>
      <c r="F352" s="2"/>
      <c r="G352" s="2"/>
      <c r="H352" s="5" t="s">
        <v>7557</v>
      </c>
    </row>
    <row r="353" spans="1:8" hidden="1" x14ac:dyDescent="0.35">
      <c r="A353" s="136" t="s">
        <v>3343</v>
      </c>
      <c r="B353" s="161" t="s">
        <v>5806</v>
      </c>
      <c r="C353" s="2" t="s">
        <v>6306</v>
      </c>
      <c r="D353" s="2" t="s">
        <v>6002</v>
      </c>
      <c r="E353" s="2"/>
      <c r="F353" s="2"/>
      <c r="G353" s="2"/>
      <c r="H353" s="5" t="s">
        <v>2956</v>
      </c>
    </row>
    <row r="354" spans="1:8" hidden="1" x14ac:dyDescent="0.35">
      <c r="A354" s="135" t="s">
        <v>3309</v>
      </c>
      <c r="B354" s="2" t="s">
        <v>5806</v>
      </c>
      <c r="C354" s="2" t="s">
        <v>6306</v>
      </c>
      <c r="D354" s="2" t="s">
        <v>6301</v>
      </c>
      <c r="E354" s="2" t="s">
        <v>6791</v>
      </c>
      <c r="F354" s="2"/>
      <c r="G354" s="2"/>
      <c r="H354" s="5" t="s">
        <v>7584</v>
      </c>
    </row>
    <row r="355" spans="1:8" hidden="1" x14ac:dyDescent="0.35">
      <c r="A355" s="136" t="s">
        <v>3309</v>
      </c>
      <c r="B355" s="2" t="s">
        <v>5806</v>
      </c>
      <c r="C355" s="2" t="s">
        <v>6306</v>
      </c>
      <c r="D355" s="2" t="s">
        <v>6301</v>
      </c>
      <c r="E355" s="2" t="s">
        <v>7698</v>
      </c>
      <c r="F355" s="2" t="s">
        <v>5786</v>
      </c>
      <c r="G355" s="2"/>
      <c r="H355" s="5" t="s">
        <v>2743</v>
      </c>
    </row>
    <row r="356" spans="1:8" hidden="1" x14ac:dyDescent="0.35">
      <c r="A356" s="136" t="s">
        <v>3309</v>
      </c>
      <c r="B356" s="2" t="s">
        <v>5806</v>
      </c>
      <c r="C356" s="2" t="s">
        <v>6306</v>
      </c>
      <c r="D356" s="2" t="s">
        <v>6301</v>
      </c>
      <c r="E356" s="2" t="s">
        <v>7698</v>
      </c>
      <c r="F356" s="2" t="s">
        <v>5786</v>
      </c>
      <c r="G356" s="2"/>
      <c r="H356" s="5" t="s">
        <v>2584</v>
      </c>
    </row>
    <row r="357" spans="1:8" hidden="1" x14ac:dyDescent="0.35">
      <c r="A357" s="136" t="s">
        <v>3309</v>
      </c>
      <c r="B357" s="2" t="s">
        <v>5806</v>
      </c>
      <c r="C357" s="2" t="s">
        <v>6306</v>
      </c>
      <c r="D357" s="2" t="s">
        <v>6301</v>
      </c>
      <c r="E357" s="2" t="s">
        <v>6788</v>
      </c>
      <c r="F357" s="2"/>
      <c r="G357" s="2"/>
      <c r="H357" s="5" t="s">
        <v>7581</v>
      </c>
    </row>
    <row r="358" spans="1:8" hidden="1" x14ac:dyDescent="0.35">
      <c r="A358" s="136" t="s">
        <v>3309</v>
      </c>
      <c r="B358" s="2" t="s">
        <v>5806</v>
      </c>
      <c r="C358" s="2" t="s">
        <v>6306</v>
      </c>
      <c r="D358" s="2" t="s">
        <v>6301</v>
      </c>
      <c r="E358" s="2" t="s">
        <v>7700</v>
      </c>
      <c r="F358" s="2"/>
      <c r="G358" s="2"/>
      <c r="H358" s="5" t="s">
        <v>1018</v>
      </c>
    </row>
    <row r="359" spans="1:8" hidden="1" x14ac:dyDescent="0.35">
      <c r="A359" s="136" t="s">
        <v>3309</v>
      </c>
      <c r="B359" s="2" t="s">
        <v>5806</v>
      </c>
      <c r="C359" s="2" t="s">
        <v>6306</v>
      </c>
      <c r="D359" s="2" t="s">
        <v>6301</v>
      </c>
      <c r="E359" s="2" t="s">
        <v>5908</v>
      </c>
      <c r="F359" s="2"/>
      <c r="G359" s="2"/>
      <c r="H359" s="5" t="s">
        <v>7591</v>
      </c>
    </row>
    <row r="360" spans="1:8" hidden="1" x14ac:dyDescent="0.35">
      <c r="A360" s="135" t="s">
        <v>3309</v>
      </c>
      <c r="B360" s="2" t="s">
        <v>5806</v>
      </c>
      <c r="C360" s="2" t="s">
        <v>6306</v>
      </c>
      <c r="D360" s="2" t="s">
        <v>6301</v>
      </c>
      <c r="E360" s="2" t="s">
        <v>6787</v>
      </c>
      <c r="F360" s="2"/>
      <c r="G360" s="2"/>
      <c r="H360" s="5" t="s">
        <v>7580</v>
      </c>
    </row>
    <row r="361" spans="1:8" hidden="1" x14ac:dyDescent="0.35">
      <c r="A361" s="136" t="s">
        <v>3309</v>
      </c>
      <c r="B361" s="2" t="s">
        <v>5806</v>
      </c>
      <c r="C361" s="2" t="s">
        <v>6306</v>
      </c>
      <c r="D361" s="2" t="s">
        <v>6301</v>
      </c>
      <c r="E361" s="2" t="s">
        <v>6794</v>
      </c>
      <c r="F361" s="2"/>
      <c r="G361" s="2"/>
      <c r="H361" s="5" t="s">
        <v>7587</v>
      </c>
    </row>
    <row r="362" spans="1:8" hidden="1" x14ac:dyDescent="0.35">
      <c r="A362" s="136" t="s">
        <v>3309</v>
      </c>
      <c r="B362" s="2" t="s">
        <v>5806</v>
      </c>
      <c r="C362" s="2" t="s">
        <v>6306</v>
      </c>
      <c r="D362" s="2" t="s">
        <v>6301</v>
      </c>
      <c r="E362" s="2" t="s">
        <v>6792</v>
      </c>
      <c r="F362" s="2"/>
      <c r="G362" s="2"/>
      <c r="H362" s="5" t="s">
        <v>7585</v>
      </c>
    </row>
    <row r="363" spans="1:8" hidden="1" x14ac:dyDescent="0.35">
      <c r="A363" s="135" t="s">
        <v>3309</v>
      </c>
      <c r="B363" s="2" t="s">
        <v>5806</v>
      </c>
      <c r="C363" s="2" t="s">
        <v>6306</v>
      </c>
      <c r="D363" s="2" t="s">
        <v>6301</v>
      </c>
      <c r="E363" s="2" t="s">
        <v>6797</v>
      </c>
      <c r="F363" s="2"/>
      <c r="G363" s="2"/>
      <c r="H363" s="5" t="s">
        <v>7590</v>
      </c>
    </row>
    <row r="364" spans="1:8" hidden="1" x14ac:dyDescent="0.35">
      <c r="A364" s="135" t="s">
        <v>3309</v>
      </c>
      <c r="B364" s="2" t="s">
        <v>5806</v>
      </c>
      <c r="C364" s="2" t="s">
        <v>6306</v>
      </c>
      <c r="D364" s="2" t="s">
        <v>6301</v>
      </c>
      <c r="E364" s="2" t="s">
        <v>6793</v>
      </c>
      <c r="F364" s="2"/>
      <c r="G364" s="2"/>
      <c r="H364" s="5" t="s">
        <v>7586</v>
      </c>
    </row>
    <row r="365" spans="1:8" hidden="1" x14ac:dyDescent="0.35">
      <c r="A365" s="136" t="s">
        <v>3309</v>
      </c>
      <c r="B365" s="2" t="s">
        <v>5806</v>
      </c>
      <c r="C365" s="2" t="s">
        <v>6306</v>
      </c>
      <c r="D365" s="2" t="s">
        <v>6301</v>
      </c>
      <c r="E365" s="2" t="s">
        <v>6790</v>
      </c>
      <c r="F365" s="2"/>
      <c r="G365" s="2"/>
      <c r="H365" s="5" t="s">
        <v>7583</v>
      </c>
    </row>
    <row r="366" spans="1:8" hidden="1" x14ac:dyDescent="0.35">
      <c r="A366" s="135" t="s">
        <v>3309</v>
      </c>
      <c r="B366" s="2" t="s">
        <v>5806</v>
      </c>
      <c r="C366" s="2" t="s">
        <v>6306</v>
      </c>
      <c r="D366" s="2" t="s">
        <v>6301</v>
      </c>
      <c r="E366" s="2" t="s">
        <v>6795</v>
      </c>
      <c r="F366" s="2"/>
      <c r="G366" s="2"/>
      <c r="H366" s="5" t="s">
        <v>7588</v>
      </c>
    </row>
    <row r="367" spans="1:8" hidden="1" x14ac:dyDescent="0.35">
      <c r="A367" s="135" t="s">
        <v>3309</v>
      </c>
      <c r="B367" s="2" t="s">
        <v>5806</v>
      </c>
      <c r="C367" s="2" t="s">
        <v>6306</v>
      </c>
      <c r="D367" s="2" t="s">
        <v>6301</v>
      </c>
      <c r="E367" s="2" t="s">
        <v>6789</v>
      </c>
      <c r="F367" s="2"/>
      <c r="G367" s="2"/>
      <c r="H367" s="5" t="s">
        <v>7582</v>
      </c>
    </row>
    <row r="368" spans="1:8" hidden="1" x14ac:dyDescent="0.35">
      <c r="A368" s="135" t="s">
        <v>3309</v>
      </c>
      <c r="B368" s="2" t="s">
        <v>5806</v>
      </c>
      <c r="C368" s="2" t="s">
        <v>6306</v>
      </c>
      <c r="D368" s="2" t="s">
        <v>6301</v>
      </c>
      <c r="E368" s="2" t="s">
        <v>6798</v>
      </c>
      <c r="F368" s="2"/>
      <c r="G368" s="2"/>
      <c r="H368" s="5" t="s">
        <v>7592</v>
      </c>
    </row>
    <row r="369" spans="1:8" hidden="1" x14ac:dyDescent="0.35">
      <c r="A369" s="136" t="s">
        <v>3309</v>
      </c>
      <c r="B369" s="2" t="s">
        <v>5806</v>
      </c>
      <c r="C369" s="2" t="s">
        <v>6306</v>
      </c>
      <c r="D369" s="2" t="s">
        <v>6301</v>
      </c>
      <c r="E369" s="2" t="s">
        <v>6796</v>
      </c>
      <c r="F369" s="2"/>
      <c r="G369" s="2"/>
      <c r="H369" s="5" t="s">
        <v>7589</v>
      </c>
    </row>
    <row r="370" spans="1:8" hidden="1" x14ac:dyDescent="0.35">
      <c r="A370" s="135" t="s">
        <v>3309</v>
      </c>
      <c r="B370" s="2" t="s">
        <v>5806</v>
      </c>
      <c r="C370" s="2" t="s">
        <v>6306</v>
      </c>
      <c r="D370" s="2" t="s">
        <v>6301</v>
      </c>
      <c r="E370" s="2"/>
      <c r="F370" s="2"/>
      <c r="G370" s="2"/>
      <c r="H370" s="5" t="s">
        <v>657</v>
      </c>
    </row>
    <row r="371" spans="1:8" hidden="1" x14ac:dyDescent="0.35">
      <c r="A371" s="135" t="s">
        <v>3309</v>
      </c>
      <c r="B371" s="2" t="s">
        <v>5806</v>
      </c>
      <c r="C371" s="2" t="s">
        <v>6306</v>
      </c>
      <c r="D371" s="2" t="s">
        <v>7675</v>
      </c>
      <c r="E371" s="2"/>
      <c r="F371" s="2"/>
      <c r="G371" s="2"/>
      <c r="H371" s="5" t="s">
        <v>658</v>
      </c>
    </row>
    <row r="372" spans="1:8" ht="29" hidden="1" x14ac:dyDescent="0.35">
      <c r="A372" s="136" t="s">
        <v>3309</v>
      </c>
      <c r="B372" s="2" t="s">
        <v>5806</v>
      </c>
      <c r="C372" s="2" t="s">
        <v>6306</v>
      </c>
      <c r="D372" s="2" t="s">
        <v>7705</v>
      </c>
      <c r="E372" s="2" t="s">
        <v>7700</v>
      </c>
      <c r="F372" s="2"/>
      <c r="G372" s="2"/>
      <c r="H372" s="5" t="s">
        <v>2957</v>
      </c>
    </row>
    <row r="373" spans="1:8" hidden="1" x14ac:dyDescent="0.35">
      <c r="A373" s="135" t="s">
        <v>3309</v>
      </c>
      <c r="B373" s="2" t="s">
        <v>5806</v>
      </c>
      <c r="C373" s="2" t="s">
        <v>6306</v>
      </c>
      <c r="D373" s="2" t="s">
        <v>6298</v>
      </c>
      <c r="E373" s="2"/>
      <c r="F373" s="2"/>
      <c r="G373" s="2"/>
      <c r="H373" s="5" t="s">
        <v>1246</v>
      </c>
    </row>
    <row r="374" spans="1:8" hidden="1" x14ac:dyDescent="0.35">
      <c r="A374" s="136" t="s">
        <v>3309</v>
      </c>
      <c r="B374" s="2" t="s">
        <v>5806</v>
      </c>
      <c r="C374" s="2" t="s">
        <v>6306</v>
      </c>
      <c r="D374" s="2" t="s">
        <v>6302</v>
      </c>
      <c r="E374" s="2" t="s">
        <v>7700</v>
      </c>
      <c r="F374" s="2"/>
      <c r="G374" s="2"/>
      <c r="H374" s="5" t="s">
        <v>2406</v>
      </c>
    </row>
    <row r="375" spans="1:8" hidden="1" x14ac:dyDescent="0.35">
      <c r="A375" s="135" t="s">
        <v>3309</v>
      </c>
      <c r="B375" s="2" t="s">
        <v>5806</v>
      </c>
      <c r="C375" s="2" t="s">
        <v>6306</v>
      </c>
      <c r="D375" s="2" t="s">
        <v>6302</v>
      </c>
      <c r="E375" s="2" t="s">
        <v>7677</v>
      </c>
      <c r="F375" s="2"/>
      <c r="G375" s="2"/>
      <c r="H375" s="5" t="s">
        <v>3066</v>
      </c>
    </row>
    <row r="376" spans="1:8" hidden="1" x14ac:dyDescent="0.35">
      <c r="A376" s="135" t="s">
        <v>3309</v>
      </c>
      <c r="B376" s="2" t="s">
        <v>5806</v>
      </c>
      <c r="C376" s="2" t="s">
        <v>6306</v>
      </c>
      <c r="D376" s="2" t="s">
        <v>6302</v>
      </c>
      <c r="E376" s="2"/>
      <c r="F376" s="2"/>
      <c r="G376" s="2"/>
      <c r="H376" s="5" t="s">
        <v>3065</v>
      </c>
    </row>
    <row r="377" spans="1:8" hidden="1" x14ac:dyDescent="0.35">
      <c r="A377" s="136" t="s">
        <v>3309</v>
      </c>
      <c r="B377" s="2" t="s">
        <v>5806</v>
      </c>
      <c r="C377" s="2" t="s">
        <v>6306</v>
      </c>
      <c r="D377" s="2" t="s">
        <v>7691</v>
      </c>
      <c r="E377" s="2"/>
      <c r="F377" s="2"/>
      <c r="G377" s="2"/>
      <c r="H377" s="5" t="s">
        <v>266</v>
      </c>
    </row>
    <row r="378" spans="1:8" ht="29" hidden="1" x14ac:dyDescent="0.35">
      <c r="A378" s="136" t="s">
        <v>3309</v>
      </c>
      <c r="B378" s="2" t="s">
        <v>5806</v>
      </c>
      <c r="C378" s="2" t="s">
        <v>6306</v>
      </c>
      <c r="D378" s="2" t="s">
        <v>6725</v>
      </c>
      <c r="E378" s="2" t="s">
        <v>7687</v>
      </c>
      <c r="F378" s="2" t="s">
        <v>5786</v>
      </c>
      <c r="G378" s="2"/>
      <c r="H378" s="5" t="s">
        <v>113</v>
      </c>
    </row>
    <row r="379" spans="1:8" hidden="1" x14ac:dyDescent="0.35">
      <c r="A379" s="135" t="s">
        <v>3309</v>
      </c>
      <c r="B379" s="2" t="s">
        <v>5806</v>
      </c>
      <c r="C379" s="2" t="s">
        <v>6306</v>
      </c>
      <c r="D379" s="2" t="s">
        <v>6725</v>
      </c>
      <c r="E379" s="2" t="s">
        <v>7687</v>
      </c>
      <c r="F379" s="2" t="s">
        <v>5786</v>
      </c>
      <c r="G379" s="2"/>
      <c r="H379" s="5" t="s">
        <v>268</v>
      </c>
    </row>
    <row r="380" spans="1:8" ht="29" hidden="1" x14ac:dyDescent="0.35">
      <c r="A380" s="135" t="s">
        <v>3309</v>
      </c>
      <c r="B380" s="2" t="s">
        <v>5806</v>
      </c>
      <c r="C380" s="2" t="s">
        <v>6306</v>
      </c>
      <c r="D380" s="2" t="s">
        <v>6725</v>
      </c>
      <c r="E380" s="2" t="s">
        <v>7689</v>
      </c>
      <c r="F380" s="2"/>
      <c r="G380" s="2"/>
      <c r="H380" s="5" t="s">
        <v>262</v>
      </c>
    </row>
    <row r="381" spans="1:8" ht="29" hidden="1" x14ac:dyDescent="0.35">
      <c r="A381" s="135" t="s">
        <v>3309</v>
      </c>
      <c r="B381" s="2" t="s">
        <v>5806</v>
      </c>
      <c r="C381" s="2" t="s">
        <v>6306</v>
      </c>
      <c r="D381" s="2" t="s">
        <v>7688</v>
      </c>
      <c r="E381" s="2" t="s">
        <v>7687</v>
      </c>
      <c r="F381" s="2"/>
      <c r="G381" s="2"/>
      <c r="H381" s="5" t="s">
        <v>111</v>
      </c>
    </row>
    <row r="382" spans="1:8" hidden="1" x14ac:dyDescent="0.35">
      <c r="A382" s="136" t="s">
        <v>3309</v>
      </c>
      <c r="B382" s="2" t="s">
        <v>5806</v>
      </c>
      <c r="C382" s="2" t="s">
        <v>6306</v>
      </c>
      <c r="D382" s="2" t="s">
        <v>6299</v>
      </c>
      <c r="E382" s="2" t="s">
        <v>7698</v>
      </c>
      <c r="F382" s="2" t="s">
        <v>5786</v>
      </c>
      <c r="G382" s="2"/>
      <c r="H382" s="5" t="s">
        <v>775</v>
      </c>
    </row>
    <row r="383" spans="1:8" hidden="1" x14ac:dyDescent="0.35">
      <c r="A383" s="136" t="s">
        <v>3309</v>
      </c>
      <c r="B383" s="2" t="s">
        <v>5806</v>
      </c>
      <c r="C383" s="2" t="s">
        <v>6306</v>
      </c>
      <c r="D383" s="2" t="s">
        <v>6299</v>
      </c>
      <c r="E383" s="2" t="s">
        <v>7698</v>
      </c>
      <c r="F383" s="2" t="s">
        <v>5786</v>
      </c>
      <c r="G383" s="2"/>
      <c r="H383" s="5" t="s">
        <v>849</v>
      </c>
    </row>
    <row r="384" spans="1:8" hidden="1" x14ac:dyDescent="0.35">
      <c r="A384" s="135" t="s">
        <v>3309</v>
      </c>
      <c r="B384" s="2" t="s">
        <v>5806</v>
      </c>
      <c r="C384" s="2" t="s">
        <v>6306</v>
      </c>
      <c r="D384" s="2" t="s">
        <v>6299</v>
      </c>
      <c r="E384" s="2" t="s">
        <v>7700</v>
      </c>
      <c r="F384" s="2"/>
      <c r="G384" s="2"/>
      <c r="H384" s="5" t="s">
        <v>1022</v>
      </c>
    </row>
    <row r="385" spans="1:8" ht="29" hidden="1" x14ac:dyDescent="0.35">
      <c r="A385" s="135" t="s">
        <v>3309</v>
      </c>
      <c r="B385" s="2" t="s">
        <v>5806</v>
      </c>
      <c r="C385" s="2" t="s">
        <v>6306</v>
      </c>
      <c r="D385" s="2" t="s">
        <v>6299</v>
      </c>
      <c r="E385" s="2" t="s">
        <v>7677</v>
      </c>
      <c r="F385" s="2"/>
      <c r="G385" s="2"/>
      <c r="H385" s="5" t="s">
        <v>3080</v>
      </c>
    </row>
    <row r="386" spans="1:8" hidden="1" x14ac:dyDescent="0.35">
      <c r="A386" s="136" t="s">
        <v>3309</v>
      </c>
      <c r="B386" s="2" t="s">
        <v>5806</v>
      </c>
      <c r="C386" s="2" t="s">
        <v>6306</v>
      </c>
      <c r="D386" s="2" t="s">
        <v>6299</v>
      </c>
      <c r="E386" s="2" t="s">
        <v>7689</v>
      </c>
      <c r="F386" s="2"/>
      <c r="G386" s="2"/>
      <c r="H386" s="5" t="s">
        <v>2973</v>
      </c>
    </row>
    <row r="387" spans="1:8" hidden="1" x14ac:dyDescent="0.35">
      <c r="A387" s="136" t="s">
        <v>3309</v>
      </c>
      <c r="B387" s="2" t="s">
        <v>5806</v>
      </c>
      <c r="C387" s="2" t="s">
        <v>6306</v>
      </c>
      <c r="D387" s="2" t="s">
        <v>7676</v>
      </c>
      <c r="E387" s="2"/>
      <c r="F387" s="2"/>
      <c r="G387" s="2"/>
      <c r="H387" s="5" t="s">
        <v>1020</v>
      </c>
    </row>
    <row r="388" spans="1:8" hidden="1" x14ac:dyDescent="0.35">
      <c r="A388" s="135" t="s">
        <v>3343</v>
      </c>
      <c r="B388" s="2" t="s">
        <v>5806</v>
      </c>
      <c r="C388" s="161" t="s">
        <v>7665</v>
      </c>
      <c r="D388" s="2" t="s">
        <v>6003</v>
      </c>
      <c r="E388" s="2"/>
      <c r="F388" s="2"/>
      <c r="G388" s="2"/>
      <c r="H388" s="5" t="s">
        <v>2898</v>
      </c>
    </row>
    <row r="389" spans="1:8" hidden="1" x14ac:dyDescent="0.35">
      <c r="A389" s="136" t="s">
        <v>3343</v>
      </c>
      <c r="B389" s="161" t="s">
        <v>5806</v>
      </c>
      <c r="C389" s="161" t="s">
        <v>7665</v>
      </c>
      <c r="D389" s="161" t="s">
        <v>7648</v>
      </c>
      <c r="E389" s="2"/>
      <c r="F389" s="2"/>
      <c r="G389" s="2"/>
      <c r="H389" s="5" t="s">
        <v>507</v>
      </c>
    </row>
    <row r="390" spans="1:8" hidden="1" x14ac:dyDescent="0.35">
      <c r="A390" s="136" t="s">
        <v>3332</v>
      </c>
      <c r="B390" s="161" t="s">
        <v>5806</v>
      </c>
      <c r="C390" s="161" t="s">
        <v>7740</v>
      </c>
      <c r="D390" s="161" t="s">
        <v>5827</v>
      </c>
      <c r="E390" s="2" t="s">
        <v>5960</v>
      </c>
      <c r="F390" s="2"/>
      <c r="G390" s="2"/>
      <c r="H390" s="5" t="s">
        <v>2720</v>
      </c>
    </row>
    <row r="391" spans="1:8" hidden="1" x14ac:dyDescent="0.35">
      <c r="A391" s="135" t="s">
        <v>3954</v>
      </c>
      <c r="B391" s="2" t="s">
        <v>5806</v>
      </c>
      <c r="C391" s="161" t="s">
        <v>7740</v>
      </c>
      <c r="D391" s="2" t="s">
        <v>6048</v>
      </c>
      <c r="E391" s="2" t="s">
        <v>7661</v>
      </c>
      <c r="F391" s="2"/>
      <c r="G391" s="2"/>
      <c r="H391" s="5" t="s">
        <v>1260</v>
      </c>
    </row>
    <row r="392" spans="1:8" hidden="1" x14ac:dyDescent="0.35">
      <c r="A392" s="135" t="s">
        <v>3954</v>
      </c>
      <c r="B392" s="2" t="s">
        <v>5806</v>
      </c>
      <c r="C392" s="161" t="s">
        <v>7740</v>
      </c>
      <c r="D392" s="2" t="s">
        <v>6048</v>
      </c>
      <c r="E392" s="2" t="s">
        <v>6129</v>
      </c>
      <c r="F392" s="2"/>
      <c r="G392" s="2"/>
      <c r="H392" s="5" t="s">
        <v>2224</v>
      </c>
    </row>
    <row r="393" spans="1:8" hidden="1" x14ac:dyDescent="0.35">
      <c r="A393" s="136" t="s">
        <v>3954</v>
      </c>
      <c r="B393" s="2" t="s">
        <v>5806</v>
      </c>
      <c r="C393" s="161" t="s">
        <v>7740</v>
      </c>
      <c r="D393" s="2" t="s">
        <v>7674</v>
      </c>
      <c r="E393" s="2"/>
      <c r="F393" s="2"/>
      <c r="G393" s="2"/>
      <c r="H393" s="5" t="s">
        <v>1945</v>
      </c>
    </row>
    <row r="394" spans="1:8" ht="29" hidden="1" x14ac:dyDescent="0.35">
      <c r="A394" s="135" t="s">
        <v>3343</v>
      </c>
      <c r="B394" s="2" t="s">
        <v>5806</v>
      </c>
      <c r="C394" s="161" t="s">
        <v>7635</v>
      </c>
      <c r="D394" s="2" t="s">
        <v>7666</v>
      </c>
      <c r="E394" s="2" t="s">
        <v>7661</v>
      </c>
      <c r="F394" s="2"/>
      <c r="G394" s="2"/>
      <c r="H394" s="5" t="s">
        <v>2755</v>
      </c>
    </row>
    <row r="395" spans="1:8" hidden="1" x14ac:dyDescent="0.35">
      <c r="A395" s="135" t="s">
        <v>3343</v>
      </c>
      <c r="B395" s="2" t="s">
        <v>5806</v>
      </c>
      <c r="C395" s="161" t="s">
        <v>7635</v>
      </c>
      <c r="D395" s="2" t="s">
        <v>7666</v>
      </c>
      <c r="E395" s="2" t="s">
        <v>7668</v>
      </c>
      <c r="F395" s="2" t="s">
        <v>7669</v>
      </c>
      <c r="G395" s="2"/>
      <c r="H395" s="5" t="s">
        <v>3064</v>
      </c>
    </row>
    <row r="396" spans="1:8" hidden="1" x14ac:dyDescent="0.35">
      <c r="A396" s="136" t="s">
        <v>3343</v>
      </c>
      <c r="B396" s="161" t="s">
        <v>5806</v>
      </c>
      <c r="C396" s="161" t="s">
        <v>7635</v>
      </c>
      <c r="D396" s="2" t="s">
        <v>7666</v>
      </c>
      <c r="E396" s="2" t="s">
        <v>7668</v>
      </c>
      <c r="F396" s="2" t="s">
        <v>7670</v>
      </c>
      <c r="G396" s="2"/>
      <c r="H396" s="5" t="s">
        <v>2516</v>
      </c>
    </row>
    <row r="397" spans="1:8" ht="29" hidden="1" x14ac:dyDescent="0.35">
      <c r="A397" s="135" t="s">
        <v>3343</v>
      </c>
      <c r="B397" s="2" t="s">
        <v>5806</v>
      </c>
      <c r="C397" s="161" t="s">
        <v>7635</v>
      </c>
      <c r="D397" s="2" t="s">
        <v>7666</v>
      </c>
      <c r="E397" s="2" t="s">
        <v>7667</v>
      </c>
      <c r="F397" s="2"/>
      <c r="G397" s="2"/>
      <c r="H397" s="5" t="s">
        <v>2515</v>
      </c>
    </row>
    <row r="398" spans="1:8" hidden="1" x14ac:dyDescent="0.35">
      <c r="A398" s="135" t="s">
        <v>3343</v>
      </c>
      <c r="B398" s="2" t="s">
        <v>5806</v>
      </c>
      <c r="C398" s="161" t="s">
        <v>7635</v>
      </c>
      <c r="D398" s="2" t="s">
        <v>6011</v>
      </c>
      <c r="E398" s="2" t="s">
        <v>7661</v>
      </c>
      <c r="F398" s="2"/>
      <c r="G398" s="2"/>
      <c r="H398" s="5" t="s">
        <v>3154</v>
      </c>
    </row>
    <row r="399" spans="1:8" hidden="1" x14ac:dyDescent="0.35">
      <c r="A399" s="135" t="s">
        <v>3343</v>
      </c>
      <c r="B399" s="2" t="s">
        <v>5806</v>
      </c>
      <c r="C399" s="161" t="s">
        <v>7635</v>
      </c>
      <c r="D399" s="2" t="s">
        <v>6011</v>
      </c>
      <c r="E399" s="2" t="s">
        <v>5874</v>
      </c>
      <c r="F399" s="2"/>
      <c r="G399" s="2"/>
      <c r="H399" s="5" t="s">
        <v>6916</v>
      </c>
    </row>
    <row r="400" spans="1:8" hidden="1" x14ac:dyDescent="0.35">
      <c r="A400" s="136" t="s">
        <v>3343</v>
      </c>
      <c r="B400" s="161" t="s">
        <v>5806</v>
      </c>
      <c r="C400" s="161" t="s">
        <v>7635</v>
      </c>
      <c r="D400" s="161" t="s">
        <v>6011</v>
      </c>
      <c r="E400" s="2" t="s">
        <v>6085</v>
      </c>
      <c r="F400" s="2"/>
      <c r="G400" s="2"/>
      <c r="H400" s="5" t="s">
        <v>6917</v>
      </c>
    </row>
    <row r="401" spans="1:8" hidden="1" x14ac:dyDescent="0.35">
      <c r="A401" s="153" t="s">
        <v>3308</v>
      </c>
      <c r="B401" s="173" t="s">
        <v>5806</v>
      </c>
      <c r="C401" s="173" t="s">
        <v>7635</v>
      </c>
      <c r="D401" s="173" t="s">
        <v>6011</v>
      </c>
      <c r="E401" s="173" t="s">
        <v>7706</v>
      </c>
      <c r="F401" s="173"/>
      <c r="G401" s="2"/>
      <c r="H401" s="177" t="s">
        <v>509</v>
      </c>
    </row>
    <row r="402" spans="1:8" ht="29" hidden="1" x14ac:dyDescent="0.35">
      <c r="A402" s="135" t="s">
        <v>3920</v>
      </c>
      <c r="B402" s="2" t="s">
        <v>5806</v>
      </c>
      <c r="C402" s="161" t="s">
        <v>7635</v>
      </c>
      <c r="D402" s="2" t="s">
        <v>7686</v>
      </c>
      <c r="E402" s="2" t="s">
        <v>6129</v>
      </c>
      <c r="F402" s="2"/>
      <c r="G402" s="2"/>
      <c r="H402" s="5" t="s">
        <v>7480</v>
      </c>
    </row>
    <row r="403" spans="1:8" ht="43.5" hidden="1" x14ac:dyDescent="0.35">
      <c r="A403" s="135" t="s">
        <v>3343</v>
      </c>
      <c r="B403" s="2" t="s">
        <v>5806</v>
      </c>
      <c r="C403" s="2" t="s">
        <v>7635</v>
      </c>
      <c r="D403" s="2" t="s">
        <v>7686</v>
      </c>
      <c r="E403" s="2" t="s">
        <v>5994</v>
      </c>
      <c r="F403" s="2"/>
      <c r="G403" s="2"/>
      <c r="H403" s="5" t="s">
        <v>1892</v>
      </c>
    </row>
    <row r="404" spans="1:8" ht="29" hidden="1" x14ac:dyDescent="0.35">
      <c r="A404" s="135" t="s">
        <v>3309</v>
      </c>
      <c r="B404" s="2" t="s">
        <v>5806</v>
      </c>
      <c r="C404" s="161" t="s">
        <v>7635</v>
      </c>
      <c r="D404" s="2" t="s">
        <v>7686</v>
      </c>
      <c r="E404" s="2" t="s">
        <v>6725</v>
      </c>
      <c r="F404" s="2" t="s">
        <v>7694</v>
      </c>
      <c r="G404" s="2"/>
      <c r="H404" s="5" t="s">
        <v>274</v>
      </c>
    </row>
    <row r="405" spans="1:8" ht="43.5" hidden="1" x14ac:dyDescent="0.35">
      <c r="A405" s="135" t="s">
        <v>3309</v>
      </c>
      <c r="B405" s="2" t="s">
        <v>5806</v>
      </c>
      <c r="C405" s="161" t="s">
        <v>7635</v>
      </c>
      <c r="D405" s="2" t="s">
        <v>7686</v>
      </c>
      <c r="E405" s="2" t="s">
        <v>6725</v>
      </c>
      <c r="F405" s="2" t="s">
        <v>7695</v>
      </c>
      <c r="G405" s="2"/>
      <c r="H405" s="5" t="s">
        <v>7558</v>
      </c>
    </row>
    <row r="406" spans="1:8" ht="29" hidden="1" x14ac:dyDescent="0.35">
      <c r="A406" s="136" t="s">
        <v>3309</v>
      </c>
      <c r="B406" s="2" t="s">
        <v>5806</v>
      </c>
      <c r="C406" s="161" t="s">
        <v>7635</v>
      </c>
      <c r="D406" s="2" t="s">
        <v>7686</v>
      </c>
      <c r="E406" s="2" t="s">
        <v>6725</v>
      </c>
      <c r="F406" s="2" t="s">
        <v>5763</v>
      </c>
      <c r="G406" s="2"/>
      <c r="H406" s="5" t="s">
        <v>275</v>
      </c>
    </row>
    <row r="407" spans="1:8" hidden="1" x14ac:dyDescent="0.35">
      <c r="A407" s="136" t="s">
        <v>3309</v>
      </c>
      <c r="B407" s="2" t="s">
        <v>5806</v>
      </c>
      <c r="C407" s="161" t="s">
        <v>7635</v>
      </c>
      <c r="D407" s="2" t="s">
        <v>7686</v>
      </c>
      <c r="E407" s="2" t="s">
        <v>6725</v>
      </c>
      <c r="F407" s="2" t="s">
        <v>5943</v>
      </c>
      <c r="G407" s="2"/>
      <c r="H407" s="5" t="s">
        <v>273</v>
      </c>
    </row>
    <row r="408" spans="1:8" hidden="1" x14ac:dyDescent="0.35">
      <c r="A408" s="136" t="s">
        <v>3309</v>
      </c>
      <c r="B408" s="2" t="s">
        <v>5806</v>
      </c>
      <c r="C408" s="161" t="s">
        <v>7635</v>
      </c>
      <c r="D408" s="2" t="s">
        <v>7686</v>
      </c>
      <c r="E408" s="2" t="s">
        <v>6725</v>
      </c>
      <c r="F408" s="2" t="s">
        <v>7692</v>
      </c>
      <c r="G408" s="2"/>
      <c r="H408" s="5" t="s">
        <v>271</v>
      </c>
    </row>
    <row r="409" spans="1:8" hidden="1" x14ac:dyDescent="0.35">
      <c r="A409" s="135" t="s">
        <v>3309</v>
      </c>
      <c r="B409" s="2" t="s">
        <v>5806</v>
      </c>
      <c r="C409" s="161" t="s">
        <v>7635</v>
      </c>
      <c r="D409" s="2" t="s">
        <v>7686</v>
      </c>
      <c r="E409" s="2" t="s">
        <v>6725</v>
      </c>
      <c r="F409" s="2" t="s">
        <v>7693</v>
      </c>
      <c r="G409" s="2"/>
      <c r="H409" s="5" t="s">
        <v>272</v>
      </c>
    </row>
    <row r="410" spans="1:8" ht="43.5" hidden="1" x14ac:dyDescent="0.35">
      <c r="A410" s="136" t="s">
        <v>3309</v>
      </c>
      <c r="B410" s="2" t="s">
        <v>5806</v>
      </c>
      <c r="C410" s="2" t="s">
        <v>7635</v>
      </c>
      <c r="D410" s="2" t="s">
        <v>7686</v>
      </c>
      <c r="E410" s="2" t="s">
        <v>7704</v>
      </c>
      <c r="F410" s="2" t="s">
        <v>5874</v>
      </c>
      <c r="G410" s="2"/>
      <c r="H410" s="5" t="s">
        <v>1243</v>
      </c>
    </row>
    <row r="411" spans="1:8" hidden="1" x14ac:dyDescent="0.35">
      <c r="A411" s="136" t="s">
        <v>3803</v>
      </c>
      <c r="B411" s="2" t="s">
        <v>5806</v>
      </c>
      <c r="C411" s="2" t="s">
        <v>5967</v>
      </c>
      <c r="D411" s="2" t="s">
        <v>7680</v>
      </c>
      <c r="E411" s="2" t="s">
        <v>5959</v>
      </c>
      <c r="F411" s="2"/>
      <c r="G411" s="2"/>
      <c r="H411" s="5" t="s">
        <v>2761</v>
      </c>
    </row>
    <row r="412" spans="1:8" ht="29" hidden="1" x14ac:dyDescent="0.35">
      <c r="A412" s="136" t="s">
        <v>3803</v>
      </c>
      <c r="B412" s="2" t="s">
        <v>5806</v>
      </c>
      <c r="C412" s="2" t="s">
        <v>5967</v>
      </c>
      <c r="D412" s="2" t="s">
        <v>7680</v>
      </c>
      <c r="E412" s="2" t="s">
        <v>5772</v>
      </c>
      <c r="F412" s="2"/>
      <c r="G412" s="2"/>
      <c r="H412" s="5" t="s">
        <v>2757</v>
      </c>
    </row>
    <row r="413" spans="1:8" hidden="1" x14ac:dyDescent="0.35">
      <c r="A413" s="135" t="s">
        <v>3803</v>
      </c>
      <c r="B413" s="2" t="s">
        <v>5806</v>
      </c>
      <c r="C413" s="2" t="s">
        <v>5967</v>
      </c>
      <c r="D413" s="2" t="s">
        <v>5908</v>
      </c>
      <c r="E413" s="2"/>
      <c r="F413" s="2"/>
      <c r="G413" s="2"/>
      <c r="H413" s="5" t="s">
        <v>2844</v>
      </c>
    </row>
    <row r="414" spans="1:8" hidden="1" x14ac:dyDescent="0.35">
      <c r="A414" s="135" t="s">
        <v>3803</v>
      </c>
      <c r="B414" s="2" t="s">
        <v>5806</v>
      </c>
      <c r="C414" s="2" t="s">
        <v>5967</v>
      </c>
      <c r="D414" s="2" t="s">
        <v>7648</v>
      </c>
      <c r="E414" s="2" t="s">
        <v>5928</v>
      </c>
      <c r="F414" s="2" t="s">
        <v>6340</v>
      </c>
      <c r="G414" s="2"/>
      <c r="H414" s="5" t="s">
        <v>2908</v>
      </c>
    </row>
    <row r="415" spans="1:8" hidden="1" x14ac:dyDescent="0.35">
      <c r="A415" s="136" t="s">
        <v>3803</v>
      </c>
      <c r="B415" s="2" t="s">
        <v>5806</v>
      </c>
      <c r="C415" s="2" t="s">
        <v>5967</v>
      </c>
      <c r="D415" s="2" t="s">
        <v>7648</v>
      </c>
      <c r="E415" s="1" t="s">
        <v>5928</v>
      </c>
      <c r="F415" s="1" t="s">
        <v>7731</v>
      </c>
      <c r="G415" s="2"/>
      <c r="H415" s="5" t="s">
        <v>2346</v>
      </c>
    </row>
    <row r="416" spans="1:8" hidden="1" x14ac:dyDescent="0.35">
      <c r="A416" s="136" t="s">
        <v>3803</v>
      </c>
      <c r="B416" s="2" t="s">
        <v>5806</v>
      </c>
      <c r="C416" s="2" t="s">
        <v>5967</v>
      </c>
      <c r="D416" s="2" t="s">
        <v>7648</v>
      </c>
      <c r="E416" s="2" t="s">
        <v>7728</v>
      </c>
      <c r="F416" s="2"/>
      <c r="G416" s="2"/>
      <c r="H416" s="5" t="s">
        <v>1925</v>
      </c>
    </row>
    <row r="417" spans="1:8" hidden="1" x14ac:dyDescent="0.35">
      <c r="A417" s="135" t="s">
        <v>3308</v>
      </c>
      <c r="B417" s="2" t="s">
        <v>5806</v>
      </c>
      <c r="C417" s="2" t="s">
        <v>5967</v>
      </c>
      <c r="D417" s="2" t="s">
        <v>7648</v>
      </c>
      <c r="E417" s="2" t="s">
        <v>5835</v>
      </c>
      <c r="F417" s="2" t="s">
        <v>7707</v>
      </c>
      <c r="G417" s="2"/>
      <c r="H417" s="5" t="s">
        <v>2563</v>
      </c>
    </row>
    <row r="418" spans="1:8" hidden="1" x14ac:dyDescent="0.35">
      <c r="A418" s="135" t="s">
        <v>3308</v>
      </c>
      <c r="B418" s="2" t="s">
        <v>5806</v>
      </c>
      <c r="C418" s="2" t="s">
        <v>5967</v>
      </c>
      <c r="D418" s="2" t="s">
        <v>7648</v>
      </c>
      <c r="E418" s="2" t="s">
        <v>5835</v>
      </c>
      <c r="F418" s="2" t="s">
        <v>7708</v>
      </c>
      <c r="G418" s="2"/>
      <c r="H418" s="5" t="s">
        <v>1630</v>
      </c>
    </row>
    <row r="419" spans="1:8" hidden="1" x14ac:dyDescent="0.35">
      <c r="A419" s="136" t="s">
        <v>3308</v>
      </c>
      <c r="B419" s="2" t="s">
        <v>5806</v>
      </c>
      <c r="C419" s="2" t="s">
        <v>5967</v>
      </c>
      <c r="D419" s="2" t="s">
        <v>7648</v>
      </c>
      <c r="E419" s="2" t="s">
        <v>5835</v>
      </c>
      <c r="F419" s="2" t="s">
        <v>7712</v>
      </c>
      <c r="G419" s="2"/>
      <c r="H419" s="5" t="s">
        <v>2577</v>
      </c>
    </row>
    <row r="420" spans="1:8" hidden="1" x14ac:dyDescent="0.35">
      <c r="A420" s="135" t="s">
        <v>3803</v>
      </c>
      <c r="B420" s="2" t="s">
        <v>5806</v>
      </c>
      <c r="C420" s="2" t="s">
        <v>5967</v>
      </c>
      <c r="D420" s="2" t="s">
        <v>7648</v>
      </c>
      <c r="E420" s="2" t="s">
        <v>5960</v>
      </c>
      <c r="F420" s="2"/>
      <c r="G420" s="2"/>
      <c r="H420" s="5" t="s">
        <v>2673</v>
      </c>
    </row>
    <row r="421" spans="1:8" hidden="1" x14ac:dyDescent="0.35">
      <c r="A421" s="136" t="s">
        <v>3803</v>
      </c>
      <c r="B421" s="2" t="s">
        <v>5806</v>
      </c>
      <c r="C421" s="2" t="s">
        <v>5967</v>
      </c>
      <c r="D421" s="2" t="s">
        <v>7648</v>
      </c>
      <c r="E421" s="2" t="s">
        <v>7723</v>
      </c>
      <c r="F421" s="2" t="s">
        <v>7707</v>
      </c>
      <c r="G421" s="2"/>
      <c r="H421" s="5" t="s">
        <v>3007</v>
      </c>
    </row>
    <row r="422" spans="1:8" hidden="1" x14ac:dyDescent="0.35">
      <c r="A422" s="135" t="s">
        <v>3803</v>
      </c>
      <c r="B422" s="2" t="s">
        <v>5806</v>
      </c>
      <c r="C422" s="2" t="s">
        <v>5967</v>
      </c>
      <c r="D422" s="2" t="s">
        <v>7648</v>
      </c>
      <c r="E422" s="2" t="s">
        <v>7723</v>
      </c>
      <c r="F422" s="2" t="s">
        <v>7708</v>
      </c>
      <c r="G422" s="2"/>
      <c r="H422" s="5" t="s">
        <v>3010</v>
      </c>
    </row>
    <row r="423" spans="1:8" hidden="1" x14ac:dyDescent="0.35">
      <c r="A423" s="136" t="s">
        <v>3803</v>
      </c>
      <c r="B423" s="2" t="s">
        <v>5806</v>
      </c>
      <c r="C423" s="2" t="s">
        <v>5967</v>
      </c>
      <c r="D423" s="2" t="s">
        <v>7648</v>
      </c>
      <c r="E423" s="2" t="s">
        <v>7723</v>
      </c>
      <c r="F423" s="2" t="s">
        <v>7733</v>
      </c>
      <c r="G423" s="2"/>
      <c r="H423" s="5" t="s">
        <v>2714</v>
      </c>
    </row>
    <row r="424" spans="1:8" ht="29" hidden="1" x14ac:dyDescent="0.35">
      <c r="A424" s="136" t="s">
        <v>3803</v>
      </c>
      <c r="B424" s="2" t="s">
        <v>5806</v>
      </c>
      <c r="C424" s="2" t="s">
        <v>5967</v>
      </c>
      <c r="D424" s="2" t="s">
        <v>7648</v>
      </c>
      <c r="E424" s="2" t="s">
        <v>7707</v>
      </c>
      <c r="F424" s="2" t="s">
        <v>7732</v>
      </c>
      <c r="G424" s="2"/>
      <c r="H424" s="5" t="s">
        <v>2347</v>
      </c>
    </row>
    <row r="425" spans="1:8" ht="29" hidden="1" x14ac:dyDescent="0.35">
      <c r="A425" s="135" t="s">
        <v>3803</v>
      </c>
      <c r="B425" s="16" t="s">
        <v>5806</v>
      </c>
      <c r="C425" s="2" t="s">
        <v>5967</v>
      </c>
      <c r="D425" s="101" t="s">
        <v>7648</v>
      </c>
      <c r="E425" s="2" t="s">
        <v>7707</v>
      </c>
      <c r="F425" s="2" t="s">
        <v>7732</v>
      </c>
      <c r="G425" s="2"/>
      <c r="H425" s="5" t="s">
        <v>2494</v>
      </c>
    </row>
    <row r="426" spans="1:8" hidden="1" x14ac:dyDescent="0.35">
      <c r="A426" s="136" t="s">
        <v>3803</v>
      </c>
      <c r="B426" s="16" t="s">
        <v>5806</v>
      </c>
      <c r="C426" s="2" t="s">
        <v>5967</v>
      </c>
      <c r="D426" s="101" t="s">
        <v>7648</v>
      </c>
      <c r="E426" s="2" t="s">
        <v>7707</v>
      </c>
      <c r="F426" s="2" t="s">
        <v>7729</v>
      </c>
      <c r="G426" s="2"/>
      <c r="H426" s="5" t="s">
        <v>2294</v>
      </c>
    </row>
    <row r="427" spans="1:8" hidden="1" x14ac:dyDescent="0.35">
      <c r="A427" s="135" t="s">
        <v>3803</v>
      </c>
      <c r="B427" s="16" t="s">
        <v>5806</v>
      </c>
      <c r="C427" s="2" t="s">
        <v>5967</v>
      </c>
      <c r="D427" s="1" t="s">
        <v>7648</v>
      </c>
      <c r="E427" s="2" t="s">
        <v>7707</v>
      </c>
      <c r="F427" s="2" t="s">
        <v>5835</v>
      </c>
      <c r="G427" s="2"/>
      <c r="H427" s="5" t="s">
        <v>2564</v>
      </c>
    </row>
    <row r="428" spans="1:8" hidden="1" x14ac:dyDescent="0.35">
      <c r="A428" s="135" t="s">
        <v>3803</v>
      </c>
      <c r="B428" s="16" t="s">
        <v>5806</v>
      </c>
      <c r="C428" s="2" t="s">
        <v>5967</v>
      </c>
      <c r="D428" s="1" t="s">
        <v>7648</v>
      </c>
      <c r="E428" s="2" t="s">
        <v>7707</v>
      </c>
      <c r="F428" s="2" t="s">
        <v>6345</v>
      </c>
      <c r="G428" s="2"/>
      <c r="H428" s="5" t="s">
        <v>2349</v>
      </c>
    </row>
    <row r="429" spans="1:8" hidden="1" x14ac:dyDescent="0.35">
      <c r="A429" s="135" t="s">
        <v>3803</v>
      </c>
      <c r="B429" s="16" t="s">
        <v>5806</v>
      </c>
      <c r="C429" s="2" t="s">
        <v>5967</v>
      </c>
      <c r="D429" s="1" t="s">
        <v>7648</v>
      </c>
      <c r="E429" s="2" t="s">
        <v>7707</v>
      </c>
      <c r="F429" s="2" t="s">
        <v>7733</v>
      </c>
      <c r="G429" s="2"/>
      <c r="H429" s="5" t="s">
        <v>2557</v>
      </c>
    </row>
    <row r="430" spans="1:8" ht="29" hidden="1" x14ac:dyDescent="0.35">
      <c r="A430" s="136" t="s">
        <v>3803</v>
      </c>
      <c r="B430" s="16" t="s">
        <v>5806</v>
      </c>
      <c r="C430" s="2" t="s">
        <v>5967</v>
      </c>
      <c r="D430" s="1" t="s">
        <v>7648</v>
      </c>
      <c r="E430" s="2" t="s">
        <v>7707</v>
      </c>
      <c r="F430" s="2" t="s">
        <v>7733</v>
      </c>
      <c r="G430" s="2"/>
      <c r="H430" s="5" t="s">
        <v>2807</v>
      </c>
    </row>
    <row r="431" spans="1:8" hidden="1" x14ac:dyDescent="0.35">
      <c r="A431" s="136" t="s">
        <v>3803</v>
      </c>
      <c r="B431" s="16" t="s">
        <v>5806</v>
      </c>
      <c r="C431" s="2" t="s">
        <v>5967</v>
      </c>
      <c r="D431" s="2" t="s">
        <v>7648</v>
      </c>
      <c r="E431" s="2" t="s">
        <v>7707</v>
      </c>
      <c r="F431" s="2"/>
      <c r="G431" s="2"/>
      <c r="H431" s="5" t="s">
        <v>115</v>
      </c>
    </row>
    <row r="432" spans="1:8" ht="29" hidden="1" x14ac:dyDescent="0.35">
      <c r="A432" s="135" t="s">
        <v>3803</v>
      </c>
      <c r="B432" s="16" t="s">
        <v>5806</v>
      </c>
      <c r="C432" s="2" t="s">
        <v>5967</v>
      </c>
      <c r="D432" s="2" t="s">
        <v>7648</v>
      </c>
      <c r="E432" s="2" t="s">
        <v>7710</v>
      </c>
      <c r="F432" s="2"/>
      <c r="G432" s="2"/>
      <c r="H432" s="5" t="s">
        <v>3265</v>
      </c>
    </row>
    <row r="433" spans="1:8" hidden="1" x14ac:dyDescent="0.35">
      <c r="A433" s="136" t="s">
        <v>3803</v>
      </c>
      <c r="B433" s="16" t="s">
        <v>5806</v>
      </c>
      <c r="C433" s="2" t="s">
        <v>5967</v>
      </c>
      <c r="D433" s="2" t="s">
        <v>7648</v>
      </c>
      <c r="E433" s="2" t="s">
        <v>7708</v>
      </c>
      <c r="F433" s="2"/>
      <c r="G433" s="2"/>
      <c r="H433" s="5" t="s">
        <v>1075</v>
      </c>
    </row>
    <row r="434" spans="1:8" hidden="1" x14ac:dyDescent="0.35">
      <c r="A434" s="136" t="s">
        <v>3803</v>
      </c>
      <c r="B434" s="16" t="s">
        <v>5806</v>
      </c>
      <c r="C434" s="100" t="s">
        <v>5967</v>
      </c>
      <c r="D434" s="2" t="s">
        <v>7648</v>
      </c>
      <c r="E434" s="2" t="s">
        <v>7712</v>
      </c>
      <c r="F434" s="2"/>
      <c r="G434" s="2"/>
      <c r="H434" s="5" t="s">
        <v>1627</v>
      </c>
    </row>
    <row r="435" spans="1:8" ht="29" hidden="1" x14ac:dyDescent="0.35">
      <c r="A435" s="136" t="s">
        <v>4044</v>
      </c>
      <c r="B435" s="16" t="s">
        <v>5806</v>
      </c>
      <c r="C435" s="100" t="s">
        <v>5967</v>
      </c>
      <c r="D435" s="2" t="s">
        <v>7648</v>
      </c>
      <c r="E435" s="2" t="s">
        <v>5935</v>
      </c>
      <c r="F435" s="2" t="s">
        <v>7749</v>
      </c>
      <c r="G435" s="2"/>
      <c r="H435" s="5" t="s">
        <v>54</v>
      </c>
    </row>
    <row r="436" spans="1:8" ht="29" hidden="1" x14ac:dyDescent="0.35">
      <c r="A436" s="136" t="s">
        <v>3332</v>
      </c>
      <c r="B436" s="117" t="s">
        <v>5806</v>
      </c>
      <c r="C436" s="100" t="s">
        <v>5967</v>
      </c>
      <c r="D436" s="2" t="s">
        <v>7648</v>
      </c>
      <c r="E436" s="2" t="s">
        <v>5935</v>
      </c>
      <c r="F436" s="2"/>
      <c r="G436" s="2"/>
      <c r="H436" s="5" t="s">
        <v>3025</v>
      </c>
    </row>
    <row r="437" spans="1:8" ht="29" hidden="1" x14ac:dyDescent="0.35">
      <c r="A437" s="136" t="s">
        <v>3803</v>
      </c>
      <c r="B437" s="16" t="s">
        <v>5806</v>
      </c>
      <c r="C437" s="100" t="s">
        <v>5967</v>
      </c>
      <c r="D437" s="2" t="s">
        <v>7648</v>
      </c>
      <c r="E437" s="2" t="s">
        <v>7736</v>
      </c>
      <c r="F437" s="2" t="s">
        <v>6008</v>
      </c>
      <c r="G437" s="2"/>
      <c r="H437" s="5" t="s">
        <v>7363</v>
      </c>
    </row>
    <row r="438" spans="1:8" ht="29" hidden="1" x14ac:dyDescent="0.35">
      <c r="A438" s="136" t="s">
        <v>3803</v>
      </c>
      <c r="B438" s="16" t="s">
        <v>5806</v>
      </c>
      <c r="C438" s="2" t="s">
        <v>5967</v>
      </c>
      <c r="D438" s="2" t="s">
        <v>7648</v>
      </c>
      <c r="E438" s="2" t="s">
        <v>7736</v>
      </c>
      <c r="F438" s="2" t="s">
        <v>7726</v>
      </c>
      <c r="G438" s="2"/>
      <c r="H438" s="5" t="s">
        <v>7342</v>
      </c>
    </row>
    <row r="439" spans="1:8" ht="29" hidden="1" x14ac:dyDescent="0.35">
      <c r="A439" s="135" t="s">
        <v>3803</v>
      </c>
      <c r="B439" s="16" t="s">
        <v>5806</v>
      </c>
      <c r="C439" s="2" t="s">
        <v>5967</v>
      </c>
      <c r="D439" s="2" t="s">
        <v>7648</v>
      </c>
      <c r="E439" s="2" t="s">
        <v>7736</v>
      </c>
      <c r="F439" s="2" t="s">
        <v>7727</v>
      </c>
      <c r="G439" s="2"/>
      <c r="H439" s="5" t="s">
        <v>7343</v>
      </c>
    </row>
    <row r="440" spans="1:8" hidden="1" x14ac:dyDescent="0.35">
      <c r="A440" s="136" t="s">
        <v>3803</v>
      </c>
      <c r="B440" s="16" t="s">
        <v>5806</v>
      </c>
      <c r="C440" s="100" t="s">
        <v>5967</v>
      </c>
      <c r="D440" s="2" t="s">
        <v>7648</v>
      </c>
      <c r="E440" s="2" t="s">
        <v>7736</v>
      </c>
      <c r="F440" s="2" t="s">
        <v>7734</v>
      </c>
      <c r="G440" s="2"/>
      <c r="H440" s="5" t="s">
        <v>2559</v>
      </c>
    </row>
    <row r="441" spans="1:8" ht="29" hidden="1" x14ac:dyDescent="0.35">
      <c r="A441" s="136" t="s">
        <v>3803</v>
      </c>
      <c r="B441" s="16" t="s">
        <v>5806</v>
      </c>
      <c r="C441" s="100" t="s">
        <v>5967</v>
      </c>
      <c r="D441" s="2" t="s">
        <v>7648</v>
      </c>
      <c r="E441" s="2" t="s">
        <v>7736</v>
      </c>
      <c r="F441" s="2" t="s">
        <v>7721</v>
      </c>
      <c r="G441" s="2"/>
      <c r="H441" s="5" t="s">
        <v>7333</v>
      </c>
    </row>
    <row r="442" spans="1:8" ht="29" hidden="1" x14ac:dyDescent="0.35">
      <c r="A442" s="135" t="s">
        <v>3803</v>
      </c>
      <c r="B442" s="16" t="s">
        <v>5806</v>
      </c>
      <c r="C442" s="100" t="s">
        <v>5967</v>
      </c>
      <c r="D442" s="2" t="s">
        <v>7648</v>
      </c>
      <c r="E442" s="2" t="s">
        <v>7736</v>
      </c>
      <c r="F442" s="2" t="s">
        <v>7735</v>
      </c>
      <c r="G442" s="2"/>
      <c r="H442" s="5" t="s">
        <v>2560</v>
      </c>
    </row>
    <row r="443" spans="1:8" ht="29" hidden="1" x14ac:dyDescent="0.35">
      <c r="A443" s="135" t="s">
        <v>3803</v>
      </c>
      <c r="B443" s="16" t="s">
        <v>5806</v>
      </c>
      <c r="C443" s="100" t="s">
        <v>5967</v>
      </c>
      <c r="D443" s="2" t="s">
        <v>7648</v>
      </c>
      <c r="E443" s="2" t="s">
        <v>7736</v>
      </c>
      <c r="F443" s="2" t="s">
        <v>7725</v>
      </c>
      <c r="G443" s="2"/>
      <c r="H443" s="5" t="s">
        <v>1657</v>
      </c>
    </row>
    <row r="444" spans="1:8" ht="29" hidden="1" x14ac:dyDescent="0.35">
      <c r="A444" s="135" t="s">
        <v>3803</v>
      </c>
      <c r="B444" s="16" t="s">
        <v>5806</v>
      </c>
      <c r="C444" s="100" t="s">
        <v>5967</v>
      </c>
      <c r="D444" s="2" t="s">
        <v>7648</v>
      </c>
      <c r="E444" s="2" t="s">
        <v>7736</v>
      </c>
      <c r="F444" s="2" t="s">
        <v>7722</v>
      </c>
      <c r="G444" s="2"/>
      <c r="H444" s="5" t="s">
        <v>1621</v>
      </c>
    </row>
    <row r="445" spans="1:8" ht="29" hidden="1" x14ac:dyDescent="0.35">
      <c r="A445" s="136" t="s">
        <v>3803</v>
      </c>
      <c r="B445" s="16" t="s">
        <v>5806</v>
      </c>
      <c r="C445" s="2" t="s">
        <v>5967</v>
      </c>
      <c r="D445" s="2" t="s">
        <v>7648</v>
      </c>
      <c r="E445" s="2" t="s">
        <v>7736</v>
      </c>
      <c r="F445" s="2" t="s">
        <v>7737</v>
      </c>
      <c r="G445" s="2"/>
      <c r="H445" s="5" t="s">
        <v>2630</v>
      </c>
    </row>
    <row r="446" spans="1:8" ht="29" hidden="1" x14ac:dyDescent="0.35">
      <c r="A446" s="135" t="s">
        <v>3803</v>
      </c>
      <c r="B446" s="16" t="s">
        <v>5806</v>
      </c>
      <c r="C446" s="2" t="s">
        <v>5967</v>
      </c>
      <c r="D446" s="2" t="s">
        <v>7648</v>
      </c>
      <c r="E446" s="2" t="s">
        <v>7736</v>
      </c>
      <c r="F446" s="2" t="s">
        <v>6358</v>
      </c>
      <c r="G446" s="2"/>
      <c r="H446" s="5" t="s">
        <v>2629</v>
      </c>
    </row>
    <row r="447" spans="1:8" ht="29" hidden="1" x14ac:dyDescent="0.35">
      <c r="A447" s="135" t="s">
        <v>3803</v>
      </c>
      <c r="B447" s="2" t="s">
        <v>5806</v>
      </c>
      <c r="C447" s="2" t="s">
        <v>5967</v>
      </c>
      <c r="D447" s="2" t="s">
        <v>7648</v>
      </c>
      <c r="E447" s="2" t="s">
        <v>7736</v>
      </c>
      <c r="F447" s="2" t="s">
        <v>5874</v>
      </c>
      <c r="G447" s="2"/>
      <c r="H447" s="5" t="s">
        <v>7362</v>
      </c>
    </row>
    <row r="448" spans="1:8" hidden="1" x14ac:dyDescent="0.35">
      <c r="A448" s="135" t="s">
        <v>3803</v>
      </c>
      <c r="B448" s="2" t="s">
        <v>5806</v>
      </c>
      <c r="C448" s="2" t="s">
        <v>5967</v>
      </c>
      <c r="D448" s="2" t="s">
        <v>7648</v>
      </c>
      <c r="E448" s="2" t="s">
        <v>7715</v>
      </c>
      <c r="F448" s="2" t="s">
        <v>7716</v>
      </c>
      <c r="G448" s="2"/>
      <c r="H448" s="5" t="s">
        <v>279</v>
      </c>
    </row>
    <row r="449" spans="1:8" hidden="1" x14ac:dyDescent="0.35">
      <c r="A449" s="136" t="s">
        <v>3803</v>
      </c>
      <c r="B449" s="2" t="s">
        <v>5806</v>
      </c>
      <c r="C449" s="2" t="s">
        <v>5967</v>
      </c>
      <c r="D449" s="2" t="s">
        <v>7648</v>
      </c>
      <c r="E449" s="2" t="s">
        <v>7715</v>
      </c>
      <c r="F449" s="2" t="s">
        <v>7717</v>
      </c>
      <c r="G449" s="2"/>
      <c r="H449" s="5" t="s">
        <v>516</v>
      </c>
    </row>
    <row r="450" spans="1:8" ht="58" hidden="1" x14ac:dyDescent="0.35">
      <c r="A450" s="136" t="s">
        <v>3803</v>
      </c>
      <c r="B450" s="2" t="s">
        <v>5806</v>
      </c>
      <c r="C450" s="2" t="s">
        <v>5967</v>
      </c>
      <c r="D450" s="2" t="s">
        <v>7648</v>
      </c>
      <c r="E450" s="2" t="s">
        <v>7715</v>
      </c>
      <c r="F450" s="2"/>
      <c r="G450" s="2"/>
      <c r="H450" s="5" t="s">
        <v>277</v>
      </c>
    </row>
    <row r="451" spans="1:8" ht="43.5" hidden="1" x14ac:dyDescent="0.35">
      <c r="A451" s="135" t="s">
        <v>3803</v>
      </c>
      <c r="B451" s="2" t="s">
        <v>5806</v>
      </c>
      <c r="C451" s="2" t="s">
        <v>5967</v>
      </c>
      <c r="D451" s="2" t="s">
        <v>7648</v>
      </c>
      <c r="E451" s="2" t="s">
        <v>7720</v>
      </c>
      <c r="F451" s="2" t="s">
        <v>6029</v>
      </c>
      <c r="G451" s="2"/>
      <c r="H451" s="5" t="s">
        <v>518</v>
      </c>
    </row>
    <row r="452" spans="1:8" ht="29" hidden="1" x14ac:dyDescent="0.35">
      <c r="A452" s="135" t="s">
        <v>3332</v>
      </c>
      <c r="B452" s="2" t="s">
        <v>5806</v>
      </c>
      <c r="C452" s="2" t="s">
        <v>5967</v>
      </c>
      <c r="D452" s="2" t="s">
        <v>7648</v>
      </c>
      <c r="E452" s="2" t="s">
        <v>7824</v>
      </c>
      <c r="F452" s="2"/>
      <c r="G452" s="2"/>
      <c r="H452" s="5" t="s">
        <v>2961</v>
      </c>
    </row>
    <row r="453" spans="1:8" ht="29" hidden="1" x14ac:dyDescent="0.35">
      <c r="A453" s="135" t="s">
        <v>3803</v>
      </c>
      <c r="B453" s="2" t="s">
        <v>5806</v>
      </c>
      <c r="C453" s="2" t="s">
        <v>5967</v>
      </c>
      <c r="D453" s="2" t="s">
        <v>7709</v>
      </c>
      <c r="E453" s="2" t="s">
        <v>7707</v>
      </c>
      <c r="F453" s="2"/>
      <c r="G453" s="2"/>
      <c r="H453" s="5" t="s">
        <v>1253</v>
      </c>
    </row>
    <row r="454" spans="1:8" hidden="1" x14ac:dyDescent="0.35">
      <c r="A454" s="135" t="s">
        <v>3803</v>
      </c>
      <c r="B454" s="2" t="s">
        <v>5806</v>
      </c>
      <c r="C454" s="2" t="s">
        <v>5967</v>
      </c>
      <c r="D454" s="2" t="s">
        <v>7709</v>
      </c>
      <c r="E454" s="2" t="s">
        <v>7711</v>
      </c>
      <c r="F454" s="2"/>
      <c r="G454" s="2"/>
      <c r="H454" s="5" t="s">
        <v>1442</v>
      </c>
    </row>
    <row r="455" spans="1:8" hidden="1" x14ac:dyDescent="0.35">
      <c r="A455" s="136" t="s">
        <v>3803</v>
      </c>
      <c r="B455" s="2" t="s">
        <v>5806</v>
      </c>
      <c r="C455" s="2" t="s">
        <v>5967</v>
      </c>
      <c r="D455" s="2" t="s">
        <v>7709</v>
      </c>
      <c r="E455" s="2" t="s">
        <v>7708</v>
      </c>
      <c r="F455" s="2"/>
      <c r="G455" s="2"/>
      <c r="H455" s="5" t="s">
        <v>1257</v>
      </c>
    </row>
    <row r="456" spans="1:8" hidden="1" x14ac:dyDescent="0.35">
      <c r="A456" s="136" t="s">
        <v>3803</v>
      </c>
      <c r="B456" s="2" t="s">
        <v>5806</v>
      </c>
      <c r="C456" s="2" t="s">
        <v>5967</v>
      </c>
      <c r="D456" s="2" t="s">
        <v>7709</v>
      </c>
      <c r="E456" s="2" t="s">
        <v>7712</v>
      </c>
      <c r="F456" s="2"/>
      <c r="G456" s="2"/>
      <c r="H456" s="5" t="s">
        <v>1195</v>
      </c>
    </row>
    <row r="457" spans="1:8" ht="29" hidden="1" x14ac:dyDescent="0.35">
      <c r="A457" s="136" t="s">
        <v>3803</v>
      </c>
      <c r="B457" s="2" t="s">
        <v>5806</v>
      </c>
      <c r="C457" s="2" t="s">
        <v>5967</v>
      </c>
      <c r="D457" s="2" t="s">
        <v>7709</v>
      </c>
      <c r="E457" s="2" t="s">
        <v>7736</v>
      </c>
      <c r="F457" s="2" t="s">
        <v>7724</v>
      </c>
      <c r="G457" s="2"/>
      <c r="H457" s="5" t="s">
        <v>1255</v>
      </c>
    </row>
    <row r="458" spans="1:8" ht="29" hidden="1" x14ac:dyDescent="0.35">
      <c r="A458" s="135" t="s">
        <v>3803</v>
      </c>
      <c r="B458" s="2" t="s">
        <v>5806</v>
      </c>
      <c r="C458" s="2" t="s">
        <v>5967</v>
      </c>
      <c r="D458" s="2" t="s">
        <v>7709</v>
      </c>
      <c r="E458" s="2" t="s">
        <v>7736</v>
      </c>
      <c r="F458" s="2" t="s">
        <v>7721</v>
      </c>
      <c r="G458" s="2"/>
      <c r="H458" s="5" t="s">
        <v>7332</v>
      </c>
    </row>
    <row r="459" spans="1:8" ht="29" hidden="1" x14ac:dyDescent="0.35">
      <c r="A459" s="135" t="s">
        <v>3803</v>
      </c>
      <c r="B459" s="2" t="s">
        <v>5806</v>
      </c>
      <c r="C459" s="2" t="s">
        <v>5967</v>
      </c>
      <c r="D459" s="2" t="s">
        <v>7709</v>
      </c>
      <c r="E459" s="2" t="s">
        <v>7715</v>
      </c>
      <c r="F459" s="2"/>
      <c r="G459" s="2"/>
      <c r="H459" s="5" t="s">
        <v>1288</v>
      </c>
    </row>
    <row r="460" spans="1:8" ht="29" hidden="1" x14ac:dyDescent="0.35">
      <c r="A460" s="135" t="s">
        <v>3803</v>
      </c>
      <c r="B460" s="2" t="s">
        <v>5806</v>
      </c>
      <c r="C460" s="2" t="s">
        <v>5967</v>
      </c>
      <c r="D460" s="2" t="s">
        <v>7713</v>
      </c>
      <c r="E460" s="2" t="s">
        <v>7714</v>
      </c>
      <c r="F460" s="2"/>
      <c r="G460" s="2"/>
      <c r="H460" s="5" t="s">
        <v>1628</v>
      </c>
    </row>
    <row r="461" spans="1:8" hidden="1" x14ac:dyDescent="0.35">
      <c r="A461" s="135" t="s">
        <v>3851</v>
      </c>
      <c r="B461" s="2" t="s">
        <v>5806</v>
      </c>
      <c r="C461" s="2" t="s">
        <v>5967</v>
      </c>
      <c r="D461" s="2" t="s">
        <v>6402</v>
      </c>
      <c r="E461" s="2"/>
      <c r="F461" s="2"/>
      <c r="G461" s="2"/>
      <c r="H461" s="5" t="s">
        <v>1614</v>
      </c>
    </row>
    <row r="462" spans="1:8" hidden="1" x14ac:dyDescent="0.35">
      <c r="A462" s="135" t="s">
        <v>3803</v>
      </c>
      <c r="B462" s="2" t="s">
        <v>5806</v>
      </c>
      <c r="C462" s="2" t="s">
        <v>5967</v>
      </c>
      <c r="D462" s="2" t="s">
        <v>7718</v>
      </c>
      <c r="E462" s="2" t="s">
        <v>7728</v>
      </c>
      <c r="F462" s="2"/>
      <c r="G462" s="2"/>
      <c r="H462" s="5" t="s">
        <v>1924</v>
      </c>
    </row>
    <row r="463" spans="1:8" hidden="1" x14ac:dyDescent="0.35">
      <c r="A463" s="136" t="s">
        <v>3308</v>
      </c>
      <c r="B463" s="2" t="s">
        <v>5806</v>
      </c>
      <c r="C463" s="2" t="s">
        <v>5967</v>
      </c>
      <c r="D463" s="2" t="s">
        <v>7718</v>
      </c>
      <c r="E463" s="2" t="s">
        <v>5835</v>
      </c>
      <c r="F463" s="2"/>
      <c r="G463" s="2"/>
      <c r="H463" s="5" t="s">
        <v>2909</v>
      </c>
    </row>
    <row r="464" spans="1:8" ht="29" hidden="1" x14ac:dyDescent="0.35">
      <c r="A464" s="135" t="s">
        <v>3803</v>
      </c>
      <c r="B464" s="2" t="s">
        <v>5806</v>
      </c>
      <c r="C464" s="2" t="s">
        <v>5967</v>
      </c>
      <c r="D464" s="2" t="s">
        <v>7718</v>
      </c>
      <c r="E464" s="2" t="s">
        <v>7730</v>
      </c>
      <c r="F464" s="2"/>
      <c r="G464" s="2"/>
      <c r="H464" s="5" t="s">
        <v>2344</v>
      </c>
    </row>
    <row r="465" spans="1:8" hidden="1" x14ac:dyDescent="0.35">
      <c r="A465" s="135" t="s">
        <v>3803</v>
      </c>
      <c r="B465" s="2" t="s">
        <v>5806</v>
      </c>
      <c r="C465" s="2" t="s">
        <v>5967</v>
      </c>
      <c r="D465" s="2" t="s">
        <v>7718</v>
      </c>
      <c r="E465" s="2" t="s">
        <v>7723</v>
      </c>
      <c r="F465" s="2" t="s">
        <v>7707</v>
      </c>
      <c r="G465" s="2"/>
      <c r="H465" s="5" t="s">
        <v>3031</v>
      </c>
    </row>
    <row r="466" spans="1:8" hidden="1" x14ac:dyDescent="0.35">
      <c r="A466" s="136" t="s">
        <v>3803</v>
      </c>
      <c r="B466" s="2" t="s">
        <v>5806</v>
      </c>
      <c r="C466" s="2" t="s">
        <v>5967</v>
      </c>
      <c r="D466" s="2" t="s">
        <v>7718</v>
      </c>
      <c r="E466" s="2" t="s">
        <v>7723</v>
      </c>
      <c r="F466" s="2" t="s">
        <v>7708</v>
      </c>
      <c r="G466" s="2"/>
      <c r="H466" s="5" t="s">
        <v>803</v>
      </c>
    </row>
    <row r="467" spans="1:8" hidden="1" x14ac:dyDescent="0.35">
      <c r="A467" s="136" t="s">
        <v>3803</v>
      </c>
      <c r="B467" s="2" t="s">
        <v>5806</v>
      </c>
      <c r="C467" s="2" t="s">
        <v>5967</v>
      </c>
      <c r="D467" s="2" t="s">
        <v>7718</v>
      </c>
      <c r="E467" s="2" t="s">
        <v>7707</v>
      </c>
      <c r="F467" s="2" t="s">
        <v>7719</v>
      </c>
      <c r="G467" s="2"/>
      <c r="H467" s="5" t="s">
        <v>2802</v>
      </c>
    </row>
    <row r="468" spans="1:8" ht="29" hidden="1" x14ac:dyDescent="0.35">
      <c r="A468" s="135" t="s">
        <v>3803</v>
      </c>
      <c r="B468" s="2" t="s">
        <v>5806</v>
      </c>
      <c r="C468" s="2" t="s">
        <v>5967</v>
      </c>
      <c r="D468" s="2" t="s">
        <v>7718</v>
      </c>
      <c r="E468" s="2" t="s">
        <v>7707</v>
      </c>
      <c r="F468" s="2"/>
      <c r="G468" s="2"/>
      <c r="H468" s="5" t="s">
        <v>511</v>
      </c>
    </row>
    <row r="469" spans="1:8" ht="29" hidden="1" x14ac:dyDescent="0.35">
      <c r="A469" s="136" t="s">
        <v>4044</v>
      </c>
      <c r="B469" s="2" t="s">
        <v>6443</v>
      </c>
      <c r="C469" s="2" t="s">
        <v>6147</v>
      </c>
      <c r="D469" s="2" t="s">
        <v>7648</v>
      </c>
      <c r="E469" s="2" t="s">
        <v>7653</v>
      </c>
      <c r="F469" s="2"/>
      <c r="G469" s="2"/>
      <c r="H469" s="5" t="s">
        <v>124</v>
      </c>
    </row>
    <row r="470" spans="1:8" hidden="1" x14ac:dyDescent="0.35">
      <c r="A470" s="135" t="s">
        <v>4044</v>
      </c>
      <c r="B470" s="2" t="s">
        <v>6443</v>
      </c>
      <c r="C470" s="2" t="s">
        <v>6147</v>
      </c>
      <c r="D470" s="2" t="s">
        <v>5855</v>
      </c>
      <c r="E470" s="2" t="s">
        <v>7653</v>
      </c>
      <c r="F470" s="2"/>
      <c r="G470" s="2"/>
      <c r="H470" s="5" t="s">
        <v>125</v>
      </c>
    </row>
    <row r="471" spans="1:8" hidden="1" x14ac:dyDescent="0.35">
      <c r="A471" s="136" t="s">
        <v>4044</v>
      </c>
      <c r="B471" s="2" t="s">
        <v>6443</v>
      </c>
      <c r="C471" s="2" t="s">
        <v>6147</v>
      </c>
      <c r="D471" s="2" t="s">
        <v>5855</v>
      </c>
      <c r="E471" s="2" t="s">
        <v>7653</v>
      </c>
      <c r="F471" s="2"/>
      <c r="G471" s="2"/>
      <c r="H471" s="5" t="s">
        <v>175</v>
      </c>
    </row>
    <row r="472" spans="1:8" ht="29" hidden="1" x14ac:dyDescent="0.35">
      <c r="A472" s="135" t="s">
        <v>3309</v>
      </c>
      <c r="B472" s="2" t="s">
        <v>6443</v>
      </c>
      <c r="C472" s="2" t="s">
        <v>6224</v>
      </c>
      <c r="D472" s="2" t="s">
        <v>6299</v>
      </c>
      <c r="E472" s="2" t="s">
        <v>6300</v>
      </c>
      <c r="F472" s="2" t="s">
        <v>6755</v>
      </c>
      <c r="G472" s="2"/>
      <c r="H472" s="5" t="s">
        <v>2983</v>
      </c>
    </row>
    <row r="473" spans="1:8" ht="29" hidden="1" x14ac:dyDescent="0.35">
      <c r="A473" s="136" t="s">
        <v>3309</v>
      </c>
      <c r="B473" s="2" t="s">
        <v>6443</v>
      </c>
      <c r="C473" s="2" t="s">
        <v>6224</v>
      </c>
      <c r="D473" s="2" t="s">
        <v>6299</v>
      </c>
      <c r="E473" s="2" t="s">
        <v>6300</v>
      </c>
      <c r="F473" s="2" t="s">
        <v>6754</v>
      </c>
      <c r="G473" s="2"/>
      <c r="H473" s="5" t="s">
        <v>2519</v>
      </c>
    </row>
    <row r="474" spans="1:8" ht="29" hidden="1" x14ac:dyDescent="0.35">
      <c r="A474" s="136" t="s">
        <v>4047</v>
      </c>
      <c r="B474" s="2" t="s">
        <v>6443</v>
      </c>
      <c r="C474" s="2" t="s">
        <v>6029</v>
      </c>
      <c r="D474" s="2" t="s">
        <v>6406</v>
      </c>
      <c r="E474" s="2" t="s">
        <v>7802</v>
      </c>
      <c r="F474" s="2"/>
      <c r="G474" s="2"/>
      <c r="H474" s="5" t="s">
        <v>43</v>
      </c>
    </row>
    <row r="475" spans="1:8" ht="29" hidden="1" x14ac:dyDescent="0.35">
      <c r="A475" s="135" t="s">
        <v>4047</v>
      </c>
      <c r="B475" s="2" t="s">
        <v>6443</v>
      </c>
      <c r="C475" s="2" t="s">
        <v>6029</v>
      </c>
      <c r="D475" s="2" t="s">
        <v>6406</v>
      </c>
      <c r="E475" s="2" t="s">
        <v>7803</v>
      </c>
      <c r="F475" s="2"/>
      <c r="G475" s="2"/>
      <c r="H475" s="5" t="s">
        <v>41</v>
      </c>
    </row>
    <row r="476" spans="1:8" ht="29" hidden="1" x14ac:dyDescent="0.35">
      <c r="A476" s="135" t="s">
        <v>4047</v>
      </c>
      <c r="B476" s="2" t="s">
        <v>6443</v>
      </c>
      <c r="C476" s="2" t="s">
        <v>6029</v>
      </c>
      <c r="D476" s="2" t="s">
        <v>7760</v>
      </c>
      <c r="E476" s="2"/>
      <c r="F476" s="2"/>
      <c r="G476" s="2"/>
      <c r="H476" s="5" t="s">
        <v>2865</v>
      </c>
    </row>
    <row r="477" spans="1:8" hidden="1" x14ac:dyDescent="0.35">
      <c r="A477" s="136" t="s">
        <v>3332</v>
      </c>
      <c r="B477" s="161" t="s">
        <v>6443</v>
      </c>
      <c r="C477" s="161" t="s">
        <v>5936</v>
      </c>
      <c r="D477" s="161" t="s">
        <v>7652</v>
      </c>
      <c r="E477" s="2" t="s">
        <v>5967</v>
      </c>
      <c r="F477" s="2"/>
      <c r="G477" s="2"/>
      <c r="H477" s="5" t="s">
        <v>2877</v>
      </c>
    </row>
    <row r="478" spans="1:8" ht="29" hidden="1" x14ac:dyDescent="0.35">
      <c r="A478" s="136" t="s">
        <v>3920</v>
      </c>
      <c r="B478" s="2" t="s">
        <v>6443</v>
      </c>
      <c r="C478" s="161" t="s">
        <v>5936</v>
      </c>
      <c r="D478" s="2" t="s">
        <v>5953</v>
      </c>
      <c r="E478" s="2" t="s">
        <v>6129</v>
      </c>
      <c r="F478" s="2"/>
      <c r="G478" s="2"/>
      <c r="H478" s="5" t="s">
        <v>7481</v>
      </c>
    </row>
    <row r="479" spans="1:8" ht="29" hidden="1" x14ac:dyDescent="0.35">
      <c r="A479" s="136" t="s">
        <v>3332</v>
      </c>
      <c r="B479" s="161" t="s">
        <v>6443</v>
      </c>
      <c r="C479" s="161" t="s">
        <v>5936</v>
      </c>
      <c r="D479" s="161" t="s">
        <v>7651</v>
      </c>
      <c r="E479" s="2" t="s">
        <v>5967</v>
      </c>
      <c r="F479" s="2"/>
      <c r="G479" s="2"/>
      <c r="H479" s="5" t="s">
        <v>2873</v>
      </c>
    </row>
    <row r="480" spans="1:8" ht="29" hidden="1" x14ac:dyDescent="0.35">
      <c r="A480" s="153" t="s">
        <v>3533</v>
      </c>
      <c r="B480" s="2" t="s">
        <v>6443</v>
      </c>
      <c r="C480" s="2" t="s">
        <v>5936</v>
      </c>
      <c r="D480" s="2" t="s">
        <v>7650</v>
      </c>
      <c r="E480" s="2" t="s">
        <v>5967</v>
      </c>
      <c r="F480" s="2"/>
      <c r="G480" s="2"/>
      <c r="H480" s="5" t="s">
        <v>2876</v>
      </c>
    </row>
    <row r="481" spans="1:8" hidden="1" x14ac:dyDescent="0.35">
      <c r="A481" s="153" t="s">
        <v>3533</v>
      </c>
      <c r="B481" s="2" t="s">
        <v>6443</v>
      </c>
      <c r="C481" s="2" t="s">
        <v>5936</v>
      </c>
      <c r="D481" s="2" t="s">
        <v>7649</v>
      </c>
      <c r="E481" s="2" t="s">
        <v>5967</v>
      </c>
      <c r="F481" s="2"/>
      <c r="G481" s="2"/>
      <c r="H481" s="5" t="s">
        <v>2875</v>
      </c>
    </row>
    <row r="482" spans="1:8" hidden="1" x14ac:dyDescent="0.35">
      <c r="A482" s="135" t="s">
        <v>3343</v>
      </c>
      <c r="B482" s="2" t="s">
        <v>6443</v>
      </c>
      <c r="C482" s="2" t="s">
        <v>5936</v>
      </c>
      <c r="D482" s="2" t="s">
        <v>7632</v>
      </c>
      <c r="E482" s="2" t="s">
        <v>5967</v>
      </c>
      <c r="F482" s="2"/>
      <c r="G482" s="2"/>
      <c r="H482" s="5" t="s">
        <v>2874</v>
      </c>
    </row>
    <row r="483" spans="1:8" hidden="1" x14ac:dyDescent="0.35">
      <c r="A483" s="135" t="s">
        <v>3332</v>
      </c>
      <c r="B483" s="2" t="s">
        <v>6443</v>
      </c>
      <c r="C483" s="2" t="s">
        <v>5936</v>
      </c>
      <c r="D483" s="100" t="s">
        <v>5816</v>
      </c>
      <c r="E483" s="2" t="s">
        <v>5855</v>
      </c>
      <c r="F483" s="2"/>
      <c r="G483" s="2"/>
      <c r="H483" s="5" t="s">
        <v>109</v>
      </c>
    </row>
    <row r="484" spans="1:8" ht="29" hidden="1" x14ac:dyDescent="0.35">
      <c r="A484" s="181" t="s">
        <v>3332</v>
      </c>
      <c r="B484" s="169" t="s">
        <v>6443</v>
      </c>
      <c r="C484" s="2" t="s">
        <v>5936</v>
      </c>
      <c r="D484" s="175" t="s">
        <v>5901</v>
      </c>
      <c r="E484" s="169" t="s">
        <v>5902</v>
      </c>
      <c r="F484" s="169" t="s">
        <v>5845</v>
      </c>
      <c r="G484" s="169"/>
      <c r="H484" s="76" t="s">
        <v>1878</v>
      </c>
    </row>
    <row r="485" spans="1:8" ht="29" hidden="1" x14ac:dyDescent="0.35">
      <c r="A485" s="136" t="s">
        <v>3343</v>
      </c>
      <c r="B485" s="161" t="s">
        <v>6443</v>
      </c>
      <c r="C485" s="161" t="s">
        <v>5857</v>
      </c>
      <c r="D485" s="103" t="s">
        <v>5776</v>
      </c>
      <c r="E485" s="2" t="s">
        <v>6001</v>
      </c>
      <c r="F485" s="2" t="s">
        <v>5970</v>
      </c>
      <c r="G485" s="2"/>
      <c r="H485" s="5" t="s">
        <v>6912</v>
      </c>
    </row>
    <row r="486" spans="1:8" ht="29" hidden="1" x14ac:dyDescent="0.35">
      <c r="A486" s="182" t="s">
        <v>3343</v>
      </c>
      <c r="B486" s="183" t="s">
        <v>6443</v>
      </c>
      <c r="C486" s="183" t="s">
        <v>5857</v>
      </c>
      <c r="D486" s="152" t="s">
        <v>5776</v>
      </c>
      <c r="E486" s="173" t="s">
        <v>5849</v>
      </c>
      <c r="F486" s="173" t="s">
        <v>6009</v>
      </c>
      <c r="G486" s="173"/>
      <c r="H486" s="177" t="s">
        <v>6910</v>
      </c>
    </row>
    <row r="487" spans="1:8" ht="29" hidden="1" x14ac:dyDescent="0.35">
      <c r="A487" s="135" t="s">
        <v>3332</v>
      </c>
      <c r="B487" s="2" t="s">
        <v>6443</v>
      </c>
      <c r="C487" s="2" t="s">
        <v>5857</v>
      </c>
      <c r="D487" s="100" t="s">
        <v>5873</v>
      </c>
      <c r="E487" s="2"/>
      <c r="F487" s="2"/>
      <c r="G487" s="2"/>
      <c r="H487" s="5" t="s">
        <v>1387</v>
      </c>
    </row>
    <row r="488" spans="1:8" ht="29" hidden="1" x14ac:dyDescent="0.35">
      <c r="A488" s="136" t="s">
        <v>3332</v>
      </c>
      <c r="B488" s="161" t="s">
        <v>6443</v>
      </c>
      <c r="C488" s="161" t="s">
        <v>5857</v>
      </c>
      <c r="D488" s="103" t="s">
        <v>5859</v>
      </c>
      <c r="E488" s="2" t="s">
        <v>5860</v>
      </c>
      <c r="F488" s="2"/>
      <c r="G488" s="2"/>
      <c r="H488" s="5" t="s">
        <v>337</v>
      </c>
    </row>
    <row r="489" spans="1:8" ht="29" hidden="1" x14ac:dyDescent="0.35">
      <c r="A489" s="135" t="s">
        <v>3332</v>
      </c>
      <c r="B489" s="2" t="s">
        <v>6443</v>
      </c>
      <c r="C489" s="2" t="s">
        <v>5857</v>
      </c>
      <c r="D489" s="100" t="s">
        <v>5858</v>
      </c>
      <c r="E489" s="2" t="s">
        <v>5859</v>
      </c>
      <c r="F489" s="2"/>
      <c r="G489" s="2"/>
      <c r="H489" s="5" t="s">
        <v>336</v>
      </c>
    </row>
    <row r="490" spans="1:8" hidden="1" x14ac:dyDescent="0.35">
      <c r="A490" s="135" t="s">
        <v>3332</v>
      </c>
      <c r="B490" s="2" t="s">
        <v>6443</v>
      </c>
      <c r="C490" s="2" t="s">
        <v>5857</v>
      </c>
      <c r="D490" s="100" t="s">
        <v>5858</v>
      </c>
      <c r="E490" s="2" t="s">
        <v>5861</v>
      </c>
      <c r="F490" s="2"/>
      <c r="G490" s="2"/>
      <c r="H490" s="5" t="s">
        <v>338</v>
      </c>
    </row>
    <row r="491" spans="1:8" ht="29" hidden="1" x14ac:dyDescent="0.35">
      <c r="A491" s="136" t="s">
        <v>3332</v>
      </c>
      <c r="B491" s="161" t="s">
        <v>6443</v>
      </c>
      <c r="C491" s="2" t="s">
        <v>5857</v>
      </c>
      <c r="D491" s="161" t="s">
        <v>5810</v>
      </c>
      <c r="E491" s="2" t="s">
        <v>5789</v>
      </c>
      <c r="F491" s="2"/>
      <c r="G491" s="2"/>
      <c r="H491" s="5" t="s">
        <v>6888</v>
      </c>
    </row>
    <row r="492" spans="1:8" ht="29" hidden="1" x14ac:dyDescent="0.35">
      <c r="A492" s="135" t="s">
        <v>3332</v>
      </c>
      <c r="B492" s="2" t="s">
        <v>6443</v>
      </c>
      <c r="C492" s="2" t="s">
        <v>5857</v>
      </c>
      <c r="D492" s="2" t="s">
        <v>5810</v>
      </c>
      <c r="E492" s="2" t="s">
        <v>5790</v>
      </c>
      <c r="F492" s="2"/>
      <c r="G492" s="2"/>
      <c r="H492" s="5" t="s">
        <v>6889</v>
      </c>
    </row>
    <row r="493" spans="1:8" hidden="1" x14ac:dyDescent="0.35">
      <c r="A493" s="136" t="s">
        <v>3343</v>
      </c>
      <c r="B493" s="161" t="s">
        <v>6443</v>
      </c>
      <c r="C493" s="161" t="s">
        <v>5998</v>
      </c>
      <c r="D493" s="161" t="s">
        <v>5976</v>
      </c>
      <c r="E493" s="2"/>
      <c r="F493" s="2"/>
      <c r="G493" s="2"/>
      <c r="H493" s="5" t="s">
        <v>2833</v>
      </c>
    </row>
    <row r="494" spans="1:8" hidden="1" x14ac:dyDescent="0.35">
      <c r="A494" s="168" t="s">
        <v>3308</v>
      </c>
      <c r="B494" s="2" t="s">
        <v>6443</v>
      </c>
      <c r="C494" s="169" t="s">
        <v>5942</v>
      </c>
      <c r="D494" s="169" t="s">
        <v>6444</v>
      </c>
      <c r="E494" s="169" t="s">
        <v>6445</v>
      </c>
      <c r="F494" s="169"/>
      <c r="G494" s="169"/>
      <c r="H494" s="76" t="s">
        <v>2305</v>
      </c>
    </row>
    <row r="495" spans="1:8" ht="29" hidden="1" x14ac:dyDescent="0.35">
      <c r="A495" s="135" t="s">
        <v>3308</v>
      </c>
      <c r="B495" s="2" t="s">
        <v>6443</v>
      </c>
      <c r="C495" s="2" t="s">
        <v>5942</v>
      </c>
      <c r="D495" s="100" t="s">
        <v>6444</v>
      </c>
      <c r="E495" s="2" t="s">
        <v>6446</v>
      </c>
      <c r="F495" s="2"/>
      <c r="G495" s="2"/>
      <c r="H495" s="5" t="s">
        <v>2306</v>
      </c>
    </row>
    <row r="496" spans="1:8" ht="29" hidden="1" x14ac:dyDescent="0.35">
      <c r="A496" s="135" t="s">
        <v>3308</v>
      </c>
      <c r="B496" s="2" t="s">
        <v>6443</v>
      </c>
      <c r="C496" s="2" t="s">
        <v>5942</v>
      </c>
      <c r="D496" s="2" t="s">
        <v>5882</v>
      </c>
      <c r="E496" s="2" t="s">
        <v>6438</v>
      </c>
      <c r="F496" s="2"/>
      <c r="G496" s="2"/>
      <c r="H496" s="5" t="s">
        <v>2187</v>
      </c>
    </row>
    <row r="497" spans="1:8" ht="29" hidden="1" x14ac:dyDescent="0.35">
      <c r="A497" s="136" t="s">
        <v>3920</v>
      </c>
      <c r="B497" s="2" t="s">
        <v>6443</v>
      </c>
      <c r="C497" s="2" t="s">
        <v>5942</v>
      </c>
      <c r="D497" s="2" t="s">
        <v>5882</v>
      </c>
      <c r="E497" s="2" t="s">
        <v>6021</v>
      </c>
      <c r="F497" s="2" t="s">
        <v>6590</v>
      </c>
      <c r="G497" s="2"/>
      <c r="H497" s="5" t="s">
        <v>2187</v>
      </c>
    </row>
    <row r="498" spans="1:8" ht="29" hidden="1" x14ac:dyDescent="0.35">
      <c r="A498" s="136" t="s">
        <v>3895</v>
      </c>
      <c r="B498" s="2" t="s">
        <v>6443</v>
      </c>
      <c r="C498" s="2" t="s">
        <v>5942</v>
      </c>
      <c r="D498" s="2" t="s">
        <v>5882</v>
      </c>
      <c r="E498" s="2" t="s">
        <v>5804</v>
      </c>
      <c r="F498" s="2" t="s">
        <v>6483</v>
      </c>
      <c r="G498" s="2"/>
      <c r="H498" s="5" t="s">
        <v>2187</v>
      </c>
    </row>
    <row r="499" spans="1:8" ht="29" hidden="1" x14ac:dyDescent="0.35">
      <c r="A499" s="136" t="s">
        <v>3920</v>
      </c>
      <c r="B499" s="2" t="s">
        <v>6443</v>
      </c>
      <c r="C499" s="2" t="s">
        <v>5942</v>
      </c>
      <c r="D499" s="2" t="s">
        <v>5882</v>
      </c>
      <c r="E499" s="2" t="s">
        <v>5994</v>
      </c>
      <c r="F499" s="2" t="s">
        <v>6546</v>
      </c>
      <c r="G499" s="2"/>
      <c r="H499" s="5" t="s">
        <v>2187</v>
      </c>
    </row>
    <row r="500" spans="1:8" ht="29" hidden="1" x14ac:dyDescent="0.35">
      <c r="A500" s="136" t="s">
        <v>3308</v>
      </c>
      <c r="B500" s="2" t="s">
        <v>6443</v>
      </c>
      <c r="C500" s="2" t="s">
        <v>5942</v>
      </c>
      <c r="D500" s="2" t="s">
        <v>5847</v>
      </c>
      <c r="E500" s="2" t="s">
        <v>5825</v>
      </c>
      <c r="F500" s="2" t="s">
        <v>6439</v>
      </c>
      <c r="G500" s="2"/>
      <c r="H500" s="5" t="s">
        <v>2187</v>
      </c>
    </row>
    <row r="501" spans="1:8" ht="29" hidden="1" x14ac:dyDescent="0.35">
      <c r="A501" s="136" t="s">
        <v>3920</v>
      </c>
      <c r="B501" s="2" t="s">
        <v>6443</v>
      </c>
      <c r="C501" s="2" t="s">
        <v>5942</v>
      </c>
      <c r="D501" s="2" t="s">
        <v>5994</v>
      </c>
      <c r="E501" s="2" t="s">
        <v>5912</v>
      </c>
      <c r="F501" s="2"/>
      <c r="G501" s="2"/>
      <c r="H501" s="5" t="s">
        <v>1891</v>
      </c>
    </row>
    <row r="502" spans="1:8" hidden="1" x14ac:dyDescent="0.35">
      <c r="A502" s="135" t="s">
        <v>3920</v>
      </c>
      <c r="B502" s="2" t="s">
        <v>6443</v>
      </c>
      <c r="C502" s="2" t="s">
        <v>5942</v>
      </c>
      <c r="D502" s="2" t="s">
        <v>5994</v>
      </c>
      <c r="E502" s="2"/>
      <c r="F502" s="2"/>
      <c r="G502" s="2"/>
      <c r="H502" s="5" t="s">
        <v>1893</v>
      </c>
    </row>
    <row r="503" spans="1:8" hidden="1" x14ac:dyDescent="0.35">
      <c r="A503" s="135" t="s">
        <v>3309</v>
      </c>
      <c r="B503" s="2" t="s">
        <v>6443</v>
      </c>
      <c r="C503" s="2" t="s">
        <v>6306</v>
      </c>
      <c r="D503" s="2" t="s">
        <v>6300</v>
      </c>
      <c r="E503" s="2" t="s">
        <v>6786</v>
      </c>
      <c r="F503" s="2" t="s">
        <v>6785</v>
      </c>
      <c r="G503" s="2"/>
      <c r="H503" s="5" t="s">
        <v>3003</v>
      </c>
    </row>
    <row r="504" spans="1:8" hidden="1" x14ac:dyDescent="0.35">
      <c r="A504" s="136" t="s">
        <v>3309</v>
      </c>
      <c r="B504" s="2" t="s">
        <v>6443</v>
      </c>
      <c r="C504" s="2" t="s">
        <v>6306</v>
      </c>
      <c r="D504" s="2" t="s">
        <v>6300</v>
      </c>
      <c r="E504" s="2" t="s">
        <v>6784</v>
      </c>
      <c r="F504" s="2" t="s">
        <v>6785</v>
      </c>
      <c r="G504" s="2"/>
      <c r="H504" s="5" t="s">
        <v>3002</v>
      </c>
    </row>
    <row r="505" spans="1:8" hidden="1" x14ac:dyDescent="0.35">
      <c r="A505" s="135" t="s">
        <v>3332</v>
      </c>
      <c r="B505" s="2" t="s">
        <v>6443</v>
      </c>
      <c r="C505" s="2" t="s">
        <v>5970</v>
      </c>
      <c r="D505" s="2" t="s">
        <v>5973</v>
      </c>
      <c r="E505" s="2" t="s">
        <v>5974</v>
      </c>
      <c r="F505" s="2"/>
      <c r="G505" s="2"/>
      <c r="H505" s="5" t="s">
        <v>2947</v>
      </c>
    </row>
    <row r="506" spans="1:8" hidden="1" x14ac:dyDescent="0.35">
      <c r="A506" s="136" t="s">
        <v>3308</v>
      </c>
      <c r="B506" s="2" t="s">
        <v>6443</v>
      </c>
      <c r="C506" s="2" t="s">
        <v>5853</v>
      </c>
      <c r="D506" s="2" t="s">
        <v>6413</v>
      </c>
      <c r="E506" s="2" t="s">
        <v>6006</v>
      </c>
      <c r="F506" s="2" t="s">
        <v>5790</v>
      </c>
      <c r="G506" s="2"/>
      <c r="H506" s="5" t="s">
        <v>736</v>
      </c>
    </row>
    <row r="507" spans="1:8" hidden="1" x14ac:dyDescent="0.35">
      <c r="A507" s="136" t="s">
        <v>3308</v>
      </c>
      <c r="B507" s="2" t="s">
        <v>6443</v>
      </c>
      <c r="C507" s="2" t="s">
        <v>5853</v>
      </c>
      <c r="D507" s="2" t="s">
        <v>6413</v>
      </c>
      <c r="E507" s="2" t="s">
        <v>6006</v>
      </c>
      <c r="F507" s="2" t="s">
        <v>5790</v>
      </c>
      <c r="G507" s="2"/>
      <c r="H507" s="5" t="s">
        <v>736</v>
      </c>
    </row>
    <row r="508" spans="1:8" hidden="1" x14ac:dyDescent="0.35">
      <c r="A508" s="136" t="s">
        <v>3308</v>
      </c>
      <c r="B508" s="2" t="s">
        <v>6443</v>
      </c>
      <c r="C508" s="2" t="s">
        <v>5853</v>
      </c>
      <c r="D508" s="2" t="s">
        <v>6413</v>
      </c>
      <c r="E508" s="2" t="s">
        <v>6006</v>
      </c>
      <c r="F508" s="2"/>
      <c r="G508" s="2"/>
      <c r="H508" s="5" t="s">
        <v>7417</v>
      </c>
    </row>
    <row r="509" spans="1:8" hidden="1" x14ac:dyDescent="0.35">
      <c r="A509" s="135" t="s">
        <v>3308</v>
      </c>
      <c r="B509" s="2" t="s">
        <v>6443</v>
      </c>
      <c r="C509" s="2" t="s">
        <v>5853</v>
      </c>
      <c r="D509" s="100" t="s">
        <v>6413</v>
      </c>
      <c r="E509" s="2" t="s">
        <v>6006</v>
      </c>
      <c r="F509" s="2"/>
      <c r="G509" s="2"/>
      <c r="H509" s="5" t="s">
        <v>7418</v>
      </c>
    </row>
    <row r="510" spans="1:8" hidden="1" x14ac:dyDescent="0.35">
      <c r="A510" s="135" t="s">
        <v>3308</v>
      </c>
      <c r="B510" s="2" t="s">
        <v>6443</v>
      </c>
      <c r="C510" s="2" t="s">
        <v>5853</v>
      </c>
      <c r="D510" s="100" t="s">
        <v>6413</v>
      </c>
      <c r="E510" s="2" t="s">
        <v>6006</v>
      </c>
      <c r="F510" s="2"/>
      <c r="G510" s="2"/>
      <c r="H510" s="5" t="s">
        <v>7419</v>
      </c>
    </row>
    <row r="511" spans="1:8" hidden="1" x14ac:dyDescent="0.35">
      <c r="A511" s="136" t="s">
        <v>3306</v>
      </c>
      <c r="B511" s="2" t="s">
        <v>6443</v>
      </c>
      <c r="C511" s="2" t="s">
        <v>5853</v>
      </c>
      <c r="D511" s="100" t="s">
        <v>6197</v>
      </c>
      <c r="E511" s="2" t="s">
        <v>5978</v>
      </c>
      <c r="F511" s="2"/>
      <c r="G511" s="2"/>
      <c r="H511" s="5" t="s">
        <v>7158</v>
      </c>
    </row>
    <row r="512" spans="1:8" ht="29" hidden="1" x14ac:dyDescent="0.35">
      <c r="A512" s="136" t="s">
        <v>3308</v>
      </c>
      <c r="B512" s="2" t="s">
        <v>6443</v>
      </c>
      <c r="C512" s="2" t="s">
        <v>5882</v>
      </c>
      <c r="D512" s="2" t="s">
        <v>6437</v>
      </c>
      <c r="E512" s="2"/>
      <c r="F512" s="2"/>
      <c r="G512" s="2"/>
      <c r="H512" s="5" t="s">
        <v>1907</v>
      </c>
    </row>
    <row r="513" spans="1:8" hidden="1" x14ac:dyDescent="0.35">
      <c r="A513" s="136" t="s">
        <v>3332</v>
      </c>
      <c r="B513" s="161" t="s">
        <v>6443</v>
      </c>
      <c r="C513" s="161" t="s">
        <v>5967</v>
      </c>
      <c r="D513" s="161" t="s">
        <v>5968</v>
      </c>
      <c r="E513" s="2" t="s">
        <v>5967</v>
      </c>
      <c r="F513" s="2"/>
      <c r="G513" s="2"/>
      <c r="H513" s="5" t="s">
        <v>2878</v>
      </c>
    </row>
    <row r="514" spans="1:8" hidden="1" x14ac:dyDescent="0.35">
      <c r="A514" s="135" t="s">
        <v>4044</v>
      </c>
      <c r="B514" s="2" t="s">
        <v>6443</v>
      </c>
      <c r="C514" s="2" t="s">
        <v>5967</v>
      </c>
      <c r="D514" s="2" t="s">
        <v>7648</v>
      </c>
      <c r="E514" s="2" t="s">
        <v>6676</v>
      </c>
      <c r="F514" s="2" t="s">
        <v>7816</v>
      </c>
      <c r="G514" s="2"/>
      <c r="H514" s="5" t="s">
        <v>55</v>
      </c>
    </row>
    <row r="515" spans="1:8" ht="29" hidden="1" x14ac:dyDescent="0.35">
      <c r="A515" s="135" t="s">
        <v>3920</v>
      </c>
      <c r="B515" s="2" t="s">
        <v>6004</v>
      </c>
      <c r="C515" s="2" t="s">
        <v>5994</v>
      </c>
      <c r="D515" s="2" t="s">
        <v>6192</v>
      </c>
      <c r="E515" s="2"/>
      <c r="F515" s="2"/>
      <c r="G515" s="2"/>
      <c r="H515" s="5" t="s">
        <v>1890</v>
      </c>
    </row>
    <row r="516" spans="1:8" ht="29" hidden="1" x14ac:dyDescent="0.35">
      <c r="A516" s="136" t="s">
        <v>3307</v>
      </c>
      <c r="B516" s="2" t="s">
        <v>5763</v>
      </c>
      <c r="C516" s="2" t="s">
        <v>5815</v>
      </c>
      <c r="D516" s="2" t="s">
        <v>5857</v>
      </c>
      <c r="E516" s="2" t="s">
        <v>6013</v>
      </c>
      <c r="F516" s="2" t="s">
        <v>6386</v>
      </c>
      <c r="G516" s="2"/>
      <c r="H516" s="5" t="s">
        <v>166</v>
      </c>
    </row>
    <row r="517" spans="1:8" hidden="1" x14ac:dyDescent="0.35">
      <c r="A517" s="153" t="s">
        <v>3533</v>
      </c>
      <c r="B517" s="2" t="s">
        <v>5763</v>
      </c>
      <c r="C517" s="2" t="s">
        <v>5815</v>
      </c>
      <c r="D517" s="2" t="s">
        <v>5930</v>
      </c>
      <c r="E517" s="2" t="s">
        <v>6063</v>
      </c>
      <c r="F517" s="2"/>
      <c r="G517" s="2"/>
      <c r="H517" s="5" t="s">
        <v>7099</v>
      </c>
    </row>
    <row r="518" spans="1:8" hidden="1" x14ac:dyDescent="0.35">
      <c r="A518" s="136" t="s">
        <v>3533</v>
      </c>
      <c r="B518" s="2" t="s">
        <v>5763</v>
      </c>
      <c r="C518" s="2" t="s">
        <v>5815</v>
      </c>
      <c r="D518" s="2" t="s">
        <v>5930</v>
      </c>
      <c r="E518" s="2" t="s">
        <v>6034</v>
      </c>
      <c r="F518" s="2"/>
      <c r="G518" s="2"/>
      <c r="H518" s="5" t="s">
        <v>6977</v>
      </c>
    </row>
    <row r="519" spans="1:8" hidden="1" x14ac:dyDescent="0.35">
      <c r="A519" s="136" t="s">
        <v>3533</v>
      </c>
      <c r="B519" s="2" t="s">
        <v>5763</v>
      </c>
      <c r="C519" s="2" t="s">
        <v>5815</v>
      </c>
      <c r="D519" s="100" t="s">
        <v>5930</v>
      </c>
      <c r="E519" s="2" t="s">
        <v>6042</v>
      </c>
      <c r="F519" s="2"/>
      <c r="G519" s="2"/>
      <c r="H519" s="5" t="s">
        <v>6979</v>
      </c>
    </row>
    <row r="520" spans="1:8" hidden="1" x14ac:dyDescent="0.35">
      <c r="A520" s="148" t="s">
        <v>3533</v>
      </c>
      <c r="B520" s="2" t="s">
        <v>5763</v>
      </c>
      <c r="C520" s="2" t="s">
        <v>5815</v>
      </c>
      <c r="D520" s="100" t="s">
        <v>5930</v>
      </c>
      <c r="E520" s="2" t="s">
        <v>6062</v>
      </c>
      <c r="F520" s="2"/>
      <c r="G520" s="2"/>
      <c r="H520" s="5" t="s">
        <v>7096</v>
      </c>
    </row>
    <row r="521" spans="1:8" hidden="1" x14ac:dyDescent="0.35">
      <c r="A521" s="135" t="s">
        <v>3533</v>
      </c>
      <c r="B521" s="2" t="s">
        <v>5763</v>
      </c>
      <c r="C521" s="2" t="s">
        <v>5815</v>
      </c>
      <c r="D521" s="100" t="s">
        <v>5930</v>
      </c>
      <c r="E521" s="2" t="s">
        <v>6043</v>
      </c>
      <c r="F521" s="2"/>
      <c r="G521" s="2"/>
      <c r="H521" s="5" t="s">
        <v>6980</v>
      </c>
    </row>
    <row r="522" spans="1:8" hidden="1" x14ac:dyDescent="0.35">
      <c r="A522" s="153" t="s">
        <v>3533</v>
      </c>
      <c r="B522" s="2" t="s">
        <v>5763</v>
      </c>
      <c r="C522" s="2" t="s">
        <v>5815</v>
      </c>
      <c r="D522" s="100" t="s">
        <v>5930</v>
      </c>
      <c r="E522" s="2" t="s">
        <v>6061</v>
      </c>
      <c r="F522" s="2"/>
      <c r="G522" s="2"/>
      <c r="H522" s="5" t="s">
        <v>7095</v>
      </c>
    </row>
    <row r="523" spans="1:8" hidden="1" x14ac:dyDescent="0.35">
      <c r="A523" s="148" t="s">
        <v>3533</v>
      </c>
      <c r="B523" s="2" t="s">
        <v>5763</v>
      </c>
      <c r="C523" s="2" t="s">
        <v>5815</v>
      </c>
      <c r="D523" s="100" t="s">
        <v>5930</v>
      </c>
      <c r="E523" s="2" t="s">
        <v>6065</v>
      </c>
      <c r="F523" s="2"/>
      <c r="G523" s="2"/>
      <c r="H523" s="5" t="s">
        <v>7098</v>
      </c>
    </row>
    <row r="524" spans="1:8" hidden="1" x14ac:dyDescent="0.35">
      <c r="A524" s="153" t="s">
        <v>3533</v>
      </c>
      <c r="B524" s="2" t="s">
        <v>5763</v>
      </c>
      <c r="C524" s="2" t="s">
        <v>5815</v>
      </c>
      <c r="D524" s="100" t="s">
        <v>5930</v>
      </c>
      <c r="E524" s="2" t="s">
        <v>6064</v>
      </c>
      <c r="F524" s="2"/>
      <c r="G524" s="2"/>
      <c r="H524" s="5" t="s">
        <v>7097</v>
      </c>
    </row>
    <row r="525" spans="1:8" hidden="1" x14ac:dyDescent="0.35">
      <c r="A525" s="136" t="s">
        <v>3533</v>
      </c>
      <c r="B525" s="2" t="s">
        <v>5763</v>
      </c>
      <c r="C525" s="2" t="s">
        <v>5815</v>
      </c>
      <c r="D525" s="100" t="s">
        <v>5930</v>
      </c>
      <c r="E525" s="2" t="s">
        <v>6041</v>
      </c>
      <c r="F525" s="2"/>
      <c r="G525" s="2"/>
      <c r="H525" s="5" t="s">
        <v>6981</v>
      </c>
    </row>
    <row r="526" spans="1:8" hidden="1" x14ac:dyDescent="0.35">
      <c r="A526" s="135" t="s">
        <v>3533</v>
      </c>
      <c r="B526" s="2" t="s">
        <v>5763</v>
      </c>
      <c r="C526" s="2" t="s">
        <v>5815</v>
      </c>
      <c r="D526" s="100" t="s">
        <v>5930</v>
      </c>
      <c r="E526" s="2" t="s">
        <v>6040</v>
      </c>
      <c r="F526" s="2"/>
      <c r="G526" s="2"/>
      <c r="H526" s="5" t="s">
        <v>6978</v>
      </c>
    </row>
    <row r="527" spans="1:8" hidden="1" x14ac:dyDescent="0.35">
      <c r="A527" s="136" t="s">
        <v>3996</v>
      </c>
      <c r="B527" s="2" t="s">
        <v>5763</v>
      </c>
      <c r="C527" s="2" t="s">
        <v>5815</v>
      </c>
      <c r="D527" s="100" t="s">
        <v>5901</v>
      </c>
      <c r="E527" s="2" t="s">
        <v>6306</v>
      </c>
      <c r="F527" s="2"/>
      <c r="G527" s="2"/>
      <c r="H527" s="5" t="s">
        <v>7532</v>
      </c>
    </row>
    <row r="528" spans="1:8" hidden="1" x14ac:dyDescent="0.35">
      <c r="A528" s="135" t="s">
        <v>3996</v>
      </c>
      <c r="B528" s="2" t="s">
        <v>5763</v>
      </c>
      <c r="C528" s="2" t="s">
        <v>5815</v>
      </c>
      <c r="D528" s="100" t="s">
        <v>5901</v>
      </c>
      <c r="E528" s="2" t="s">
        <v>5853</v>
      </c>
      <c r="F528" s="2"/>
      <c r="G528" s="2"/>
      <c r="H528" s="5" t="s">
        <v>7531</v>
      </c>
    </row>
    <row r="529" spans="1:8" hidden="1" x14ac:dyDescent="0.35">
      <c r="A529" s="135" t="s">
        <v>3996</v>
      </c>
      <c r="B529" s="2" t="s">
        <v>5763</v>
      </c>
      <c r="C529" s="2" t="s">
        <v>5815</v>
      </c>
      <c r="D529" s="100" t="s">
        <v>5901</v>
      </c>
      <c r="E529" s="2" t="s">
        <v>6424</v>
      </c>
      <c r="F529" s="2"/>
      <c r="G529" s="2"/>
      <c r="H529" s="5" t="s">
        <v>7535</v>
      </c>
    </row>
    <row r="530" spans="1:8" hidden="1" x14ac:dyDescent="0.35">
      <c r="A530" s="135" t="s">
        <v>3996</v>
      </c>
      <c r="B530" s="2" t="s">
        <v>5763</v>
      </c>
      <c r="C530" s="2" t="s">
        <v>5815</v>
      </c>
      <c r="D530" s="100" t="s">
        <v>5901</v>
      </c>
      <c r="E530" s="2" t="s">
        <v>6678</v>
      </c>
      <c r="F530" s="2"/>
      <c r="G530" s="2"/>
      <c r="H530" s="5" t="s">
        <v>7533</v>
      </c>
    </row>
    <row r="531" spans="1:8" hidden="1" x14ac:dyDescent="0.35">
      <c r="A531" s="136" t="s">
        <v>3996</v>
      </c>
      <c r="B531" s="2" t="s">
        <v>5763</v>
      </c>
      <c r="C531" s="2" t="s">
        <v>5815</v>
      </c>
      <c r="D531" s="100" t="s">
        <v>5901</v>
      </c>
      <c r="E531" s="2" t="s">
        <v>6677</v>
      </c>
      <c r="F531" s="2"/>
      <c r="G531" s="2"/>
      <c r="H531" s="5" t="s">
        <v>7534</v>
      </c>
    </row>
    <row r="532" spans="1:8" hidden="1" x14ac:dyDescent="0.35">
      <c r="A532" s="135" t="s">
        <v>3803</v>
      </c>
      <c r="B532" s="2" t="s">
        <v>5763</v>
      </c>
      <c r="C532" s="2" t="s">
        <v>5806</v>
      </c>
      <c r="D532" s="100" t="s">
        <v>5967</v>
      </c>
      <c r="E532" s="2" t="s">
        <v>5928</v>
      </c>
      <c r="F532" s="2"/>
      <c r="G532" s="2"/>
      <c r="H532" s="5" t="s">
        <v>307</v>
      </c>
    </row>
    <row r="533" spans="1:8" hidden="1" x14ac:dyDescent="0.35">
      <c r="A533" s="136" t="s">
        <v>3803</v>
      </c>
      <c r="B533" s="2" t="s">
        <v>5763</v>
      </c>
      <c r="C533" s="2" t="s">
        <v>5806</v>
      </c>
      <c r="D533" s="100" t="s">
        <v>5967</v>
      </c>
      <c r="E533" s="2" t="s">
        <v>6293</v>
      </c>
      <c r="F533" s="2" t="s">
        <v>5791</v>
      </c>
      <c r="G533" s="2"/>
      <c r="H533" s="5" t="s">
        <v>1464</v>
      </c>
    </row>
    <row r="534" spans="1:8" hidden="1" x14ac:dyDescent="0.35">
      <c r="A534" s="135" t="s">
        <v>3803</v>
      </c>
      <c r="B534" s="2" t="s">
        <v>5763</v>
      </c>
      <c r="C534" s="2" t="s">
        <v>5806</v>
      </c>
      <c r="D534" s="100" t="s">
        <v>5967</v>
      </c>
      <c r="E534" s="2" t="s">
        <v>6293</v>
      </c>
      <c r="F534" s="2"/>
      <c r="G534" s="2"/>
      <c r="H534" s="5" t="s">
        <v>1466</v>
      </c>
    </row>
    <row r="535" spans="1:8" hidden="1" x14ac:dyDescent="0.35">
      <c r="A535" s="136" t="s">
        <v>3803</v>
      </c>
      <c r="B535" s="2" t="s">
        <v>5763</v>
      </c>
      <c r="C535" s="2" t="s">
        <v>5806</v>
      </c>
      <c r="D535" s="100" t="s">
        <v>5967</v>
      </c>
      <c r="E535" s="2" t="s">
        <v>6289</v>
      </c>
      <c r="F535" s="2" t="s">
        <v>5896</v>
      </c>
      <c r="G535" s="2"/>
      <c r="H535" s="5" t="s">
        <v>1461</v>
      </c>
    </row>
    <row r="536" spans="1:8" hidden="1" x14ac:dyDescent="0.35">
      <c r="A536" s="135" t="s">
        <v>3803</v>
      </c>
      <c r="B536" s="2" t="s">
        <v>5763</v>
      </c>
      <c r="C536" s="2" t="s">
        <v>5806</v>
      </c>
      <c r="D536" s="100" t="s">
        <v>5967</v>
      </c>
      <c r="E536" s="2" t="s">
        <v>6289</v>
      </c>
      <c r="F536" s="2" t="s">
        <v>6293</v>
      </c>
      <c r="G536" s="2"/>
      <c r="H536" s="5" t="s">
        <v>1463</v>
      </c>
    </row>
    <row r="537" spans="1:8" hidden="1" x14ac:dyDescent="0.35">
      <c r="A537" s="136" t="s">
        <v>3803</v>
      </c>
      <c r="B537" s="2" t="s">
        <v>5763</v>
      </c>
      <c r="C537" s="2" t="s">
        <v>5806</v>
      </c>
      <c r="D537" s="100" t="s">
        <v>5967</v>
      </c>
      <c r="E537" s="2" t="s">
        <v>6289</v>
      </c>
      <c r="F537" s="2" t="s">
        <v>6295</v>
      </c>
      <c r="G537" s="2"/>
      <c r="H537" s="5" t="s">
        <v>1464</v>
      </c>
    </row>
    <row r="538" spans="1:8" hidden="1" x14ac:dyDescent="0.35">
      <c r="A538" s="135" t="s">
        <v>3803</v>
      </c>
      <c r="B538" s="2" t="s">
        <v>5763</v>
      </c>
      <c r="C538" s="2" t="s">
        <v>5806</v>
      </c>
      <c r="D538" s="100" t="s">
        <v>5967</v>
      </c>
      <c r="E538" s="2" t="s">
        <v>6289</v>
      </c>
      <c r="F538" s="2"/>
      <c r="G538" s="2"/>
      <c r="H538" s="5" t="s">
        <v>1459</v>
      </c>
    </row>
    <row r="539" spans="1:8" ht="29" hidden="1" x14ac:dyDescent="0.35">
      <c r="A539" s="135" t="s">
        <v>3803</v>
      </c>
      <c r="B539" s="2" t="s">
        <v>5763</v>
      </c>
      <c r="C539" s="2" t="s">
        <v>5806</v>
      </c>
      <c r="D539" s="100" t="s">
        <v>5967</v>
      </c>
      <c r="E539" s="2" t="s">
        <v>6288</v>
      </c>
      <c r="F539" s="2"/>
      <c r="G539" s="2"/>
      <c r="H539" s="5" t="s">
        <v>2716</v>
      </c>
    </row>
    <row r="540" spans="1:8" hidden="1" x14ac:dyDescent="0.35">
      <c r="A540" s="135" t="s">
        <v>3803</v>
      </c>
      <c r="B540" s="2" t="s">
        <v>5763</v>
      </c>
      <c r="C540" s="2" t="s">
        <v>5806</v>
      </c>
      <c r="D540" s="100" t="s">
        <v>5967</v>
      </c>
      <c r="E540" s="2" t="s">
        <v>6292</v>
      </c>
      <c r="F540" s="2"/>
      <c r="G540" s="2"/>
      <c r="H540" s="5" t="s">
        <v>162</v>
      </c>
    </row>
    <row r="541" spans="1:8" hidden="1" x14ac:dyDescent="0.35">
      <c r="A541" s="135" t="s">
        <v>3803</v>
      </c>
      <c r="B541" s="2" t="s">
        <v>5763</v>
      </c>
      <c r="C541" s="2" t="s">
        <v>5806</v>
      </c>
      <c r="D541" s="100" t="s">
        <v>5967</v>
      </c>
      <c r="E541" s="2" t="s">
        <v>6297</v>
      </c>
      <c r="F541" s="2"/>
      <c r="G541" s="2"/>
      <c r="H541" s="5" t="s">
        <v>576</v>
      </c>
    </row>
    <row r="542" spans="1:8" hidden="1" x14ac:dyDescent="0.35">
      <c r="A542" s="136" t="s">
        <v>3803</v>
      </c>
      <c r="B542" s="2" t="s">
        <v>5763</v>
      </c>
      <c r="C542" s="2" t="s">
        <v>5806</v>
      </c>
      <c r="D542" s="100" t="s">
        <v>5967</v>
      </c>
      <c r="E542" s="2"/>
      <c r="F542" s="2"/>
      <c r="G542" s="2"/>
      <c r="H542" s="5" t="s">
        <v>165</v>
      </c>
    </row>
    <row r="543" spans="1:8" ht="29" hidden="1" x14ac:dyDescent="0.35">
      <c r="A543" s="135" t="s">
        <v>3954</v>
      </c>
      <c r="B543" s="2" t="s">
        <v>5763</v>
      </c>
      <c r="C543" s="2" t="s">
        <v>5844</v>
      </c>
      <c r="D543" s="100" t="s">
        <v>5850</v>
      </c>
      <c r="E543" s="2" t="s">
        <v>5874</v>
      </c>
      <c r="F543" s="2" t="s">
        <v>6250</v>
      </c>
      <c r="G543" s="2"/>
      <c r="H543" s="5" t="s">
        <v>7502</v>
      </c>
    </row>
    <row r="544" spans="1:8" ht="43.5" hidden="1" x14ac:dyDescent="0.35">
      <c r="A544" s="136" t="s">
        <v>3954</v>
      </c>
      <c r="B544" s="2" t="s">
        <v>5763</v>
      </c>
      <c r="C544" s="2" t="s">
        <v>5844</v>
      </c>
      <c r="D544" s="100" t="s">
        <v>5850</v>
      </c>
      <c r="E544" s="2" t="s">
        <v>5912</v>
      </c>
      <c r="F544" s="2" t="s">
        <v>6250</v>
      </c>
      <c r="G544" s="2"/>
      <c r="H544" s="5" t="s">
        <v>7499</v>
      </c>
    </row>
    <row r="545" spans="1:8" hidden="1" x14ac:dyDescent="0.35">
      <c r="A545" s="135" t="s">
        <v>3851</v>
      </c>
      <c r="B545" s="2" t="s">
        <v>5763</v>
      </c>
      <c r="C545" s="2" t="s">
        <v>5844</v>
      </c>
      <c r="D545" s="100" t="s">
        <v>5976</v>
      </c>
      <c r="E545" s="2" t="s">
        <v>5954</v>
      </c>
      <c r="F545" s="2"/>
      <c r="G545" s="2"/>
      <c r="H545" s="5" t="s">
        <v>1145</v>
      </c>
    </row>
    <row r="546" spans="1:8" hidden="1" x14ac:dyDescent="0.35">
      <c r="A546" s="135" t="s">
        <v>3332</v>
      </c>
      <c r="B546" s="2" t="s">
        <v>5763</v>
      </c>
      <c r="C546" s="2" t="s">
        <v>5844</v>
      </c>
      <c r="D546" s="100" t="s">
        <v>5849</v>
      </c>
      <c r="E546" s="2"/>
      <c r="F546" s="2"/>
      <c r="G546" s="2"/>
      <c r="H546" s="5" t="s">
        <v>6858</v>
      </c>
    </row>
    <row r="547" spans="1:8" ht="29" hidden="1" x14ac:dyDescent="0.35">
      <c r="A547" s="135" t="s">
        <v>3803</v>
      </c>
      <c r="B547" s="2" t="s">
        <v>5763</v>
      </c>
      <c r="C547" s="2" t="s">
        <v>5844</v>
      </c>
      <c r="D547" s="100" t="s">
        <v>5912</v>
      </c>
      <c r="E547" s="2" t="s">
        <v>6314</v>
      </c>
      <c r="F547" s="2" t="s">
        <v>5789</v>
      </c>
      <c r="G547" s="2"/>
      <c r="H547" s="5" t="s">
        <v>7331</v>
      </c>
    </row>
    <row r="548" spans="1:8" hidden="1" x14ac:dyDescent="0.35">
      <c r="A548" s="136" t="s">
        <v>3803</v>
      </c>
      <c r="B548" s="2" t="s">
        <v>5763</v>
      </c>
      <c r="C548" s="2" t="s">
        <v>5844</v>
      </c>
      <c r="D548" s="100" t="s">
        <v>5912</v>
      </c>
      <c r="E548" s="2" t="s">
        <v>6314</v>
      </c>
      <c r="F548" s="2" t="s">
        <v>5790</v>
      </c>
      <c r="G548" s="2"/>
      <c r="H548" s="5" t="s">
        <v>1130</v>
      </c>
    </row>
    <row r="549" spans="1:8" hidden="1" x14ac:dyDescent="0.35">
      <c r="A549" s="135" t="s">
        <v>3803</v>
      </c>
      <c r="B549" s="2" t="s">
        <v>5763</v>
      </c>
      <c r="C549" s="2" t="s">
        <v>5844</v>
      </c>
      <c r="D549" s="100" t="s">
        <v>5912</v>
      </c>
      <c r="E549" s="2" t="s">
        <v>6314</v>
      </c>
      <c r="F549" s="2" t="s">
        <v>5791</v>
      </c>
      <c r="G549" s="2"/>
      <c r="H549" s="5" t="s">
        <v>2248</v>
      </c>
    </row>
    <row r="550" spans="1:8" hidden="1" x14ac:dyDescent="0.35">
      <c r="A550" s="136" t="s">
        <v>3803</v>
      </c>
      <c r="B550" s="2" t="s">
        <v>5763</v>
      </c>
      <c r="C550" s="2" t="s">
        <v>5844</v>
      </c>
      <c r="D550" s="100" t="s">
        <v>5912</v>
      </c>
      <c r="E550" s="2" t="s">
        <v>6314</v>
      </c>
      <c r="F550" s="2" t="s">
        <v>5792</v>
      </c>
      <c r="G550" s="2"/>
      <c r="H550" s="5" t="s">
        <v>1131</v>
      </c>
    </row>
    <row r="551" spans="1:8" hidden="1" x14ac:dyDescent="0.35">
      <c r="A551" s="135" t="s">
        <v>3803</v>
      </c>
      <c r="B551" s="2" t="s">
        <v>5763</v>
      </c>
      <c r="C551" s="2" t="s">
        <v>5844</v>
      </c>
      <c r="D551" s="100" t="s">
        <v>5912</v>
      </c>
      <c r="E551" s="2" t="s">
        <v>6314</v>
      </c>
      <c r="F551" s="2" t="s">
        <v>5896</v>
      </c>
      <c r="G551" s="2"/>
      <c r="H551" s="5" t="s">
        <v>1132</v>
      </c>
    </row>
    <row r="552" spans="1:8" hidden="1" x14ac:dyDescent="0.35">
      <c r="A552" s="136" t="s">
        <v>3803</v>
      </c>
      <c r="B552" s="2" t="s">
        <v>5763</v>
      </c>
      <c r="C552" s="2" t="s">
        <v>5844</v>
      </c>
      <c r="D552" s="100" t="s">
        <v>5912</v>
      </c>
      <c r="E552" s="2" t="s">
        <v>6314</v>
      </c>
      <c r="F552" s="2" t="s">
        <v>5897</v>
      </c>
      <c r="G552" s="2"/>
      <c r="H552" s="5" t="s">
        <v>1133</v>
      </c>
    </row>
    <row r="553" spans="1:8" hidden="1" x14ac:dyDescent="0.35">
      <c r="A553" s="135" t="s">
        <v>3954</v>
      </c>
      <c r="B553" s="2" t="s">
        <v>5763</v>
      </c>
      <c r="C553" s="2" t="s">
        <v>5844</v>
      </c>
      <c r="D553" s="100" t="s">
        <v>5912</v>
      </c>
      <c r="E553" s="2" t="s">
        <v>5882</v>
      </c>
      <c r="F553" s="2" t="s">
        <v>6250</v>
      </c>
      <c r="G553" s="2"/>
      <c r="H553" s="5" t="s">
        <v>7498</v>
      </c>
    </row>
    <row r="554" spans="1:8" ht="29" hidden="1" x14ac:dyDescent="0.35">
      <c r="A554" s="135" t="s">
        <v>3803</v>
      </c>
      <c r="B554" s="2" t="s">
        <v>5763</v>
      </c>
      <c r="C554" s="2" t="s">
        <v>5844</v>
      </c>
      <c r="D554" s="100" t="s">
        <v>5912</v>
      </c>
      <c r="E554" s="2" t="s">
        <v>5967</v>
      </c>
      <c r="F554" s="2" t="s">
        <v>6314</v>
      </c>
      <c r="G554" s="2"/>
      <c r="H554" s="5" t="s">
        <v>4841</v>
      </c>
    </row>
    <row r="555" spans="1:8" hidden="1" x14ac:dyDescent="0.35">
      <c r="A555" s="136" t="s">
        <v>3307</v>
      </c>
      <c r="B555" s="2" t="s">
        <v>5763</v>
      </c>
      <c r="C555" s="2" t="s">
        <v>5844</v>
      </c>
      <c r="D555" s="100" t="s">
        <v>5847</v>
      </c>
      <c r="E555" s="2" t="s">
        <v>5954</v>
      </c>
      <c r="F555" s="2"/>
      <c r="G555" s="2"/>
      <c r="H555" s="5" t="s">
        <v>846</v>
      </c>
    </row>
    <row r="556" spans="1:8" hidden="1" x14ac:dyDescent="0.35">
      <c r="A556" s="136" t="s">
        <v>3996</v>
      </c>
      <c r="B556" s="2" t="s">
        <v>5763</v>
      </c>
      <c r="C556" s="2" t="s">
        <v>5844</v>
      </c>
      <c r="D556" s="100" t="s">
        <v>5847</v>
      </c>
      <c r="E556" s="2" t="s">
        <v>5845</v>
      </c>
      <c r="F556" s="2" t="s">
        <v>5883</v>
      </c>
      <c r="G556" s="2"/>
      <c r="H556" s="5" t="s">
        <v>7536</v>
      </c>
    </row>
    <row r="557" spans="1:8" hidden="1" x14ac:dyDescent="0.35">
      <c r="A557" s="136" t="s">
        <v>3803</v>
      </c>
      <c r="B557" s="2" t="s">
        <v>5763</v>
      </c>
      <c r="C557" s="2" t="s">
        <v>5844</v>
      </c>
      <c r="D557" s="100" t="s">
        <v>5967</v>
      </c>
      <c r="E557" s="2" t="s">
        <v>5928</v>
      </c>
      <c r="F557" s="2" t="s">
        <v>6303</v>
      </c>
      <c r="G557" s="2"/>
      <c r="H557" s="5" t="s">
        <v>2699</v>
      </c>
    </row>
    <row r="558" spans="1:8" ht="29" hidden="1" x14ac:dyDescent="0.35">
      <c r="A558" s="136" t="s">
        <v>3803</v>
      </c>
      <c r="B558" s="2" t="s">
        <v>5763</v>
      </c>
      <c r="C558" s="2" t="s">
        <v>5844</v>
      </c>
      <c r="D558" s="100" t="s">
        <v>5967</v>
      </c>
      <c r="E558" s="2" t="s">
        <v>5928</v>
      </c>
      <c r="F558" s="2" t="s">
        <v>6298</v>
      </c>
      <c r="G558" s="2"/>
      <c r="H558" s="5" t="s">
        <v>310</v>
      </c>
    </row>
    <row r="559" spans="1:8" hidden="1" x14ac:dyDescent="0.35">
      <c r="A559" s="136" t="s">
        <v>3803</v>
      </c>
      <c r="B559" s="2" t="s">
        <v>5763</v>
      </c>
      <c r="C559" s="2" t="s">
        <v>5844</v>
      </c>
      <c r="D559" s="100" t="s">
        <v>5967</v>
      </c>
      <c r="E559" s="2" t="s">
        <v>5928</v>
      </c>
      <c r="F559" s="2" t="s">
        <v>5935</v>
      </c>
      <c r="G559" s="2"/>
      <c r="H559" s="5" t="s">
        <v>574</v>
      </c>
    </row>
    <row r="560" spans="1:8" hidden="1" x14ac:dyDescent="0.35">
      <c r="A560" s="135" t="s">
        <v>3307</v>
      </c>
      <c r="B560" s="2" t="s">
        <v>5763</v>
      </c>
      <c r="C560" s="2" t="s">
        <v>5856</v>
      </c>
      <c r="D560" s="100" t="s">
        <v>6387</v>
      </c>
      <c r="E560" s="2"/>
      <c r="F560" s="2"/>
      <c r="G560" s="2"/>
      <c r="H560" s="5" t="s">
        <v>3215</v>
      </c>
    </row>
    <row r="561" spans="1:8" hidden="1" x14ac:dyDescent="0.35">
      <c r="A561" s="135" t="s">
        <v>3307</v>
      </c>
      <c r="B561" s="2" t="s">
        <v>5763</v>
      </c>
      <c r="C561" s="2" t="s">
        <v>5856</v>
      </c>
      <c r="D561" s="100" t="s">
        <v>6374</v>
      </c>
      <c r="E561" s="2"/>
      <c r="F561" s="2"/>
      <c r="G561" s="2"/>
      <c r="H561" s="5" t="s">
        <v>173</v>
      </c>
    </row>
    <row r="562" spans="1:8" ht="43.5" hidden="1" x14ac:dyDescent="0.35">
      <c r="A562" s="136" t="s">
        <v>3895</v>
      </c>
      <c r="B562" s="2" t="s">
        <v>5763</v>
      </c>
      <c r="C562" s="2" t="s">
        <v>5856</v>
      </c>
      <c r="D562" s="100" t="s">
        <v>5857</v>
      </c>
      <c r="E562" s="2" t="s">
        <v>5914</v>
      </c>
      <c r="F562" s="2" t="s">
        <v>5789</v>
      </c>
      <c r="G562" s="2"/>
      <c r="H562" s="5" t="s">
        <v>7451</v>
      </c>
    </row>
    <row r="563" spans="1:8" hidden="1" x14ac:dyDescent="0.35">
      <c r="A563" s="135" t="s">
        <v>3895</v>
      </c>
      <c r="B563" s="2" t="s">
        <v>5763</v>
      </c>
      <c r="C563" s="2" t="s">
        <v>5856</v>
      </c>
      <c r="D563" s="100" t="s">
        <v>5857</v>
      </c>
      <c r="E563" s="2" t="s">
        <v>5914</v>
      </c>
      <c r="F563" s="2" t="s">
        <v>5790</v>
      </c>
      <c r="G563" s="2"/>
      <c r="H563" s="5" t="s">
        <v>7452</v>
      </c>
    </row>
    <row r="564" spans="1:8" hidden="1" x14ac:dyDescent="0.35">
      <c r="A564" s="136" t="s">
        <v>3895</v>
      </c>
      <c r="B564" s="2" t="s">
        <v>5763</v>
      </c>
      <c r="C564" s="2" t="s">
        <v>5856</v>
      </c>
      <c r="D564" s="100" t="s">
        <v>5857</v>
      </c>
      <c r="E564" s="2" t="s">
        <v>5914</v>
      </c>
      <c r="F564" s="2" t="s">
        <v>5791</v>
      </c>
      <c r="G564" s="2"/>
      <c r="H564" s="5" t="s">
        <v>7453</v>
      </c>
    </row>
    <row r="565" spans="1:8" hidden="1" x14ac:dyDescent="0.35">
      <c r="A565" s="135" t="s">
        <v>3895</v>
      </c>
      <c r="B565" s="2" t="s">
        <v>5763</v>
      </c>
      <c r="C565" s="2" t="s">
        <v>5856</v>
      </c>
      <c r="D565" s="100" t="s">
        <v>5857</v>
      </c>
      <c r="E565" s="2" t="s">
        <v>5914</v>
      </c>
      <c r="F565" s="2" t="s">
        <v>5792</v>
      </c>
      <c r="G565" s="2"/>
      <c r="H565" s="5" t="s">
        <v>7454</v>
      </c>
    </row>
    <row r="566" spans="1:8" ht="29" hidden="1" x14ac:dyDescent="0.35">
      <c r="A566" s="136" t="s">
        <v>3307</v>
      </c>
      <c r="B566" s="2" t="s">
        <v>5763</v>
      </c>
      <c r="C566" s="2" t="s">
        <v>5856</v>
      </c>
      <c r="D566" s="100" t="s">
        <v>6290</v>
      </c>
      <c r="E566" s="2" t="s">
        <v>6390</v>
      </c>
      <c r="F566" s="2"/>
      <c r="G566" s="2"/>
      <c r="H566" s="5" t="s">
        <v>2693</v>
      </c>
    </row>
    <row r="567" spans="1:8" hidden="1" x14ac:dyDescent="0.35">
      <c r="A567" s="135" t="s">
        <v>3803</v>
      </c>
      <c r="B567" s="2" t="s">
        <v>5763</v>
      </c>
      <c r="C567" s="2" t="s">
        <v>5967</v>
      </c>
      <c r="D567" s="100" t="s">
        <v>6293</v>
      </c>
      <c r="E567" s="2" t="s">
        <v>7709</v>
      </c>
      <c r="F567" s="2"/>
      <c r="G567" s="2"/>
      <c r="H567" s="5" t="s">
        <v>2558</v>
      </c>
    </row>
    <row r="568" spans="1:8" hidden="1" x14ac:dyDescent="0.35">
      <c r="A568" s="136" t="s">
        <v>3803</v>
      </c>
      <c r="B568" s="2" t="s">
        <v>5763</v>
      </c>
      <c r="C568" s="2" t="s">
        <v>5967</v>
      </c>
      <c r="D568" s="100" t="s">
        <v>5763</v>
      </c>
      <c r="E568" s="2" t="s">
        <v>5853</v>
      </c>
      <c r="F568" s="2" t="s">
        <v>6362</v>
      </c>
      <c r="G568" s="2"/>
      <c r="H568" s="5" t="s">
        <v>2671</v>
      </c>
    </row>
    <row r="569" spans="1:8" ht="43.5" x14ac:dyDescent="0.35">
      <c r="A569" s="136" t="s">
        <v>4048</v>
      </c>
      <c r="B569" s="2" t="s">
        <v>7741</v>
      </c>
      <c r="C569" s="2" t="s">
        <v>6844</v>
      </c>
      <c r="D569" s="100" t="s">
        <v>7643</v>
      </c>
      <c r="E569" s="2" t="s">
        <v>7748</v>
      </c>
      <c r="F569" s="169" t="s">
        <v>7749</v>
      </c>
      <c r="G569" s="2"/>
      <c r="H569" s="5" t="s">
        <v>32</v>
      </c>
    </row>
    <row r="570" spans="1:8" ht="29" x14ac:dyDescent="0.35">
      <c r="A570" s="135" t="s">
        <v>4048</v>
      </c>
      <c r="B570" s="2" t="s">
        <v>7741</v>
      </c>
      <c r="C570" s="2" t="s">
        <v>6844</v>
      </c>
      <c r="D570" s="100" t="s">
        <v>7643</v>
      </c>
      <c r="E570" s="2" t="s">
        <v>7748</v>
      </c>
      <c r="F570" s="169" t="s">
        <v>7749</v>
      </c>
      <c r="G570" s="2"/>
      <c r="H570" s="5" t="s">
        <v>7603</v>
      </c>
    </row>
    <row r="571" spans="1:8" x14ac:dyDescent="0.35">
      <c r="A571" s="135" t="s">
        <v>4048</v>
      </c>
      <c r="B571" s="2" t="s">
        <v>7741</v>
      </c>
      <c r="C571" s="2" t="s">
        <v>6844</v>
      </c>
      <c r="D571" s="100" t="s">
        <v>5883</v>
      </c>
      <c r="E571" s="2" t="s">
        <v>7750</v>
      </c>
      <c r="F571" s="2"/>
      <c r="G571" s="2"/>
      <c r="H571" s="5" t="s">
        <v>35</v>
      </c>
    </row>
    <row r="572" spans="1:8" x14ac:dyDescent="0.35">
      <c r="A572" s="136" t="s">
        <v>4048</v>
      </c>
      <c r="B572" s="2" t="s">
        <v>7741</v>
      </c>
      <c r="C572" s="2" t="s">
        <v>6844</v>
      </c>
      <c r="D572" s="175" t="s">
        <v>7749</v>
      </c>
      <c r="E572" s="2" t="s">
        <v>5871</v>
      </c>
      <c r="F572" s="2" t="s">
        <v>6852</v>
      </c>
      <c r="G572" s="2"/>
      <c r="H572" s="5" t="s">
        <v>3151</v>
      </c>
    </row>
    <row r="573" spans="1:8" ht="29" x14ac:dyDescent="0.35">
      <c r="A573" s="136" t="s">
        <v>3920</v>
      </c>
      <c r="B573" s="2" t="s">
        <v>7741</v>
      </c>
      <c r="C573" s="2" t="s">
        <v>6421</v>
      </c>
      <c r="D573" s="100" t="s">
        <v>7759</v>
      </c>
      <c r="E573" s="2" t="s">
        <v>5994</v>
      </c>
      <c r="F573" s="169" t="s">
        <v>7749</v>
      </c>
      <c r="G573" s="2"/>
      <c r="H573" s="5" t="s">
        <v>2416</v>
      </c>
    </row>
    <row r="574" spans="1:8" ht="29" x14ac:dyDescent="0.35">
      <c r="A574" s="135" t="s">
        <v>3308</v>
      </c>
      <c r="B574" s="2" t="s">
        <v>7741</v>
      </c>
      <c r="C574" s="2" t="s">
        <v>6421</v>
      </c>
      <c r="D574" s="100" t="s">
        <v>7759</v>
      </c>
      <c r="E574" s="2" t="s">
        <v>6432</v>
      </c>
      <c r="F574" s="2"/>
      <c r="G574" s="2"/>
      <c r="H574" s="5" t="s">
        <v>498</v>
      </c>
    </row>
    <row r="575" spans="1:8" ht="29" x14ac:dyDescent="0.35">
      <c r="A575" s="136" t="s">
        <v>3308</v>
      </c>
      <c r="B575" s="2" t="s">
        <v>7741</v>
      </c>
      <c r="C575" s="2" t="s">
        <v>6421</v>
      </c>
      <c r="D575" s="100" t="s">
        <v>7759</v>
      </c>
      <c r="E575" s="2" t="s">
        <v>6433</v>
      </c>
      <c r="F575" s="2"/>
      <c r="G575" s="2"/>
      <c r="H575" s="5" t="s">
        <v>1859</v>
      </c>
    </row>
    <row r="576" spans="1:8" ht="29" x14ac:dyDescent="0.35">
      <c r="A576" s="135" t="s">
        <v>3308</v>
      </c>
      <c r="B576" s="2" t="s">
        <v>7741</v>
      </c>
      <c r="C576" s="2" t="s">
        <v>6421</v>
      </c>
      <c r="D576" s="100" t="s">
        <v>6422</v>
      </c>
      <c r="E576" s="2"/>
      <c r="F576" s="2"/>
      <c r="G576" s="2"/>
      <c r="H576" s="5" t="s">
        <v>7421</v>
      </c>
    </row>
    <row r="577" spans="1:8" x14ac:dyDescent="0.35">
      <c r="A577" s="136" t="s">
        <v>3308</v>
      </c>
      <c r="B577" s="2" t="s">
        <v>7741</v>
      </c>
      <c r="C577" s="2" t="s">
        <v>6421</v>
      </c>
      <c r="D577" s="100" t="s">
        <v>7753</v>
      </c>
      <c r="E577" s="2"/>
      <c r="F577" s="2"/>
      <c r="G577" s="2"/>
      <c r="H577" s="5" t="s">
        <v>652</v>
      </c>
    </row>
    <row r="578" spans="1:8" x14ac:dyDescent="0.35">
      <c r="A578" s="136" t="s">
        <v>3308</v>
      </c>
      <c r="B578" s="2" t="s">
        <v>7741</v>
      </c>
      <c r="C578" s="2" t="s">
        <v>6421</v>
      </c>
      <c r="D578" s="100" t="s">
        <v>7756</v>
      </c>
      <c r="E578" s="2"/>
      <c r="F578" s="2"/>
      <c r="G578" s="2"/>
      <c r="H578" s="5" t="s">
        <v>751</v>
      </c>
    </row>
    <row r="579" spans="1:8" x14ac:dyDescent="0.35">
      <c r="A579" s="135" t="s">
        <v>3308</v>
      </c>
      <c r="B579" s="2" t="s">
        <v>7741</v>
      </c>
      <c r="C579" s="2" t="s">
        <v>6421</v>
      </c>
      <c r="D579" s="100" t="s">
        <v>6423</v>
      </c>
      <c r="E579" s="2"/>
      <c r="F579" s="2"/>
      <c r="G579" s="2"/>
      <c r="H579" s="5" t="s">
        <v>491</v>
      </c>
    </row>
    <row r="580" spans="1:8" x14ac:dyDescent="0.35">
      <c r="A580" s="135" t="s">
        <v>3851</v>
      </c>
      <c r="B580" s="2" t="s">
        <v>7741</v>
      </c>
      <c r="C580" s="2" t="s">
        <v>6374</v>
      </c>
      <c r="D580" s="100" t="s">
        <v>5871</v>
      </c>
      <c r="E580" s="2" t="s">
        <v>7808</v>
      </c>
      <c r="F580" s="2"/>
      <c r="G580" s="2"/>
      <c r="H580" s="5" t="s">
        <v>3212</v>
      </c>
    </row>
    <row r="581" spans="1:8" x14ac:dyDescent="0.35">
      <c r="A581" s="136" t="s">
        <v>3851</v>
      </c>
      <c r="B581" s="2" t="s">
        <v>7741</v>
      </c>
      <c r="C581" s="2" t="s">
        <v>6374</v>
      </c>
      <c r="D581" s="100" t="s">
        <v>5871</v>
      </c>
      <c r="E581" s="2" t="s">
        <v>5872</v>
      </c>
      <c r="F581" s="2"/>
      <c r="G581" s="2"/>
      <c r="H581" s="5" t="s">
        <v>1251</v>
      </c>
    </row>
    <row r="582" spans="1:8" x14ac:dyDescent="0.35">
      <c r="A582" s="168" t="s">
        <v>3307</v>
      </c>
      <c r="B582" s="169" t="s">
        <v>7741</v>
      </c>
      <c r="C582" s="169" t="s">
        <v>6374</v>
      </c>
      <c r="D582" s="175" t="s">
        <v>7791</v>
      </c>
      <c r="E582" s="169"/>
      <c r="F582" s="169"/>
      <c r="G582" s="169"/>
      <c r="H582" s="5" t="s">
        <v>7408</v>
      </c>
    </row>
    <row r="583" spans="1:8" x14ac:dyDescent="0.35">
      <c r="A583" s="168" t="s">
        <v>3307</v>
      </c>
      <c r="B583" s="169" t="s">
        <v>7741</v>
      </c>
      <c r="C583" s="169" t="s">
        <v>6374</v>
      </c>
      <c r="D583" s="175" t="s">
        <v>6034</v>
      </c>
      <c r="E583" s="169"/>
      <c r="F583" s="169"/>
      <c r="G583" s="169"/>
      <c r="H583" s="5" t="s">
        <v>2354</v>
      </c>
    </row>
    <row r="584" spans="1:8" x14ac:dyDescent="0.35">
      <c r="A584" s="181" t="s">
        <v>3307</v>
      </c>
      <c r="B584" s="169" t="s">
        <v>7741</v>
      </c>
      <c r="C584" s="169" t="s">
        <v>6374</v>
      </c>
      <c r="D584" s="175" t="s">
        <v>7792</v>
      </c>
      <c r="E584" s="169"/>
      <c r="F584" s="169"/>
      <c r="G584" s="169"/>
      <c r="H584" s="5" t="s">
        <v>7399</v>
      </c>
    </row>
    <row r="585" spans="1:8" x14ac:dyDescent="0.35">
      <c r="A585" s="168" t="s">
        <v>3307</v>
      </c>
      <c r="B585" s="169" t="s">
        <v>7741</v>
      </c>
      <c r="C585" s="169" t="s">
        <v>6374</v>
      </c>
      <c r="D585" s="169" t="s">
        <v>7797</v>
      </c>
      <c r="E585" s="169"/>
      <c r="F585" s="169"/>
      <c r="G585" s="169"/>
      <c r="H585" s="5" t="s">
        <v>7404</v>
      </c>
    </row>
    <row r="586" spans="1:8" ht="29" x14ac:dyDescent="0.35">
      <c r="A586" s="168" t="s">
        <v>3307</v>
      </c>
      <c r="B586" s="169" t="s">
        <v>7741</v>
      </c>
      <c r="C586" s="169" t="s">
        <v>6374</v>
      </c>
      <c r="D586" s="169" t="s">
        <v>7795</v>
      </c>
      <c r="E586" s="169"/>
      <c r="F586" s="169"/>
      <c r="G586" s="169"/>
      <c r="H586" s="5" t="s">
        <v>7402</v>
      </c>
    </row>
    <row r="587" spans="1:8" x14ac:dyDescent="0.35">
      <c r="A587" s="168" t="s">
        <v>3307</v>
      </c>
      <c r="B587" s="169" t="s">
        <v>7741</v>
      </c>
      <c r="C587" s="169" t="s">
        <v>6374</v>
      </c>
      <c r="D587" s="169" t="s">
        <v>7793</v>
      </c>
      <c r="E587" s="169"/>
      <c r="F587" s="169"/>
      <c r="G587" s="169"/>
      <c r="H587" s="5" t="s">
        <v>7400</v>
      </c>
    </row>
    <row r="588" spans="1:8" x14ac:dyDescent="0.35">
      <c r="A588" s="181" t="s">
        <v>3307</v>
      </c>
      <c r="B588" s="169" t="s">
        <v>7741</v>
      </c>
      <c r="C588" s="169" t="s">
        <v>6374</v>
      </c>
      <c r="D588" s="169" t="s">
        <v>7796</v>
      </c>
      <c r="E588" s="169"/>
      <c r="F588" s="169"/>
      <c r="G588" s="169"/>
      <c r="H588" s="5" t="s">
        <v>7403</v>
      </c>
    </row>
    <row r="589" spans="1:8" ht="29" x14ac:dyDescent="0.35">
      <c r="A589" s="181" t="s">
        <v>3307</v>
      </c>
      <c r="B589" s="169" t="s">
        <v>7741</v>
      </c>
      <c r="C589" s="169" t="s">
        <v>6374</v>
      </c>
      <c r="D589" s="169" t="s">
        <v>7794</v>
      </c>
      <c r="E589" s="169"/>
      <c r="F589" s="169"/>
      <c r="G589" s="169"/>
      <c r="H589" s="5" t="s">
        <v>7401</v>
      </c>
    </row>
    <row r="590" spans="1:8" ht="29" x14ac:dyDescent="0.35">
      <c r="A590" s="181" t="s">
        <v>3307</v>
      </c>
      <c r="B590" s="169" t="s">
        <v>7741</v>
      </c>
      <c r="C590" s="169" t="s">
        <v>6374</v>
      </c>
      <c r="D590" s="169" t="s">
        <v>7798</v>
      </c>
      <c r="E590" s="169"/>
      <c r="F590" s="169"/>
      <c r="G590" s="169"/>
      <c r="H590" s="5" t="s">
        <v>7405</v>
      </c>
    </row>
    <row r="591" spans="1:8" x14ac:dyDescent="0.35">
      <c r="A591" s="181" t="s">
        <v>3307</v>
      </c>
      <c r="B591" s="169" t="s">
        <v>7741</v>
      </c>
      <c r="C591" s="169" t="s">
        <v>6374</v>
      </c>
      <c r="D591" s="169" t="s">
        <v>7800</v>
      </c>
      <c r="E591" s="169"/>
      <c r="F591" s="169"/>
      <c r="G591" s="169"/>
      <c r="H591" s="5" t="s">
        <v>7407</v>
      </c>
    </row>
    <row r="592" spans="1:8" x14ac:dyDescent="0.35">
      <c r="A592" s="168" t="s">
        <v>3307</v>
      </c>
      <c r="B592" s="169" t="s">
        <v>7741</v>
      </c>
      <c r="C592" s="169" t="s">
        <v>6374</v>
      </c>
      <c r="D592" s="169" t="s">
        <v>7799</v>
      </c>
      <c r="E592" s="169"/>
      <c r="F592" s="169"/>
      <c r="G592" s="169"/>
      <c r="H592" s="5" t="s">
        <v>7406</v>
      </c>
    </row>
    <row r="593" spans="1:8" x14ac:dyDescent="0.35">
      <c r="A593" s="135" t="s">
        <v>3307</v>
      </c>
      <c r="B593" s="2" t="s">
        <v>7741</v>
      </c>
      <c r="C593" s="2" t="s">
        <v>6374</v>
      </c>
      <c r="D593" s="2" t="s">
        <v>7801</v>
      </c>
      <c r="E593" s="169" t="s">
        <v>7749</v>
      </c>
      <c r="F593" s="2"/>
      <c r="G593" s="2"/>
      <c r="H593" s="5" t="s">
        <v>1071</v>
      </c>
    </row>
    <row r="594" spans="1:8" x14ac:dyDescent="0.35">
      <c r="A594" s="135" t="s">
        <v>3307</v>
      </c>
      <c r="B594" s="2" t="s">
        <v>7741</v>
      </c>
      <c r="C594" s="2" t="s">
        <v>6374</v>
      </c>
      <c r="D594" s="100" t="s">
        <v>7801</v>
      </c>
      <c r="E594" s="169" t="s">
        <v>7749</v>
      </c>
      <c r="F594" s="2"/>
      <c r="G594" s="2"/>
      <c r="H594" s="5" t="s">
        <v>119</v>
      </c>
    </row>
    <row r="595" spans="1:8" x14ac:dyDescent="0.35">
      <c r="A595" s="136" t="s">
        <v>3307</v>
      </c>
      <c r="B595" s="2" t="s">
        <v>7741</v>
      </c>
      <c r="C595" s="2" t="s">
        <v>6374</v>
      </c>
      <c r="D595" s="100" t="s">
        <v>6382</v>
      </c>
      <c r="E595" s="169" t="s">
        <v>7749</v>
      </c>
      <c r="F595" s="2"/>
      <c r="G595" s="2"/>
      <c r="H595" s="5" t="s">
        <v>1438</v>
      </c>
    </row>
    <row r="596" spans="1:8" x14ac:dyDescent="0.35">
      <c r="A596" s="135" t="s">
        <v>3307</v>
      </c>
      <c r="B596" s="2" t="s">
        <v>7741</v>
      </c>
      <c r="C596" s="2" t="s">
        <v>6374</v>
      </c>
      <c r="D596" s="2" t="s">
        <v>6382</v>
      </c>
      <c r="E596" s="169" t="s">
        <v>7749</v>
      </c>
      <c r="F596" s="2"/>
      <c r="G596" s="2"/>
      <c r="H596" s="5" t="s">
        <v>2795</v>
      </c>
    </row>
    <row r="597" spans="1:8" ht="29" x14ac:dyDescent="0.35">
      <c r="A597" s="136" t="s">
        <v>3954</v>
      </c>
      <c r="B597" s="2" t="s">
        <v>7741</v>
      </c>
      <c r="C597" s="2" t="s">
        <v>7643</v>
      </c>
      <c r="D597" s="100" t="s">
        <v>7841</v>
      </c>
      <c r="E597" s="2" t="s">
        <v>6634</v>
      </c>
      <c r="F597" s="2"/>
      <c r="G597" s="2"/>
      <c r="H597" s="5" t="s">
        <v>7487</v>
      </c>
    </row>
    <row r="598" spans="1:8" ht="29" x14ac:dyDescent="0.35">
      <c r="A598" s="136" t="s">
        <v>3954</v>
      </c>
      <c r="B598" s="2" t="s">
        <v>7741</v>
      </c>
      <c r="C598" s="173" t="s">
        <v>7643</v>
      </c>
      <c r="D598" s="100" t="s">
        <v>7841</v>
      </c>
      <c r="E598" s="2" t="s">
        <v>7844</v>
      </c>
      <c r="F598" s="169" t="s">
        <v>7749</v>
      </c>
      <c r="G598" s="2"/>
      <c r="H598" s="5" t="s">
        <v>1494</v>
      </c>
    </row>
    <row r="599" spans="1:8" ht="29" x14ac:dyDescent="0.35">
      <c r="A599" s="136" t="s">
        <v>3954</v>
      </c>
      <c r="B599" s="2" t="s">
        <v>7741</v>
      </c>
      <c r="C599" s="173" t="s">
        <v>7643</v>
      </c>
      <c r="D599" s="100" t="s">
        <v>7841</v>
      </c>
      <c r="E599" s="2" t="s">
        <v>7844</v>
      </c>
      <c r="F599" s="169" t="s">
        <v>7749</v>
      </c>
      <c r="G599" s="2"/>
      <c r="H599" s="5" t="s">
        <v>7491</v>
      </c>
    </row>
    <row r="600" spans="1:8" ht="29" x14ac:dyDescent="0.35">
      <c r="A600" s="135" t="s">
        <v>3954</v>
      </c>
      <c r="B600" s="2" t="s">
        <v>7741</v>
      </c>
      <c r="C600" s="173" t="s">
        <v>7643</v>
      </c>
      <c r="D600" s="100" t="s">
        <v>7841</v>
      </c>
      <c r="E600" s="2" t="s">
        <v>7842</v>
      </c>
      <c r="F600" s="2"/>
      <c r="G600" s="2"/>
      <c r="H600" s="5" t="s">
        <v>7496</v>
      </c>
    </row>
    <row r="601" spans="1:8" x14ac:dyDescent="0.35">
      <c r="A601" s="135" t="s">
        <v>3954</v>
      </c>
      <c r="B601" s="2" t="s">
        <v>7741</v>
      </c>
      <c r="C601" s="173" t="s">
        <v>7643</v>
      </c>
      <c r="D601" s="100" t="s">
        <v>7841</v>
      </c>
      <c r="E601" s="2" t="s">
        <v>6635</v>
      </c>
      <c r="F601" s="2"/>
      <c r="G601" s="2"/>
      <c r="H601" s="5" t="s">
        <v>1269</v>
      </c>
    </row>
    <row r="602" spans="1:8" ht="29" x14ac:dyDescent="0.35">
      <c r="A602" s="136" t="s">
        <v>3954</v>
      </c>
      <c r="B602" s="2" t="s">
        <v>7741</v>
      </c>
      <c r="C602" s="2" t="s">
        <v>7643</v>
      </c>
      <c r="D602" s="100" t="s">
        <v>7841</v>
      </c>
      <c r="E602" s="2" t="s">
        <v>6599</v>
      </c>
      <c r="F602" s="2"/>
      <c r="G602" s="2"/>
      <c r="H602" s="5" t="s">
        <v>26</v>
      </c>
    </row>
    <row r="603" spans="1:8" ht="43.5" x14ac:dyDescent="0.35">
      <c r="A603" s="135" t="s">
        <v>3954</v>
      </c>
      <c r="B603" s="2" t="s">
        <v>7741</v>
      </c>
      <c r="C603" s="2" t="s">
        <v>7643</v>
      </c>
      <c r="D603" s="100" t="s">
        <v>7841</v>
      </c>
      <c r="E603" s="2" t="s">
        <v>6637</v>
      </c>
      <c r="F603" s="2" t="s">
        <v>7876</v>
      </c>
      <c r="G603" s="2"/>
      <c r="H603" s="5" t="s">
        <v>1680</v>
      </c>
    </row>
    <row r="604" spans="1:8" ht="29" x14ac:dyDescent="0.35">
      <c r="A604" s="136" t="s">
        <v>3954</v>
      </c>
      <c r="B604" s="2" t="s">
        <v>7741</v>
      </c>
      <c r="C604" s="173" t="s">
        <v>7643</v>
      </c>
      <c r="D604" s="100" t="s">
        <v>7841</v>
      </c>
      <c r="E604" s="2" t="s">
        <v>6637</v>
      </c>
      <c r="F604" s="2"/>
      <c r="G604" s="2"/>
      <c r="H604" s="5" t="s">
        <v>2588</v>
      </c>
    </row>
    <row r="605" spans="1:8" x14ac:dyDescent="0.35">
      <c r="A605" s="136" t="s">
        <v>3954</v>
      </c>
      <c r="B605" s="2" t="s">
        <v>7741</v>
      </c>
      <c r="C605" s="173" t="s">
        <v>7643</v>
      </c>
      <c r="D605" s="100" t="s">
        <v>7841</v>
      </c>
      <c r="E605" s="2" t="s">
        <v>7855</v>
      </c>
      <c r="F605" s="2"/>
      <c r="G605" s="2"/>
      <c r="H605" s="5" t="s">
        <v>1699</v>
      </c>
    </row>
    <row r="606" spans="1:8" x14ac:dyDescent="0.35">
      <c r="A606" s="136" t="s">
        <v>3954</v>
      </c>
      <c r="B606" s="2" t="s">
        <v>7741</v>
      </c>
      <c r="C606" s="2" t="s">
        <v>7643</v>
      </c>
      <c r="D606" s="100" t="s">
        <v>7825</v>
      </c>
      <c r="E606" s="173" t="s">
        <v>7829</v>
      </c>
      <c r="F606" s="2" t="s">
        <v>7832</v>
      </c>
      <c r="G606" s="2"/>
      <c r="H606" s="5" t="s">
        <v>1222</v>
      </c>
    </row>
    <row r="607" spans="1:8" x14ac:dyDescent="0.35">
      <c r="A607" s="135" t="s">
        <v>3954</v>
      </c>
      <c r="B607" s="2" t="s">
        <v>7741</v>
      </c>
      <c r="C607" s="2" t="s">
        <v>7643</v>
      </c>
      <c r="D607" s="100" t="s">
        <v>7825</v>
      </c>
      <c r="E607" s="173" t="s">
        <v>7829</v>
      </c>
      <c r="F607" s="2" t="s">
        <v>6027</v>
      </c>
      <c r="G607" s="2"/>
      <c r="H607" s="5" t="s">
        <v>1225</v>
      </c>
    </row>
    <row r="608" spans="1:8" x14ac:dyDescent="0.35">
      <c r="A608" s="182" t="s">
        <v>3954</v>
      </c>
      <c r="B608" s="173" t="s">
        <v>7741</v>
      </c>
      <c r="C608" s="173" t="s">
        <v>7643</v>
      </c>
      <c r="D608" s="171" t="s">
        <v>7825</v>
      </c>
      <c r="E608" s="173" t="s">
        <v>7829</v>
      </c>
      <c r="F608" s="2" t="s">
        <v>7827</v>
      </c>
      <c r="G608" s="173"/>
      <c r="H608" s="177" t="s">
        <v>1226</v>
      </c>
    </row>
    <row r="609" spans="1:8" x14ac:dyDescent="0.35">
      <c r="A609" s="135" t="s">
        <v>3954</v>
      </c>
      <c r="B609" s="2" t="s">
        <v>7741</v>
      </c>
      <c r="C609" s="2" t="s">
        <v>7643</v>
      </c>
      <c r="D609" s="100" t="s">
        <v>7825</v>
      </c>
      <c r="E609" s="173" t="s">
        <v>7829</v>
      </c>
      <c r="F609" s="2" t="s">
        <v>7833</v>
      </c>
      <c r="G609" s="2"/>
      <c r="H609" s="5" t="s">
        <v>1223</v>
      </c>
    </row>
    <row r="610" spans="1:8" x14ac:dyDescent="0.35">
      <c r="A610" s="136" t="s">
        <v>3954</v>
      </c>
      <c r="B610" s="2" t="s">
        <v>7741</v>
      </c>
      <c r="C610" s="2" t="s">
        <v>7643</v>
      </c>
      <c r="D610" s="100" t="s">
        <v>7825</v>
      </c>
      <c r="E610" s="173" t="s">
        <v>7829</v>
      </c>
      <c r="F610" s="2" t="s">
        <v>7834</v>
      </c>
      <c r="G610" s="2"/>
      <c r="H610" s="5" t="s">
        <v>1224</v>
      </c>
    </row>
    <row r="611" spans="1:8" ht="29" x14ac:dyDescent="0.35">
      <c r="A611" s="135" t="s">
        <v>3954</v>
      </c>
      <c r="B611" s="2" t="s">
        <v>7741</v>
      </c>
      <c r="C611" s="2" t="s">
        <v>7643</v>
      </c>
      <c r="D611" s="100" t="s">
        <v>7825</v>
      </c>
      <c r="E611" s="173" t="s">
        <v>7829</v>
      </c>
      <c r="F611" s="2" t="s">
        <v>6048</v>
      </c>
      <c r="G611" s="2"/>
      <c r="H611" s="5" t="s">
        <v>7501</v>
      </c>
    </row>
    <row r="612" spans="1:8" x14ac:dyDescent="0.35">
      <c r="A612" s="136" t="s">
        <v>3996</v>
      </c>
      <c r="B612" s="2" t="s">
        <v>7741</v>
      </c>
      <c r="C612" s="2" t="s">
        <v>7643</v>
      </c>
      <c r="D612" s="100" t="s">
        <v>7825</v>
      </c>
      <c r="E612" s="2" t="s">
        <v>6508</v>
      </c>
      <c r="F612" s="2" t="s">
        <v>7875</v>
      </c>
      <c r="G612" s="2"/>
      <c r="H612" s="5" t="s">
        <v>1681</v>
      </c>
    </row>
    <row r="613" spans="1:8" x14ac:dyDescent="0.35">
      <c r="A613" s="135" t="s">
        <v>3954</v>
      </c>
      <c r="B613" s="2" t="s">
        <v>7741</v>
      </c>
      <c r="C613" s="173" t="s">
        <v>7643</v>
      </c>
      <c r="D613" s="100" t="s">
        <v>7825</v>
      </c>
      <c r="E613" s="2" t="s">
        <v>7847</v>
      </c>
      <c r="F613" s="2" t="s">
        <v>6601</v>
      </c>
      <c r="G613" s="2"/>
      <c r="H613" s="5" t="s">
        <v>1210</v>
      </c>
    </row>
    <row r="614" spans="1:8" ht="72.5" x14ac:dyDescent="0.35">
      <c r="A614" s="135" t="s">
        <v>3954</v>
      </c>
      <c r="B614" s="2" t="s">
        <v>7741</v>
      </c>
      <c r="C614" s="173" t="s">
        <v>7643</v>
      </c>
      <c r="D614" s="100" t="s">
        <v>7825</v>
      </c>
      <c r="E614" s="2" t="s">
        <v>7847</v>
      </c>
      <c r="F614" s="2" t="s">
        <v>7850</v>
      </c>
      <c r="G614" s="2"/>
      <c r="H614" s="5" t="s">
        <v>1214</v>
      </c>
    </row>
    <row r="615" spans="1:8" x14ac:dyDescent="0.35">
      <c r="A615" s="136" t="s">
        <v>3954</v>
      </c>
      <c r="B615" s="2" t="s">
        <v>7741</v>
      </c>
      <c r="C615" s="173" t="s">
        <v>7643</v>
      </c>
      <c r="D615" s="100" t="s">
        <v>7825</v>
      </c>
      <c r="E615" s="2" t="s">
        <v>7847</v>
      </c>
      <c r="F615" s="2" t="s">
        <v>7852</v>
      </c>
      <c r="G615" s="2"/>
      <c r="H615" s="5" t="s">
        <v>1213</v>
      </c>
    </row>
    <row r="616" spans="1:8" ht="43.5" x14ac:dyDescent="0.35">
      <c r="A616" s="136" t="s">
        <v>3954</v>
      </c>
      <c r="B616" s="2" t="s">
        <v>7741</v>
      </c>
      <c r="C616" s="173" t="s">
        <v>7643</v>
      </c>
      <c r="D616" s="100" t="s">
        <v>7825</v>
      </c>
      <c r="E616" s="2" t="s">
        <v>7847</v>
      </c>
      <c r="F616" s="2" t="s">
        <v>7848</v>
      </c>
      <c r="G616" s="2"/>
      <c r="H616" s="5" t="s">
        <v>7497</v>
      </c>
    </row>
    <row r="617" spans="1:8" x14ac:dyDescent="0.35">
      <c r="A617" s="135" t="s">
        <v>3954</v>
      </c>
      <c r="B617" s="2" t="s">
        <v>7741</v>
      </c>
      <c r="C617" s="173" t="s">
        <v>7643</v>
      </c>
      <c r="D617" s="100" t="s">
        <v>7825</v>
      </c>
      <c r="E617" s="2" t="s">
        <v>7847</v>
      </c>
      <c r="F617" s="2" t="s">
        <v>7851</v>
      </c>
      <c r="G617" s="2"/>
      <c r="H617" s="5" t="s">
        <v>1212</v>
      </c>
    </row>
    <row r="618" spans="1:8" x14ac:dyDescent="0.35">
      <c r="A618" s="136" t="s">
        <v>3954</v>
      </c>
      <c r="B618" s="2" t="s">
        <v>7741</v>
      </c>
      <c r="C618" s="173" t="s">
        <v>7643</v>
      </c>
      <c r="D618" s="100" t="s">
        <v>7825</v>
      </c>
      <c r="E618" s="2" t="s">
        <v>7847</v>
      </c>
      <c r="F618" s="2" t="s">
        <v>7849</v>
      </c>
      <c r="G618" s="2"/>
      <c r="H618" s="5" t="s">
        <v>1211</v>
      </c>
    </row>
    <row r="619" spans="1:8" ht="43.5" x14ac:dyDescent="0.35">
      <c r="A619" s="136" t="s">
        <v>3954</v>
      </c>
      <c r="B619" s="2" t="s">
        <v>7741</v>
      </c>
      <c r="C619" s="2" t="s">
        <v>7643</v>
      </c>
      <c r="D619" s="100" t="s">
        <v>7825</v>
      </c>
      <c r="E619" s="2" t="s">
        <v>6601</v>
      </c>
      <c r="F619" s="2"/>
      <c r="G619" s="2"/>
      <c r="H619" s="5" t="s">
        <v>416</v>
      </c>
    </row>
    <row r="620" spans="1:8" ht="29" x14ac:dyDescent="0.35">
      <c r="A620" s="136" t="s">
        <v>3954</v>
      </c>
      <c r="B620" s="2" t="s">
        <v>7741</v>
      </c>
      <c r="C620" s="173" t="s">
        <v>7643</v>
      </c>
      <c r="D620" s="100" t="s">
        <v>7825</v>
      </c>
      <c r="E620" s="2" t="s">
        <v>7839</v>
      </c>
      <c r="F620" s="169" t="s">
        <v>7749</v>
      </c>
      <c r="G620" s="2"/>
      <c r="H620" s="5" t="s">
        <v>7493</v>
      </c>
    </row>
    <row r="621" spans="1:8" ht="29" x14ac:dyDescent="0.35">
      <c r="A621" s="135" t="s">
        <v>3954</v>
      </c>
      <c r="B621" s="2" t="s">
        <v>7741</v>
      </c>
      <c r="C621" s="173" t="s">
        <v>7643</v>
      </c>
      <c r="D621" s="100" t="s">
        <v>7825</v>
      </c>
      <c r="E621" s="2" t="s">
        <v>7839</v>
      </c>
      <c r="F621" s="169" t="s">
        <v>7749</v>
      </c>
      <c r="G621" s="2"/>
      <c r="H621" s="5" t="s">
        <v>885</v>
      </c>
    </row>
    <row r="622" spans="1:8" ht="29" x14ac:dyDescent="0.35">
      <c r="A622" s="135" t="s">
        <v>3954</v>
      </c>
      <c r="B622" s="2" t="s">
        <v>7741</v>
      </c>
      <c r="C622" s="2" t="s">
        <v>7643</v>
      </c>
      <c r="D622" s="100" t="s">
        <v>7825</v>
      </c>
      <c r="E622" s="2" t="s">
        <v>7839</v>
      </c>
      <c r="F622" s="169" t="s">
        <v>7749</v>
      </c>
      <c r="G622" s="2"/>
      <c r="H622" s="5" t="s">
        <v>615</v>
      </c>
    </row>
    <row r="623" spans="1:8" x14ac:dyDescent="0.35">
      <c r="A623" s="136" t="s">
        <v>3954</v>
      </c>
      <c r="B623" s="2" t="s">
        <v>7741</v>
      </c>
      <c r="C623" s="173" t="s">
        <v>7643</v>
      </c>
      <c r="D623" s="100" t="s">
        <v>7825</v>
      </c>
      <c r="E623" s="2" t="s">
        <v>7858</v>
      </c>
      <c r="F623" s="2" t="s">
        <v>7859</v>
      </c>
      <c r="G623" s="2"/>
      <c r="H623" s="5" t="s">
        <v>7495</v>
      </c>
    </row>
    <row r="624" spans="1:8" x14ac:dyDescent="0.35">
      <c r="A624" s="135" t="s">
        <v>3954</v>
      </c>
      <c r="B624" s="2" t="s">
        <v>7741</v>
      </c>
      <c r="C624" s="173" t="s">
        <v>7643</v>
      </c>
      <c r="D624" s="100" t="s">
        <v>7825</v>
      </c>
      <c r="E624" s="2" t="s">
        <v>7858</v>
      </c>
      <c r="F624" s="2" t="s">
        <v>6597</v>
      </c>
      <c r="G624" s="2"/>
      <c r="H624" s="5" t="s">
        <v>7494</v>
      </c>
    </row>
    <row r="625" spans="1:8" ht="29" x14ac:dyDescent="0.35">
      <c r="A625" s="135" t="s">
        <v>3954</v>
      </c>
      <c r="B625" s="2" t="s">
        <v>7741</v>
      </c>
      <c r="C625" s="173" t="s">
        <v>7643</v>
      </c>
      <c r="D625" s="100" t="s">
        <v>7825</v>
      </c>
      <c r="E625" s="2" t="s">
        <v>7840</v>
      </c>
      <c r="F625" s="2" t="s">
        <v>7853</v>
      </c>
      <c r="G625" s="2"/>
      <c r="H625" s="5" t="s">
        <v>1599</v>
      </c>
    </row>
    <row r="626" spans="1:8" ht="29" x14ac:dyDescent="0.35">
      <c r="A626" s="136" t="s">
        <v>3954</v>
      </c>
      <c r="B626" s="2" t="s">
        <v>7741</v>
      </c>
      <c r="C626" s="2" t="s">
        <v>7643</v>
      </c>
      <c r="D626" s="100" t="s">
        <v>7825</v>
      </c>
      <c r="E626" s="2" t="s">
        <v>7840</v>
      </c>
      <c r="F626" s="2"/>
      <c r="G626" s="2"/>
      <c r="H626" s="5" t="s">
        <v>721</v>
      </c>
    </row>
    <row r="627" spans="1:8" x14ac:dyDescent="0.35">
      <c r="A627" s="135" t="s">
        <v>3954</v>
      </c>
      <c r="B627" s="2" t="s">
        <v>7741</v>
      </c>
      <c r="C627" s="173" t="s">
        <v>7643</v>
      </c>
      <c r="D627" s="100" t="s">
        <v>7825</v>
      </c>
      <c r="E627" s="2" t="s">
        <v>7842</v>
      </c>
      <c r="F627" s="2" t="s">
        <v>7827</v>
      </c>
      <c r="G627" s="2"/>
      <c r="H627" s="5" t="s">
        <v>2687</v>
      </c>
    </row>
    <row r="628" spans="1:8" ht="29" x14ac:dyDescent="0.35">
      <c r="A628" s="135" t="s">
        <v>3954</v>
      </c>
      <c r="B628" s="2" t="s">
        <v>7741</v>
      </c>
      <c r="C628" s="2" t="s">
        <v>7643</v>
      </c>
      <c r="D628" s="100" t="s">
        <v>7825</v>
      </c>
      <c r="E628" s="2" t="s">
        <v>7842</v>
      </c>
      <c r="F628" s="2" t="s">
        <v>7856</v>
      </c>
      <c r="G628" s="2"/>
      <c r="H628" s="5" t="s">
        <v>7488</v>
      </c>
    </row>
    <row r="629" spans="1:8" ht="29" x14ac:dyDescent="0.35">
      <c r="A629" s="135" t="s">
        <v>3954</v>
      </c>
      <c r="B629" s="2" t="s">
        <v>7741</v>
      </c>
      <c r="C629" s="173" t="s">
        <v>7643</v>
      </c>
      <c r="D629" s="100" t="s">
        <v>7825</v>
      </c>
      <c r="E629" s="2" t="s">
        <v>7842</v>
      </c>
      <c r="F629" s="2" t="s">
        <v>7861</v>
      </c>
      <c r="G629" s="2"/>
      <c r="H629" s="5" t="s">
        <v>1974</v>
      </c>
    </row>
    <row r="630" spans="1:8" x14ac:dyDescent="0.35">
      <c r="A630" s="136" t="s">
        <v>3954</v>
      </c>
      <c r="B630" s="2" t="s">
        <v>7741</v>
      </c>
      <c r="C630" s="173" t="s">
        <v>7643</v>
      </c>
      <c r="D630" s="100" t="s">
        <v>7825</v>
      </c>
      <c r="E630" s="2" t="s">
        <v>7842</v>
      </c>
      <c r="F630" s="2" t="s">
        <v>7857</v>
      </c>
      <c r="G630" s="2"/>
      <c r="H630" s="5" t="s">
        <v>2689</v>
      </c>
    </row>
    <row r="631" spans="1:8" x14ac:dyDescent="0.35">
      <c r="A631" s="136" t="s">
        <v>3954</v>
      </c>
      <c r="B631" s="2" t="s">
        <v>7741</v>
      </c>
      <c r="C631" s="173" t="s">
        <v>7643</v>
      </c>
      <c r="D631" s="100" t="s">
        <v>7825</v>
      </c>
      <c r="E631" s="2" t="s">
        <v>7854</v>
      </c>
      <c r="F631" s="2"/>
      <c r="G631" s="2"/>
      <c r="H631" s="5" t="s">
        <v>1789</v>
      </c>
    </row>
    <row r="632" spans="1:8" x14ac:dyDescent="0.35">
      <c r="A632" s="136" t="s">
        <v>3954</v>
      </c>
      <c r="B632" s="2" t="s">
        <v>7741</v>
      </c>
      <c r="C632" s="173" t="s">
        <v>7643</v>
      </c>
      <c r="D632" s="100" t="s">
        <v>7825</v>
      </c>
      <c r="E632" s="2" t="s">
        <v>7848</v>
      </c>
      <c r="F632" s="169" t="s">
        <v>7749</v>
      </c>
      <c r="G632" s="2"/>
      <c r="H632" s="5" t="s">
        <v>2553</v>
      </c>
    </row>
    <row r="633" spans="1:8" ht="29" x14ac:dyDescent="0.35">
      <c r="A633" s="135" t="s">
        <v>3954</v>
      </c>
      <c r="B633" s="2" t="s">
        <v>7741</v>
      </c>
      <c r="C633" s="2" t="s">
        <v>7643</v>
      </c>
      <c r="D633" s="100" t="s">
        <v>7825</v>
      </c>
      <c r="E633" s="2" t="s">
        <v>7848</v>
      </c>
      <c r="F633" s="169" t="s">
        <v>7749</v>
      </c>
      <c r="G633" s="2"/>
      <c r="H633" s="5" t="s">
        <v>29</v>
      </c>
    </row>
    <row r="634" spans="1:8" ht="43.5" x14ac:dyDescent="0.35">
      <c r="A634" s="136" t="s">
        <v>3954</v>
      </c>
      <c r="B634" s="2" t="s">
        <v>7741</v>
      </c>
      <c r="C634" s="173" t="s">
        <v>7643</v>
      </c>
      <c r="D634" s="100" t="s">
        <v>7825</v>
      </c>
      <c r="E634" s="2" t="s">
        <v>7853</v>
      </c>
      <c r="F634" s="2"/>
      <c r="G634" s="2"/>
      <c r="H634" s="5" t="s">
        <v>2580</v>
      </c>
    </row>
    <row r="635" spans="1:8" x14ac:dyDescent="0.35">
      <c r="A635" s="136" t="s">
        <v>3954</v>
      </c>
      <c r="B635" s="2" t="s">
        <v>7741</v>
      </c>
      <c r="C635" s="173" t="s">
        <v>7643</v>
      </c>
      <c r="D635" s="100" t="s">
        <v>7825</v>
      </c>
      <c r="E635" s="2" t="s">
        <v>5851</v>
      </c>
      <c r="F635" s="2" t="s">
        <v>7845</v>
      </c>
      <c r="G635" s="2"/>
      <c r="H635" s="5" t="s">
        <v>1679</v>
      </c>
    </row>
    <row r="636" spans="1:8" ht="29" x14ac:dyDescent="0.35">
      <c r="A636" s="135" t="s">
        <v>3954</v>
      </c>
      <c r="B636" s="2" t="s">
        <v>7741</v>
      </c>
      <c r="C636" s="173" t="s">
        <v>7643</v>
      </c>
      <c r="D636" s="100" t="s">
        <v>7825</v>
      </c>
      <c r="E636" s="2" t="s">
        <v>5851</v>
      </c>
      <c r="F636" s="2" t="s">
        <v>7846</v>
      </c>
      <c r="G636" s="2"/>
      <c r="H636" s="5" t="s">
        <v>1701</v>
      </c>
    </row>
    <row r="637" spans="1:8" x14ac:dyDescent="0.35">
      <c r="A637" s="136" t="s">
        <v>3954</v>
      </c>
      <c r="B637" s="2" t="s">
        <v>7741</v>
      </c>
      <c r="C637" s="173" t="s">
        <v>7643</v>
      </c>
      <c r="D637" s="100" t="s">
        <v>7825</v>
      </c>
      <c r="E637" s="2" t="s">
        <v>5851</v>
      </c>
      <c r="F637" s="2" t="s">
        <v>7863</v>
      </c>
      <c r="G637" s="2"/>
      <c r="H637" s="5" t="s">
        <v>3243</v>
      </c>
    </row>
    <row r="638" spans="1:8" ht="29" x14ac:dyDescent="0.35">
      <c r="A638" s="135" t="s">
        <v>3954</v>
      </c>
      <c r="B638" s="2" t="s">
        <v>7741</v>
      </c>
      <c r="C638" s="173" t="s">
        <v>7643</v>
      </c>
      <c r="D638" s="100" t="s">
        <v>7825</v>
      </c>
      <c r="E638" s="2" t="s">
        <v>5851</v>
      </c>
      <c r="F638" s="2" t="s">
        <v>7862</v>
      </c>
      <c r="G638" s="2"/>
      <c r="H638" s="5" t="s">
        <v>1500</v>
      </c>
    </row>
    <row r="639" spans="1:8" x14ac:dyDescent="0.35">
      <c r="A639" s="136" t="s">
        <v>3954</v>
      </c>
      <c r="B639" s="2" t="s">
        <v>7741</v>
      </c>
      <c r="C639" s="2" t="s">
        <v>7643</v>
      </c>
      <c r="D639" s="100" t="s">
        <v>7825</v>
      </c>
      <c r="E639" s="2" t="s">
        <v>7828</v>
      </c>
      <c r="F639" s="2" t="s">
        <v>6008</v>
      </c>
      <c r="G639" s="2"/>
      <c r="H639" s="5" t="s">
        <v>1219</v>
      </c>
    </row>
    <row r="640" spans="1:8" x14ac:dyDescent="0.35">
      <c r="A640" s="135" t="s">
        <v>3954</v>
      </c>
      <c r="B640" s="2" t="s">
        <v>7741</v>
      </c>
      <c r="C640" s="2" t="s">
        <v>7643</v>
      </c>
      <c r="D640" s="100" t="s">
        <v>7825</v>
      </c>
      <c r="E640" s="2" t="s">
        <v>7828</v>
      </c>
      <c r="F640" s="2" t="s">
        <v>7831</v>
      </c>
      <c r="G640" s="2"/>
      <c r="H640" s="5" t="s">
        <v>1220</v>
      </c>
    </row>
    <row r="641" spans="1:8" x14ac:dyDescent="0.35">
      <c r="A641" s="135" t="s">
        <v>3954</v>
      </c>
      <c r="B641" s="2" t="s">
        <v>7741</v>
      </c>
      <c r="C641" s="2" t="s">
        <v>7643</v>
      </c>
      <c r="D641" s="100" t="s">
        <v>7825</v>
      </c>
      <c r="E641" s="2" t="s">
        <v>7828</v>
      </c>
      <c r="F641" s="2" t="s">
        <v>7830</v>
      </c>
      <c r="G641" s="2"/>
      <c r="H641" s="5" t="s">
        <v>1218</v>
      </c>
    </row>
    <row r="642" spans="1:8" x14ac:dyDescent="0.35">
      <c r="A642" s="136" t="s">
        <v>3954</v>
      </c>
      <c r="B642" s="2" t="s">
        <v>7741</v>
      </c>
      <c r="C642" s="173" t="s">
        <v>7643</v>
      </c>
      <c r="D642" s="171" t="s">
        <v>7825</v>
      </c>
      <c r="E642" s="2" t="s">
        <v>7828</v>
      </c>
      <c r="F642" s="2" t="s">
        <v>7827</v>
      </c>
      <c r="G642" s="2"/>
      <c r="H642" s="5" t="s">
        <v>1226</v>
      </c>
    </row>
    <row r="643" spans="1:8" ht="58" x14ac:dyDescent="0.35">
      <c r="A643" s="135" t="s">
        <v>3954</v>
      </c>
      <c r="B643" s="2" t="s">
        <v>7741</v>
      </c>
      <c r="C643" s="2" t="s">
        <v>7643</v>
      </c>
      <c r="D643" s="100" t="s">
        <v>7825</v>
      </c>
      <c r="E643" s="2" t="s">
        <v>7828</v>
      </c>
      <c r="F643" s="2" t="s">
        <v>7826</v>
      </c>
      <c r="G643" s="2"/>
      <c r="H643" s="5" t="s">
        <v>7500</v>
      </c>
    </row>
    <row r="644" spans="1:8" x14ac:dyDescent="0.35">
      <c r="A644" s="136" t="s">
        <v>3954</v>
      </c>
      <c r="B644" s="2" t="s">
        <v>7741</v>
      </c>
      <c r="C644" s="2" t="s">
        <v>7643</v>
      </c>
      <c r="D644" s="100" t="s">
        <v>7825</v>
      </c>
      <c r="E644" s="2" t="s">
        <v>7828</v>
      </c>
      <c r="F644" s="2" t="s">
        <v>5994</v>
      </c>
      <c r="G644" s="2"/>
      <c r="H644" s="5" t="s">
        <v>1217</v>
      </c>
    </row>
    <row r="645" spans="1:8" ht="29" x14ac:dyDescent="0.35">
      <c r="A645" s="136" t="s">
        <v>3954</v>
      </c>
      <c r="B645" s="2" t="s">
        <v>7741</v>
      </c>
      <c r="C645" s="2" t="s">
        <v>7643</v>
      </c>
      <c r="D645" s="100" t="s">
        <v>7825</v>
      </c>
      <c r="E645" s="173" t="s">
        <v>6048</v>
      </c>
      <c r="F645" s="2" t="s">
        <v>6662</v>
      </c>
      <c r="G645" s="2"/>
      <c r="H645" s="5" t="s">
        <v>2685</v>
      </c>
    </row>
    <row r="646" spans="1:8" x14ac:dyDescent="0.35">
      <c r="A646" s="136" t="s">
        <v>3332</v>
      </c>
      <c r="B646" s="161" t="s">
        <v>7741</v>
      </c>
      <c r="C646" s="161" t="s">
        <v>7643</v>
      </c>
      <c r="D646" s="100" t="s">
        <v>7825</v>
      </c>
      <c r="E646" s="183" t="s">
        <v>6048</v>
      </c>
      <c r="F646" s="2" t="s">
        <v>6345</v>
      </c>
      <c r="G646" s="2"/>
      <c r="H646" s="5" t="s">
        <v>1833</v>
      </c>
    </row>
    <row r="647" spans="1:8" ht="29" x14ac:dyDescent="0.35">
      <c r="A647" s="135" t="s">
        <v>3954</v>
      </c>
      <c r="B647" s="2" t="s">
        <v>7741</v>
      </c>
      <c r="C647" s="2" t="s">
        <v>7643</v>
      </c>
      <c r="D647" s="100" t="s">
        <v>7825</v>
      </c>
      <c r="E647" s="173" t="s">
        <v>6048</v>
      </c>
      <c r="F647" s="2" t="s">
        <v>7877</v>
      </c>
      <c r="G647" s="2"/>
      <c r="H647" s="5" t="s">
        <v>2683</v>
      </c>
    </row>
    <row r="648" spans="1:8" ht="29" x14ac:dyDescent="0.35">
      <c r="A648" s="136" t="s">
        <v>3954</v>
      </c>
      <c r="B648" s="2" t="s">
        <v>7741</v>
      </c>
      <c r="C648" s="2" t="s">
        <v>7643</v>
      </c>
      <c r="D648" s="100" t="s">
        <v>7825</v>
      </c>
      <c r="E648" s="2" t="s">
        <v>6048</v>
      </c>
      <c r="F648" s="2" t="s">
        <v>7874</v>
      </c>
      <c r="G648" s="2"/>
      <c r="H648" s="5" t="s">
        <v>1491</v>
      </c>
    </row>
    <row r="649" spans="1:8" x14ac:dyDescent="0.35">
      <c r="A649" s="135" t="s">
        <v>3954</v>
      </c>
      <c r="B649" s="2" t="s">
        <v>7741</v>
      </c>
      <c r="C649" s="2" t="s">
        <v>7643</v>
      </c>
      <c r="D649" s="100" t="s">
        <v>7825</v>
      </c>
      <c r="E649" s="2" t="s">
        <v>6048</v>
      </c>
      <c r="F649" s="2" t="s">
        <v>7881</v>
      </c>
      <c r="G649" s="2"/>
      <c r="H649" s="5" t="s">
        <v>1700</v>
      </c>
    </row>
    <row r="650" spans="1:8" x14ac:dyDescent="0.35">
      <c r="A650" s="153" t="s">
        <v>3954</v>
      </c>
      <c r="B650" s="173" t="s">
        <v>7741</v>
      </c>
      <c r="C650" s="173" t="s">
        <v>7643</v>
      </c>
      <c r="D650" s="100" t="s">
        <v>7825</v>
      </c>
      <c r="E650" s="183" t="s">
        <v>6048</v>
      </c>
      <c r="F650" s="173" t="s">
        <v>7843</v>
      </c>
      <c r="G650" s="173"/>
      <c r="H650" s="177" t="s">
        <v>7490</v>
      </c>
    </row>
    <row r="651" spans="1:8" x14ac:dyDescent="0.35">
      <c r="A651" s="135" t="s">
        <v>3954</v>
      </c>
      <c r="B651" s="2" t="s">
        <v>7741</v>
      </c>
      <c r="C651" s="2" t="s">
        <v>7643</v>
      </c>
      <c r="D651" s="100" t="s">
        <v>7825</v>
      </c>
      <c r="E651" s="173" t="s">
        <v>6048</v>
      </c>
      <c r="F651" s="2" t="s">
        <v>6600</v>
      </c>
      <c r="G651" s="2"/>
      <c r="H651" s="5" t="s">
        <v>411</v>
      </c>
    </row>
    <row r="652" spans="1:8" ht="43.5" x14ac:dyDescent="0.35">
      <c r="A652" s="136" t="s">
        <v>3954</v>
      </c>
      <c r="B652" s="2" t="s">
        <v>7741</v>
      </c>
      <c r="C652" s="173" t="s">
        <v>7643</v>
      </c>
      <c r="D652" s="100" t="s">
        <v>7825</v>
      </c>
      <c r="E652" s="2" t="s">
        <v>7860</v>
      </c>
      <c r="F652" s="2"/>
      <c r="G652" s="2"/>
      <c r="H652" s="5" t="s">
        <v>23</v>
      </c>
    </row>
    <row r="653" spans="1:8" ht="29" x14ac:dyDescent="0.35">
      <c r="A653" s="135" t="s">
        <v>3954</v>
      </c>
      <c r="B653" s="2" t="s">
        <v>7741</v>
      </c>
      <c r="C653" s="173" t="s">
        <v>7643</v>
      </c>
      <c r="D653" s="100" t="s">
        <v>7825</v>
      </c>
      <c r="E653" s="2" t="s">
        <v>7645</v>
      </c>
      <c r="F653" s="2" t="s">
        <v>5877</v>
      </c>
      <c r="G653" s="2"/>
      <c r="H653" s="5" t="s">
        <v>7492</v>
      </c>
    </row>
    <row r="654" spans="1:8" ht="29" x14ac:dyDescent="0.35">
      <c r="A654" s="136" t="s">
        <v>3954</v>
      </c>
      <c r="B654" s="2" t="s">
        <v>7741</v>
      </c>
      <c r="C654" s="173" t="s">
        <v>7643</v>
      </c>
      <c r="D654" s="100" t="s">
        <v>7825</v>
      </c>
      <c r="E654" s="2" t="s">
        <v>7645</v>
      </c>
      <c r="F654" s="2" t="s">
        <v>6600</v>
      </c>
      <c r="G654" s="2"/>
      <c r="H654" s="5" t="s">
        <v>887</v>
      </c>
    </row>
    <row r="655" spans="1:8" ht="29" x14ac:dyDescent="0.35">
      <c r="A655" s="135" t="s">
        <v>3309</v>
      </c>
      <c r="B655" s="2" t="s">
        <v>7741</v>
      </c>
      <c r="C655" s="2" t="s">
        <v>5883</v>
      </c>
      <c r="D655" s="100" t="s">
        <v>5954</v>
      </c>
      <c r="E655" s="2" t="s">
        <v>6369</v>
      </c>
      <c r="F655" s="2" t="s">
        <v>7838</v>
      </c>
      <c r="G655" s="2"/>
      <c r="H655" s="5" t="s">
        <v>1595</v>
      </c>
    </row>
    <row r="656" spans="1:8" x14ac:dyDescent="0.35">
      <c r="A656" s="136" t="s">
        <v>3309</v>
      </c>
      <c r="B656" s="2" t="s">
        <v>7741</v>
      </c>
      <c r="C656" s="2" t="s">
        <v>5883</v>
      </c>
      <c r="D656" s="100" t="s">
        <v>5954</v>
      </c>
      <c r="E656" s="2" t="s">
        <v>6369</v>
      </c>
      <c r="F656" s="2" t="s">
        <v>7836</v>
      </c>
      <c r="G656" s="2"/>
      <c r="H656" s="5" t="s">
        <v>2982</v>
      </c>
    </row>
    <row r="657" spans="1:8" x14ac:dyDescent="0.35">
      <c r="A657" s="135" t="s">
        <v>3851</v>
      </c>
      <c r="B657" s="2" t="s">
        <v>7741</v>
      </c>
      <c r="C657" s="2" t="s">
        <v>5883</v>
      </c>
      <c r="D657" s="100" t="s">
        <v>5954</v>
      </c>
      <c r="E657" s="2" t="s">
        <v>7804</v>
      </c>
      <c r="F657" s="2" t="s">
        <v>7731</v>
      </c>
      <c r="G657" s="2"/>
      <c r="H657" s="5" t="s">
        <v>2800</v>
      </c>
    </row>
    <row r="658" spans="1:8" ht="29" x14ac:dyDescent="0.35">
      <c r="A658" s="136" t="s">
        <v>3851</v>
      </c>
      <c r="B658" s="2" t="s">
        <v>7741</v>
      </c>
      <c r="C658" s="2" t="s">
        <v>5883</v>
      </c>
      <c r="D658" s="100" t="s">
        <v>5954</v>
      </c>
      <c r="E658" s="2" t="s">
        <v>7804</v>
      </c>
      <c r="F658" s="2" t="s">
        <v>6148</v>
      </c>
      <c r="G658" s="2"/>
      <c r="H658" s="5" t="s">
        <v>2799</v>
      </c>
    </row>
    <row r="659" spans="1:8" ht="29" x14ac:dyDescent="0.35">
      <c r="A659" s="136" t="s">
        <v>3332</v>
      </c>
      <c r="B659" s="2" t="s">
        <v>7741</v>
      </c>
      <c r="C659" s="2" t="s">
        <v>5883</v>
      </c>
      <c r="D659" s="100" t="s">
        <v>5954</v>
      </c>
      <c r="E659" s="2" t="s">
        <v>7805</v>
      </c>
      <c r="F659" s="2" t="s">
        <v>5973</v>
      </c>
      <c r="G659" s="2"/>
      <c r="H659" s="5" t="s">
        <v>3107</v>
      </c>
    </row>
    <row r="660" spans="1:8" ht="29" x14ac:dyDescent="0.35">
      <c r="A660" s="135" t="s">
        <v>3996</v>
      </c>
      <c r="B660" s="2" t="s">
        <v>7741</v>
      </c>
      <c r="C660" s="2" t="s">
        <v>5883</v>
      </c>
      <c r="D660" s="100" t="s">
        <v>5954</v>
      </c>
      <c r="E660" s="2" t="s">
        <v>7805</v>
      </c>
      <c r="F660" s="2" t="s">
        <v>6676</v>
      </c>
      <c r="G660" s="2"/>
      <c r="H660" s="5" t="s">
        <v>3104</v>
      </c>
    </row>
    <row r="661" spans="1:8" ht="29" x14ac:dyDescent="0.35">
      <c r="A661" s="135" t="s">
        <v>3851</v>
      </c>
      <c r="B661" s="2" t="s">
        <v>7741</v>
      </c>
      <c r="C661" s="2" t="s">
        <v>5883</v>
      </c>
      <c r="D661" s="100" t="s">
        <v>5954</v>
      </c>
      <c r="E661" s="2" t="s">
        <v>7805</v>
      </c>
      <c r="F661" s="2" t="s">
        <v>7709</v>
      </c>
      <c r="G661" s="2"/>
      <c r="H661" s="5" t="s">
        <v>1249</v>
      </c>
    </row>
    <row r="662" spans="1:8" ht="29" x14ac:dyDescent="0.35">
      <c r="A662" s="136" t="s">
        <v>3851</v>
      </c>
      <c r="B662" s="2" t="s">
        <v>7741</v>
      </c>
      <c r="C662" s="2" t="s">
        <v>5883</v>
      </c>
      <c r="D662" s="100" t="s">
        <v>5954</v>
      </c>
      <c r="E662" s="2" t="s">
        <v>6402</v>
      </c>
      <c r="F662" s="2"/>
      <c r="G662" s="2"/>
      <c r="H662" s="5" t="s">
        <v>1612</v>
      </c>
    </row>
    <row r="663" spans="1:8" ht="43.5" x14ac:dyDescent="0.35">
      <c r="A663" s="135" t="s">
        <v>3851</v>
      </c>
      <c r="B663" s="2" t="s">
        <v>7741</v>
      </c>
      <c r="C663" s="2" t="s">
        <v>5883</v>
      </c>
      <c r="D663" s="100" t="s">
        <v>5954</v>
      </c>
      <c r="E663" s="2" t="s">
        <v>6403</v>
      </c>
      <c r="F663" s="169" t="s">
        <v>7749</v>
      </c>
      <c r="G663" s="2"/>
      <c r="H663" s="5" t="s">
        <v>2170</v>
      </c>
    </row>
    <row r="664" spans="1:8" ht="43.5" x14ac:dyDescent="0.35">
      <c r="A664" s="136" t="s">
        <v>3996</v>
      </c>
      <c r="B664" s="2" t="s">
        <v>7741</v>
      </c>
      <c r="C664" s="2" t="s">
        <v>5883</v>
      </c>
      <c r="D664" s="100" t="s">
        <v>5954</v>
      </c>
      <c r="E664" s="2" t="s">
        <v>6403</v>
      </c>
      <c r="F664" s="169" t="s">
        <v>7749</v>
      </c>
      <c r="G664" s="2"/>
      <c r="H664" s="5" t="s">
        <v>2594</v>
      </c>
    </row>
    <row r="665" spans="1:8" ht="29" x14ac:dyDescent="0.35">
      <c r="A665" s="135" t="s">
        <v>3996</v>
      </c>
      <c r="B665" s="2" t="s">
        <v>7741</v>
      </c>
      <c r="C665" s="2" t="s">
        <v>5883</v>
      </c>
      <c r="D665" s="100" t="s">
        <v>7779</v>
      </c>
      <c r="E665" s="2" t="s">
        <v>6683</v>
      </c>
      <c r="F665" s="2"/>
      <c r="G665" s="2"/>
      <c r="H665" s="5" t="s">
        <v>7540</v>
      </c>
    </row>
    <row r="666" spans="1:8" ht="58" x14ac:dyDescent="0.35">
      <c r="A666" s="136" t="s">
        <v>3996</v>
      </c>
      <c r="B666" s="2" t="s">
        <v>7741</v>
      </c>
      <c r="C666" s="2" t="s">
        <v>5883</v>
      </c>
      <c r="D666" s="100" t="s">
        <v>7779</v>
      </c>
      <c r="E666" s="2" t="s">
        <v>7772</v>
      </c>
      <c r="F666" s="2" t="s">
        <v>5848</v>
      </c>
      <c r="G666" s="2"/>
      <c r="H666" s="5" t="s">
        <v>2552</v>
      </c>
    </row>
    <row r="667" spans="1:8" ht="43.5" x14ac:dyDescent="0.35">
      <c r="A667" s="136" t="s">
        <v>3996</v>
      </c>
      <c r="B667" s="2" t="s">
        <v>7741</v>
      </c>
      <c r="C667" s="2" t="s">
        <v>5883</v>
      </c>
      <c r="D667" s="100" t="s">
        <v>7779</v>
      </c>
      <c r="E667" s="2" t="s">
        <v>7772</v>
      </c>
      <c r="F667" s="2" t="s">
        <v>6676</v>
      </c>
      <c r="G667" s="2"/>
      <c r="H667" s="5" t="s">
        <v>2872</v>
      </c>
    </row>
    <row r="668" spans="1:8" ht="29" x14ac:dyDescent="0.35">
      <c r="A668" s="136" t="s">
        <v>3996</v>
      </c>
      <c r="B668" s="2" t="s">
        <v>7741</v>
      </c>
      <c r="C668" s="2" t="s">
        <v>5883</v>
      </c>
      <c r="D668" s="100" t="s">
        <v>7777</v>
      </c>
      <c r="E668" s="2" t="s">
        <v>7762</v>
      </c>
      <c r="F668" s="2"/>
      <c r="G668" s="2"/>
      <c r="H668" s="5" t="s">
        <v>7518</v>
      </c>
    </row>
    <row r="669" spans="1:8" x14ac:dyDescent="0.35">
      <c r="A669" s="136" t="s">
        <v>3332</v>
      </c>
      <c r="B669" s="161" t="s">
        <v>7741</v>
      </c>
      <c r="C669" s="161" t="s">
        <v>5883</v>
      </c>
      <c r="D669" s="100" t="s">
        <v>7777</v>
      </c>
      <c r="E669" s="2" t="s">
        <v>7761</v>
      </c>
      <c r="F669" s="2" t="s">
        <v>7769</v>
      </c>
      <c r="G669" s="2"/>
      <c r="H669" s="5" t="s">
        <v>1831</v>
      </c>
    </row>
    <row r="670" spans="1:8" ht="29" x14ac:dyDescent="0.35">
      <c r="A670" s="136" t="s">
        <v>3996</v>
      </c>
      <c r="B670" s="2" t="s">
        <v>7741</v>
      </c>
      <c r="C670" s="161" t="s">
        <v>5883</v>
      </c>
      <c r="D670" s="100" t="s">
        <v>7777</v>
      </c>
      <c r="E670" s="2" t="s">
        <v>7761</v>
      </c>
      <c r="F670" s="2" t="s">
        <v>7770</v>
      </c>
      <c r="G670" s="2"/>
      <c r="H670" s="5" t="s">
        <v>7553</v>
      </c>
    </row>
    <row r="671" spans="1:8" ht="43.5" x14ac:dyDescent="0.35">
      <c r="A671" s="136" t="s">
        <v>3996</v>
      </c>
      <c r="B671" s="2" t="s">
        <v>7741</v>
      </c>
      <c r="C671" s="2" t="s">
        <v>5883</v>
      </c>
      <c r="D671" s="100" t="s">
        <v>7813</v>
      </c>
      <c r="E671" s="2" t="s">
        <v>7814</v>
      </c>
      <c r="F671" s="2"/>
      <c r="G671" s="2"/>
      <c r="H671" s="5" t="s">
        <v>7516</v>
      </c>
    </row>
    <row r="672" spans="1:8" ht="29" x14ac:dyDescent="0.35">
      <c r="A672" s="136" t="s">
        <v>3996</v>
      </c>
      <c r="B672" s="2" t="s">
        <v>7741</v>
      </c>
      <c r="C672" s="2" t="s">
        <v>5883</v>
      </c>
      <c r="D672" s="100" t="s">
        <v>7813</v>
      </c>
      <c r="E672" s="2" t="s">
        <v>7815</v>
      </c>
      <c r="F672" s="2"/>
      <c r="G672" s="2"/>
      <c r="H672" s="5" t="s">
        <v>144</v>
      </c>
    </row>
    <row r="673" spans="1:8" x14ac:dyDescent="0.35">
      <c r="A673" s="135" t="s">
        <v>3996</v>
      </c>
      <c r="B673" s="2" t="s">
        <v>7741</v>
      </c>
      <c r="C673" s="2" t="s">
        <v>5883</v>
      </c>
      <c r="D673" s="100" t="s">
        <v>7813</v>
      </c>
      <c r="E673" s="2" t="s">
        <v>5857</v>
      </c>
      <c r="F673" s="2"/>
      <c r="G673" s="2"/>
      <c r="H673" s="5" t="s">
        <v>286</v>
      </c>
    </row>
    <row r="674" spans="1:8" ht="29" x14ac:dyDescent="0.35">
      <c r="A674" s="135" t="s">
        <v>3996</v>
      </c>
      <c r="B674" s="2" t="s">
        <v>7741</v>
      </c>
      <c r="C674" s="2" t="s">
        <v>5883</v>
      </c>
      <c r="D674" s="100" t="s">
        <v>7813</v>
      </c>
      <c r="E674" s="2" t="s">
        <v>7771</v>
      </c>
      <c r="F674" s="2"/>
      <c r="G674" s="2"/>
      <c r="H674" s="5" t="s">
        <v>7554</v>
      </c>
    </row>
    <row r="675" spans="1:8" ht="58" x14ac:dyDescent="0.35">
      <c r="A675" s="136" t="s">
        <v>3996</v>
      </c>
      <c r="B675" s="2" t="s">
        <v>7741</v>
      </c>
      <c r="C675" s="2" t="s">
        <v>5883</v>
      </c>
      <c r="D675" s="100" t="s">
        <v>7813</v>
      </c>
      <c r="E675" s="2" t="s">
        <v>7891</v>
      </c>
      <c r="F675" s="2" t="s">
        <v>7892</v>
      </c>
      <c r="G675" s="2"/>
      <c r="H675" s="5" t="s">
        <v>606</v>
      </c>
    </row>
    <row r="676" spans="1:8" ht="43.5" x14ac:dyDescent="0.35">
      <c r="A676" s="135" t="s">
        <v>3996</v>
      </c>
      <c r="B676" s="2" t="s">
        <v>7741</v>
      </c>
      <c r="C676" s="2" t="s">
        <v>5883</v>
      </c>
      <c r="D676" s="100" t="s">
        <v>7813</v>
      </c>
      <c r="E676" s="2" t="s">
        <v>7891</v>
      </c>
      <c r="F676" s="2" t="s">
        <v>7893</v>
      </c>
      <c r="G676" s="2"/>
      <c r="H676" s="5" t="s">
        <v>608</v>
      </c>
    </row>
    <row r="677" spans="1:8" ht="29" x14ac:dyDescent="0.35">
      <c r="A677" s="136" t="s">
        <v>3996</v>
      </c>
      <c r="B677" s="2" t="s">
        <v>7741</v>
      </c>
      <c r="C677" s="2" t="s">
        <v>5883</v>
      </c>
      <c r="D677" s="100" t="s">
        <v>7813</v>
      </c>
      <c r="E677" s="2" t="s">
        <v>5910</v>
      </c>
      <c r="F677" s="2" t="s">
        <v>7766</v>
      </c>
      <c r="G677" s="2"/>
      <c r="H677" s="5" t="s">
        <v>7549</v>
      </c>
    </row>
    <row r="678" spans="1:8" x14ac:dyDescent="0.35">
      <c r="A678" s="136" t="s">
        <v>3332</v>
      </c>
      <c r="B678" s="161" t="s">
        <v>7741</v>
      </c>
      <c r="C678" s="161" t="s">
        <v>5883</v>
      </c>
      <c r="D678" s="100" t="s">
        <v>7813</v>
      </c>
      <c r="E678" s="2" t="s">
        <v>5910</v>
      </c>
      <c r="F678" s="2" t="s">
        <v>7776</v>
      </c>
      <c r="G678" s="169" t="s">
        <v>7749</v>
      </c>
      <c r="H678" s="5" t="s">
        <v>1897</v>
      </c>
    </row>
    <row r="679" spans="1:8" ht="29" x14ac:dyDescent="0.35">
      <c r="A679" s="135" t="s">
        <v>3996</v>
      </c>
      <c r="B679" s="2" t="s">
        <v>7741</v>
      </c>
      <c r="C679" s="2" t="s">
        <v>5883</v>
      </c>
      <c r="D679" s="100" t="s">
        <v>7813</v>
      </c>
      <c r="E679" s="2" t="s">
        <v>5910</v>
      </c>
      <c r="F679" s="2" t="s">
        <v>7776</v>
      </c>
      <c r="G679" s="169" t="s">
        <v>7749</v>
      </c>
      <c r="H679" s="5" t="s">
        <v>7517</v>
      </c>
    </row>
    <row r="680" spans="1:8" ht="43.5" x14ac:dyDescent="0.35">
      <c r="A680" s="135" t="s">
        <v>3996</v>
      </c>
      <c r="B680" s="2" t="s">
        <v>7741</v>
      </c>
      <c r="C680" s="2" t="s">
        <v>5883</v>
      </c>
      <c r="D680" s="100" t="s">
        <v>7813</v>
      </c>
      <c r="E680" s="2" t="s">
        <v>7890</v>
      </c>
      <c r="F680" s="2"/>
      <c r="G680" s="2"/>
      <c r="H680" s="5" t="s">
        <v>7556</v>
      </c>
    </row>
    <row r="681" spans="1:8" ht="29" x14ac:dyDescent="0.35">
      <c r="A681" s="136" t="s">
        <v>3996</v>
      </c>
      <c r="B681" s="2" t="s">
        <v>7741</v>
      </c>
      <c r="C681" s="2" t="s">
        <v>5883</v>
      </c>
      <c r="D681" s="100" t="s">
        <v>7773</v>
      </c>
      <c r="E681" s="2" t="s">
        <v>5878</v>
      </c>
      <c r="F681" s="2" t="s">
        <v>7782</v>
      </c>
      <c r="G681" s="2"/>
      <c r="H681" s="5" t="s">
        <v>1228</v>
      </c>
    </row>
    <row r="682" spans="1:8" x14ac:dyDescent="0.35">
      <c r="A682" s="136" t="s">
        <v>3996</v>
      </c>
      <c r="B682" s="2" t="s">
        <v>7741</v>
      </c>
      <c r="C682" s="2" t="s">
        <v>5883</v>
      </c>
      <c r="D682" s="100" t="s">
        <v>7773</v>
      </c>
      <c r="E682" s="2" t="s">
        <v>5878</v>
      </c>
      <c r="F682" s="2" t="s">
        <v>7783</v>
      </c>
      <c r="G682" s="169" t="s">
        <v>7749</v>
      </c>
      <c r="H682" s="5" t="s">
        <v>2071</v>
      </c>
    </row>
    <row r="683" spans="1:8" ht="29" x14ac:dyDescent="0.35">
      <c r="A683" s="136" t="s">
        <v>3954</v>
      </c>
      <c r="B683" s="2" t="s">
        <v>7741</v>
      </c>
      <c r="C683" s="2" t="s">
        <v>5883</v>
      </c>
      <c r="D683" s="100" t="s">
        <v>7773</v>
      </c>
      <c r="E683" s="2" t="s">
        <v>5878</v>
      </c>
      <c r="F683" s="2" t="s">
        <v>7783</v>
      </c>
      <c r="G683" s="169" t="s">
        <v>7749</v>
      </c>
      <c r="H683" s="5" t="s">
        <v>7489</v>
      </c>
    </row>
    <row r="684" spans="1:8" ht="43.5" x14ac:dyDescent="0.35">
      <c r="A684" s="135" t="s">
        <v>3996</v>
      </c>
      <c r="B684" s="2" t="s">
        <v>7741</v>
      </c>
      <c r="C684" s="2" t="s">
        <v>5883</v>
      </c>
      <c r="D684" s="100" t="s">
        <v>7773</v>
      </c>
      <c r="E684" s="2" t="s">
        <v>5878</v>
      </c>
      <c r="F684" s="2" t="s">
        <v>7784</v>
      </c>
      <c r="G684" s="2"/>
      <c r="H684" s="5" t="s">
        <v>7548</v>
      </c>
    </row>
    <row r="685" spans="1:8" x14ac:dyDescent="0.35">
      <c r="A685" s="135" t="s">
        <v>3996</v>
      </c>
      <c r="B685" s="2" t="s">
        <v>7741</v>
      </c>
      <c r="C685" s="2" t="s">
        <v>5883</v>
      </c>
      <c r="D685" s="100" t="s">
        <v>7773</v>
      </c>
      <c r="E685" s="2" t="s">
        <v>5878</v>
      </c>
      <c r="F685" s="2" t="s">
        <v>7764</v>
      </c>
      <c r="G685" s="2"/>
      <c r="H685" s="5" t="s">
        <v>2069</v>
      </c>
    </row>
    <row r="686" spans="1:8" ht="29" x14ac:dyDescent="0.35">
      <c r="A686" s="135" t="s">
        <v>3996</v>
      </c>
      <c r="B686" s="2" t="s">
        <v>7741</v>
      </c>
      <c r="C686" s="2" t="s">
        <v>5883</v>
      </c>
      <c r="D686" s="100" t="s">
        <v>7773</v>
      </c>
      <c r="E686" s="2" t="s">
        <v>5878</v>
      </c>
      <c r="F686" s="2" t="s">
        <v>7648</v>
      </c>
      <c r="G686" s="2"/>
      <c r="H686" s="5" t="s">
        <v>732</v>
      </c>
    </row>
    <row r="687" spans="1:8" ht="43.5" x14ac:dyDescent="0.35">
      <c r="A687" s="136" t="s">
        <v>3996</v>
      </c>
      <c r="B687" s="2" t="s">
        <v>7741</v>
      </c>
      <c r="C687" s="2" t="s">
        <v>5883</v>
      </c>
      <c r="D687" s="100" t="s">
        <v>7773</v>
      </c>
      <c r="E687" s="2" t="s">
        <v>5878</v>
      </c>
      <c r="F687" s="2" t="s">
        <v>7709</v>
      </c>
      <c r="G687" s="2"/>
      <c r="H687" s="5" t="s">
        <v>7547</v>
      </c>
    </row>
    <row r="688" spans="1:8" x14ac:dyDescent="0.35">
      <c r="A688" s="135" t="s">
        <v>3996</v>
      </c>
      <c r="B688" s="2" t="s">
        <v>7741</v>
      </c>
      <c r="C688" s="2" t="s">
        <v>5883</v>
      </c>
      <c r="D688" s="100" t="s">
        <v>7773</v>
      </c>
      <c r="E688" s="2" t="s">
        <v>5878</v>
      </c>
      <c r="F688" s="2" t="s">
        <v>6011</v>
      </c>
      <c r="G688" s="2"/>
      <c r="H688" s="5" t="s">
        <v>2072</v>
      </c>
    </row>
    <row r="689" spans="1:8" x14ac:dyDescent="0.35">
      <c r="A689" s="136" t="s">
        <v>3996</v>
      </c>
      <c r="B689" s="2" t="s">
        <v>7741</v>
      </c>
      <c r="C689" s="2" t="s">
        <v>5883</v>
      </c>
      <c r="D689" s="100" t="s">
        <v>7773</v>
      </c>
      <c r="E689" s="2" t="s">
        <v>5878</v>
      </c>
      <c r="F689" s="2" t="s">
        <v>7765</v>
      </c>
      <c r="G689" s="2"/>
      <c r="H689" s="5" t="s">
        <v>2070</v>
      </c>
    </row>
    <row r="690" spans="1:8" ht="29" x14ac:dyDescent="0.35">
      <c r="A690" s="135" t="s">
        <v>3996</v>
      </c>
      <c r="B690" s="2" t="s">
        <v>7741</v>
      </c>
      <c r="C690" s="2" t="s">
        <v>5883</v>
      </c>
      <c r="D690" s="100" t="s">
        <v>7773</v>
      </c>
      <c r="E690" s="2" t="s">
        <v>7774</v>
      </c>
      <c r="F690" s="169" t="s">
        <v>7749</v>
      </c>
      <c r="G690" s="2"/>
      <c r="H690" s="5" t="s">
        <v>7519</v>
      </c>
    </row>
    <row r="691" spans="1:8" ht="29" x14ac:dyDescent="0.35">
      <c r="A691" s="135" t="s">
        <v>3996</v>
      </c>
      <c r="B691" s="2" t="s">
        <v>7741</v>
      </c>
      <c r="C691" s="2" t="s">
        <v>5883</v>
      </c>
      <c r="D691" s="100" t="s">
        <v>7773</v>
      </c>
      <c r="E691" s="2" t="s">
        <v>7774</v>
      </c>
      <c r="F691" s="169" t="s">
        <v>7749</v>
      </c>
      <c r="G691" s="2"/>
      <c r="H691" s="5" t="s">
        <v>7550</v>
      </c>
    </row>
    <row r="692" spans="1:8" ht="29" x14ac:dyDescent="0.35">
      <c r="A692" s="136" t="s">
        <v>3996</v>
      </c>
      <c r="B692" s="2" t="s">
        <v>7741</v>
      </c>
      <c r="C692" s="2" t="s">
        <v>5883</v>
      </c>
      <c r="D692" s="100" t="s">
        <v>7773</v>
      </c>
      <c r="E692" s="2" t="s">
        <v>6674</v>
      </c>
      <c r="F692" s="2" t="s">
        <v>7768</v>
      </c>
      <c r="G692" s="2"/>
      <c r="H692" s="5" t="s">
        <v>7520</v>
      </c>
    </row>
    <row r="693" spans="1:8" ht="29" x14ac:dyDescent="0.35">
      <c r="A693" s="135" t="s">
        <v>3996</v>
      </c>
      <c r="B693" s="2" t="s">
        <v>7741</v>
      </c>
      <c r="C693" s="2" t="s">
        <v>5883</v>
      </c>
      <c r="D693" s="100" t="s">
        <v>7773</v>
      </c>
      <c r="E693" s="2" t="s">
        <v>6674</v>
      </c>
      <c r="F693" s="2" t="s">
        <v>7661</v>
      </c>
      <c r="G693" s="2"/>
      <c r="H693" s="5" t="s">
        <v>7552</v>
      </c>
    </row>
    <row r="694" spans="1:8" ht="29" x14ac:dyDescent="0.35">
      <c r="A694" s="136" t="s">
        <v>3996</v>
      </c>
      <c r="B694" s="2" t="s">
        <v>7741</v>
      </c>
      <c r="C694" s="2" t="s">
        <v>5883</v>
      </c>
      <c r="D694" s="100" t="s">
        <v>7773</v>
      </c>
      <c r="E694" s="2" t="s">
        <v>7775</v>
      </c>
      <c r="F694" s="2" t="s">
        <v>5845</v>
      </c>
      <c r="G694" s="2"/>
      <c r="H694" s="5" t="s">
        <v>1490</v>
      </c>
    </row>
    <row r="695" spans="1:8" ht="43.5" x14ac:dyDescent="0.35">
      <c r="A695" s="135" t="s">
        <v>3996</v>
      </c>
      <c r="B695" s="2" t="s">
        <v>7741</v>
      </c>
      <c r="C695" s="2" t="s">
        <v>5883</v>
      </c>
      <c r="D695" s="100" t="s">
        <v>7773</v>
      </c>
      <c r="E695" s="2" t="s">
        <v>7775</v>
      </c>
      <c r="F695" s="2" t="s">
        <v>6048</v>
      </c>
      <c r="G695" s="2"/>
      <c r="H695" s="5" t="s">
        <v>2237</v>
      </c>
    </row>
    <row r="696" spans="1:8" ht="29" x14ac:dyDescent="0.35">
      <c r="A696" s="136" t="s">
        <v>3996</v>
      </c>
      <c r="B696" s="2" t="s">
        <v>7741</v>
      </c>
      <c r="C696" s="2" t="s">
        <v>5883</v>
      </c>
      <c r="D696" s="100" t="s">
        <v>7773</v>
      </c>
      <c r="E696" s="2" t="s">
        <v>7767</v>
      </c>
      <c r="F696" s="2"/>
      <c r="G696" s="2"/>
      <c r="H696" s="5" t="s">
        <v>7551</v>
      </c>
    </row>
    <row r="697" spans="1:8" x14ac:dyDescent="0.35">
      <c r="A697" s="135" t="s">
        <v>2565</v>
      </c>
      <c r="B697" s="2" t="s">
        <v>7741</v>
      </c>
      <c r="C697" s="2" t="s">
        <v>5883</v>
      </c>
      <c r="D697" s="100" t="s">
        <v>7773</v>
      </c>
      <c r="E697" s="2" t="s">
        <v>6812</v>
      </c>
      <c r="F697" s="2" t="s">
        <v>7786</v>
      </c>
      <c r="G697" s="2"/>
      <c r="H697" s="5" t="s">
        <v>664</v>
      </c>
    </row>
    <row r="698" spans="1:8" ht="29" x14ac:dyDescent="0.35">
      <c r="A698" s="136" t="s">
        <v>2565</v>
      </c>
      <c r="B698" s="2" t="s">
        <v>7741</v>
      </c>
      <c r="C698" s="2" t="s">
        <v>5883</v>
      </c>
      <c r="D698" s="100" t="s">
        <v>7773</v>
      </c>
      <c r="E698" s="2" t="s">
        <v>6812</v>
      </c>
      <c r="F698" s="2" t="s">
        <v>7787</v>
      </c>
      <c r="G698" s="2"/>
      <c r="H698" s="5" t="s">
        <v>665</v>
      </c>
    </row>
    <row r="699" spans="1:8" x14ac:dyDescent="0.35">
      <c r="A699" s="135" t="s">
        <v>2565</v>
      </c>
      <c r="B699" s="2" t="s">
        <v>7741</v>
      </c>
      <c r="C699" s="2" t="s">
        <v>5883</v>
      </c>
      <c r="D699" s="100" t="s">
        <v>7773</v>
      </c>
      <c r="E699" s="2" t="s">
        <v>6812</v>
      </c>
      <c r="F699" s="2" t="s">
        <v>7785</v>
      </c>
      <c r="G699" s="2"/>
      <c r="H699" s="5" t="s">
        <v>662</v>
      </c>
    </row>
    <row r="700" spans="1:8" x14ac:dyDescent="0.35">
      <c r="A700" s="136" t="s">
        <v>3996</v>
      </c>
      <c r="B700" s="2" t="s">
        <v>7741</v>
      </c>
      <c r="C700" s="2" t="s">
        <v>5883</v>
      </c>
      <c r="D700" s="100" t="s">
        <v>7760</v>
      </c>
      <c r="E700" s="2" t="s">
        <v>7764</v>
      </c>
      <c r="F700" s="2"/>
      <c r="G700" s="2"/>
      <c r="H700" s="5" t="s">
        <v>2055</v>
      </c>
    </row>
    <row r="701" spans="1:8" ht="43.5" x14ac:dyDescent="0.35">
      <c r="A701" s="148" t="s">
        <v>3533</v>
      </c>
      <c r="B701" s="2" t="s">
        <v>7741</v>
      </c>
      <c r="C701" s="2" t="s">
        <v>5883</v>
      </c>
      <c r="D701" s="100" t="s">
        <v>7760</v>
      </c>
      <c r="E701" s="2" t="s">
        <v>7788</v>
      </c>
      <c r="F701" s="2"/>
      <c r="G701" s="2"/>
      <c r="H701" s="5" t="s">
        <v>2045</v>
      </c>
    </row>
    <row r="702" spans="1:8" x14ac:dyDescent="0.35">
      <c r="A702" s="135" t="s">
        <v>3996</v>
      </c>
      <c r="B702" s="2" t="s">
        <v>7741</v>
      </c>
      <c r="C702" s="2" t="s">
        <v>5883</v>
      </c>
      <c r="D702" s="100" t="s">
        <v>7760</v>
      </c>
      <c r="E702" s="2" t="s">
        <v>6697</v>
      </c>
      <c r="F702" s="2"/>
      <c r="G702" s="2"/>
      <c r="H702" s="5" t="s">
        <v>2054</v>
      </c>
    </row>
    <row r="703" spans="1:8" ht="29" x14ac:dyDescent="0.35">
      <c r="A703" s="136" t="s">
        <v>3996</v>
      </c>
      <c r="B703" s="2" t="s">
        <v>7741</v>
      </c>
      <c r="C703" s="2" t="s">
        <v>5883</v>
      </c>
      <c r="D703" s="100" t="s">
        <v>7760</v>
      </c>
      <c r="E703" s="2" t="s">
        <v>7709</v>
      </c>
      <c r="F703" s="2"/>
      <c r="G703" s="2"/>
      <c r="H703" s="5" t="s">
        <v>7541</v>
      </c>
    </row>
    <row r="704" spans="1:8" x14ac:dyDescent="0.35">
      <c r="A704" s="136" t="s">
        <v>3996</v>
      </c>
      <c r="B704" s="2" t="s">
        <v>7741</v>
      </c>
      <c r="C704" s="2" t="s">
        <v>5883</v>
      </c>
      <c r="D704" s="100" t="s">
        <v>7760</v>
      </c>
      <c r="E704" s="2" t="s">
        <v>6011</v>
      </c>
      <c r="F704" s="2"/>
      <c r="G704" s="2"/>
      <c r="H704" s="5" t="s">
        <v>2057</v>
      </c>
    </row>
    <row r="705" spans="1:8" x14ac:dyDescent="0.35">
      <c r="A705" s="135" t="s">
        <v>3996</v>
      </c>
      <c r="B705" s="2" t="s">
        <v>7741</v>
      </c>
      <c r="C705" s="2" t="s">
        <v>5883</v>
      </c>
      <c r="D705" s="100" t="s">
        <v>7760</v>
      </c>
      <c r="E705" s="2" t="s">
        <v>7765</v>
      </c>
      <c r="F705" s="2"/>
      <c r="G705" s="2"/>
      <c r="H705" s="5" t="s">
        <v>2056</v>
      </c>
    </row>
    <row r="706" spans="1:8" ht="29" x14ac:dyDescent="0.35">
      <c r="A706" s="135" t="s">
        <v>3308</v>
      </c>
      <c r="B706" s="2" t="s">
        <v>7741</v>
      </c>
      <c r="C706" s="2" t="s">
        <v>5811</v>
      </c>
      <c r="D706" s="100" t="s">
        <v>7723</v>
      </c>
      <c r="E706" s="2" t="s">
        <v>7747</v>
      </c>
      <c r="F706" s="2"/>
      <c r="G706" s="2"/>
      <c r="H706" s="5" t="s">
        <v>2189</v>
      </c>
    </row>
    <row r="707" spans="1:8" ht="29" x14ac:dyDescent="0.35">
      <c r="A707" s="135" t="s">
        <v>3308</v>
      </c>
      <c r="B707" s="2" t="s">
        <v>7741</v>
      </c>
      <c r="C707" s="2" t="s">
        <v>5811</v>
      </c>
      <c r="D707" s="100" t="s">
        <v>7723</v>
      </c>
      <c r="E707" s="2" t="s">
        <v>5972</v>
      </c>
      <c r="F707" s="2"/>
      <c r="G707" s="2"/>
      <c r="H707" s="5" t="s">
        <v>2949</v>
      </c>
    </row>
    <row r="708" spans="1:8" ht="29" x14ac:dyDescent="0.35">
      <c r="A708" s="153" t="s">
        <v>3332</v>
      </c>
      <c r="B708" s="173" t="s">
        <v>7741</v>
      </c>
      <c r="C708" s="173" t="s">
        <v>5811</v>
      </c>
      <c r="D708" s="171" t="s">
        <v>7864</v>
      </c>
      <c r="E708" s="173" t="s">
        <v>7780</v>
      </c>
      <c r="F708" s="2"/>
      <c r="G708" s="173"/>
      <c r="H708" s="177" t="s">
        <v>6860</v>
      </c>
    </row>
    <row r="709" spans="1:8" ht="29" x14ac:dyDescent="0.35">
      <c r="A709" s="135" t="s">
        <v>3308</v>
      </c>
      <c r="B709" s="2" t="s">
        <v>7741</v>
      </c>
      <c r="C709" s="2" t="s">
        <v>7865</v>
      </c>
      <c r="D709" s="100" t="s">
        <v>7885</v>
      </c>
      <c r="E709" s="2" t="s">
        <v>7889</v>
      </c>
      <c r="F709" s="2"/>
      <c r="G709" s="2"/>
      <c r="H709" s="5" t="s">
        <v>30</v>
      </c>
    </row>
    <row r="710" spans="1:8" x14ac:dyDescent="0.35">
      <c r="A710" s="135" t="s">
        <v>3308</v>
      </c>
      <c r="B710" s="2" t="s">
        <v>7741</v>
      </c>
      <c r="C710" s="2" t="s">
        <v>7865</v>
      </c>
      <c r="D710" s="100" t="s">
        <v>7885</v>
      </c>
      <c r="E710" s="2" t="s">
        <v>6467</v>
      </c>
      <c r="F710" s="2"/>
      <c r="G710" s="2"/>
      <c r="H710" s="5" t="s">
        <v>3119</v>
      </c>
    </row>
    <row r="711" spans="1:8" x14ac:dyDescent="0.35">
      <c r="A711" s="136" t="s">
        <v>3308</v>
      </c>
      <c r="B711" s="2" t="s">
        <v>7741</v>
      </c>
      <c r="C711" s="2" t="s">
        <v>7865</v>
      </c>
      <c r="D711" s="100" t="s">
        <v>6421</v>
      </c>
      <c r="E711" s="2" t="s">
        <v>7758</v>
      </c>
      <c r="F711" s="2"/>
      <c r="G711" s="2"/>
      <c r="H711" s="5" t="s">
        <v>1374</v>
      </c>
    </row>
    <row r="712" spans="1:8" x14ac:dyDescent="0.35">
      <c r="A712" s="135" t="s">
        <v>3308</v>
      </c>
      <c r="B712" s="2" t="s">
        <v>7741</v>
      </c>
      <c r="C712" s="2" t="s">
        <v>7865</v>
      </c>
      <c r="D712" s="100" t="s">
        <v>6421</v>
      </c>
      <c r="E712" s="2" t="s">
        <v>5878</v>
      </c>
      <c r="F712" s="2"/>
      <c r="G712" s="2"/>
      <c r="H712" s="5" t="s">
        <v>496</v>
      </c>
    </row>
    <row r="713" spans="1:8" x14ac:dyDescent="0.35">
      <c r="A713" s="135" t="s">
        <v>3308</v>
      </c>
      <c r="B713" s="2" t="s">
        <v>7741</v>
      </c>
      <c r="C713" s="2" t="s">
        <v>7865</v>
      </c>
      <c r="D713" s="100" t="s">
        <v>6421</v>
      </c>
      <c r="E713" s="2" t="s">
        <v>7754</v>
      </c>
      <c r="F713" s="2"/>
      <c r="G713" s="2"/>
      <c r="H713" s="5" t="s">
        <v>653</v>
      </c>
    </row>
    <row r="714" spans="1:8" x14ac:dyDescent="0.35">
      <c r="A714" s="136" t="s">
        <v>3308</v>
      </c>
      <c r="B714" s="2" t="s">
        <v>7741</v>
      </c>
      <c r="C714" s="2" t="s">
        <v>7865</v>
      </c>
      <c r="D714" s="100" t="s">
        <v>6421</v>
      </c>
      <c r="E714" s="2" t="s">
        <v>7759</v>
      </c>
      <c r="F714" s="2" t="s">
        <v>5994</v>
      </c>
      <c r="G714" s="169" t="s">
        <v>7749</v>
      </c>
      <c r="H714" s="5" t="s">
        <v>1857</v>
      </c>
    </row>
    <row r="715" spans="1:8" ht="29" x14ac:dyDescent="0.35">
      <c r="A715" s="135" t="s">
        <v>3308</v>
      </c>
      <c r="B715" s="2" t="s">
        <v>7741</v>
      </c>
      <c r="C715" s="2" t="s">
        <v>7865</v>
      </c>
      <c r="D715" s="100" t="s">
        <v>6421</v>
      </c>
      <c r="E715" s="2" t="s">
        <v>7759</v>
      </c>
      <c r="F715" s="2" t="s">
        <v>5994</v>
      </c>
      <c r="G715" s="169" t="s">
        <v>7749</v>
      </c>
      <c r="H715" s="5" t="s">
        <v>1858</v>
      </c>
    </row>
    <row r="716" spans="1:8" x14ac:dyDescent="0.35">
      <c r="A716" s="135" t="s">
        <v>3308</v>
      </c>
      <c r="B716" s="2" t="s">
        <v>7741</v>
      </c>
      <c r="C716" s="2" t="s">
        <v>7865</v>
      </c>
      <c r="D716" s="100" t="s">
        <v>6421</v>
      </c>
      <c r="E716" s="2" t="s">
        <v>6429</v>
      </c>
      <c r="F716" s="2"/>
      <c r="G716" s="2"/>
      <c r="H716" s="5" t="s">
        <v>654</v>
      </c>
    </row>
    <row r="717" spans="1:8" x14ac:dyDescent="0.35">
      <c r="A717" s="136" t="s">
        <v>3308</v>
      </c>
      <c r="B717" s="2" t="s">
        <v>7741</v>
      </c>
      <c r="C717" s="2" t="s">
        <v>7865</v>
      </c>
      <c r="D717" s="100" t="s">
        <v>6421</v>
      </c>
      <c r="E717" s="2" t="s">
        <v>7755</v>
      </c>
      <c r="F717" s="2"/>
      <c r="G717" s="2"/>
      <c r="H717" s="5" t="s">
        <v>655</v>
      </c>
    </row>
    <row r="718" spans="1:8" x14ac:dyDescent="0.35">
      <c r="A718" s="135" t="s">
        <v>3308</v>
      </c>
      <c r="B718" s="2" t="s">
        <v>7741</v>
      </c>
      <c r="C718" s="2" t="s">
        <v>7865</v>
      </c>
      <c r="D718" s="100" t="s">
        <v>6421</v>
      </c>
      <c r="E718" s="2" t="s">
        <v>7752</v>
      </c>
      <c r="F718" s="2"/>
      <c r="G718" s="2"/>
      <c r="H718" s="5" t="s">
        <v>493</v>
      </c>
    </row>
    <row r="719" spans="1:8" x14ac:dyDescent="0.35">
      <c r="A719" s="136" t="s">
        <v>3308</v>
      </c>
      <c r="B719" s="2" t="s">
        <v>7741</v>
      </c>
      <c r="C719" s="2" t="s">
        <v>7865</v>
      </c>
      <c r="D719" s="100" t="s">
        <v>6421</v>
      </c>
      <c r="E719" s="2" t="s">
        <v>6424</v>
      </c>
      <c r="F719" s="2"/>
      <c r="G719" s="2"/>
      <c r="H719" s="5" t="s">
        <v>492</v>
      </c>
    </row>
    <row r="720" spans="1:8" x14ac:dyDescent="0.35">
      <c r="A720" s="136" t="s">
        <v>3308</v>
      </c>
      <c r="B720" s="2" t="s">
        <v>7741</v>
      </c>
      <c r="C720" s="2" t="s">
        <v>7865</v>
      </c>
      <c r="D720" s="100" t="s">
        <v>6421</v>
      </c>
      <c r="E720" s="2" t="s">
        <v>5804</v>
      </c>
      <c r="F720" s="2"/>
      <c r="G720" s="2"/>
      <c r="H720" s="5" t="s">
        <v>489</v>
      </c>
    </row>
    <row r="721" spans="1:8" x14ac:dyDescent="0.35">
      <c r="A721" s="135" t="s">
        <v>3308</v>
      </c>
      <c r="B721" s="2" t="s">
        <v>7741</v>
      </c>
      <c r="C721" s="2" t="s">
        <v>7865</v>
      </c>
      <c r="D721" s="100" t="s">
        <v>6421</v>
      </c>
      <c r="E721" s="2" t="s">
        <v>7757</v>
      </c>
      <c r="F721" s="2"/>
      <c r="G721" s="2"/>
      <c r="H721" s="5" t="s">
        <v>752</v>
      </c>
    </row>
    <row r="722" spans="1:8" x14ac:dyDescent="0.35">
      <c r="A722" s="136" t="s">
        <v>3308</v>
      </c>
      <c r="B722" s="2" t="s">
        <v>7741</v>
      </c>
      <c r="C722" s="2" t="s">
        <v>7865</v>
      </c>
      <c r="D722" s="100" t="s">
        <v>6421</v>
      </c>
      <c r="E722" s="2" t="s">
        <v>6426</v>
      </c>
      <c r="F722" s="2"/>
      <c r="G722" s="2"/>
      <c r="H722" s="5" t="s">
        <v>495</v>
      </c>
    </row>
    <row r="723" spans="1:8" x14ac:dyDescent="0.35">
      <c r="A723" s="135" t="s">
        <v>3308</v>
      </c>
      <c r="B723" s="2" t="s">
        <v>7741</v>
      </c>
      <c r="C723" s="2" t="s">
        <v>7865</v>
      </c>
      <c r="D723" s="100" t="s">
        <v>6421</v>
      </c>
      <c r="E723" s="2" t="s">
        <v>6328</v>
      </c>
      <c r="F723" s="2"/>
      <c r="G723" s="2"/>
      <c r="H723" s="5" t="s">
        <v>651</v>
      </c>
    </row>
    <row r="724" spans="1:8" x14ac:dyDescent="0.35">
      <c r="A724" s="136" t="s">
        <v>3308</v>
      </c>
      <c r="B724" s="2" t="s">
        <v>7741</v>
      </c>
      <c r="C724" s="2" t="s">
        <v>7865</v>
      </c>
      <c r="D724" s="100" t="s">
        <v>6421</v>
      </c>
      <c r="E724" s="2" t="s">
        <v>5836</v>
      </c>
      <c r="F724" s="2"/>
      <c r="G724" s="2"/>
      <c r="H724" s="5" t="s">
        <v>494</v>
      </c>
    </row>
    <row r="725" spans="1:8" ht="43.5" x14ac:dyDescent="0.35">
      <c r="A725" s="136" t="s">
        <v>3308</v>
      </c>
      <c r="B725" s="2" t="s">
        <v>7741</v>
      </c>
      <c r="C725" s="2" t="s">
        <v>7865</v>
      </c>
      <c r="D725" s="100" t="s">
        <v>5835</v>
      </c>
      <c r="E725" s="2" t="s">
        <v>6453</v>
      </c>
      <c r="F725" s="169" t="s">
        <v>7749</v>
      </c>
      <c r="G725" s="2"/>
      <c r="H725" s="5" t="s">
        <v>2032</v>
      </c>
    </row>
    <row r="726" spans="1:8" ht="29" x14ac:dyDescent="0.35">
      <c r="A726" s="135" t="s">
        <v>3308</v>
      </c>
      <c r="B726" s="2" t="s">
        <v>7741</v>
      </c>
      <c r="C726" s="2" t="s">
        <v>7865</v>
      </c>
      <c r="D726" s="100" t="s">
        <v>5835</v>
      </c>
      <c r="E726" s="2" t="s">
        <v>6453</v>
      </c>
      <c r="F726" s="169" t="s">
        <v>7749</v>
      </c>
      <c r="G726" s="2"/>
      <c r="H726" s="5" t="s">
        <v>2561</v>
      </c>
    </row>
    <row r="727" spans="1:8" x14ac:dyDescent="0.35">
      <c r="A727" s="136" t="s">
        <v>3308</v>
      </c>
      <c r="B727" s="2" t="s">
        <v>7741</v>
      </c>
      <c r="C727" s="2" t="s">
        <v>7865</v>
      </c>
      <c r="D727" s="100" t="s">
        <v>5835</v>
      </c>
      <c r="E727" s="2" t="s">
        <v>6453</v>
      </c>
      <c r="F727" s="169" t="s">
        <v>7749</v>
      </c>
      <c r="G727" s="2"/>
      <c r="H727" s="5" t="s">
        <v>3109</v>
      </c>
    </row>
    <row r="728" spans="1:8" x14ac:dyDescent="0.35">
      <c r="A728" s="136" t="s">
        <v>3308</v>
      </c>
      <c r="B728" s="2" t="s">
        <v>7741</v>
      </c>
      <c r="C728" s="2" t="s">
        <v>7865</v>
      </c>
      <c r="D728" s="100" t="s">
        <v>5835</v>
      </c>
      <c r="E728" s="2" t="s">
        <v>6458</v>
      </c>
      <c r="F728" s="2"/>
      <c r="G728" s="2"/>
      <c r="H728" s="5" t="s">
        <v>3060</v>
      </c>
    </row>
    <row r="729" spans="1:8" ht="29" x14ac:dyDescent="0.35">
      <c r="A729" s="136" t="s">
        <v>3308</v>
      </c>
      <c r="B729" s="2" t="s">
        <v>7741</v>
      </c>
      <c r="C729" s="2" t="s">
        <v>7865</v>
      </c>
      <c r="D729" s="100" t="s">
        <v>5835</v>
      </c>
      <c r="E729" s="2" t="s">
        <v>7883</v>
      </c>
      <c r="F729" s="2"/>
      <c r="G729" s="2"/>
      <c r="H729" s="5" t="s">
        <v>3118</v>
      </c>
    </row>
    <row r="730" spans="1:8" ht="43.5" x14ac:dyDescent="0.35">
      <c r="A730" s="136" t="s">
        <v>3308</v>
      </c>
      <c r="B730" s="2" t="s">
        <v>7741</v>
      </c>
      <c r="C730" s="2" t="s">
        <v>7865</v>
      </c>
      <c r="D730" s="100" t="s">
        <v>7886</v>
      </c>
      <c r="E730" s="2"/>
      <c r="F730" s="2"/>
      <c r="G730" s="2"/>
      <c r="H730" s="5" t="s">
        <v>2582</v>
      </c>
    </row>
    <row r="731" spans="1:8" x14ac:dyDescent="0.35">
      <c r="A731" s="136" t="s">
        <v>3308</v>
      </c>
      <c r="B731" s="2" t="s">
        <v>7741</v>
      </c>
      <c r="C731" s="2" t="s">
        <v>7865</v>
      </c>
      <c r="D731" s="100" t="s">
        <v>6469</v>
      </c>
      <c r="E731" s="2"/>
      <c r="F731" s="2"/>
      <c r="G731" s="2"/>
      <c r="H731" s="5" t="s">
        <v>3123</v>
      </c>
    </row>
    <row r="732" spans="1:8" ht="29" x14ac:dyDescent="0.35">
      <c r="A732" s="135" t="s">
        <v>3308</v>
      </c>
      <c r="B732" s="2" t="s">
        <v>7741</v>
      </c>
      <c r="C732" s="2" t="s">
        <v>7865</v>
      </c>
      <c r="D732" s="100" t="s">
        <v>6468</v>
      </c>
      <c r="E732" s="2" t="s">
        <v>7883</v>
      </c>
      <c r="F732" s="2"/>
      <c r="G732" s="2"/>
      <c r="H732" s="5" t="s">
        <v>3122</v>
      </c>
    </row>
    <row r="733" spans="1:8" ht="29" x14ac:dyDescent="0.35">
      <c r="A733" s="135" t="s">
        <v>3308</v>
      </c>
      <c r="B733" s="2" t="s">
        <v>7741</v>
      </c>
      <c r="C733" s="2" t="s">
        <v>7865</v>
      </c>
      <c r="D733" s="100" t="s">
        <v>6459</v>
      </c>
      <c r="E733" s="2" t="s">
        <v>6462</v>
      </c>
      <c r="F733" s="2"/>
      <c r="G733" s="2"/>
      <c r="H733" s="5" t="s">
        <v>7439</v>
      </c>
    </row>
    <row r="734" spans="1:8" ht="29" x14ac:dyDescent="0.35">
      <c r="A734" s="136" t="s">
        <v>3308</v>
      </c>
      <c r="B734" s="2" t="s">
        <v>7741</v>
      </c>
      <c r="C734" s="2" t="s">
        <v>7865</v>
      </c>
      <c r="D734" s="100" t="s">
        <v>6459</v>
      </c>
      <c r="E734" s="2" t="s">
        <v>7867</v>
      </c>
      <c r="F734" s="2"/>
      <c r="G734" s="2"/>
      <c r="H734" s="5" t="s">
        <v>7440</v>
      </c>
    </row>
    <row r="735" spans="1:8" ht="29" x14ac:dyDescent="0.35">
      <c r="A735" s="136" t="s">
        <v>3308</v>
      </c>
      <c r="B735" s="2" t="s">
        <v>7741</v>
      </c>
      <c r="C735" s="2" t="s">
        <v>7865</v>
      </c>
      <c r="D735" s="100" t="s">
        <v>6459</v>
      </c>
      <c r="E735" s="2" t="s">
        <v>5837</v>
      </c>
      <c r="F735" s="2"/>
      <c r="G735" s="2"/>
      <c r="H735" s="5" t="s">
        <v>7442</v>
      </c>
    </row>
    <row r="736" spans="1:8" ht="29" x14ac:dyDescent="0.35">
      <c r="A736" s="135" t="s">
        <v>3308</v>
      </c>
      <c r="B736" s="2" t="s">
        <v>7741</v>
      </c>
      <c r="C736" s="2" t="s">
        <v>7865</v>
      </c>
      <c r="D736" s="100" t="s">
        <v>6459</v>
      </c>
      <c r="E736" s="2" t="s">
        <v>6460</v>
      </c>
      <c r="F736" s="2"/>
      <c r="G736" s="2"/>
      <c r="H736" s="5" t="s">
        <v>7437</v>
      </c>
    </row>
    <row r="737" spans="1:8" ht="29" x14ac:dyDescent="0.35">
      <c r="A737" s="135" t="s">
        <v>3308</v>
      </c>
      <c r="B737" s="2" t="s">
        <v>7741</v>
      </c>
      <c r="C737" s="2" t="s">
        <v>7865</v>
      </c>
      <c r="D737" s="100" t="s">
        <v>6459</v>
      </c>
      <c r="E737" s="2" t="s">
        <v>6465</v>
      </c>
      <c r="F737" s="2"/>
      <c r="G737" s="2"/>
      <c r="H737" s="5" t="s">
        <v>7443</v>
      </c>
    </row>
    <row r="738" spans="1:8" ht="29" x14ac:dyDescent="0.35">
      <c r="A738" s="135" t="s">
        <v>3308</v>
      </c>
      <c r="B738" s="2" t="s">
        <v>7741</v>
      </c>
      <c r="C738" s="2" t="s">
        <v>7865</v>
      </c>
      <c r="D738" s="100" t="s">
        <v>6459</v>
      </c>
      <c r="E738" s="2" t="s">
        <v>6464</v>
      </c>
      <c r="F738" s="2"/>
      <c r="G738" s="2"/>
      <c r="H738" s="5" t="s">
        <v>7441</v>
      </c>
    </row>
    <row r="739" spans="1:8" ht="29" x14ac:dyDescent="0.35">
      <c r="A739" s="136" t="s">
        <v>3308</v>
      </c>
      <c r="B739" s="2" t="s">
        <v>7741</v>
      </c>
      <c r="C739" s="2" t="s">
        <v>7865</v>
      </c>
      <c r="D739" s="100" t="s">
        <v>6459</v>
      </c>
      <c r="E739" s="2" t="s">
        <v>6461</v>
      </c>
      <c r="F739" s="2"/>
      <c r="G739" s="2"/>
      <c r="H739" s="5" t="s">
        <v>7438</v>
      </c>
    </row>
    <row r="740" spans="1:8" ht="43.5" x14ac:dyDescent="0.35">
      <c r="A740" s="135" t="s">
        <v>3308</v>
      </c>
      <c r="B740" s="2" t="s">
        <v>7741</v>
      </c>
      <c r="C740" s="2" t="s">
        <v>7865</v>
      </c>
      <c r="D740" s="100" t="s">
        <v>7882</v>
      </c>
      <c r="E740" s="2"/>
      <c r="F740" s="2"/>
      <c r="G740" s="2"/>
      <c r="H740" s="5" t="s">
        <v>414</v>
      </c>
    </row>
    <row r="741" spans="1:8" ht="43.5" x14ac:dyDescent="0.35">
      <c r="A741" s="136" t="s">
        <v>3308</v>
      </c>
      <c r="B741" s="2" t="s">
        <v>7741</v>
      </c>
      <c r="C741" s="2" t="s">
        <v>7865</v>
      </c>
      <c r="D741" s="100" t="s">
        <v>7884</v>
      </c>
      <c r="E741" s="2"/>
      <c r="F741" s="2"/>
      <c r="G741" s="2"/>
      <c r="H741" s="5" t="s">
        <v>650</v>
      </c>
    </row>
    <row r="742" spans="1:8" ht="29" x14ac:dyDescent="0.35">
      <c r="A742" s="136" t="s">
        <v>3308</v>
      </c>
      <c r="B742" s="2" t="s">
        <v>7741</v>
      </c>
      <c r="C742" s="2" t="s">
        <v>7865</v>
      </c>
      <c r="D742" s="100" t="s">
        <v>7887</v>
      </c>
      <c r="E742" s="2" t="s">
        <v>7888</v>
      </c>
      <c r="F742" s="2"/>
      <c r="G742" s="2"/>
      <c r="H742" s="5" t="s">
        <v>487</v>
      </c>
    </row>
    <row r="743" spans="1:8" ht="29" x14ac:dyDescent="0.35">
      <c r="A743" s="136" t="s">
        <v>3308</v>
      </c>
      <c r="B743" s="2" t="s">
        <v>7741</v>
      </c>
      <c r="C743" s="2" t="s">
        <v>7865</v>
      </c>
      <c r="D743" s="100" t="s">
        <v>7887</v>
      </c>
      <c r="E743" s="2" t="s">
        <v>6418</v>
      </c>
      <c r="F743" s="2"/>
      <c r="G743" s="2"/>
      <c r="H743" s="5" t="s">
        <v>7420</v>
      </c>
    </row>
    <row r="744" spans="1:8" x14ac:dyDescent="0.35">
      <c r="A744" s="136" t="s">
        <v>3954</v>
      </c>
      <c r="B744" s="2" t="s">
        <v>7741</v>
      </c>
      <c r="C744" s="2" t="s">
        <v>5908</v>
      </c>
      <c r="D744" s="100" t="s">
        <v>7880</v>
      </c>
      <c r="E744" s="2" t="s">
        <v>6606</v>
      </c>
      <c r="F744" s="169" t="s">
        <v>7749</v>
      </c>
      <c r="G744" s="2"/>
      <c r="H744" s="5" t="s">
        <v>1829</v>
      </c>
    </row>
    <row r="745" spans="1:8" ht="29" x14ac:dyDescent="0.35">
      <c r="A745" s="135" t="s">
        <v>3954</v>
      </c>
      <c r="B745" s="2" t="s">
        <v>7741</v>
      </c>
      <c r="C745" s="2" t="s">
        <v>5908</v>
      </c>
      <c r="D745" s="100" t="s">
        <v>7880</v>
      </c>
      <c r="E745" s="2" t="s">
        <v>6606</v>
      </c>
      <c r="F745" s="169" t="s">
        <v>7749</v>
      </c>
      <c r="G745" s="2"/>
      <c r="H745" s="5" t="s">
        <v>1828</v>
      </c>
    </row>
    <row r="746" spans="1:8" x14ac:dyDescent="0.35">
      <c r="A746" s="135" t="s">
        <v>3332</v>
      </c>
      <c r="B746" s="2" t="s">
        <v>7741</v>
      </c>
      <c r="C746" s="2" t="s">
        <v>5908</v>
      </c>
      <c r="D746" s="100" t="s">
        <v>7781</v>
      </c>
      <c r="E746" s="2" t="s">
        <v>7837</v>
      </c>
      <c r="F746" s="2"/>
      <c r="G746" s="2"/>
      <c r="H746" s="5" t="s">
        <v>1896</v>
      </c>
    </row>
    <row r="747" spans="1:8" ht="29" x14ac:dyDescent="0.35">
      <c r="A747" s="136" t="s">
        <v>3920</v>
      </c>
      <c r="B747" s="2" t="s">
        <v>7741</v>
      </c>
      <c r="C747" s="2" t="s">
        <v>5908</v>
      </c>
      <c r="D747" s="100" t="s">
        <v>7866</v>
      </c>
      <c r="E747" s="2"/>
      <c r="F747" s="2"/>
      <c r="G747" s="2"/>
      <c r="H747" s="5" t="s">
        <v>3117</v>
      </c>
    </row>
    <row r="748" spans="1:8" x14ac:dyDescent="0.35">
      <c r="A748" s="136" t="s">
        <v>3307</v>
      </c>
      <c r="B748" s="2" t="s">
        <v>7741</v>
      </c>
      <c r="C748" s="2" t="s">
        <v>5848</v>
      </c>
      <c r="D748" s="100" t="s">
        <v>7820</v>
      </c>
      <c r="E748" s="169" t="s">
        <v>7749</v>
      </c>
      <c r="F748" s="2"/>
      <c r="G748" s="2"/>
      <c r="H748" s="5" t="s">
        <v>1773</v>
      </c>
    </row>
    <row r="749" spans="1:8" ht="29" x14ac:dyDescent="0.35">
      <c r="A749" s="135" t="s">
        <v>3307</v>
      </c>
      <c r="B749" s="2" t="s">
        <v>7741</v>
      </c>
      <c r="C749" s="2" t="s">
        <v>5848</v>
      </c>
      <c r="D749" s="100" t="s">
        <v>7820</v>
      </c>
      <c r="E749" s="169" t="s">
        <v>7749</v>
      </c>
      <c r="F749" s="2"/>
      <c r="G749" s="2"/>
      <c r="H749" s="5" t="s">
        <v>2355</v>
      </c>
    </row>
    <row r="750" spans="1:8" x14ac:dyDescent="0.35">
      <c r="A750" s="135" t="s">
        <v>3307</v>
      </c>
      <c r="B750" s="2" t="s">
        <v>7741</v>
      </c>
      <c r="C750" s="2" t="s">
        <v>5848</v>
      </c>
      <c r="D750" s="2" t="s">
        <v>7817</v>
      </c>
      <c r="E750" s="2" t="s">
        <v>7818</v>
      </c>
      <c r="F750" s="2"/>
      <c r="G750" s="2"/>
      <c r="H750" s="5" t="s">
        <v>2350</v>
      </c>
    </row>
    <row r="751" spans="1:8" x14ac:dyDescent="0.35">
      <c r="A751" s="135" t="s">
        <v>3307</v>
      </c>
      <c r="B751" s="2" t="s">
        <v>7741</v>
      </c>
      <c r="C751" s="2" t="s">
        <v>5848</v>
      </c>
      <c r="D751" s="100" t="s">
        <v>7817</v>
      </c>
      <c r="E751" s="2" t="s">
        <v>5908</v>
      </c>
      <c r="F751" s="2"/>
      <c r="G751" s="2"/>
      <c r="H751" s="5" t="s">
        <v>2352</v>
      </c>
    </row>
    <row r="752" spans="1:8" x14ac:dyDescent="0.35">
      <c r="A752" s="136" t="s">
        <v>3307</v>
      </c>
      <c r="B752" s="2" t="s">
        <v>7741</v>
      </c>
      <c r="C752" s="2" t="s">
        <v>5848</v>
      </c>
      <c r="D752" s="100" t="s">
        <v>7817</v>
      </c>
      <c r="E752" s="2" t="s">
        <v>7819</v>
      </c>
      <c r="F752" s="2"/>
      <c r="G752" s="2"/>
      <c r="H752" s="5" t="s">
        <v>2351</v>
      </c>
    </row>
    <row r="753" spans="1:8" ht="43.5" x14ac:dyDescent="0.35">
      <c r="A753" s="136" t="s">
        <v>3306</v>
      </c>
      <c r="B753" s="2" t="s">
        <v>7741</v>
      </c>
      <c r="C753" s="2" t="s">
        <v>7648</v>
      </c>
      <c r="D753" s="100" t="s">
        <v>6194</v>
      </c>
      <c r="E753" s="2" t="s">
        <v>6198</v>
      </c>
      <c r="F753" s="2"/>
      <c r="G753" s="2"/>
      <c r="H753" s="5" t="s">
        <v>7150</v>
      </c>
    </row>
    <row r="754" spans="1:8" ht="43.5" x14ac:dyDescent="0.35">
      <c r="A754" s="135" t="s">
        <v>3306</v>
      </c>
      <c r="B754" s="2" t="s">
        <v>7741</v>
      </c>
      <c r="C754" s="2" t="s">
        <v>7648</v>
      </c>
      <c r="D754" s="100" t="s">
        <v>6194</v>
      </c>
      <c r="E754" s="2" t="s">
        <v>6203</v>
      </c>
      <c r="F754" s="2"/>
      <c r="G754" s="2"/>
      <c r="H754" s="5" t="s">
        <v>7155</v>
      </c>
    </row>
    <row r="755" spans="1:8" ht="43.5" x14ac:dyDescent="0.35">
      <c r="A755" s="136" t="s">
        <v>3306</v>
      </c>
      <c r="B755" s="2" t="s">
        <v>7741</v>
      </c>
      <c r="C755" s="2" t="s">
        <v>7648</v>
      </c>
      <c r="D755" s="100" t="s">
        <v>6194</v>
      </c>
      <c r="E755" s="2" t="s">
        <v>6202</v>
      </c>
      <c r="F755" s="2"/>
      <c r="G755" s="2"/>
      <c r="H755" s="5" t="s">
        <v>7154</v>
      </c>
    </row>
    <row r="756" spans="1:8" ht="29" x14ac:dyDescent="0.35">
      <c r="A756" s="136" t="s">
        <v>4044</v>
      </c>
      <c r="B756" s="2" t="s">
        <v>7741</v>
      </c>
      <c r="C756" s="2" t="s">
        <v>7648</v>
      </c>
      <c r="D756" s="100" t="s">
        <v>6194</v>
      </c>
      <c r="E756" s="2" t="s">
        <v>7822</v>
      </c>
      <c r="F756" s="2" t="s">
        <v>7806</v>
      </c>
      <c r="G756" s="2"/>
      <c r="H756" s="5" t="s">
        <v>7601</v>
      </c>
    </row>
    <row r="757" spans="1:8" ht="29" x14ac:dyDescent="0.35">
      <c r="A757" s="135" t="s">
        <v>4044</v>
      </c>
      <c r="B757" s="2" t="s">
        <v>7741</v>
      </c>
      <c r="C757" s="2" t="s">
        <v>7648</v>
      </c>
      <c r="D757" s="100" t="s">
        <v>6194</v>
      </c>
      <c r="E757" s="2" t="s">
        <v>7822</v>
      </c>
      <c r="F757" s="2" t="s">
        <v>7807</v>
      </c>
      <c r="G757" s="2"/>
      <c r="H757" s="5" t="s">
        <v>7602</v>
      </c>
    </row>
    <row r="758" spans="1:8" ht="43.5" x14ac:dyDescent="0.35">
      <c r="A758" s="135" t="s">
        <v>3306</v>
      </c>
      <c r="B758" s="2" t="s">
        <v>7741</v>
      </c>
      <c r="C758" s="2" t="s">
        <v>7648</v>
      </c>
      <c r="D758" s="100" t="s">
        <v>6194</v>
      </c>
      <c r="E758" s="2" t="s">
        <v>6199</v>
      </c>
      <c r="F758" s="2"/>
      <c r="G758" s="2"/>
      <c r="H758" s="5" t="s">
        <v>7151</v>
      </c>
    </row>
    <row r="759" spans="1:8" ht="43.5" x14ac:dyDescent="0.35">
      <c r="A759" s="135" t="s">
        <v>3306</v>
      </c>
      <c r="B759" s="2" t="s">
        <v>7741</v>
      </c>
      <c r="C759" s="2" t="s">
        <v>7648</v>
      </c>
      <c r="D759" s="100" t="s">
        <v>6194</v>
      </c>
      <c r="E759" s="2" t="s">
        <v>6197</v>
      </c>
      <c r="F759" s="2"/>
      <c r="G759" s="2"/>
      <c r="H759" s="5" t="s">
        <v>7149</v>
      </c>
    </row>
    <row r="760" spans="1:8" ht="43.5" x14ac:dyDescent="0.35">
      <c r="A760" s="135" t="s">
        <v>3306</v>
      </c>
      <c r="B760" s="2" t="s">
        <v>7741</v>
      </c>
      <c r="C760" s="2" t="s">
        <v>7648</v>
      </c>
      <c r="D760" s="100" t="s">
        <v>6194</v>
      </c>
      <c r="E760" s="2" t="s">
        <v>6201</v>
      </c>
      <c r="F760" s="2"/>
      <c r="G760" s="2"/>
      <c r="H760" s="5" t="s">
        <v>7153</v>
      </c>
    </row>
    <row r="761" spans="1:8" ht="43.5" x14ac:dyDescent="0.35">
      <c r="A761" s="136" t="s">
        <v>3306</v>
      </c>
      <c r="B761" s="2" t="s">
        <v>7741</v>
      </c>
      <c r="C761" s="2" t="s">
        <v>7648</v>
      </c>
      <c r="D761" s="100" t="s">
        <v>6194</v>
      </c>
      <c r="E761" s="2" t="s">
        <v>6200</v>
      </c>
      <c r="F761" s="2"/>
      <c r="G761" s="2"/>
      <c r="H761" s="5" t="s">
        <v>7152</v>
      </c>
    </row>
    <row r="762" spans="1:8" ht="29" x14ac:dyDescent="0.35">
      <c r="A762" s="153" t="s">
        <v>3533</v>
      </c>
      <c r="B762" s="2" t="s">
        <v>7741</v>
      </c>
      <c r="C762" s="2" t="s">
        <v>7648</v>
      </c>
      <c r="D762" s="100" t="s">
        <v>6194</v>
      </c>
      <c r="E762" s="2" t="s">
        <v>7823</v>
      </c>
      <c r="F762" s="2"/>
      <c r="G762" s="2"/>
      <c r="H762" s="5" t="s">
        <v>2551</v>
      </c>
    </row>
    <row r="763" spans="1:8" ht="43.5" x14ac:dyDescent="0.35">
      <c r="A763" s="136" t="s">
        <v>3306</v>
      </c>
      <c r="B763" s="2" t="s">
        <v>7741</v>
      </c>
      <c r="C763" s="2" t="s">
        <v>7648</v>
      </c>
      <c r="D763" s="100" t="s">
        <v>6194</v>
      </c>
      <c r="E763" s="2" t="s">
        <v>6196</v>
      </c>
      <c r="F763" s="2"/>
      <c r="G763" s="2"/>
      <c r="H763" s="5" t="s">
        <v>7148</v>
      </c>
    </row>
    <row r="764" spans="1:8" ht="43.5" x14ac:dyDescent="0.35">
      <c r="A764" s="135" t="s">
        <v>3306</v>
      </c>
      <c r="B764" s="2" t="s">
        <v>7741</v>
      </c>
      <c r="C764" s="2" t="s">
        <v>7648</v>
      </c>
      <c r="D764" s="100" t="s">
        <v>6194</v>
      </c>
      <c r="E764" s="2" t="s">
        <v>6195</v>
      </c>
      <c r="F764" s="2"/>
      <c r="G764" s="2"/>
      <c r="H764" s="5" t="s">
        <v>7147</v>
      </c>
    </row>
    <row r="765" spans="1:8" x14ac:dyDescent="0.35">
      <c r="A765" s="135" t="s">
        <v>4044</v>
      </c>
      <c r="B765" s="2" t="s">
        <v>7741</v>
      </c>
      <c r="C765" s="2" t="s">
        <v>7648</v>
      </c>
      <c r="D765" s="100" t="s">
        <v>7821</v>
      </c>
      <c r="E765" s="2"/>
      <c r="F765" s="2"/>
      <c r="G765" s="2"/>
      <c r="H765" s="5" t="s">
        <v>1099</v>
      </c>
    </row>
    <row r="766" spans="1:8" x14ac:dyDescent="0.35">
      <c r="A766" s="135" t="s">
        <v>3851</v>
      </c>
      <c r="B766" s="2" t="s">
        <v>7741</v>
      </c>
      <c r="C766" s="2" t="s">
        <v>6004</v>
      </c>
      <c r="D766" s="100" t="s">
        <v>6413</v>
      </c>
      <c r="E766" s="2" t="s">
        <v>5991</v>
      </c>
      <c r="F766" s="2"/>
      <c r="G766" s="2"/>
      <c r="H766" s="5" t="s">
        <v>3156</v>
      </c>
    </row>
    <row r="767" spans="1:8" x14ac:dyDescent="0.35">
      <c r="A767" s="136" t="s">
        <v>3306</v>
      </c>
      <c r="B767" s="2" t="s">
        <v>7741</v>
      </c>
      <c r="C767" s="2" t="s">
        <v>6004</v>
      </c>
      <c r="D767" s="100" t="s">
        <v>6283</v>
      </c>
      <c r="E767" s="169" t="s">
        <v>7749</v>
      </c>
      <c r="F767" s="2"/>
      <c r="G767" s="2"/>
      <c r="H767" s="5" t="s">
        <v>2780</v>
      </c>
    </row>
    <row r="768" spans="1:8" ht="29" x14ac:dyDescent="0.35">
      <c r="A768" s="136" t="s">
        <v>3307</v>
      </c>
      <c r="B768" s="2" t="s">
        <v>7741</v>
      </c>
      <c r="C768" s="2" t="s">
        <v>6004</v>
      </c>
      <c r="D768" s="100" t="s">
        <v>6283</v>
      </c>
      <c r="E768" s="169" t="s">
        <v>7749</v>
      </c>
      <c r="F768" s="2"/>
      <c r="G768" s="2"/>
      <c r="H768" s="5" t="s">
        <v>2634</v>
      </c>
    </row>
    <row r="769" spans="1:8" ht="29" x14ac:dyDescent="0.35">
      <c r="A769" s="135" t="s">
        <v>4044</v>
      </c>
      <c r="B769" s="2" t="s">
        <v>7741</v>
      </c>
      <c r="C769" s="2" t="s">
        <v>6004</v>
      </c>
      <c r="D769" s="100" t="s">
        <v>5927</v>
      </c>
      <c r="E769" s="2" t="s">
        <v>6829</v>
      </c>
      <c r="F769" s="2"/>
      <c r="G769" s="2"/>
      <c r="H769" s="5" t="s">
        <v>260</v>
      </c>
    </row>
    <row r="770" spans="1:8" ht="29" x14ac:dyDescent="0.35">
      <c r="A770" s="136" t="s">
        <v>3803</v>
      </c>
      <c r="B770" s="2" t="s">
        <v>7741</v>
      </c>
      <c r="C770" s="2" t="s">
        <v>6004</v>
      </c>
      <c r="D770" s="100" t="s">
        <v>5967</v>
      </c>
      <c r="E770" s="2" t="s">
        <v>4</v>
      </c>
      <c r="F770" s="2"/>
      <c r="G770" s="2"/>
      <c r="H770" s="5" t="s">
        <v>526</v>
      </c>
    </row>
    <row r="771" spans="1:8" ht="29" x14ac:dyDescent="0.35">
      <c r="A771" s="135" t="s">
        <v>3803</v>
      </c>
      <c r="B771" s="2" t="s">
        <v>7741</v>
      </c>
      <c r="C771" s="2" t="s">
        <v>6004</v>
      </c>
      <c r="D771" s="100" t="s">
        <v>5967</v>
      </c>
      <c r="E771" s="2" t="s">
        <v>5768</v>
      </c>
      <c r="F771" s="2"/>
      <c r="G771" s="2"/>
      <c r="H771" s="5" t="s">
        <v>527</v>
      </c>
    </row>
    <row r="772" spans="1:8" ht="29" x14ac:dyDescent="0.35">
      <c r="A772" s="135" t="s">
        <v>3895</v>
      </c>
      <c r="B772" s="2" t="s">
        <v>7741</v>
      </c>
      <c r="C772" s="2" t="s">
        <v>5804</v>
      </c>
      <c r="D772" s="2" t="s">
        <v>6474</v>
      </c>
      <c r="E772" s="2"/>
      <c r="F772" s="2"/>
      <c r="G772" s="2"/>
      <c r="H772" s="5" t="s">
        <v>7445</v>
      </c>
    </row>
    <row r="773" spans="1:8" ht="29" x14ac:dyDescent="0.35">
      <c r="A773" s="136" t="s">
        <v>3895</v>
      </c>
      <c r="B773" s="2" t="s">
        <v>7741</v>
      </c>
      <c r="C773" s="2" t="s">
        <v>5804</v>
      </c>
      <c r="D773" s="2" t="s">
        <v>7743</v>
      </c>
      <c r="E773" s="2" t="s">
        <v>7868</v>
      </c>
      <c r="F773" s="2"/>
      <c r="G773" s="2"/>
      <c r="H773" s="5" t="s">
        <v>7446</v>
      </c>
    </row>
    <row r="774" spans="1:8" ht="29" x14ac:dyDescent="0.35">
      <c r="A774" s="135" t="s">
        <v>3895</v>
      </c>
      <c r="B774" s="2" t="s">
        <v>7741</v>
      </c>
      <c r="C774" s="2" t="s">
        <v>5804</v>
      </c>
      <c r="D774" s="2" t="s">
        <v>7743</v>
      </c>
      <c r="E774" s="2" t="s">
        <v>7869</v>
      </c>
      <c r="F774" s="2"/>
      <c r="G774" s="2"/>
      <c r="H774" s="5" t="s">
        <v>1705</v>
      </c>
    </row>
    <row r="775" spans="1:8" ht="29" x14ac:dyDescent="0.35">
      <c r="A775" s="136" t="s">
        <v>3895</v>
      </c>
      <c r="B775" s="2" t="s">
        <v>7741</v>
      </c>
      <c r="C775" s="2" t="s">
        <v>5804</v>
      </c>
      <c r="D775" s="2" t="s">
        <v>7743</v>
      </c>
      <c r="E775" s="2" t="s">
        <v>7871</v>
      </c>
      <c r="F775" s="2"/>
      <c r="G775" s="2"/>
      <c r="H775" s="5" t="s">
        <v>1706</v>
      </c>
    </row>
    <row r="776" spans="1:8" ht="29" x14ac:dyDescent="0.35">
      <c r="A776" s="135" t="s">
        <v>3895</v>
      </c>
      <c r="B776" s="2" t="s">
        <v>7741</v>
      </c>
      <c r="C776" s="2" t="s">
        <v>5804</v>
      </c>
      <c r="D776" s="2" t="s">
        <v>6472</v>
      </c>
      <c r="E776" s="2"/>
      <c r="F776" s="2"/>
      <c r="G776" s="2"/>
      <c r="H776" s="5" t="s">
        <v>31</v>
      </c>
    </row>
    <row r="777" spans="1:8" ht="29" x14ac:dyDescent="0.35">
      <c r="A777" s="136" t="s">
        <v>3895</v>
      </c>
      <c r="B777" s="2" t="s">
        <v>7741</v>
      </c>
      <c r="C777" s="2" t="s">
        <v>5804</v>
      </c>
      <c r="D777" s="2" t="s">
        <v>7873</v>
      </c>
      <c r="E777" s="2"/>
      <c r="F777" s="2"/>
      <c r="G777" s="2"/>
      <c r="H777" s="5" t="s">
        <v>1704</v>
      </c>
    </row>
    <row r="778" spans="1:8" ht="29" x14ac:dyDescent="0.35">
      <c r="A778" s="135" t="s">
        <v>3895</v>
      </c>
      <c r="B778" s="2" t="s">
        <v>7741</v>
      </c>
      <c r="C778" s="2" t="s">
        <v>5804</v>
      </c>
      <c r="D778" s="2" t="s">
        <v>7872</v>
      </c>
      <c r="E778" s="2"/>
      <c r="F778" s="2"/>
      <c r="G778" s="2"/>
      <c r="H778" s="5" t="s">
        <v>7447</v>
      </c>
    </row>
    <row r="779" spans="1:8" x14ac:dyDescent="0.35">
      <c r="A779" s="136" t="s">
        <v>3895</v>
      </c>
      <c r="B779" s="2" t="s">
        <v>7741</v>
      </c>
      <c r="C779" s="2" t="s">
        <v>5804</v>
      </c>
      <c r="D779" s="2" t="s">
        <v>7744</v>
      </c>
      <c r="E779" s="2" t="s">
        <v>7745</v>
      </c>
      <c r="F779" s="2"/>
      <c r="G779" s="2"/>
      <c r="H779" s="5" t="s">
        <v>2183</v>
      </c>
    </row>
    <row r="780" spans="1:8" x14ac:dyDescent="0.35">
      <c r="A780" s="135" t="s">
        <v>3895</v>
      </c>
      <c r="B780" s="2" t="s">
        <v>7741</v>
      </c>
      <c r="C780" s="2" t="s">
        <v>5804</v>
      </c>
      <c r="D780" s="2" t="s">
        <v>7744</v>
      </c>
      <c r="E780" s="2" t="s">
        <v>7746</v>
      </c>
      <c r="F780" s="2"/>
      <c r="G780" s="2"/>
      <c r="H780" s="5" t="s">
        <v>1707</v>
      </c>
    </row>
    <row r="781" spans="1:8" ht="29" x14ac:dyDescent="0.35">
      <c r="A781" s="168" t="s">
        <v>3332</v>
      </c>
      <c r="B781" s="184" t="s">
        <v>7741</v>
      </c>
      <c r="C781" s="2" t="s">
        <v>5994</v>
      </c>
      <c r="D781" s="169" t="s">
        <v>7751</v>
      </c>
      <c r="E781" s="169"/>
      <c r="F781" s="169"/>
      <c r="G781" s="169"/>
      <c r="H781" s="76" t="s">
        <v>1879</v>
      </c>
    </row>
    <row r="782" spans="1:8" x14ac:dyDescent="0.35">
      <c r="A782" s="136" t="s">
        <v>3996</v>
      </c>
      <c r="B782" s="2" t="s">
        <v>7741</v>
      </c>
      <c r="C782" s="2" t="s">
        <v>5994</v>
      </c>
      <c r="D782" s="2" t="s">
        <v>7878</v>
      </c>
      <c r="E782" s="2" t="s">
        <v>7879</v>
      </c>
      <c r="F782" s="2"/>
      <c r="G782" s="2"/>
      <c r="H782" s="5" t="s">
        <v>1794</v>
      </c>
    </row>
    <row r="783" spans="1:8" x14ac:dyDescent="0.35">
      <c r="A783" s="136" t="s">
        <v>3851</v>
      </c>
      <c r="B783" s="2" t="s">
        <v>7741</v>
      </c>
      <c r="C783" s="2" t="s">
        <v>5994</v>
      </c>
      <c r="D783" s="2" t="s">
        <v>6139</v>
      </c>
      <c r="E783" s="2" t="s">
        <v>5954</v>
      </c>
      <c r="F783" s="2"/>
      <c r="G783" s="2"/>
      <c r="H783" s="5" t="s">
        <v>2417</v>
      </c>
    </row>
    <row r="784" spans="1:8" ht="29" x14ac:dyDescent="0.35">
      <c r="A784" s="168" t="s">
        <v>3920</v>
      </c>
      <c r="B784" s="169" t="s">
        <v>7741</v>
      </c>
      <c r="C784" s="169" t="s">
        <v>5994</v>
      </c>
      <c r="D784" s="169" t="s">
        <v>6575</v>
      </c>
      <c r="E784" s="169"/>
      <c r="F784" s="169"/>
      <c r="G784" s="169"/>
      <c r="H784" s="76" t="s">
        <v>1881</v>
      </c>
    </row>
    <row r="785" spans="1:8" x14ac:dyDescent="0.35">
      <c r="A785" s="135" t="s">
        <v>3920</v>
      </c>
      <c r="B785" s="2" t="s">
        <v>7741</v>
      </c>
      <c r="C785" s="2" t="s">
        <v>6576</v>
      </c>
      <c r="D785" s="2" t="s">
        <v>6577</v>
      </c>
      <c r="E785" s="2" t="s">
        <v>6580</v>
      </c>
      <c r="F785" s="2"/>
      <c r="G785" s="2"/>
      <c r="H785" s="5" t="s">
        <v>1884</v>
      </c>
    </row>
    <row r="786" spans="1:8" x14ac:dyDescent="0.35">
      <c r="A786" s="135" t="s">
        <v>3920</v>
      </c>
      <c r="B786" s="2" t="s">
        <v>7741</v>
      </c>
      <c r="C786" s="2" t="s">
        <v>6576</v>
      </c>
      <c r="D786" s="100" t="s">
        <v>6577</v>
      </c>
      <c r="E786" s="2" t="s">
        <v>6582</v>
      </c>
      <c r="F786" s="2"/>
      <c r="G786" s="2"/>
      <c r="H786" s="5" t="s">
        <v>1886</v>
      </c>
    </row>
    <row r="787" spans="1:8" x14ac:dyDescent="0.35">
      <c r="A787" s="136" t="s">
        <v>3920</v>
      </c>
      <c r="B787" s="2" t="s">
        <v>7741</v>
      </c>
      <c r="C787" s="2" t="s">
        <v>6576</v>
      </c>
      <c r="D787" s="2" t="s">
        <v>6577</v>
      </c>
      <c r="E787" s="2" t="s">
        <v>6579</v>
      </c>
      <c r="F787" s="2"/>
      <c r="G787" s="2"/>
      <c r="H787" s="5" t="s">
        <v>1883</v>
      </c>
    </row>
    <row r="788" spans="1:8" x14ac:dyDescent="0.35">
      <c r="A788" s="136" t="s">
        <v>3920</v>
      </c>
      <c r="B788" s="2" t="s">
        <v>7741</v>
      </c>
      <c r="C788" s="2" t="s">
        <v>6576</v>
      </c>
      <c r="D788" s="2" t="s">
        <v>6577</v>
      </c>
      <c r="E788" s="2" t="s">
        <v>6581</v>
      </c>
      <c r="F788" s="2"/>
      <c r="G788" s="2"/>
      <c r="H788" s="5" t="s">
        <v>1885</v>
      </c>
    </row>
    <row r="789" spans="1:8" ht="58" x14ac:dyDescent="0.35">
      <c r="A789" s="135" t="s">
        <v>3920</v>
      </c>
      <c r="B789" s="2" t="s">
        <v>7741</v>
      </c>
      <c r="C789" s="2" t="s">
        <v>6576</v>
      </c>
      <c r="D789" s="2" t="s">
        <v>6577</v>
      </c>
      <c r="E789" s="2" t="s">
        <v>6578</v>
      </c>
      <c r="F789" s="2"/>
      <c r="G789" s="2"/>
      <c r="H789" s="5" t="s">
        <v>7477</v>
      </c>
    </row>
    <row r="790" spans="1:8" x14ac:dyDescent="0.35">
      <c r="A790" s="136" t="s">
        <v>3332</v>
      </c>
      <c r="B790" s="161" t="s">
        <v>7741</v>
      </c>
      <c r="C790" s="161" t="s">
        <v>5870</v>
      </c>
      <c r="D790" s="161" t="s">
        <v>5871</v>
      </c>
      <c r="E790" s="2" t="s">
        <v>5872</v>
      </c>
      <c r="F790" s="2"/>
      <c r="G790" s="2"/>
      <c r="H790" s="5" t="s">
        <v>1251</v>
      </c>
    </row>
    <row r="791" spans="1:8" ht="29" x14ac:dyDescent="0.35">
      <c r="A791" s="135" t="s">
        <v>3332</v>
      </c>
      <c r="B791" s="2" t="s">
        <v>7741</v>
      </c>
      <c r="C791" s="2" t="s">
        <v>7789</v>
      </c>
      <c r="D791" s="2" t="s">
        <v>5886</v>
      </c>
      <c r="E791" s="2"/>
      <c r="F791" s="2"/>
      <c r="G791" s="2"/>
      <c r="H791" s="5" t="s">
        <v>1832</v>
      </c>
    </row>
    <row r="792" spans="1:8" ht="43.5" x14ac:dyDescent="0.35">
      <c r="A792" s="136" t="s">
        <v>3332</v>
      </c>
      <c r="B792" s="161" t="s">
        <v>7741</v>
      </c>
      <c r="C792" s="2" t="s">
        <v>7835</v>
      </c>
      <c r="D792" s="161" t="s">
        <v>7639</v>
      </c>
      <c r="E792" s="161" t="s">
        <v>7811</v>
      </c>
      <c r="F792" s="2" t="s">
        <v>7806</v>
      </c>
      <c r="G792" s="2"/>
      <c r="H792" s="5" t="s">
        <v>529</v>
      </c>
    </row>
    <row r="793" spans="1:8" x14ac:dyDescent="0.35">
      <c r="A793" s="135" t="s">
        <v>3332</v>
      </c>
      <c r="B793" s="2" t="s">
        <v>7741</v>
      </c>
      <c r="C793" s="2" t="s">
        <v>7835</v>
      </c>
      <c r="D793" s="161" t="s">
        <v>7639</v>
      </c>
      <c r="E793" s="161" t="s">
        <v>7811</v>
      </c>
      <c r="F793" s="2" t="s">
        <v>7807</v>
      </c>
      <c r="G793" s="2"/>
      <c r="H793" s="5" t="s">
        <v>530</v>
      </c>
    </row>
    <row r="794" spans="1:8" ht="43.5" x14ac:dyDescent="0.35">
      <c r="A794" s="135" t="s">
        <v>3895</v>
      </c>
      <c r="B794" s="2" t="s">
        <v>7741</v>
      </c>
      <c r="C794" s="2" t="s">
        <v>7835</v>
      </c>
      <c r="D794" s="2" t="s">
        <v>7639</v>
      </c>
      <c r="E794" s="2" t="s">
        <v>7812</v>
      </c>
      <c r="F794" s="2" t="s">
        <v>7806</v>
      </c>
      <c r="G794" s="2"/>
      <c r="H794" s="5" t="s">
        <v>7444</v>
      </c>
    </row>
    <row r="795" spans="1:8" x14ac:dyDescent="0.35">
      <c r="A795" s="136" t="s">
        <v>3895</v>
      </c>
      <c r="B795" s="2" t="s">
        <v>7741</v>
      </c>
      <c r="C795" s="2" t="s">
        <v>7835</v>
      </c>
      <c r="D795" s="2" t="s">
        <v>7639</v>
      </c>
      <c r="E795" s="2" t="s">
        <v>7812</v>
      </c>
      <c r="F795" s="2" t="s">
        <v>7810</v>
      </c>
      <c r="G795" s="2"/>
      <c r="H795" s="5" t="s">
        <v>1278</v>
      </c>
    </row>
    <row r="796" spans="1:8" x14ac:dyDescent="0.35">
      <c r="A796" s="136" t="s">
        <v>3895</v>
      </c>
      <c r="B796" s="2" t="s">
        <v>7741</v>
      </c>
      <c r="C796" s="2" t="s">
        <v>7835</v>
      </c>
      <c r="D796" s="2" t="s">
        <v>7639</v>
      </c>
      <c r="E796" s="2" t="s">
        <v>7812</v>
      </c>
      <c r="F796" s="2" t="s">
        <v>7807</v>
      </c>
      <c r="G796" s="2"/>
      <c r="H796" s="5" t="s">
        <v>28</v>
      </c>
    </row>
    <row r="797" spans="1:8" x14ac:dyDescent="0.35">
      <c r="A797" s="135" t="s">
        <v>3895</v>
      </c>
      <c r="B797" s="2" t="s">
        <v>7741</v>
      </c>
      <c r="C797" s="2" t="s">
        <v>7835</v>
      </c>
      <c r="D797" s="2" t="s">
        <v>7639</v>
      </c>
      <c r="E797" s="2" t="s">
        <v>7812</v>
      </c>
      <c r="F797" s="2" t="s">
        <v>7809</v>
      </c>
      <c r="G797" s="2"/>
      <c r="H797" s="5" t="s">
        <v>188</v>
      </c>
    </row>
    <row r="798" spans="1:8" x14ac:dyDescent="0.35">
      <c r="A798" s="136" t="s">
        <v>3954</v>
      </c>
      <c r="B798" s="2" t="s">
        <v>7741</v>
      </c>
      <c r="C798" s="2" t="s">
        <v>7835</v>
      </c>
      <c r="D798" s="2" t="s">
        <v>7639</v>
      </c>
      <c r="E798" s="2" t="s">
        <v>6155</v>
      </c>
      <c r="F798" s="2"/>
      <c r="G798" s="2"/>
      <c r="H798" s="5" t="s">
        <v>2302</v>
      </c>
    </row>
    <row r="799" spans="1:8" ht="43.5" x14ac:dyDescent="0.35">
      <c r="A799" s="136" t="s">
        <v>3895</v>
      </c>
      <c r="B799" s="2" t="s">
        <v>7741</v>
      </c>
      <c r="C799" s="2" t="s">
        <v>7835</v>
      </c>
      <c r="D799" s="100" t="s">
        <v>7639</v>
      </c>
      <c r="E799" s="2" t="s">
        <v>6477</v>
      </c>
      <c r="F799" s="2"/>
      <c r="G799" s="2"/>
      <c r="H799" s="5" t="s">
        <v>614</v>
      </c>
    </row>
    <row r="800" spans="1:8" ht="43.5" x14ac:dyDescent="0.35">
      <c r="A800" s="136" t="s">
        <v>3895</v>
      </c>
      <c r="B800" s="2" t="s">
        <v>7741</v>
      </c>
      <c r="C800" s="2" t="s">
        <v>7835</v>
      </c>
      <c r="D800" s="100" t="s">
        <v>7639</v>
      </c>
      <c r="E800" s="2" t="s">
        <v>7870</v>
      </c>
      <c r="F800" s="2"/>
      <c r="G800" s="2"/>
      <c r="H800" s="5" t="s">
        <v>413</v>
      </c>
    </row>
    <row r="801" spans="1:8" x14ac:dyDescent="0.35">
      <c r="A801" s="136" t="s">
        <v>3332</v>
      </c>
      <c r="B801" s="161" t="s">
        <v>7741</v>
      </c>
      <c r="C801" s="2" t="s">
        <v>7835</v>
      </c>
      <c r="D801" s="100" t="s">
        <v>5866</v>
      </c>
      <c r="E801" s="161" t="s">
        <v>6441</v>
      </c>
      <c r="F801" s="2"/>
      <c r="G801" s="2"/>
      <c r="H801" s="5" t="s">
        <v>1936</v>
      </c>
    </row>
    <row r="802" spans="1:8" ht="29" x14ac:dyDescent="0.35">
      <c r="A802" s="135" t="s">
        <v>3332</v>
      </c>
      <c r="B802" s="2" t="s">
        <v>7741</v>
      </c>
      <c r="C802" s="2" t="s">
        <v>7835</v>
      </c>
      <c r="D802" s="100" t="s">
        <v>5866</v>
      </c>
      <c r="E802" s="2" t="s">
        <v>7789</v>
      </c>
      <c r="F802" s="2" t="s">
        <v>7806</v>
      </c>
      <c r="G802" s="2"/>
      <c r="H802" s="5" t="s">
        <v>1906</v>
      </c>
    </row>
    <row r="803" spans="1:8" ht="29" x14ac:dyDescent="0.35">
      <c r="A803" s="135" t="s">
        <v>3803</v>
      </c>
      <c r="B803" s="2" t="s">
        <v>7741</v>
      </c>
      <c r="C803" s="2" t="s">
        <v>5967</v>
      </c>
      <c r="D803" s="2" t="s">
        <v>5928</v>
      </c>
      <c r="E803" s="2" t="s">
        <v>6346</v>
      </c>
      <c r="F803" s="2"/>
      <c r="G803" s="2"/>
      <c r="H803" s="5" t="s">
        <v>2964</v>
      </c>
    </row>
    <row r="804" spans="1:8" x14ac:dyDescent="0.35">
      <c r="A804" s="135" t="s">
        <v>3803</v>
      </c>
      <c r="B804" s="2" t="s">
        <v>7741</v>
      </c>
      <c r="C804" s="2" t="s">
        <v>5967</v>
      </c>
      <c r="D804" s="2" t="s">
        <v>6290</v>
      </c>
      <c r="E804" s="2" t="s">
        <v>6360</v>
      </c>
      <c r="F804" s="2" t="s">
        <v>6361</v>
      </c>
      <c r="G804" s="2"/>
      <c r="H804" s="5" t="s">
        <v>2635</v>
      </c>
    </row>
    <row r="805" spans="1:8" ht="29" x14ac:dyDescent="0.35">
      <c r="A805" s="135" t="s">
        <v>3803</v>
      </c>
      <c r="B805" s="2" t="s">
        <v>7741</v>
      </c>
      <c r="C805" s="2" t="s">
        <v>5967</v>
      </c>
      <c r="D805" s="100" t="s">
        <v>6290</v>
      </c>
      <c r="E805" s="2" t="s">
        <v>6307</v>
      </c>
      <c r="F805" s="2" t="s">
        <v>6309</v>
      </c>
      <c r="G805" s="2"/>
      <c r="H805" s="5" t="s">
        <v>523</v>
      </c>
    </row>
    <row r="806" spans="1:8" ht="29" x14ac:dyDescent="0.35">
      <c r="A806" s="136" t="s">
        <v>3803</v>
      </c>
      <c r="B806" s="2" t="s">
        <v>7741</v>
      </c>
      <c r="C806" s="2" t="s">
        <v>5967</v>
      </c>
      <c r="D806" s="100" t="s">
        <v>6290</v>
      </c>
      <c r="E806" s="2" t="s">
        <v>6307</v>
      </c>
      <c r="F806" s="2" t="s">
        <v>6308</v>
      </c>
      <c r="G806" s="2"/>
      <c r="H806" s="5" t="s">
        <v>1617</v>
      </c>
    </row>
    <row r="807" spans="1:8" ht="29" x14ac:dyDescent="0.35">
      <c r="A807" s="135" t="s">
        <v>3996</v>
      </c>
      <c r="B807" s="2" t="s">
        <v>7741</v>
      </c>
      <c r="C807" s="169" t="s">
        <v>7749</v>
      </c>
      <c r="D807" s="2" t="s">
        <v>7778</v>
      </c>
      <c r="E807" s="2" t="s">
        <v>7763</v>
      </c>
      <c r="F807" s="2"/>
      <c r="G807" s="2"/>
      <c r="H807" s="5" t="s">
        <v>7521</v>
      </c>
    </row>
    <row r="808" spans="1:8" hidden="1" x14ac:dyDescent="0.35">
      <c r="A808" s="135" t="s">
        <v>3920</v>
      </c>
      <c r="B808" s="2" t="s">
        <v>5912</v>
      </c>
      <c r="C808" s="2" t="s">
        <v>5882</v>
      </c>
      <c r="D808" s="2" t="s">
        <v>6021</v>
      </c>
      <c r="E808" s="2" t="s">
        <v>6590</v>
      </c>
      <c r="F808" s="2"/>
      <c r="G808" s="2"/>
      <c r="H808" s="5" t="s">
        <v>2199</v>
      </c>
    </row>
    <row r="809" spans="1:8" hidden="1" x14ac:dyDescent="0.35">
      <c r="A809" s="135" t="s">
        <v>3920</v>
      </c>
      <c r="B809" s="2" t="s">
        <v>5912</v>
      </c>
      <c r="C809" s="2" t="s">
        <v>5882</v>
      </c>
      <c r="D809" s="100" t="s">
        <v>5994</v>
      </c>
      <c r="E809" s="2" t="s">
        <v>6546</v>
      </c>
      <c r="F809" s="2"/>
      <c r="G809" s="2"/>
      <c r="H809" s="5" t="s">
        <v>2194</v>
      </c>
    </row>
    <row r="810" spans="1:8" ht="29" hidden="1" x14ac:dyDescent="0.35">
      <c r="A810" s="135" t="s">
        <v>3308</v>
      </c>
      <c r="B810" s="2" t="s">
        <v>5912</v>
      </c>
      <c r="C810" s="2" t="s">
        <v>5847</v>
      </c>
      <c r="D810" s="100" t="s">
        <v>5825</v>
      </c>
      <c r="E810" s="2" t="s">
        <v>6439</v>
      </c>
      <c r="F810" s="2"/>
      <c r="G810" s="2"/>
      <c r="H810" s="5" t="s">
        <v>2204</v>
      </c>
    </row>
    <row r="811" spans="1:8" ht="29" hidden="1" x14ac:dyDescent="0.35">
      <c r="A811" s="135" t="s">
        <v>3308</v>
      </c>
      <c r="B811" s="2" t="s">
        <v>5961</v>
      </c>
      <c r="C811" s="2" t="s">
        <v>5853</v>
      </c>
      <c r="D811" s="2" t="s">
        <v>6029</v>
      </c>
      <c r="E811" s="2"/>
      <c r="F811" s="2"/>
      <c r="G811" s="2"/>
      <c r="H811" s="5" t="s">
        <v>7425</v>
      </c>
    </row>
    <row r="812" spans="1:8" ht="29" hidden="1" x14ac:dyDescent="0.35">
      <c r="A812" s="136" t="s">
        <v>3308</v>
      </c>
      <c r="B812" s="2" t="s">
        <v>5961</v>
      </c>
      <c r="C812" s="2" t="s">
        <v>5853</v>
      </c>
      <c r="D812" s="2" t="s">
        <v>6442</v>
      </c>
      <c r="E812" s="2"/>
      <c r="F812" s="2"/>
      <c r="G812" s="2"/>
      <c r="H812" s="5" t="s">
        <v>7426</v>
      </c>
    </row>
    <row r="813" spans="1:8" ht="29" hidden="1" x14ac:dyDescent="0.35">
      <c r="A813" s="135" t="s">
        <v>3308</v>
      </c>
      <c r="B813" s="2" t="s">
        <v>5961</v>
      </c>
      <c r="C813" s="2" t="s">
        <v>5853</v>
      </c>
      <c r="D813" s="2" t="s">
        <v>6441</v>
      </c>
      <c r="E813" s="2"/>
      <c r="F813" s="2"/>
      <c r="G813" s="2"/>
      <c r="H813" s="5" t="s">
        <v>7423</v>
      </c>
    </row>
    <row r="814" spans="1:8" ht="29" hidden="1" x14ac:dyDescent="0.35">
      <c r="A814" s="136" t="s">
        <v>3308</v>
      </c>
      <c r="B814" s="2" t="s">
        <v>5961</v>
      </c>
      <c r="C814" s="2" t="s">
        <v>5853</v>
      </c>
      <c r="D814" s="2" t="s">
        <v>6336</v>
      </c>
      <c r="E814" s="2"/>
      <c r="F814" s="2"/>
      <c r="G814" s="2"/>
      <c r="H814" s="5" t="s">
        <v>7424</v>
      </c>
    </row>
    <row r="815" spans="1:8" ht="29" hidden="1" x14ac:dyDescent="0.35">
      <c r="A815" s="135" t="s">
        <v>3308</v>
      </c>
      <c r="B815" s="2" t="s">
        <v>5961</v>
      </c>
      <c r="C815" s="2" t="s">
        <v>5853</v>
      </c>
      <c r="D815" s="2" t="s">
        <v>6435</v>
      </c>
      <c r="E815" s="2"/>
      <c r="F815" s="2"/>
      <c r="G815" s="2"/>
      <c r="H815" s="5" t="s">
        <v>7427</v>
      </c>
    </row>
    <row r="816" spans="1:8" ht="29" hidden="1" x14ac:dyDescent="0.35">
      <c r="A816" s="136" t="s">
        <v>3308</v>
      </c>
      <c r="B816" s="2" t="s">
        <v>5961</v>
      </c>
      <c r="C816" s="2" t="s">
        <v>5853</v>
      </c>
      <c r="D816" s="100" t="s">
        <v>6440</v>
      </c>
      <c r="E816" s="2"/>
      <c r="F816" s="2"/>
      <c r="G816" s="2"/>
      <c r="H816" s="5" t="s">
        <v>7422</v>
      </c>
    </row>
    <row r="817" spans="1:8" hidden="1" x14ac:dyDescent="0.35">
      <c r="A817" s="135" t="s">
        <v>3308</v>
      </c>
      <c r="B817" s="2" t="s">
        <v>5847</v>
      </c>
      <c r="C817" s="2" t="s">
        <v>5848</v>
      </c>
      <c r="D817" s="100" t="s">
        <v>6006</v>
      </c>
      <c r="E817" s="2"/>
      <c r="F817" s="2"/>
      <c r="G817" s="2"/>
      <c r="H817" s="5" t="s">
        <v>2239</v>
      </c>
    </row>
    <row r="818" spans="1:8" ht="29" hidden="1" x14ac:dyDescent="0.35">
      <c r="A818" s="136" t="s">
        <v>3308</v>
      </c>
      <c r="B818" s="2" t="s">
        <v>5847</v>
      </c>
      <c r="C818" s="2" t="s">
        <v>5825</v>
      </c>
      <c r="D818" s="100" t="s">
        <v>6439</v>
      </c>
      <c r="E818" s="2"/>
      <c r="F818" s="2"/>
      <c r="G818" s="2"/>
      <c r="H818" s="5" t="s">
        <v>2203</v>
      </c>
    </row>
    <row r="819" spans="1:8" hidden="1" x14ac:dyDescent="0.35">
      <c r="A819" s="135" t="s">
        <v>3920</v>
      </c>
      <c r="B819" s="2" t="s">
        <v>5847</v>
      </c>
      <c r="C819" s="2" t="s">
        <v>5994</v>
      </c>
      <c r="D819" s="100" t="s">
        <v>6493</v>
      </c>
      <c r="E819" s="2"/>
      <c r="F819" s="2"/>
      <c r="G819" s="2"/>
      <c r="H819" s="5" t="s">
        <v>712</v>
      </c>
    </row>
    <row r="820" spans="1:8" ht="43.5" hidden="1" x14ac:dyDescent="0.35">
      <c r="A820" s="136" t="s">
        <v>3920</v>
      </c>
      <c r="B820" s="2" t="s">
        <v>5847</v>
      </c>
      <c r="C820" s="2" t="s">
        <v>5994</v>
      </c>
      <c r="D820" s="100" t="s">
        <v>6526</v>
      </c>
      <c r="E820" s="2"/>
      <c r="F820" s="2"/>
      <c r="G820" s="2"/>
      <c r="H820" s="5" t="s">
        <v>1793</v>
      </c>
    </row>
    <row r="821" spans="1:8" hidden="1" x14ac:dyDescent="0.35">
      <c r="A821" s="136" t="s">
        <v>3920</v>
      </c>
      <c r="B821" s="2" t="s">
        <v>5847</v>
      </c>
      <c r="C821" s="2" t="s">
        <v>5994</v>
      </c>
      <c r="D821" s="100" t="s">
        <v>6492</v>
      </c>
      <c r="E821" s="2"/>
      <c r="F821" s="2"/>
      <c r="G821" s="2"/>
      <c r="H821" s="5" t="s">
        <v>417</v>
      </c>
    </row>
    <row r="822" spans="1:8" hidden="1" x14ac:dyDescent="0.35">
      <c r="A822" s="135" t="s">
        <v>3920</v>
      </c>
      <c r="B822" s="2" t="s">
        <v>5994</v>
      </c>
      <c r="C822" s="2" t="s">
        <v>6560</v>
      </c>
      <c r="D822" s="100" t="s">
        <v>6559</v>
      </c>
      <c r="E822" s="2"/>
      <c r="F822" s="2"/>
      <c r="G822" s="2"/>
      <c r="H822" s="5" t="s">
        <v>1842</v>
      </c>
    </row>
    <row r="823" spans="1:8" ht="29" hidden="1" x14ac:dyDescent="0.35">
      <c r="A823" s="136" t="s">
        <v>3920</v>
      </c>
      <c r="B823" s="2" t="s">
        <v>5994</v>
      </c>
      <c r="C823" s="2" t="s">
        <v>6560</v>
      </c>
      <c r="D823" s="2" t="s">
        <v>6561</v>
      </c>
      <c r="E823" s="2" t="s">
        <v>5789</v>
      </c>
      <c r="F823" s="2"/>
      <c r="G823" s="2"/>
      <c r="H823" s="5" t="s">
        <v>7475</v>
      </c>
    </row>
    <row r="824" spans="1:8" ht="29" hidden="1" x14ac:dyDescent="0.35">
      <c r="A824" s="135" t="s">
        <v>3920</v>
      </c>
      <c r="B824" s="2" t="s">
        <v>5994</v>
      </c>
      <c r="C824" s="2" t="s">
        <v>6560</v>
      </c>
      <c r="D824" s="100" t="s">
        <v>6561</v>
      </c>
      <c r="E824" s="2" t="s">
        <v>5790</v>
      </c>
      <c r="F824" s="2"/>
      <c r="G824" s="2"/>
      <c r="H824" s="5" t="s">
        <v>7476</v>
      </c>
    </row>
    <row r="825" spans="1:8" ht="29" hidden="1" x14ac:dyDescent="0.35">
      <c r="A825" s="136" t="s">
        <v>3920</v>
      </c>
      <c r="B825" s="2" t="s">
        <v>5994</v>
      </c>
      <c r="C825" s="2" t="s">
        <v>6560</v>
      </c>
      <c r="D825" s="2" t="s">
        <v>6561</v>
      </c>
      <c r="E825" s="2" t="s">
        <v>6562</v>
      </c>
      <c r="F825" s="2"/>
      <c r="G825" s="2"/>
      <c r="H825" s="5" t="s">
        <v>7474</v>
      </c>
    </row>
    <row r="826" spans="1:8" hidden="1" x14ac:dyDescent="0.35">
      <c r="A826" s="135" t="s">
        <v>3920</v>
      </c>
      <c r="B826" s="2" t="s">
        <v>5994</v>
      </c>
      <c r="C826" s="2" t="s">
        <v>6560</v>
      </c>
      <c r="D826" s="2" t="s">
        <v>6561</v>
      </c>
      <c r="E826" s="2" t="s">
        <v>6565</v>
      </c>
      <c r="F826" s="2"/>
      <c r="G826" s="2"/>
      <c r="H826" s="5" t="s">
        <v>1846</v>
      </c>
    </row>
    <row r="827" spans="1:8" hidden="1" x14ac:dyDescent="0.35">
      <c r="A827" s="135" t="s">
        <v>3920</v>
      </c>
      <c r="B827" s="2" t="s">
        <v>5994</v>
      </c>
      <c r="C827" s="2" t="s">
        <v>6560</v>
      </c>
      <c r="D827" s="2" t="s">
        <v>6561</v>
      </c>
      <c r="E827" s="2" t="s">
        <v>6567</v>
      </c>
      <c r="F827" s="2"/>
      <c r="G827" s="2"/>
      <c r="H827" s="5" t="s">
        <v>1848</v>
      </c>
    </row>
    <row r="828" spans="1:8" hidden="1" x14ac:dyDescent="0.35">
      <c r="A828" s="135" t="s">
        <v>3920</v>
      </c>
      <c r="B828" s="2" t="s">
        <v>5994</v>
      </c>
      <c r="C828" s="2" t="s">
        <v>6560</v>
      </c>
      <c r="D828" s="2" t="s">
        <v>6561</v>
      </c>
      <c r="E828" s="2" t="s">
        <v>6563</v>
      </c>
      <c r="F828" s="2"/>
      <c r="G828" s="2"/>
      <c r="H828" s="5" t="s">
        <v>1844</v>
      </c>
    </row>
    <row r="829" spans="1:8" hidden="1" x14ac:dyDescent="0.35">
      <c r="A829" s="136" t="s">
        <v>3920</v>
      </c>
      <c r="B829" s="2" t="s">
        <v>5994</v>
      </c>
      <c r="C829" s="2" t="s">
        <v>6560</v>
      </c>
      <c r="D829" s="2" t="s">
        <v>6561</v>
      </c>
      <c r="E829" s="2" t="s">
        <v>6566</v>
      </c>
      <c r="F829" s="2"/>
      <c r="G829" s="2"/>
      <c r="H829" s="5" t="s">
        <v>1847</v>
      </c>
    </row>
    <row r="830" spans="1:8" hidden="1" x14ac:dyDescent="0.35">
      <c r="A830" s="136" t="s">
        <v>3920</v>
      </c>
      <c r="B830" s="2" t="s">
        <v>5994</v>
      </c>
      <c r="C830" s="2" t="s">
        <v>6560</v>
      </c>
      <c r="D830" s="2" t="s">
        <v>6561</v>
      </c>
      <c r="E830" s="2" t="s">
        <v>6564</v>
      </c>
      <c r="F830" s="2"/>
      <c r="G830" s="2"/>
      <c r="H830" s="5" t="s">
        <v>1845</v>
      </c>
    </row>
    <row r="831" spans="1:8" ht="43.5" hidden="1" x14ac:dyDescent="0.35">
      <c r="A831" s="135" t="s">
        <v>3920</v>
      </c>
      <c r="B831" s="2" t="s">
        <v>5994</v>
      </c>
      <c r="C831" s="2" t="s">
        <v>6503</v>
      </c>
      <c r="D831" s="2" t="s">
        <v>6416</v>
      </c>
      <c r="E831" s="2" t="s">
        <v>6072</v>
      </c>
      <c r="F831" s="2"/>
      <c r="G831" s="2"/>
      <c r="H831" s="5" t="s">
        <v>1267</v>
      </c>
    </row>
    <row r="832" spans="1:8" ht="29" hidden="1" x14ac:dyDescent="0.35">
      <c r="A832" s="136" t="s">
        <v>3920</v>
      </c>
      <c r="B832" s="2" t="s">
        <v>5994</v>
      </c>
      <c r="C832" s="2" t="s">
        <v>6503</v>
      </c>
      <c r="D832" s="2" t="s">
        <v>6416</v>
      </c>
      <c r="E832" s="2" t="s">
        <v>5874</v>
      </c>
      <c r="F832" s="2"/>
      <c r="G832" s="2"/>
      <c r="H832" s="5" t="s">
        <v>1266</v>
      </c>
    </row>
    <row r="833" spans="1:8" ht="29" hidden="1" x14ac:dyDescent="0.35">
      <c r="A833" s="135" t="s">
        <v>3920</v>
      </c>
      <c r="B833" s="2" t="s">
        <v>5994</v>
      </c>
      <c r="C833" s="2" t="s">
        <v>6192</v>
      </c>
      <c r="D833" s="2" t="s">
        <v>5825</v>
      </c>
      <c r="E833" s="2" t="s">
        <v>6571</v>
      </c>
      <c r="F833" s="2"/>
      <c r="G833" s="2"/>
      <c r="H833" s="5" t="s">
        <v>1861</v>
      </c>
    </row>
    <row r="834" spans="1:8" ht="29" hidden="1" x14ac:dyDescent="0.35">
      <c r="A834" s="136" t="s">
        <v>3920</v>
      </c>
      <c r="B834" s="2" t="s">
        <v>5994</v>
      </c>
      <c r="C834" s="2" t="s">
        <v>5825</v>
      </c>
      <c r="D834" s="2" t="s">
        <v>6192</v>
      </c>
      <c r="E834" s="2"/>
      <c r="F834" s="2"/>
      <c r="G834" s="2"/>
      <c r="H834" s="5" t="s">
        <v>1863</v>
      </c>
    </row>
    <row r="835" spans="1:8" hidden="1" x14ac:dyDescent="0.35">
      <c r="A835" s="136" t="s">
        <v>3920</v>
      </c>
      <c r="B835" s="2" t="s">
        <v>5994</v>
      </c>
      <c r="C835" s="2" t="s">
        <v>5825</v>
      </c>
      <c r="D835" s="2" t="s">
        <v>6572</v>
      </c>
      <c r="E835" s="2"/>
      <c r="F835" s="2"/>
      <c r="G835" s="2"/>
      <c r="H835" s="5" t="s">
        <v>1862</v>
      </c>
    </row>
    <row r="836" spans="1:8" ht="29" hidden="1" x14ac:dyDescent="0.35">
      <c r="A836" s="136" t="s">
        <v>3920</v>
      </c>
      <c r="B836" s="2" t="s">
        <v>5994</v>
      </c>
      <c r="C836" s="2" t="s">
        <v>5825</v>
      </c>
      <c r="D836" s="2" t="s">
        <v>6570</v>
      </c>
      <c r="E836" s="2" t="s">
        <v>5867</v>
      </c>
      <c r="F836" s="2"/>
      <c r="G836" s="2"/>
      <c r="H836" s="5" t="s">
        <v>1860</v>
      </c>
    </row>
    <row r="837" spans="1:8" ht="29" hidden="1" x14ac:dyDescent="0.35">
      <c r="A837" s="135" t="s">
        <v>3920</v>
      </c>
      <c r="B837" s="2" t="s">
        <v>5994</v>
      </c>
      <c r="C837" s="2" t="s">
        <v>6557</v>
      </c>
      <c r="D837" s="100" t="s">
        <v>5789</v>
      </c>
      <c r="E837" s="2"/>
      <c r="F837" s="2"/>
      <c r="G837" s="2"/>
      <c r="H837" s="5" t="s">
        <v>7473</v>
      </c>
    </row>
    <row r="838" spans="1:8" hidden="1" x14ac:dyDescent="0.35">
      <c r="A838" s="136" t="s">
        <v>3920</v>
      </c>
      <c r="B838" s="2" t="s">
        <v>5994</v>
      </c>
      <c r="C838" s="2" t="s">
        <v>6557</v>
      </c>
      <c r="D838" s="100" t="s">
        <v>5790</v>
      </c>
      <c r="E838" s="2"/>
      <c r="F838" s="2"/>
      <c r="G838" s="2"/>
      <c r="H838" s="5" t="s">
        <v>1660</v>
      </c>
    </row>
    <row r="839" spans="1:8" ht="29" hidden="1" x14ac:dyDescent="0.35">
      <c r="A839" s="136" t="s">
        <v>3920</v>
      </c>
      <c r="B839" s="2" t="s">
        <v>5994</v>
      </c>
      <c r="C839" s="2" t="s">
        <v>5874</v>
      </c>
      <c r="D839" s="100" t="s">
        <v>6504</v>
      </c>
      <c r="E839" s="2"/>
      <c r="F839" s="2"/>
      <c r="G839" s="2"/>
      <c r="H839" s="5" t="s">
        <v>1493</v>
      </c>
    </row>
    <row r="840" spans="1:8" ht="43.5" hidden="1" x14ac:dyDescent="0.35">
      <c r="A840" s="135" t="s">
        <v>3920</v>
      </c>
      <c r="B840" s="2" t="s">
        <v>5994</v>
      </c>
      <c r="C840" s="2" t="s">
        <v>5866</v>
      </c>
      <c r="D840" s="100" t="s">
        <v>6416</v>
      </c>
      <c r="E840" s="2" t="s">
        <v>6072</v>
      </c>
      <c r="F840" s="2"/>
      <c r="G840" s="2"/>
      <c r="H840" s="5" t="s">
        <v>1270</v>
      </c>
    </row>
    <row r="841" spans="1:8" ht="29" hidden="1" x14ac:dyDescent="0.35">
      <c r="A841" s="136" t="s">
        <v>3920</v>
      </c>
      <c r="B841" s="2" t="s">
        <v>5994</v>
      </c>
      <c r="C841" s="2" t="s">
        <v>5866</v>
      </c>
      <c r="D841" s="100" t="s">
        <v>6416</v>
      </c>
      <c r="E841" s="2" t="s">
        <v>5874</v>
      </c>
      <c r="F841" s="2"/>
      <c r="G841" s="2"/>
      <c r="H841" s="5" t="s">
        <v>1208</v>
      </c>
    </row>
    <row r="842" spans="1:8" ht="29" hidden="1" x14ac:dyDescent="0.35">
      <c r="A842" s="136" t="s">
        <v>3996</v>
      </c>
      <c r="B842" s="2" t="s">
        <v>7742</v>
      </c>
      <c r="C842" s="2" t="s">
        <v>5882</v>
      </c>
      <c r="D842" s="100"/>
      <c r="E842" s="2" t="s">
        <v>5882</v>
      </c>
      <c r="F842" s="2"/>
      <c r="G842" s="2"/>
      <c r="H842" s="5" t="s">
        <v>2595</v>
      </c>
    </row>
    <row r="843" spans="1:8" hidden="1" x14ac:dyDescent="0.35">
      <c r="A843" s="159" t="s">
        <v>3319</v>
      </c>
      <c r="B843" s="2" t="s">
        <v>7617</v>
      </c>
      <c r="C843" s="2" t="s">
        <v>392</v>
      </c>
      <c r="D843" s="100"/>
      <c r="E843" s="2"/>
      <c r="F843" s="2"/>
      <c r="G843" s="2"/>
      <c r="H843" s="5" t="s">
        <v>392</v>
      </c>
    </row>
    <row r="844" spans="1:8" hidden="1" x14ac:dyDescent="0.35">
      <c r="A844" s="135" t="s">
        <v>4048</v>
      </c>
      <c r="B844" s="2" t="s">
        <v>7617</v>
      </c>
      <c r="C844" s="2" t="s">
        <v>5844</v>
      </c>
      <c r="D844" s="100" t="s">
        <v>5871</v>
      </c>
      <c r="E844" s="2" t="s">
        <v>6853</v>
      </c>
      <c r="F844" s="2"/>
      <c r="G844" s="2"/>
      <c r="H844" s="5" t="s">
        <v>3152</v>
      </c>
    </row>
    <row r="845" spans="1:8" hidden="1" x14ac:dyDescent="0.35">
      <c r="A845" s="159" t="s">
        <v>3319</v>
      </c>
      <c r="B845" s="2" t="s">
        <v>7617</v>
      </c>
      <c r="C845" s="2" t="s">
        <v>5762</v>
      </c>
      <c r="D845" s="2" t="s">
        <v>395</v>
      </c>
      <c r="E845" s="2" t="s">
        <v>5763</v>
      </c>
      <c r="F845" s="2"/>
      <c r="G845" s="2"/>
      <c r="H845" s="5" t="s">
        <v>396</v>
      </c>
    </row>
    <row r="846" spans="1:8" hidden="1" x14ac:dyDescent="0.35">
      <c r="A846" s="158" t="s">
        <v>3319</v>
      </c>
      <c r="B846" s="2" t="s">
        <v>7617</v>
      </c>
      <c r="C846" s="161" t="s">
        <v>5762</v>
      </c>
      <c r="D846" s="161" t="s">
        <v>395</v>
      </c>
      <c r="E846" s="161"/>
      <c r="F846" s="2"/>
      <c r="G846" s="2"/>
      <c r="H846" s="5" t="s">
        <v>394</v>
      </c>
    </row>
    <row r="847" spans="1:8" hidden="1" x14ac:dyDescent="0.35">
      <c r="A847" s="158" t="s">
        <v>3319</v>
      </c>
      <c r="B847" s="2" t="s">
        <v>7617</v>
      </c>
      <c r="C847" s="161" t="s">
        <v>5762</v>
      </c>
      <c r="D847" s="161" t="s">
        <v>5767</v>
      </c>
      <c r="E847" s="161"/>
      <c r="F847" s="2"/>
      <c r="G847" s="2"/>
      <c r="H847" s="5" t="s">
        <v>1261</v>
      </c>
    </row>
    <row r="848" spans="1:8" hidden="1" x14ac:dyDescent="0.35">
      <c r="A848" s="158" t="s">
        <v>3319</v>
      </c>
      <c r="B848" s="2" t="s">
        <v>7617</v>
      </c>
      <c r="C848" s="161" t="s">
        <v>5762</v>
      </c>
      <c r="D848" s="103" t="s">
        <v>5764</v>
      </c>
      <c r="E848" s="161"/>
      <c r="F848" s="2"/>
      <c r="G848" s="2"/>
      <c r="H848" s="5" t="s">
        <v>2786</v>
      </c>
    </row>
    <row r="849" spans="1:8" hidden="1" x14ac:dyDescent="0.35">
      <c r="A849" s="158" t="s">
        <v>3319</v>
      </c>
      <c r="B849" s="2" t="s">
        <v>7617</v>
      </c>
      <c r="C849" s="161" t="s">
        <v>5762</v>
      </c>
      <c r="D849" s="103" t="s">
        <v>840</v>
      </c>
      <c r="E849" s="161"/>
      <c r="F849" s="2"/>
      <c r="G849" s="2"/>
      <c r="H849" s="5" t="s">
        <v>839</v>
      </c>
    </row>
    <row r="850" spans="1:8" hidden="1" x14ac:dyDescent="0.35">
      <c r="A850" s="159" t="s">
        <v>3319</v>
      </c>
      <c r="B850" s="2" t="s">
        <v>7617</v>
      </c>
      <c r="C850" s="2" t="s">
        <v>5762</v>
      </c>
      <c r="D850" s="100" t="s">
        <v>402</v>
      </c>
      <c r="E850" s="2"/>
      <c r="F850" s="2"/>
      <c r="G850" s="2"/>
      <c r="H850" s="5" t="s">
        <v>401</v>
      </c>
    </row>
    <row r="851" spans="1:8" hidden="1" x14ac:dyDescent="0.35">
      <c r="A851" s="135" t="s">
        <v>3803</v>
      </c>
      <c r="B851" s="2" t="s">
        <v>5967</v>
      </c>
      <c r="C851" s="2" t="s">
        <v>5928</v>
      </c>
      <c r="D851" s="100" t="s">
        <v>6302</v>
      </c>
      <c r="E851" s="2"/>
      <c r="F851" s="2"/>
      <c r="G851" s="2"/>
      <c r="H851" s="5" t="s">
        <v>2517</v>
      </c>
    </row>
    <row r="852" spans="1:8" hidden="1" x14ac:dyDescent="0.35">
      <c r="A852" s="136" t="s">
        <v>3308</v>
      </c>
      <c r="B852" s="2" t="s">
        <v>4061</v>
      </c>
      <c r="C852" s="2" t="s">
        <v>5806</v>
      </c>
      <c r="D852" s="100" t="s">
        <v>5834</v>
      </c>
      <c r="E852" s="2" t="s">
        <v>5835</v>
      </c>
      <c r="F852" s="2"/>
      <c r="G852" s="2"/>
      <c r="H852" s="5" t="s">
        <v>3121</v>
      </c>
    </row>
    <row r="853" spans="1:8" ht="29" hidden="1" x14ac:dyDescent="0.35">
      <c r="A853" s="135" t="s">
        <v>3803</v>
      </c>
      <c r="B853" s="2" t="s">
        <v>4061</v>
      </c>
      <c r="C853" s="2"/>
      <c r="D853" s="100"/>
      <c r="E853" s="2"/>
      <c r="F853" s="2"/>
      <c r="G853" s="2"/>
      <c r="H853" s="5" t="s">
        <v>7361</v>
      </c>
    </row>
    <row r="854" spans="1:8" hidden="1" x14ac:dyDescent="0.35">
      <c r="A854" s="135" t="s">
        <v>3309</v>
      </c>
      <c r="B854" s="2" t="e" vm="1">
        <v>#VALUE!</v>
      </c>
      <c r="C854" s="2"/>
      <c r="D854" s="100"/>
      <c r="E854" s="2"/>
      <c r="F854" s="2"/>
      <c r="G854" s="2"/>
      <c r="H854" s="5" t="s">
        <v>2835</v>
      </c>
    </row>
    <row r="855" spans="1:8" hidden="1" x14ac:dyDescent="0.35">
      <c r="A855" s="135" t="s">
        <v>3309</v>
      </c>
      <c r="B855" s="2" t="e" vm="1">
        <v>#VALUE!</v>
      </c>
      <c r="C855" s="2"/>
      <c r="D855" s="100"/>
      <c r="E855" s="2"/>
      <c r="F855" s="2"/>
      <c r="G855" s="2"/>
      <c r="H855" s="5" t="s">
        <v>2749</v>
      </c>
    </row>
    <row r="856" spans="1:8" hidden="1" x14ac:dyDescent="0.35">
      <c r="A856" s="135" t="s">
        <v>3309</v>
      </c>
      <c r="B856" s="2" t="e" vm="1">
        <v>#VALUE!</v>
      </c>
      <c r="C856" s="2"/>
      <c r="D856" s="100"/>
      <c r="E856" s="2"/>
      <c r="F856" s="2"/>
      <c r="G856" s="2"/>
      <c r="H856" s="5" t="s">
        <v>1028</v>
      </c>
    </row>
    <row r="857" spans="1:8" hidden="1" x14ac:dyDescent="0.35">
      <c r="A857" s="159" t="s">
        <v>3319</v>
      </c>
      <c r="B857" s="2"/>
      <c r="C857" s="2" t="s">
        <v>5815</v>
      </c>
      <c r="D857" s="100" t="s">
        <v>5816</v>
      </c>
      <c r="E857" s="2" t="s">
        <v>5810</v>
      </c>
      <c r="F857" s="2" t="s">
        <v>5817</v>
      </c>
      <c r="G857" s="2"/>
      <c r="H857" s="5" t="s">
        <v>829</v>
      </c>
    </row>
    <row r="858" spans="1:8" hidden="1" x14ac:dyDescent="0.35">
      <c r="A858" s="159" t="s">
        <v>3319</v>
      </c>
      <c r="B858" s="2"/>
      <c r="C858" s="2" t="s">
        <v>5806</v>
      </c>
      <c r="D858" s="100" t="s">
        <v>5834</v>
      </c>
      <c r="E858" s="2" t="s">
        <v>5835</v>
      </c>
      <c r="F858" s="2"/>
      <c r="G858" s="2"/>
      <c r="H858" s="5" t="s">
        <v>1777</v>
      </c>
    </row>
    <row r="859" spans="1:8" hidden="1" x14ac:dyDescent="0.35">
      <c r="A859" s="158" t="s">
        <v>3319</v>
      </c>
      <c r="B859" s="2"/>
      <c r="C859" s="161" t="s">
        <v>5806</v>
      </c>
      <c r="D859" s="103" t="s">
        <v>5834</v>
      </c>
      <c r="E859" s="161" t="s">
        <v>5843</v>
      </c>
      <c r="F859" s="2"/>
      <c r="G859" s="2"/>
      <c r="H859" s="5" t="s">
        <v>3138</v>
      </c>
    </row>
    <row r="860" spans="1:8" hidden="1" x14ac:dyDescent="0.35">
      <c r="A860" s="159" t="s">
        <v>3319</v>
      </c>
      <c r="B860" s="2"/>
      <c r="C860" s="2" t="s">
        <v>5806</v>
      </c>
      <c r="D860" s="100" t="s">
        <v>5834</v>
      </c>
      <c r="E860" s="2" t="s">
        <v>5841</v>
      </c>
      <c r="F860" s="2" t="s">
        <v>5842</v>
      </c>
      <c r="G860" s="2"/>
      <c r="H860" s="5" t="s">
        <v>2960</v>
      </c>
    </row>
    <row r="861" spans="1:8" hidden="1" x14ac:dyDescent="0.35">
      <c r="A861" s="158" t="s">
        <v>3319</v>
      </c>
      <c r="B861" s="2"/>
      <c r="C861" s="161" t="s">
        <v>5806</v>
      </c>
      <c r="D861" s="103" t="s">
        <v>5825</v>
      </c>
      <c r="E861" s="161" t="s">
        <v>5827</v>
      </c>
      <c r="F861" s="2" t="s">
        <v>5829</v>
      </c>
      <c r="G861" s="2"/>
      <c r="H861" s="5" t="s">
        <v>1941</v>
      </c>
    </row>
    <row r="862" spans="1:8" hidden="1" x14ac:dyDescent="0.35">
      <c r="A862" s="159" t="s">
        <v>3319</v>
      </c>
      <c r="B862" s="2"/>
      <c r="C862" s="2" t="s">
        <v>5806</v>
      </c>
      <c r="D862" s="100" t="s">
        <v>5825</v>
      </c>
      <c r="E862" s="2" t="s">
        <v>5827</v>
      </c>
      <c r="F862" s="2" t="s">
        <v>5828</v>
      </c>
      <c r="G862" s="2"/>
      <c r="H862" s="5" t="s">
        <v>1940</v>
      </c>
    </row>
    <row r="863" spans="1:8" hidden="1" x14ac:dyDescent="0.35">
      <c r="A863" s="158" t="s">
        <v>3319</v>
      </c>
      <c r="B863" s="2"/>
      <c r="C863" s="161" t="s">
        <v>5806</v>
      </c>
      <c r="D863" s="103" t="s">
        <v>5825</v>
      </c>
      <c r="E863" s="161" t="s">
        <v>5827</v>
      </c>
      <c r="F863" s="2"/>
      <c r="G863" s="2"/>
      <c r="H863" s="5" t="s">
        <v>1939</v>
      </c>
    </row>
    <row r="864" spans="1:8" hidden="1" x14ac:dyDescent="0.35">
      <c r="A864" s="158" t="s">
        <v>3319</v>
      </c>
      <c r="B864" s="2"/>
      <c r="C864" s="161" t="s">
        <v>5806</v>
      </c>
      <c r="D864" s="103" t="s">
        <v>5825</v>
      </c>
      <c r="E864" s="161" t="s">
        <v>5826</v>
      </c>
      <c r="F864" s="2" t="s">
        <v>5829</v>
      </c>
      <c r="G864" s="2"/>
      <c r="H864" s="5" t="s">
        <v>1943</v>
      </c>
    </row>
    <row r="865" spans="1:8" hidden="1" x14ac:dyDescent="0.35">
      <c r="A865" s="159" t="s">
        <v>3319</v>
      </c>
      <c r="B865" s="2"/>
      <c r="C865" s="2" t="s">
        <v>5806</v>
      </c>
      <c r="D865" s="2" t="s">
        <v>5825</v>
      </c>
      <c r="E865" s="2" t="s">
        <v>5826</v>
      </c>
      <c r="F865" s="2" t="s">
        <v>5770</v>
      </c>
      <c r="G865" s="2"/>
      <c r="H865" s="5" t="s">
        <v>1942</v>
      </c>
    </row>
    <row r="866" spans="1:8" hidden="1" x14ac:dyDescent="0.35">
      <c r="A866" s="159" t="s">
        <v>3319</v>
      </c>
      <c r="B866" s="2"/>
      <c r="C866" s="2" t="s">
        <v>5806</v>
      </c>
      <c r="D866" s="2" t="s">
        <v>5825</v>
      </c>
      <c r="E866" s="2" t="s">
        <v>5826</v>
      </c>
      <c r="F866" s="2"/>
      <c r="G866" s="2"/>
      <c r="H866" s="5" t="s">
        <v>1778</v>
      </c>
    </row>
    <row r="867" spans="1:8" hidden="1" x14ac:dyDescent="0.35">
      <c r="A867" s="135" t="s">
        <v>3309</v>
      </c>
      <c r="B867" s="2"/>
      <c r="C867" s="2" t="s">
        <v>5806</v>
      </c>
      <c r="D867" s="2" t="s">
        <v>5918</v>
      </c>
      <c r="E867" s="2" t="s">
        <v>5954</v>
      </c>
      <c r="F867" s="2" t="s">
        <v>5943</v>
      </c>
      <c r="G867" s="2"/>
      <c r="H867" s="5" t="s">
        <v>2742</v>
      </c>
    </row>
    <row r="868" spans="1:8" hidden="1" x14ac:dyDescent="0.35">
      <c r="A868" s="136" t="s">
        <v>3309</v>
      </c>
      <c r="B868" s="2"/>
      <c r="C868" s="2" t="s">
        <v>5806</v>
      </c>
      <c r="D868" s="2" t="s">
        <v>5918</v>
      </c>
      <c r="E868" s="2" t="s">
        <v>6306</v>
      </c>
      <c r="F868" s="2" t="s">
        <v>6300</v>
      </c>
      <c r="G868" s="2" t="s">
        <v>6756</v>
      </c>
      <c r="H868" s="5" t="s">
        <v>2744</v>
      </c>
    </row>
    <row r="869" spans="1:8" hidden="1" x14ac:dyDescent="0.35">
      <c r="A869" s="135" t="s">
        <v>3309</v>
      </c>
      <c r="B869" s="2"/>
      <c r="C869" s="2" t="s">
        <v>5806</v>
      </c>
      <c r="D869" s="2" t="s">
        <v>5918</v>
      </c>
      <c r="E869" s="2" t="s">
        <v>6306</v>
      </c>
      <c r="F869" s="2" t="s">
        <v>6300</v>
      </c>
      <c r="G869" s="2" t="s">
        <v>6757</v>
      </c>
      <c r="H869" s="5" t="s">
        <v>2745</v>
      </c>
    </row>
    <row r="870" spans="1:8" hidden="1" x14ac:dyDescent="0.35">
      <c r="A870" s="135" t="s">
        <v>3309</v>
      </c>
      <c r="B870" s="2"/>
      <c r="C870" s="2" t="s">
        <v>5806</v>
      </c>
      <c r="D870" s="100" t="s">
        <v>5918</v>
      </c>
      <c r="E870" s="2" t="s">
        <v>6306</v>
      </c>
      <c r="F870" s="2" t="s">
        <v>6727</v>
      </c>
      <c r="G870" s="2" t="s">
        <v>6763</v>
      </c>
      <c r="H870" s="5" t="s">
        <v>2834</v>
      </c>
    </row>
    <row r="871" spans="1:8" hidden="1" x14ac:dyDescent="0.35">
      <c r="A871" s="136" t="s">
        <v>3309</v>
      </c>
      <c r="B871" s="2"/>
      <c r="C871" s="2" t="s">
        <v>5806</v>
      </c>
      <c r="D871" s="100" t="s">
        <v>5918</v>
      </c>
      <c r="E871" s="2" t="s">
        <v>6306</v>
      </c>
      <c r="F871" s="2" t="s">
        <v>6302</v>
      </c>
      <c r="G871" s="2" t="s">
        <v>6300</v>
      </c>
      <c r="H871" s="5" t="s">
        <v>2746</v>
      </c>
    </row>
    <row r="872" spans="1:8" hidden="1" x14ac:dyDescent="0.35">
      <c r="A872" s="159" t="s">
        <v>3319</v>
      </c>
      <c r="B872" s="2"/>
      <c r="C872" s="2" t="s">
        <v>5806</v>
      </c>
      <c r="D872" s="100" t="s">
        <v>5805</v>
      </c>
      <c r="E872" s="2" t="s">
        <v>5808</v>
      </c>
      <c r="F872" s="2"/>
      <c r="G872" s="2"/>
      <c r="H872" s="5" t="s">
        <v>2398</v>
      </c>
    </row>
    <row r="873" spans="1:8" hidden="1" x14ac:dyDescent="0.35">
      <c r="A873" s="158" t="s">
        <v>3319</v>
      </c>
      <c r="B873" s="2"/>
      <c r="C873" s="161" t="s">
        <v>5806</v>
      </c>
      <c r="D873" s="161" t="s">
        <v>5805</v>
      </c>
      <c r="E873" s="161" t="s">
        <v>5807</v>
      </c>
      <c r="F873" s="2"/>
      <c r="G873" s="2"/>
      <c r="H873" s="5" t="s">
        <v>2397</v>
      </c>
    </row>
    <row r="874" spans="1:8" hidden="1" x14ac:dyDescent="0.35">
      <c r="A874" s="158" t="s">
        <v>3319</v>
      </c>
      <c r="B874" s="2"/>
      <c r="C874" s="161" t="s">
        <v>5806</v>
      </c>
      <c r="D874" s="161" t="s">
        <v>5805</v>
      </c>
      <c r="E874" s="161" t="s">
        <v>5809</v>
      </c>
      <c r="F874" s="2"/>
      <c r="G874" s="2"/>
      <c r="H874" s="5" t="s">
        <v>2401</v>
      </c>
    </row>
    <row r="875" spans="1:8" hidden="1" x14ac:dyDescent="0.35">
      <c r="A875" s="159" t="s">
        <v>3319</v>
      </c>
      <c r="B875" s="2"/>
      <c r="C875" s="2" t="s">
        <v>5806</v>
      </c>
      <c r="D875" s="100" t="s">
        <v>5805</v>
      </c>
      <c r="E875" s="2"/>
      <c r="F875" s="2"/>
      <c r="G875" s="2"/>
      <c r="H875" s="5" t="s">
        <v>294</v>
      </c>
    </row>
    <row r="876" spans="1:8" ht="29" hidden="1" x14ac:dyDescent="0.35">
      <c r="A876" s="136" t="s">
        <v>4048</v>
      </c>
      <c r="B876" s="2"/>
      <c r="C876" s="2" t="s">
        <v>6443</v>
      </c>
      <c r="D876" s="100" t="s">
        <v>5871</v>
      </c>
      <c r="E876" s="2" t="s">
        <v>6844</v>
      </c>
      <c r="F876" s="2" t="s">
        <v>6850</v>
      </c>
      <c r="G876" s="2"/>
      <c r="H876" s="5" t="s">
        <v>3233</v>
      </c>
    </row>
    <row r="877" spans="1:8" ht="29" hidden="1" x14ac:dyDescent="0.35">
      <c r="A877" s="136" t="s">
        <v>3954</v>
      </c>
      <c r="B877" s="2"/>
      <c r="C877" s="2" t="s">
        <v>6443</v>
      </c>
      <c r="D877" s="100" t="s">
        <v>6224</v>
      </c>
      <c r="E877" s="2" t="s">
        <v>5994</v>
      </c>
      <c r="F877" s="2" t="s">
        <v>6647</v>
      </c>
      <c r="G877" s="2" t="s">
        <v>6648</v>
      </c>
      <c r="H877" s="5" t="s">
        <v>7504</v>
      </c>
    </row>
    <row r="878" spans="1:8" ht="43.5" hidden="1" x14ac:dyDescent="0.35">
      <c r="A878" s="135" t="s">
        <v>3954</v>
      </c>
      <c r="B878" s="2"/>
      <c r="C878" s="2" t="s">
        <v>6443</v>
      </c>
      <c r="D878" s="100" t="s">
        <v>6224</v>
      </c>
      <c r="E878" s="2" t="s">
        <v>5994</v>
      </c>
      <c r="F878" s="2" t="s">
        <v>6647</v>
      </c>
      <c r="G878" s="2" t="s">
        <v>6649</v>
      </c>
      <c r="H878" s="5" t="s">
        <v>7505</v>
      </c>
    </row>
    <row r="879" spans="1:8" ht="43.5" hidden="1" x14ac:dyDescent="0.35">
      <c r="A879" s="136" t="s">
        <v>3954</v>
      </c>
      <c r="B879" s="2"/>
      <c r="C879" s="2" t="s">
        <v>6443</v>
      </c>
      <c r="D879" s="2" t="s">
        <v>6224</v>
      </c>
      <c r="E879" s="2" t="s">
        <v>5994</v>
      </c>
      <c r="F879" s="2" t="s">
        <v>6647</v>
      </c>
      <c r="G879" s="2" t="s">
        <v>6650</v>
      </c>
      <c r="H879" s="5" t="s">
        <v>7506</v>
      </c>
    </row>
    <row r="880" spans="1:8" ht="29" hidden="1" x14ac:dyDescent="0.35">
      <c r="A880" s="135" t="s">
        <v>3954</v>
      </c>
      <c r="B880" s="2"/>
      <c r="C880" s="2" t="s">
        <v>6443</v>
      </c>
      <c r="D880" s="2" t="s">
        <v>6224</v>
      </c>
      <c r="E880" s="2" t="s">
        <v>5994</v>
      </c>
      <c r="F880" s="2" t="s">
        <v>6647</v>
      </c>
      <c r="G880" s="2" t="s">
        <v>6651</v>
      </c>
      <c r="H880" s="5" t="s">
        <v>7507</v>
      </c>
    </row>
    <row r="881" spans="1:8" hidden="1" x14ac:dyDescent="0.35">
      <c r="A881" s="135" t="s">
        <v>4048</v>
      </c>
      <c r="B881" s="2"/>
      <c r="C881" s="2" t="s">
        <v>6443</v>
      </c>
      <c r="D881" s="2" t="s">
        <v>5806</v>
      </c>
      <c r="E881" s="2" t="s">
        <v>6844</v>
      </c>
      <c r="F881" s="2" t="s">
        <v>5967</v>
      </c>
      <c r="G881" s="2" t="s">
        <v>6851</v>
      </c>
      <c r="H881" s="5" t="s">
        <v>38</v>
      </c>
    </row>
    <row r="882" spans="1:8" hidden="1" x14ac:dyDescent="0.35">
      <c r="A882" s="136" t="s">
        <v>3996</v>
      </c>
      <c r="B882" s="2"/>
      <c r="C882" s="2" t="s">
        <v>6443</v>
      </c>
      <c r="D882" s="100" t="s">
        <v>5806</v>
      </c>
      <c r="E882" s="2" t="s">
        <v>5967</v>
      </c>
      <c r="F882" s="2" t="s">
        <v>6717</v>
      </c>
      <c r="G882" s="2"/>
      <c r="H882" s="5" t="s">
        <v>2880</v>
      </c>
    </row>
    <row r="883" spans="1:8" hidden="1" x14ac:dyDescent="0.35">
      <c r="A883" s="135" t="s">
        <v>3996</v>
      </c>
      <c r="B883" s="2"/>
      <c r="C883" s="2" t="s">
        <v>6443</v>
      </c>
      <c r="D883" s="100" t="s">
        <v>5806</v>
      </c>
      <c r="E883" s="2" t="s">
        <v>5967</v>
      </c>
      <c r="F883" s="2" t="s">
        <v>6718</v>
      </c>
      <c r="G883" s="2"/>
      <c r="H883" s="5" t="s">
        <v>2881</v>
      </c>
    </row>
    <row r="884" spans="1:8" ht="58" hidden="1" x14ac:dyDescent="0.35">
      <c r="A884" s="136" t="s">
        <v>3996</v>
      </c>
      <c r="B884" s="2"/>
      <c r="C884" s="2" t="s">
        <v>6443</v>
      </c>
      <c r="D884" s="2" t="s">
        <v>5883</v>
      </c>
      <c r="E884" s="2" t="s">
        <v>6723</v>
      </c>
      <c r="F884" s="2"/>
      <c r="G884" s="2"/>
      <c r="H884" s="5" t="s">
        <v>3276</v>
      </c>
    </row>
    <row r="885" spans="1:8" hidden="1" x14ac:dyDescent="0.35">
      <c r="A885" s="135" t="s">
        <v>3309</v>
      </c>
      <c r="B885" s="2"/>
      <c r="C885" s="2" t="s">
        <v>6443</v>
      </c>
      <c r="D885" s="100" t="s">
        <v>5954</v>
      </c>
      <c r="E885" s="2" t="s">
        <v>6300</v>
      </c>
      <c r="F885" s="2" t="s">
        <v>5978</v>
      </c>
      <c r="G885" s="2"/>
      <c r="H885" s="5" t="s">
        <v>2569</v>
      </c>
    </row>
    <row r="886" spans="1:8" hidden="1" x14ac:dyDescent="0.35">
      <c r="A886" s="136" t="s">
        <v>3309</v>
      </c>
      <c r="B886" s="2"/>
      <c r="C886" s="2" t="s">
        <v>6443</v>
      </c>
      <c r="D886" s="100" t="s">
        <v>5954</v>
      </c>
      <c r="E886" s="2" t="s">
        <v>6300</v>
      </c>
      <c r="F886" s="2" t="s">
        <v>6030</v>
      </c>
      <c r="G886" s="2"/>
      <c r="H886" s="5" t="s">
        <v>2568</v>
      </c>
    </row>
    <row r="887" spans="1:8" hidden="1" x14ac:dyDescent="0.35">
      <c r="A887" s="136" t="s">
        <v>3996</v>
      </c>
      <c r="B887" s="2"/>
      <c r="C887" s="2" t="s">
        <v>6443</v>
      </c>
      <c r="D887" s="2" t="s">
        <v>5954</v>
      </c>
      <c r="E887" s="2" t="s">
        <v>5969</v>
      </c>
      <c r="F887" s="2"/>
      <c r="G887" s="2"/>
      <c r="H887" s="5" t="s">
        <v>2842</v>
      </c>
    </row>
    <row r="888" spans="1:8" ht="29" hidden="1" x14ac:dyDescent="0.35">
      <c r="A888" s="135" t="s">
        <v>3996</v>
      </c>
      <c r="B888" s="2"/>
      <c r="C888" s="2" t="s">
        <v>6443</v>
      </c>
      <c r="D888" s="100" t="s">
        <v>5954</v>
      </c>
      <c r="E888" s="2" t="s">
        <v>6716</v>
      </c>
      <c r="F888" s="2"/>
      <c r="G888" s="2"/>
      <c r="H888" s="5" t="s">
        <v>2958</v>
      </c>
    </row>
    <row r="889" spans="1:8" hidden="1" x14ac:dyDescent="0.35">
      <c r="A889" s="135" t="s">
        <v>3996</v>
      </c>
      <c r="B889" s="2"/>
      <c r="C889" s="2" t="s">
        <v>6443</v>
      </c>
      <c r="D889" s="100" t="s">
        <v>5954</v>
      </c>
      <c r="E889" s="2" t="s">
        <v>5968</v>
      </c>
      <c r="F889" s="2" t="s">
        <v>5882</v>
      </c>
      <c r="G889" s="2"/>
      <c r="H889" s="5" t="s">
        <v>2544</v>
      </c>
    </row>
    <row r="890" spans="1:8" ht="29" hidden="1" x14ac:dyDescent="0.35">
      <c r="A890" s="135" t="s">
        <v>3996</v>
      </c>
      <c r="B890" s="2"/>
      <c r="C890" s="2" t="s">
        <v>6443</v>
      </c>
      <c r="D890" s="2" t="s">
        <v>5954</v>
      </c>
      <c r="E890" s="2" t="s">
        <v>5942</v>
      </c>
      <c r="F890" s="2" t="s">
        <v>5883</v>
      </c>
      <c r="G890" s="2"/>
      <c r="H890" s="5" t="s">
        <v>2740</v>
      </c>
    </row>
    <row r="891" spans="1:8" hidden="1" x14ac:dyDescent="0.35">
      <c r="A891" s="135" t="s">
        <v>3996</v>
      </c>
      <c r="B891" s="2"/>
      <c r="C891" s="2" t="s">
        <v>6443</v>
      </c>
      <c r="D891" s="2" t="s">
        <v>5954</v>
      </c>
      <c r="E891" s="2" t="s">
        <v>5942</v>
      </c>
      <c r="F891" s="2" t="s">
        <v>6707</v>
      </c>
      <c r="G891" s="2"/>
      <c r="H891" s="5" t="s">
        <v>2741</v>
      </c>
    </row>
    <row r="892" spans="1:8" hidden="1" x14ac:dyDescent="0.35">
      <c r="A892" s="135" t="s">
        <v>3309</v>
      </c>
      <c r="B892" s="2"/>
      <c r="C892" s="2" t="s">
        <v>6443</v>
      </c>
      <c r="D892" s="2" t="s">
        <v>5954</v>
      </c>
      <c r="E892" s="2" t="s">
        <v>6298</v>
      </c>
      <c r="F892" s="2" t="s">
        <v>6151</v>
      </c>
      <c r="G892" s="2"/>
      <c r="H892" s="5" t="s">
        <v>2343</v>
      </c>
    </row>
    <row r="893" spans="1:8" hidden="1" x14ac:dyDescent="0.35">
      <c r="A893" s="136" t="s">
        <v>3309</v>
      </c>
      <c r="B893" s="2"/>
      <c r="C893" s="2" t="s">
        <v>6443</v>
      </c>
      <c r="D893" s="2" t="s">
        <v>5954</v>
      </c>
      <c r="E893" s="2" t="s">
        <v>6298</v>
      </c>
      <c r="F893" s="2" t="s">
        <v>5912</v>
      </c>
      <c r="G893" s="2"/>
      <c r="H893" s="5" t="s">
        <v>3004</v>
      </c>
    </row>
    <row r="894" spans="1:8" ht="29" hidden="1" x14ac:dyDescent="0.35">
      <c r="A894" s="136" t="s">
        <v>3996</v>
      </c>
      <c r="B894" s="2"/>
      <c r="C894" s="2" t="s">
        <v>6443</v>
      </c>
      <c r="D894" s="100" t="s">
        <v>5975</v>
      </c>
      <c r="E894" s="2" t="s">
        <v>6403</v>
      </c>
      <c r="F894" s="2" t="s">
        <v>6366</v>
      </c>
      <c r="G894" s="2"/>
      <c r="H894" s="5" t="s">
        <v>2596</v>
      </c>
    </row>
    <row r="895" spans="1:8" ht="29" hidden="1" x14ac:dyDescent="0.35">
      <c r="A895" s="135" t="s">
        <v>3996</v>
      </c>
      <c r="B895" s="2"/>
      <c r="C895" s="2" t="s">
        <v>6443</v>
      </c>
      <c r="D895" s="100" t="s">
        <v>5850</v>
      </c>
      <c r="E895" s="2" t="s">
        <v>5883</v>
      </c>
      <c r="F895" s="2" t="s">
        <v>6681</v>
      </c>
      <c r="G895" s="2"/>
      <c r="H895" s="5" t="s">
        <v>7538</v>
      </c>
    </row>
    <row r="896" spans="1:8" hidden="1" x14ac:dyDescent="0.35">
      <c r="A896" s="135" t="s">
        <v>3954</v>
      </c>
      <c r="B896" s="2"/>
      <c r="C896" s="2" t="s">
        <v>6443</v>
      </c>
      <c r="D896" s="100" t="s">
        <v>5850</v>
      </c>
      <c r="E896" s="2" t="s">
        <v>6030</v>
      </c>
      <c r="F896" s="2" t="s">
        <v>5874</v>
      </c>
      <c r="G896" s="2"/>
      <c r="H896" s="5" t="s">
        <v>2572</v>
      </c>
    </row>
    <row r="897" spans="1:8" hidden="1" x14ac:dyDescent="0.35">
      <c r="A897" s="135" t="s">
        <v>3954</v>
      </c>
      <c r="B897" s="2"/>
      <c r="C897" s="2" t="s">
        <v>6443</v>
      </c>
      <c r="D897" s="2" t="s">
        <v>5850</v>
      </c>
      <c r="E897" s="2" t="s">
        <v>5874</v>
      </c>
      <c r="F897" s="2" t="s">
        <v>6643</v>
      </c>
      <c r="G897" s="2"/>
      <c r="H897" s="5" t="s">
        <v>1786</v>
      </c>
    </row>
    <row r="898" spans="1:8" hidden="1" x14ac:dyDescent="0.35">
      <c r="A898" s="136" t="s">
        <v>3954</v>
      </c>
      <c r="B898" s="2"/>
      <c r="C898" s="2" t="s">
        <v>6443</v>
      </c>
      <c r="D898" s="100" t="s">
        <v>5850</v>
      </c>
      <c r="E898" s="2" t="s">
        <v>5874</v>
      </c>
      <c r="F898" s="2" t="s">
        <v>6507</v>
      </c>
      <c r="G898" s="2"/>
      <c r="H898" s="5" t="s">
        <v>1685</v>
      </c>
    </row>
    <row r="899" spans="1:8" ht="29" hidden="1" x14ac:dyDescent="0.35">
      <c r="A899" s="136" t="s">
        <v>3954</v>
      </c>
      <c r="B899" s="2"/>
      <c r="C899" s="2" t="s">
        <v>6443</v>
      </c>
      <c r="D899" s="2" t="s">
        <v>5850</v>
      </c>
      <c r="E899" s="2" t="s">
        <v>5874</v>
      </c>
      <c r="F899" s="2" t="s">
        <v>6250</v>
      </c>
      <c r="G899" s="2"/>
      <c r="H899" s="5" t="s">
        <v>1271</v>
      </c>
    </row>
    <row r="900" spans="1:8" ht="29" hidden="1" x14ac:dyDescent="0.35">
      <c r="A900" s="135" t="s">
        <v>3954</v>
      </c>
      <c r="B900" s="2"/>
      <c r="C900" s="2" t="s">
        <v>6443</v>
      </c>
      <c r="D900" s="100" t="s">
        <v>5850</v>
      </c>
      <c r="E900" s="2" t="s">
        <v>5874</v>
      </c>
      <c r="F900" s="2" t="s">
        <v>5887</v>
      </c>
      <c r="G900" s="2"/>
      <c r="H900" s="5" t="s">
        <v>7503</v>
      </c>
    </row>
    <row r="901" spans="1:8" ht="29" hidden="1" x14ac:dyDescent="0.35">
      <c r="A901" s="136" t="s">
        <v>3954</v>
      </c>
      <c r="B901" s="2"/>
      <c r="C901" s="2" t="s">
        <v>6443</v>
      </c>
      <c r="D901" s="100" t="s">
        <v>5850</v>
      </c>
      <c r="E901" s="2" t="s">
        <v>5874</v>
      </c>
      <c r="F901" s="2"/>
      <c r="G901" s="2"/>
      <c r="H901" s="5" t="s">
        <v>1501</v>
      </c>
    </row>
    <row r="902" spans="1:8" ht="43.5" hidden="1" x14ac:dyDescent="0.35">
      <c r="A902" s="135" t="s">
        <v>3954</v>
      </c>
      <c r="B902" s="2"/>
      <c r="C902" s="2" t="s">
        <v>6443</v>
      </c>
      <c r="D902" s="100" t="s">
        <v>5850</v>
      </c>
      <c r="E902" s="2" t="s">
        <v>5912</v>
      </c>
      <c r="F902" s="2" t="s">
        <v>6608</v>
      </c>
      <c r="G902" s="2"/>
      <c r="H902" s="5" t="s">
        <v>1603</v>
      </c>
    </row>
    <row r="903" spans="1:8" ht="29" hidden="1" x14ac:dyDescent="0.35">
      <c r="A903" s="135" t="s">
        <v>3996</v>
      </c>
      <c r="B903" s="2"/>
      <c r="C903" s="2" t="s">
        <v>6443</v>
      </c>
      <c r="D903" s="100" t="s">
        <v>5848</v>
      </c>
      <c r="E903" s="2" t="s">
        <v>5894</v>
      </c>
      <c r="F903" s="2"/>
      <c r="G903" s="2"/>
      <c r="H903" s="5" t="s">
        <v>3178</v>
      </c>
    </row>
    <row r="904" spans="1:8" ht="29" hidden="1" x14ac:dyDescent="0.35">
      <c r="A904" s="136" t="s">
        <v>3996</v>
      </c>
      <c r="B904" s="2"/>
      <c r="C904" s="2" t="s">
        <v>6443</v>
      </c>
      <c r="D904" s="100" t="s">
        <v>5848</v>
      </c>
      <c r="E904" s="2" t="s">
        <v>6721</v>
      </c>
      <c r="F904" s="2"/>
      <c r="G904" s="2"/>
      <c r="H904" s="5" t="s">
        <v>3232</v>
      </c>
    </row>
    <row r="905" spans="1:8" ht="29" hidden="1" x14ac:dyDescent="0.35">
      <c r="A905" s="136" t="s">
        <v>4048</v>
      </c>
      <c r="B905" s="2"/>
      <c r="C905" s="2" t="s">
        <v>6443</v>
      </c>
      <c r="D905" s="2" t="s">
        <v>6457</v>
      </c>
      <c r="E905" s="2" t="s">
        <v>6844</v>
      </c>
      <c r="F905" s="2" t="s">
        <v>6847</v>
      </c>
      <c r="G905" s="2" t="s">
        <v>6848</v>
      </c>
      <c r="H905" s="5" t="s">
        <v>7604</v>
      </c>
    </row>
    <row r="906" spans="1:8" ht="29" hidden="1" x14ac:dyDescent="0.35">
      <c r="A906" s="136" t="s">
        <v>3996</v>
      </c>
      <c r="B906" s="2"/>
      <c r="C906" s="2" t="s">
        <v>6443</v>
      </c>
      <c r="D906" s="2" t="s">
        <v>6457</v>
      </c>
      <c r="E906" s="2" t="s">
        <v>6070</v>
      </c>
      <c r="F906" s="2" t="s">
        <v>6697</v>
      </c>
      <c r="G906" s="2"/>
      <c r="H906" s="5" t="s">
        <v>7545</v>
      </c>
    </row>
    <row r="907" spans="1:8" ht="29" hidden="1" x14ac:dyDescent="0.35">
      <c r="A907" s="136" t="s">
        <v>3996</v>
      </c>
      <c r="B907" s="2"/>
      <c r="C907" s="2" t="s">
        <v>6443</v>
      </c>
      <c r="D907" s="2" t="s">
        <v>6457</v>
      </c>
      <c r="E907" s="2" t="s">
        <v>6698</v>
      </c>
      <c r="F907" s="2" t="s">
        <v>6697</v>
      </c>
      <c r="G907" s="2"/>
      <c r="H907" s="5" t="s">
        <v>7543</v>
      </c>
    </row>
    <row r="908" spans="1:8" hidden="1" x14ac:dyDescent="0.35">
      <c r="A908" s="136" t="s">
        <v>3996</v>
      </c>
      <c r="B908" s="2"/>
      <c r="C908" s="2" t="s">
        <v>6443</v>
      </c>
      <c r="D908" s="100" t="s">
        <v>6457</v>
      </c>
      <c r="E908" s="2" t="s">
        <v>6719</v>
      </c>
      <c r="F908" s="2" t="s">
        <v>5971</v>
      </c>
      <c r="G908" s="2"/>
      <c r="H908" s="5" t="s">
        <v>3062</v>
      </c>
    </row>
    <row r="909" spans="1:8" hidden="1" x14ac:dyDescent="0.35">
      <c r="A909" s="136" t="s">
        <v>3954</v>
      </c>
      <c r="B909" s="2"/>
      <c r="C909" s="2" t="s">
        <v>6443</v>
      </c>
      <c r="D909" s="2" t="s">
        <v>6457</v>
      </c>
      <c r="E909" s="2" t="s">
        <v>6597</v>
      </c>
      <c r="F909" s="2" t="s">
        <v>6669</v>
      </c>
      <c r="G909" s="2"/>
      <c r="H909" s="5" t="s">
        <v>3132</v>
      </c>
    </row>
    <row r="910" spans="1:8" hidden="1" x14ac:dyDescent="0.35">
      <c r="A910" s="135" t="s">
        <v>3954</v>
      </c>
      <c r="B910" s="2"/>
      <c r="C910" s="2" t="s">
        <v>6443</v>
      </c>
      <c r="D910" s="100" t="s">
        <v>6457</v>
      </c>
      <c r="E910" s="2" t="s">
        <v>6597</v>
      </c>
      <c r="F910" s="2" t="s">
        <v>6668</v>
      </c>
      <c r="G910" s="2"/>
      <c r="H910" s="5" t="s">
        <v>3131</v>
      </c>
    </row>
    <row r="911" spans="1:8" hidden="1" x14ac:dyDescent="0.35">
      <c r="A911" s="136" t="s">
        <v>3954</v>
      </c>
      <c r="B911" s="2"/>
      <c r="C911" s="2" t="s">
        <v>6443</v>
      </c>
      <c r="D911" s="100" t="s">
        <v>6457</v>
      </c>
      <c r="E911" s="2" t="s">
        <v>6597</v>
      </c>
      <c r="F911" s="2" t="s">
        <v>6640</v>
      </c>
      <c r="G911" s="2"/>
      <c r="H911" s="5" t="s">
        <v>1495</v>
      </c>
    </row>
    <row r="912" spans="1:8" ht="29" hidden="1" x14ac:dyDescent="0.35">
      <c r="A912" s="136" t="s">
        <v>3954</v>
      </c>
      <c r="B912" s="2"/>
      <c r="C912" s="2" t="s">
        <v>6443</v>
      </c>
      <c r="D912" s="100" t="s">
        <v>6457</v>
      </c>
      <c r="E912" s="2" t="s">
        <v>6597</v>
      </c>
      <c r="F912" s="2" t="s">
        <v>6667</v>
      </c>
      <c r="G912" s="2"/>
      <c r="H912" s="5" t="s">
        <v>3130</v>
      </c>
    </row>
    <row r="913" spans="1:8" hidden="1" x14ac:dyDescent="0.35">
      <c r="A913" s="135" t="s">
        <v>3954</v>
      </c>
      <c r="B913" s="2"/>
      <c r="C913" s="2" t="s">
        <v>6443</v>
      </c>
      <c r="D913" s="2" t="s">
        <v>6457</v>
      </c>
      <c r="E913" s="2" t="s">
        <v>6637</v>
      </c>
      <c r="F913" s="2" t="s">
        <v>6638</v>
      </c>
      <c r="G913" s="2"/>
      <c r="H913" s="5" t="s">
        <v>1492</v>
      </c>
    </row>
    <row r="914" spans="1:8" ht="29" hidden="1" x14ac:dyDescent="0.35">
      <c r="A914" s="135" t="s">
        <v>3996</v>
      </c>
      <c r="B914" s="2"/>
      <c r="C914" s="2" t="s">
        <v>6443</v>
      </c>
      <c r="D914" s="2" t="s">
        <v>6457</v>
      </c>
      <c r="E914" s="2" t="s">
        <v>6696</v>
      </c>
      <c r="F914" s="2" t="s">
        <v>6697</v>
      </c>
      <c r="G914" s="2"/>
      <c r="H914" s="5" t="s">
        <v>7542</v>
      </c>
    </row>
    <row r="915" spans="1:8" ht="29" hidden="1" x14ac:dyDescent="0.35">
      <c r="A915" s="135" t="s">
        <v>3996</v>
      </c>
      <c r="B915" s="2"/>
      <c r="C915" s="2" t="s">
        <v>6443</v>
      </c>
      <c r="D915" s="2" t="s">
        <v>6457</v>
      </c>
      <c r="E915" s="2" t="s">
        <v>6699</v>
      </c>
      <c r="F915" s="2" t="s">
        <v>6697</v>
      </c>
      <c r="G915" s="2"/>
      <c r="H915" s="5" t="s">
        <v>7544</v>
      </c>
    </row>
    <row r="916" spans="1:8" ht="29" hidden="1" x14ac:dyDescent="0.35">
      <c r="A916" s="135" t="s">
        <v>3996</v>
      </c>
      <c r="B916" s="2"/>
      <c r="C916" s="2" t="s">
        <v>6443</v>
      </c>
      <c r="D916" s="2" t="s">
        <v>6457</v>
      </c>
      <c r="E916" s="2" t="s">
        <v>6071</v>
      </c>
      <c r="F916" s="2" t="s">
        <v>6697</v>
      </c>
      <c r="G916" s="2"/>
      <c r="H916" s="5" t="s">
        <v>7546</v>
      </c>
    </row>
    <row r="917" spans="1:8" ht="29" hidden="1" x14ac:dyDescent="0.35">
      <c r="A917" s="135" t="s">
        <v>3996</v>
      </c>
      <c r="B917" s="2"/>
      <c r="C917" s="2" t="s">
        <v>6443</v>
      </c>
      <c r="D917" s="2" t="s">
        <v>5857</v>
      </c>
      <c r="E917" s="2" t="s">
        <v>5883</v>
      </c>
      <c r="F917" s="2" t="s">
        <v>6710</v>
      </c>
      <c r="G917" s="2"/>
      <c r="H917" s="5" t="s">
        <v>2778</v>
      </c>
    </row>
    <row r="918" spans="1:8" ht="29" hidden="1" x14ac:dyDescent="0.35">
      <c r="A918" s="136" t="s">
        <v>3996</v>
      </c>
      <c r="B918" s="2"/>
      <c r="C918" s="2" t="s">
        <v>6443</v>
      </c>
      <c r="D918" s="2" t="s">
        <v>5857</v>
      </c>
      <c r="E918" s="2" t="s">
        <v>5883</v>
      </c>
      <c r="F918" s="2" t="s">
        <v>6709</v>
      </c>
      <c r="G918" s="2"/>
      <c r="H918" s="5" t="s">
        <v>2826</v>
      </c>
    </row>
    <row r="919" spans="1:8" hidden="1" x14ac:dyDescent="0.35">
      <c r="A919" s="136" t="s">
        <v>3309</v>
      </c>
      <c r="B919" s="2"/>
      <c r="C919" s="2" t="s">
        <v>6443</v>
      </c>
      <c r="D919" s="2" t="s">
        <v>5857</v>
      </c>
      <c r="E919" s="2" t="s">
        <v>5954</v>
      </c>
      <c r="F919" s="2" t="s">
        <v>6300</v>
      </c>
      <c r="G919" s="2"/>
      <c r="H919" s="5" t="s">
        <v>2707</v>
      </c>
    </row>
    <row r="920" spans="1:8" hidden="1" x14ac:dyDescent="0.35">
      <c r="A920" s="135" t="s">
        <v>3996</v>
      </c>
      <c r="B920" s="2"/>
      <c r="C920" s="2" t="s">
        <v>6443</v>
      </c>
      <c r="D920" s="100" t="s">
        <v>5845</v>
      </c>
      <c r="E920" s="2" t="s">
        <v>6220</v>
      </c>
      <c r="F920" s="2" t="s">
        <v>6020</v>
      </c>
      <c r="G920" s="2"/>
      <c r="H920" s="5" t="s">
        <v>131</v>
      </c>
    </row>
    <row r="921" spans="1:8" ht="29" hidden="1" x14ac:dyDescent="0.35">
      <c r="A921" s="136" t="s">
        <v>3996</v>
      </c>
      <c r="B921" s="2"/>
      <c r="C921" s="2" t="s">
        <v>6443</v>
      </c>
      <c r="D921" s="100" t="s">
        <v>5845</v>
      </c>
      <c r="E921" s="2" t="s">
        <v>6705</v>
      </c>
      <c r="F921" s="2"/>
      <c r="G921" s="2"/>
      <c r="H921" s="5" t="s">
        <v>7555</v>
      </c>
    </row>
    <row r="922" spans="1:8" ht="29" hidden="1" x14ac:dyDescent="0.35">
      <c r="A922" s="135" t="s">
        <v>3309</v>
      </c>
      <c r="B922" s="2"/>
      <c r="C922" s="2" t="s">
        <v>6443</v>
      </c>
      <c r="D922" s="100" t="s">
        <v>6306</v>
      </c>
      <c r="E922" s="2" t="s">
        <v>6300</v>
      </c>
      <c r="F922" s="2" t="s">
        <v>5849</v>
      </c>
      <c r="G922" s="2"/>
      <c r="H922" s="5" t="s">
        <v>2703</v>
      </c>
    </row>
    <row r="923" spans="1:8" hidden="1" x14ac:dyDescent="0.35">
      <c r="A923" s="135" t="s">
        <v>3996</v>
      </c>
      <c r="B923" s="2"/>
      <c r="C923" s="2" t="s">
        <v>6443</v>
      </c>
      <c r="D923" s="2" t="s">
        <v>5853</v>
      </c>
      <c r="E923" s="2" t="s">
        <v>6712</v>
      </c>
      <c r="F923" s="2" t="s">
        <v>6713</v>
      </c>
      <c r="G923" s="2"/>
      <c r="H923" s="5" t="s">
        <v>2841</v>
      </c>
    </row>
    <row r="924" spans="1:8" ht="29" hidden="1" x14ac:dyDescent="0.35">
      <c r="A924" s="135" t="s">
        <v>3954</v>
      </c>
      <c r="B924" s="2"/>
      <c r="C924" s="2" t="s">
        <v>6443</v>
      </c>
      <c r="D924" s="2" t="s">
        <v>5853</v>
      </c>
      <c r="E924" s="2" t="s">
        <v>5927</v>
      </c>
      <c r="F924" s="2" t="s">
        <v>6658</v>
      </c>
      <c r="G924" s="2" t="s">
        <v>6031</v>
      </c>
      <c r="H924" s="5" t="s">
        <v>7508</v>
      </c>
    </row>
    <row r="925" spans="1:8" ht="29" hidden="1" x14ac:dyDescent="0.35">
      <c r="A925" s="136" t="s">
        <v>3954</v>
      </c>
      <c r="B925" s="2"/>
      <c r="C925" s="2" t="s">
        <v>6443</v>
      </c>
      <c r="D925" s="2" t="s">
        <v>5853</v>
      </c>
      <c r="E925" s="2" t="s">
        <v>5927</v>
      </c>
      <c r="F925" s="2" t="s">
        <v>6658</v>
      </c>
      <c r="G925" s="2" t="s">
        <v>6030</v>
      </c>
      <c r="H925" s="5" t="s">
        <v>7509</v>
      </c>
    </row>
    <row r="926" spans="1:8" ht="29" hidden="1" x14ac:dyDescent="0.35">
      <c r="A926" s="135" t="s">
        <v>3954</v>
      </c>
      <c r="B926" s="2"/>
      <c r="C926" s="2" t="s">
        <v>6443</v>
      </c>
      <c r="D926" s="100" t="s">
        <v>5853</v>
      </c>
      <c r="E926" s="2" t="s">
        <v>5927</v>
      </c>
      <c r="F926" s="2" t="s">
        <v>6658</v>
      </c>
      <c r="G926" s="2" t="s">
        <v>6049</v>
      </c>
      <c r="H926" s="5" t="s">
        <v>7510</v>
      </c>
    </row>
    <row r="927" spans="1:8" ht="29" hidden="1" x14ac:dyDescent="0.35">
      <c r="A927" s="136" t="s">
        <v>3996</v>
      </c>
      <c r="B927" s="2"/>
      <c r="C927" s="2" t="s">
        <v>6443</v>
      </c>
      <c r="D927" s="100" t="s">
        <v>5882</v>
      </c>
      <c r="E927" s="2" t="s">
        <v>5883</v>
      </c>
      <c r="F927" s="2" t="s">
        <v>6682</v>
      </c>
      <c r="G927" s="2"/>
      <c r="H927" s="5" t="s">
        <v>7539</v>
      </c>
    </row>
    <row r="928" spans="1:8" hidden="1" x14ac:dyDescent="0.35">
      <c r="A928" s="135" t="s">
        <v>3996</v>
      </c>
      <c r="B928" s="2"/>
      <c r="C928" s="2" t="s">
        <v>6443</v>
      </c>
      <c r="D928" s="2" t="s">
        <v>5882</v>
      </c>
      <c r="E928" s="2" t="s">
        <v>5883</v>
      </c>
      <c r="F928" s="2" t="s">
        <v>6708</v>
      </c>
      <c r="G928" s="2"/>
      <c r="H928" s="5" t="s">
        <v>2796</v>
      </c>
    </row>
    <row r="929" spans="1:8" ht="29" hidden="1" x14ac:dyDescent="0.35">
      <c r="A929" s="135" t="s">
        <v>3954</v>
      </c>
      <c r="B929" s="2"/>
      <c r="C929" s="2" t="s">
        <v>6443</v>
      </c>
      <c r="D929" s="2" t="s">
        <v>5882</v>
      </c>
      <c r="E929" s="2" t="s">
        <v>5874</v>
      </c>
      <c r="F929" s="2" t="s">
        <v>6642</v>
      </c>
      <c r="G929" s="2"/>
      <c r="H929" s="5" t="s">
        <v>1684</v>
      </c>
    </row>
    <row r="930" spans="1:8" ht="29" hidden="1" x14ac:dyDescent="0.35">
      <c r="A930" s="136" t="s">
        <v>3954</v>
      </c>
      <c r="B930" s="2"/>
      <c r="C930" s="2" t="s">
        <v>6443</v>
      </c>
      <c r="D930" s="2" t="s">
        <v>5882</v>
      </c>
      <c r="E930" s="2" t="s">
        <v>5874</v>
      </c>
      <c r="F930" s="2" t="s">
        <v>6642</v>
      </c>
      <c r="G930" s="2"/>
      <c r="H930" s="5" t="s">
        <v>2773</v>
      </c>
    </row>
    <row r="931" spans="1:8" hidden="1" x14ac:dyDescent="0.35">
      <c r="A931" s="136" t="s">
        <v>3954</v>
      </c>
      <c r="B931" s="2"/>
      <c r="C931" s="2" t="s">
        <v>6443</v>
      </c>
      <c r="D931" s="100" t="s">
        <v>5882</v>
      </c>
      <c r="E931" s="2" t="s">
        <v>5874</v>
      </c>
      <c r="F931" s="2" t="s">
        <v>6641</v>
      </c>
      <c r="G931" s="2"/>
      <c r="H931" s="5" t="s">
        <v>1683</v>
      </c>
    </row>
    <row r="932" spans="1:8" hidden="1" x14ac:dyDescent="0.35">
      <c r="A932" s="135" t="s">
        <v>3954</v>
      </c>
      <c r="B932" s="2"/>
      <c r="C932" s="2" t="s">
        <v>6443</v>
      </c>
      <c r="D932" s="2" t="s">
        <v>5882</v>
      </c>
      <c r="E932" s="2" t="s">
        <v>5874</v>
      </c>
      <c r="F932" s="2" t="s">
        <v>6641</v>
      </c>
      <c r="G932" s="2"/>
      <c r="H932" s="5" t="s">
        <v>2691</v>
      </c>
    </row>
    <row r="933" spans="1:8" ht="29" hidden="1" x14ac:dyDescent="0.35">
      <c r="A933" s="135" t="s">
        <v>3954</v>
      </c>
      <c r="B933" s="2"/>
      <c r="C933" s="2" t="s">
        <v>6443</v>
      </c>
      <c r="D933" s="100" t="s">
        <v>5882</v>
      </c>
      <c r="E933" s="2" t="s">
        <v>5874</v>
      </c>
      <c r="F933" s="2" t="s">
        <v>6665</v>
      </c>
      <c r="G933" s="2"/>
      <c r="H933" s="5" t="s">
        <v>3108</v>
      </c>
    </row>
    <row r="934" spans="1:8" ht="29" hidden="1" x14ac:dyDescent="0.35">
      <c r="A934" s="135" t="s">
        <v>3954</v>
      </c>
      <c r="B934" s="2"/>
      <c r="C934" s="2" t="s">
        <v>6443</v>
      </c>
      <c r="D934" s="100" t="s">
        <v>5882</v>
      </c>
      <c r="E934" s="2" t="s">
        <v>5874</v>
      </c>
      <c r="F934" s="2" t="s">
        <v>6665</v>
      </c>
      <c r="G934" s="2"/>
      <c r="H934" s="5" t="s">
        <v>3133</v>
      </c>
    </row>
    <row r="935" spans="1:8" hidden="1" x14ac:dyDescent="0.35">
      <c r="A935" s="135" t="s">
        <v>3954</v>
      </c>
      <c r="B935" s="2"/>
      <c r="C935" s="2" t="s">
        <v>6443</v>
      </c>
      <c r="D935" s="100" t="s">
        <v>5882</v>
      </c>
      <c r="E935" s="2" t="s">
        <v>5874</v>
      </c>
      <c r="F935" s="2"/>
      <c r="G935" s="2"/>
      <c r="H935" s="5" t="s">
        <v>2414</v>
      </c>
    </row>
    <row r="936" spans="1:8" ht="29" hidden="1" x14ac:dyDescent="0.35">
      <c r="A936" s="135" t="s">
        <v>3954</v>
      </c>
      <c r="B936" s="2"/>
      <c r="C936" s="2" t="s">
        <v>6443</v>
      </c>
      <c r="D936" s="100" t="s">
        <v>5882</v>
      </c>
      <c r="E936" s="2" t="s">
        <v>5994</v>
      </c>
      <c r="F936" s="2" t="s">
        <v>6664</v>
      </c>
      <c r="G936" s="2"/>
      <c r="H936" s="5" t="s">
        <v>2775</v>
      </c>
    </row>
    <row r="937" spans="1:8" ht="29" hidden="1" x14ac:dyDescent="0.35">
      <c r="A937" s="135" t="s">
        <v>3996</v>
      </c>
      <c r="B937" s="2"/>
      <c r="C937" s="2" t="s">
        <v>6443</v>
      </c>
      <c r="D937" s="100" t="s">
        <v>5855</v>
      </c>
      <c r="E937" s="2" t="s">
        <v>6270</v>
      </c>
      <c r="F937" s="2"/>
      <c r="G937" s="2"/>
      <c r="H937" s="5" t="s">
        <v>3176</v>
      </c>
    </row>
    <row r="938" spans="1:8" ht="29" hidden="1" x14ac:dyDescent="0.35">
      <c r="A938" s="136" t="s">
        <v>3954</v>
      </c>
      <c r="B938" s="2"/>
      <c r="C938" s="2" t="s">
        <v>6443</v>
      </c>
      <c r="D938" s="2" t="s">
        <v>6151</v>
      </c>
      <c r="E938" s="2" t="s">
        <v>5927</v>
      </c>
      <c r="F938" s="2" t="s">
        <v>5874</v>
      </c>
      <c r="G938" s="2" t="s">
        <v>6646</v>
      </c>
      <c r="H938" s="5" t="s">
        <v>1736</v>
      </c>
    </row>
    <row r="939" spans="1:8" hidden="1" x14ac:dyDescent="0.35">
      <c r="A939" s="136" t="s">
        <v>3954</v>
      </c>
      <c r="B939" s="2"/>
      <c r="C939" s="2" t="s">
        <v>6443</v>
      </c>
      <c r="D939" s="100" t="s">
        <v>6151</v>
      </c>
      <c r="E939" s="2" t="s">
        <v>5927</v>
      </c>
      <c r="F939" s="2" t="s">
        <v>6658</v>
      </c>
      <c r="G939" s="2" t="s">
        <v>6072</v>
      </c>
      <c r="H939" s="5" t="s">
        <v>7511</v>
      </c>
    </row>
    <row r="940" spans="1:8" hidden="1" x14ac:dyDescent="0.35">
      <c r="A940" s="135" t="s">
        <v>3954</v>
      </c>
      <c r="B940" s="2"/>
      <c r="C940" s="2" t="s">
        <v>6443</v>
      </c>
      <c r="D940" s="100" t="s">
        <v>6151</v>
      </c>
      <c r="E940" s="2" t="s">
        <v>5927</v>
      </c>
      <c r="F940" s="2" t="s">
        <v>6658</v>
      </c>
      <c r="G940" s="2" t="s">
        <v>6087</v>
      </c>
      <c r="H940" s="5" t="s">
        <v>7512</v>
      </c>
    </row>
    <row r="941" spans="1:8" hidden="1" x14ac:dyDescent="0.35">
      <c r="A941" s="136" t="s">
        <v>3954</v>
      </c>
      <c r="B941" s="2"/>
      <c r="C941" s="2" t="s">
        <v>6443</v>
      </c>
      <c r="D941" s="2" t="s">
        <v>6151</v>
      </c>
      <c r="E941" s="2" t="s">
        <v>5927</v>
      </c>
      <c r="F941" s="2" t="s">
        <v>6658</v>
      </c>
      <c r="G941" s="2" t="s">
        <v>6078</v>
      </c>
      <c r="H941" s="5" t="s">
        <v>7513</v>
      </c>
    </row>
    <row r="942" spans="1:8" hidden="1" x14ac:dyDescent="0.35">
      <c r="A942" s="135" t="s">
        <v>3954</v>
      </c>
      <c r="B942" s="2"/>
      <c r="C942" s="2" t="s">
        <v>6443</v>
      </c>
      <c r="D942" s="100" t="s">
        <v>6151</v>
      </c>
      <c r="E942" s="2" t="s">
        <v>5927</v>
      </c>
      <c r="F942" s="2" t="s">
        <v>6658</v>
      </c>
      <c r="G942" s="2" t="s">
        <v>6077</v>
      </c>
      <c r="H942" s="5" t="s">
        <v>7514</v>
      </c>
    </row>
    <row r="943" spans="1:8" hidden="1" x14ac:dyDescent="0.35">
      <c r="A943" s="136" t="s">
        <v>3954</v>
      </c>
      <c r="B943" s="2"/>
      <c r="C943" s="2" t="s">
        <v>6443</v>
      </c>
      <c r="D943" s="100" t="s">
        <v>6151</v>
      </c>
      <c r="E943" s="2" t="s">
        <v>5927</v>
      </c>
      <c r="F943" s="2" t="s">
        <v>6658</v>
      </c>
      <c r="G943" s="2" t="s">
        <v>6118</v>
      </c>
      <c r="H943" s="5" t="s">
        <v>7515</v>
      </c>
    </row>
    <row r="944" spans="1:8" ht="29" hidden="1" x14ac:dyDescent="0.35">
      <c r="A944" s="136" t="s">
        <v>3996</v>
      </c>
      <c r="B944" s="2"/>
      <c r="C944" s="2" t="s">
        <v>6443</v>
      </c>
      <c r="D944" s="100" t="s">
        <v>6004</v>
      </c>
      <c r="E944" s="2" t="s">
        <v>6711</v>
      </c>
      <c r="F944" s="2"/>
      <c r="G944" s="2"/>
      <c r="H944" s="5" t="s">
        <v>2959</v>
      </c>
    </row>
    <row r="945" spans="1:8" hidden="1" x14ac:dyDescent="0.35">
      <c r="A945" s="136" t="s">
        <v>3954</v>
      </c>
      <c r="B945" s="2"/>
      <c r="C945" s="2" t="s">
        <v>6443</v>
      </c>
      <c r="D945" s="100" t="s">
        <v>5912</v>
      </c>
      <c r="E945" s="2" t="s">
        <v>5882</v>
      </c>
      <c r="F945" s="2" t="s">
        <v>6608</v>
      </c>
      <c r="G945" s="2"/>
      <c r="H945" s="5" t="s">
        <v>1601</v>
      </c>
    </row>
    <row r="946" spans="1:8" hidden="1" x14ac:dyDescent="0.35">
      <c r="A946" s="135" t="s">
        <v>3996</v>
      </c>
      <c r="B946" s="2"/>
      <c r="C946" s="2" t="s">
        <v>6443</v>
      </c>
      <c r="D946" s="100" t="s">
        <v>5912</v>
      </c>
      <c r="E946" s="2" t="s">
        <v>5967</v>
      </c>
      <c r="F946" s="2" t="s">
        <v>5857</v>
      </c>
      <c r="G946" s="2"/>
      <c r="H946" s="5" t="s">
        <v>2843</v>
      </c>
    </row>
    <row r="947" spans="1:8" hidden="1" x14ac:dyDescent="0.35">
      <c r="A947" s="136" t="s">
        <v>3954</v>
      </c>
      <c r="B947" s="2"/>
      <c r="C947" s="2" t="s">
        <v>6443</v>
      </c>
      <c r="D947" s="100" t="s">
        <v>6139</v>
      </c>
      <c r="E947" s="2" t="s">
        <v>5882</v>
      </c>
      <c r="F947" s="2" t="s">
        <v>5874</v>
      </c>
      <c r="G947" s="2"/>
      <c r="H947" s="5" t="s">
        <v>3061</v>
      </c>
    </row>
    <row r="948" spans="1:8" hidden="1" x14ac:dyDescent="0.35">
      <c r="A948" s="135" t="s">
        <v>3996</v>
      </c>
      <c r="B948" s="2"/>
      <c r="C948" s="2" t="s">
        <v>6443</v>
      </c>
      <c r="D948" s="100" t="s">
        <v>5847</v>
      </c>
      <c r="E948" s="2" t="s">
        <v>5883</v>
      </c>
      <c r="F948" s="2" t="s">
        <v>6685</v>
      </c>
      <c r="G948" s="2"/>
      <c r="H948" s="5" t="s">
        <v>1277</v>
      </c>
    </row>
    <row r="949" spans="1:8" hidden="1" x14ac:dyDescent="0.35">
      <c r="A949" s="135" t="s">
        <v>3996</v>
      </c>
      <c r="B949" s="2"/>
      <c r="C949" s="2" t="s">
        <v>6443</v>
      </c>
      <c r="D949" s="100" t="s">
        <v>5847</v>
      </c>
      <c r="E949" s="2" t="s">
        <v>5883</v>
      </c>
      <c r="F949" s="2" t="s">
        <v>6690</v>
      </c>
      <c r="G949" s="2"/>
      <c r="H949" s="5" t="s">
        <v>1868</v>
      </c>
    </row>
    <row r="950" spans="1:8" hidden="1" x14ac:dyDescent="0.35">
      <c r="A950" s="135" t="s">
        <v>3996</v>
      </c>
      <c r="B950" s="2"/>
      <c r="C950" s="2" t="s">
        <v>6443</v>
      </c>
      <c r="D950" s="100" t="s">
        <v>5847</v>
      </c>
      <c r="E950" s="2" t="s">
        <v>5845</v>
      </c>
      <c r="F950" s="2" t="s">
        <v>5883</v>
      </c>
      <c r="G950" s="2"/>
      <c r="H950" s="5" t="s">
        <v>176</v>
      </c>
    </row>
    <row r="951" spans="1:8" ht="29" hidden="1" x14ac:dyDescent="0.35">
      <c r="A951" s="136" t="s">
        <v>3954</v>
      </c>
      <c r="B951" s="2"/>
      <c r="C951" s="2" t="s">
        <v>6443</v>
      </c>
      <c r="D951" s="100" t="s">
        <v>5994</v>
      </c>
      <c r="E951" s="2" t="s">
        <v>5968</v>
      </c>
      <c r="F951" s="2" t="s">
        <v>6129</v>
      </c>
      <c r="G951" s="2"/>
      <c r="H951" s="5" t="s">
        <v>2007</v>
      </c>
    </row>
    <row r="952" spans="1:8" ht="29" hidden="1" x14ac:dyDescent="0.35">
      <c r="A952" s="135" t="s">
        <v>3954</v>
      </c>
      <c r="B952" s="2"/>
      <c r="C952" s="2" t="s">
        <v>6443</v>
      </c>
      <c r="D952" s="100" t="s">
        <v>5994</v>
      </c>
      <c r="E952" s="2" t="s">
        <v>6155</v>
      </c>
      <c r="F952" s="2" t="s">
        <v>6656</v>
      </c>
      <c r="G952" s="2"/>
      <c r="H952" s="5" t="s">
        <v>2303</v>
      </c>
    </row>
    <row r="953" spans="1:8" ht="43.5" hidden="1" x14ac:dyDescent="0.35">
      <c r="A953" s="136" t="s">
        <v>3954</v>
      </c>
      <c r="B953" s="2"/>
      <c r="C953" s="2" t="s">
        <v>6443</v>
      </c>
      <c r="D953" s="100" t="s">
        <v>5994</v>
      </c>
      <c r="E953" s="2" t="s">
        <v>6657</v>
      </c>
      <c r="F953" s="2" t="s">
        <v>6656</v>
      </c>
      <c r="G953" s="2"/>
      <c r="H953" s="5" t="s">
        <v>2304</v>
      </c>
    </row>
    <row r="954" spans="1:8" ht="29" hidden="1" x14ac:dyDescent="0.35">
      <c r="A954" s="135" t="s">
        <v>3996</v>
      </c>
      <c r="B954" s="2"/>
      <c r="C954" s="2" t="s">
        <v>6443</v>
      </c>
      <c r="D954" s="2" t="s">
        <v>5967</v>
      </c>
      <c r="E954" s="2" t="s">
        <v>6366</v>
      </c>
      <c r="F954" s="2"/>
      <c r="G954" s="2"/>
      <c r="H954" s="5" t="s">
        <v>2249</v>
      </c>
    </row>
    <row r="955" spans="1:8" hidden="1" x14ac:dyDescent="0.35">
      <c r="A955" s="135" t="s">
        <v>3920</v>
      </c>
      <c r="B955" s="2"/>
      <c r="C955" s="2" t="s">
        <v>5850</v>
      </c>
      <c r="D955" s="2" t="s">
        <v>5994</v>
      </c>
      <c r="E955" s="2" t="s">
        <v>6510</v>
      </c>
      <c r="F955" s="2" t="s">
        <v>6514</v>
      </c>
      <c r="G955" s="2"/>
      <c r="H955" s="5" t="s">
        <v>1836</v>
      </c>
    </row>
    <row r="956" spans="1:8" hidden="1" x14ac:dyDescent="0.35">
      <c r="A956" s="136" t="s">
        <v>3920</v>
      </c>
      <c r="B956" s="2"/>
      <c r="C956" s="2" t="s">
        <v>5850</v>
      </c>
      <c r="D956" s="100" t="s">
        <v>5994</v>
      </c>
      <c r="E956" s="2" t="s">
        <v>6510</v>
      </c>
      <c r="F956" s="2" t="s">
        <v>6515</v>
      </c>
      <c r="G956" s="2"/>
      <c r="H956" s="5" t="s">
        <v>1693</v>
      </c>
    </row>
    <row r="957" spans="1:8" hidden="1" x14ac:dyDescent="0.35">
      <c r="A957" s="135" t="s">
        <v>3920</v>
      </c>
      <c r="B957" s="2"/>
      <c r="C957" s="2" t="s">
        <v>5850</v>
      </c>
      <c r="D957" s="100" t="s">
        <v>5994</v>
      </c>
      <c r="E957" s="2" t="s">
        <v>6510</v>
      </c>
      <c r="F957" s="2" t="s">
        <v>6516</v>
      </c>
      <c r="G957" s="2"/>
      <c r="H957" s="5" t="s">
        <v>1837</v>
      </c>
    </row>
    <row r="958" spans="1:8" hidden="1" x14ac:dyDescent="0.35">
      <c r="A958" s="136" t="s">
        <v>3920</v>
      </c>
      <c r="B958" s="2"/>
      <c r="C958" s="2" t="s">
        <v>5850</v>
      </c>
      <c r="D958" s="100" t="s">
        <v>5994</v>
      </c>
      <c r="E958" s="2" t="s">
        <v>6510</v>
      </c>
      <c r="F958" s="2" t="s">
        <v>6517</v>
      </c>
      <c r="G958" s="2"/>
      <c r="H958" s="5" t="s">
        <v>1694</v>
      </c>
    </row>
    <row r="959" spans="1:8" hidden="1" x14ac:dyDescent="0.35">
      <c r="A959" s="135" t="s">
        <v>3920</v>
      </c>
      <c r="B959" s="2"/>
      <c r="C959" s="2" t="s">
        <v>5850</v>
      </c>
      <c r="D959" s="100" t="s">
        <v>5994</v>
      </c>
      <c r="E959" s="2" t="s">
        <v>6510</v>
      </c>
      <c r="F959" s="2" t="s">
        <v>6518</v>
      </c>
      <c r="G959" s="2"/>
      <c r="H959" s="5" t="s">
        <v>1695</v>
      </c>
    </row>
    <row r="960" spans="1:8" hidden="1" x14ac:dyDescent="0.35">
      <c r="A960" s="136" t="s">
        <v>3920</v>
      </c>
      <c r="B960" s="2"/>
      <c r="C960" s="2" t="s">
        <v>5850</v>
      </c>
      <c r="D960" s="100" t="s">
        <v>5994</v>
      </c>
      <c r="E960" s="2" t="s">
        <v>6510</v>
      </c>
      <c r="F960" s="2" t="s">
        <v>6519</v>
      </c>
      <c r="G960" s="2"/>
      <c r="H960" s="5" t="s">
        <v>1696</v>
      </c>
    </row>
    <row r="961" spans="1:8" hidden="1" x14ac:dyDescent="0.35">
      <c r="A961" s="135" t="s">
        <v>3920</v>
      </c>
      <c r="B961" s="2"/>
      <c r="C961" s="2" t="s">
        <v>5850</v>
      </c>
      <c r="D961" s="100" t="s">
        <v>5994</v>
      </c>
      <c r="E961" s="2" t="s">
        <v>6510</v>
      </c>
      <c r="F961" s="2" t="s">
        <v>6520</v>
      </c>
      <c r="G961" s="2"/>
      <c r="H961" s="5" t="s">
        <v>1838</v>
      </c>
    </row>
    <row r="962" spans="1:8" ht="29" hidden="1" x14ac:dyDescent="0.35">
      <c r="A962" s="136" t="s">
        <v>3920</v>
      </c>
      <c r="B962" s="2"/>
      <c r="C962" s="2" t="s">
        <v>5850</v>
      </c>
      <c r="D962" s="100" t="s">
        <v>5994</v>
      </c>
      <c r="E962" s="2" t="s">
        <v>6510</v>
      </c>
      <c r="F962" s="2" t="s">
        <v>6511</v>
      </c>
      <c r="G962" s="2"/>
      <c r="H962" s="5" t="s">
        <v>7466</v>
      </c>
    </row>
    <row r="963" spans="1:8" hidden="1" x14ac:dyDescent="0.35">
      <c r="A963" s="135" t="s">
        <v>3920</v>
      </c>
      <c r="B963" s="2"/>
      <c r="C963" s="2" t="s">
        <v>5850</v>
      </c>
      <c r="D963" s="100" t="s">
        <v>5994</v>
      </c>
      <c r="E963" s="2" t="s">
        <v>6510</v>
      </c>
      <c r="F963" s="2" t="s">
        <v>6512</v>
      </c>
      <c r="G963" s="2"/>
      <c r="H963" s="5" t="s">
        <v>1697</v>
      </c>
    </row>
    <row r="964" spans="1:8" hidden="1" x14ac:dyDescent="0.35">
      <c r="A964" s="136" t="s">
        <v>3920</v>
      </c>
      <c r="B964" s="2"/>
      <c r="C964" s="2" t="s">
        <v>5850</v>
      </c>
      <c r="D964" s="100" t="s">
        <v>5994</v>
      </c>
      <c r="E964" s="2" t="s">
        <v>6510</v>
      </c>
      <c r="F964" s="2" t="s">
        <v>6513</v>
      </c>
      <c r="G964" s="2"/>
      <c r="H964" s="5" t="s">
        <v>1692</v>
      </c>
    </row>
    <row r="965" spans="1:8" hidden="1" x14ac:dyDescent="0.35">
      <c r="A965" s="135" t="s">
        <v>3920</v>
      </c>
      <c r="B965" s="2"/>
      <c r="C965" s="2" t="s">
        <v>5850</v>
      </c>
      <c r="D965" s="100" t="s">
        <v>5994</v>
      </c>
      <c r="E965" s="2" t="s">
        <v>6558</v>
      </c>
      <c r="F965" s="2"/>
      <c r="G965" s="2"/>
      <c r="H965" s="5" t="s">
        <v>1839</v>
      </c>
    </row>
    <row r="966" spans="1:8" hidden="1" x14ac:dyDescent="0.35">
      <c r="A966" s="136" t="s">
        <v>3920</v>
      </c>
      <c r="B966" s="2"/>
      <c r="C966" s="2" t="s">
        <v>5850</v>
      </c>
      <c r="D966" s="100" t="s">
        <v>5994</v>
      </c>
      <c r="E966" s="2" t="s">
        <v>6505</v>
      </c>
      <c r="F966" s="2" t="s">
        <v>6508</v>
      </c>
      <c r="G966" s="2"/>
      <c r="H966" s="5" t="s">
        <v>1689</v>
      </c>
    </row>
    <row r="967" spans="1:8" hidden="1" x14ac:dyDescent="0.35">
      <c r="A967" s="135" t="s">
        <v>3920</v>
      </c>
      <c r="B967" s="2"/>
      <c r="C967" s="2" t="s">
        <v>5850</v>
      </c>
      <c r="D967" s="100" t="s">
        <v>5994</v>
      </c>
      <c r="E967" s="2" t="s">
        <v>6505</v>
      </c>
      <c r="F967" s="2" t="s">
        <v>6509</v>
      </c>
      <c r="G967" s="2"/>
      <c r="H967" s="5" t="s">
        <v>1690</v>
      </c>
    </row>
    <row r="968" spans="1:8" hidden="1" x14ac:dyDescent="0.35">
      <c r="A968" s="135" t="s">
        <v>3920</v>
      </c>
      <c r="B968" s="2"/>
      <c r="C968" s="2" t="s">
        <v>5850</v>
      </c>
      <c r="D968" s="100" t="s">
        <v>5994</v>
      </c>
      <c r="E968" s="2" t="s">
        <v>6505</v>
      </c>
      <c r="F968" s="2" t="s">
        <v>6507</v>
      </c>
      <c r="G968" s="2"/>
      <c r="H968" s="5" t="s">
        <v>1688</v>
      </c>
    </row>
    <row r="969" spans="1:8" hidden="1" x14ac:dyDescent="0.35">
      <c r="A969" s="136" t="s">
        <v>3920</v>
      </c>
      <c r="B969" s="2"/>
      <c r="C969" s="2" t="s">
        <v>5850</v>
      </c>
      <c r="D969" s="100" t="s">
        <v>5994</v>
      </c>
      <c r="E969" s="2" t="s">
        <v>6505</v>
      </c>
      <c r="F969" s="2" t="s">
        <v>6250</v>
      </c>
      <c r="G969" s="2"/>
      <c r="H969" s="5" t="s">
        <v>1687</v>
      </c>
    </row>
    <row r="970" spans="1:8" ht="29" hidden="1" x14ac:dyDescent="0.35">
      <c r="A970" s="135" t="s">
        <v>3920</v>
      </c>
      <c r="B970" s="2"/>
      <c r="C970" s="2" t="s">
        <v>5850</v>
      </c>
      <c r="D970" s="100" t="s">
        <v>5994</v>
      </c>
      <c r="E970" s="2" t="s">
        <v>6505</v>
      </c>
      <c r="F970" s="2" t="s">
        <v>6506</v>
      </c>
      <c r="G970" s="2"/>
      <c r="H970" s="5" t="s">
        <v>7465</v>
      </c>
    </row>
    <row r="971" spans="1:8" ht="29" hidden="1" x14ac:dyDescent="0.35">
      <c r="A971" s="135" t="s">
        <v>3920</v>
      </c>
      <c r="B971" s="2"/>
      <c r="C971" s="2" t="s">
        <v>5850</v>
      </c>
      <c r="D971" s="100" t="s">
        <v>5994</v>
      </c>
      <c r="E971" s="2" t="s">
        <v>6589</v>
      </c>
      <c r="F971" s="2"/>
      <c r="G971" s="2"/>
      <c r="H971" s="5" t="s">
        <v>1922</v>
      </c>
    </row>
    <row r="972" spans="1:8" hidden="1" x14ac:dyDescent="0.35">
      <c r="A972" s="136" t="s">
        <v>3332</v>
      </c>
      <c r="B972" s="2"/>
      <c r="C972" s="161" t="s">
        <v>6202</v>
      </c>
      <c r="D972" s="103" t="s">
        <v>5787</v>
      </c>
      <c r="E972" s="161" t="s">
        <v>5878</v>
      </c>
      <c r="F972" s="2"/>
      <c r="G972" s="2"/>
      <c r="H972" s="5" t="s">
        <v>1632</v>
      </c>
    </row>
    <row r="973" spans="1:8" hidden="1" x14ac:dyDescent="0.35">
      <c r="A973" s="135" t="s">
        <v>3308</v>
      </c>
      <c r="B973" s="2"/>
      <c r="C973" s="2" t="s">
        <v>6202</v>
      </c>
      <c r="D973" s="100" t="s">
        <v>5787</v>
      </c>
      <c r="E973" s="2" t="s">
        <v>5768</v>
      </c>
      <c r="F973" s="2"/>
      <c r="G973" s="2"/>
      <c r="H973" s="5" t="s">
        <v>3126</v>
      </c>
    </row>
    <row r="974" spans="1:8" ht="29" hidden="1" x14ac:dyDescent="0.35">
      <c r="A974" s="136" t="s">
        <v>3309</v>
      </c>
      <c r="B974" s="2"/>
      <c r="C974" s="2" t="s">
        <v>6202</v>
      </c>
      <c r="D974" s="100" t="s">
        <v>6306</v>
      </c>
      <c r="E974" s="2" t="s">
        <v>6725</v>
      </c>
      <c r="F974" s="2" t="s">
        <v>6730</v>
      </c>
      <c r="G974" s="2"/>
      <c r="H974" s="5" t="s">
        <v>269</v>
      </c>
    </row>
    <row r="975" spans="1:8" hidden="1" x14ac:dyDescent="0.35">
      <c r="A975" s="135" t="s">
        <v>3308</v>
      </c>
      <c r="B975" s="2"/>
      <c r="C975" s="2" t="s">
        <v>6202</v>
      </c>
      <c r="D975" s="100" t="s">
        <v>6006</v>
      </c>
      <c r="E975" s="2" t="s">
        <v>6435</v>
      </c>
      <c r="F975" s="2"/>
      <c r="G975" s="2"/>
      <c r="H975" s="5" t="s">
        <v>1386</v>
      </c>
    </row>
    <row r="976" spans="1:8" ht="29" hidden="1" x14ac:dyDescent="0.35">
      <c r="A976" s="135" t="s">
        <v>3920</v>
      </c>
      <c r="B976" s="2"/>
      <c r="C976" s="2" t="s">
        <v>5848</v>
      </c>
      <c r="D976" s="100" t="s">
        <v>5994</v>
      </c>
      <c r="E976" s="2" t="s">
        <v>6192</v>
      </c>
      <c r="F976" s="2" t="s">
        <v>6574</v>
      </c>
      <c r="G976" s="2"/>
      <c r="H976" s="5" t="s">
        <v>1880</v>
      </c>
    </row>
    <row r="977" spans="1:8" ht="29" hidden="1" x14ac:dyDescent="0.35">
      <c r="A977" s="135" t="s">
        <v>3920</v>
      </c>
      <c r="B977" s="2"/>
      <c r="C977" s="2" t="s">
        <v>5848</v>
      </c>
      <c r="D977" s="100" t="s">
        <v>5994</v>
      </c>
      <c r="E977" s="2" t="s">
        <v>6490</v>
      </c>
      <c r="F977" s="2" t="s">
        <v>6491</v>
      </c>
      <c r="G977" s="2"/>
      <c r="H977" s="5" t="s">
        <v>1867</v>
      </c>
    </row>
    <row r="978" spans="1:8" ht="43.5" hidden="1" x14ac:dyDescent="0.35">
      <c r="A978" s="136" t="s">
        <v>3920</v>
      </c>
      <c r="B978" s="2"/>
      <c r="C978" s="2" t="s">
        <v>5848</v>
      </c>
      <c r="D978" s="100" t="s">
        <v>5994</v>
      </c>
      <c r="E978" s="2" t="s">
        <v>6490</v>
      </c>
      <c r="F978" s="2"/>
      <c r="G978" s="2"/>
      <c r="H978" s="5" t="s">
        <v>1866</v>
      </c>
    </row>
    <row r="979" spans="1:8" hidden="1" x14ac:dyDescent="0.35">
      <c r="A979" s="135" t="s">
        <v>3895</v>
      </c>
      <c r="B979" s="2"/>
      <c r="C979" s="2" t="s">
        <v>6457</v>
      </c>
      <c r="D979" s="100" t="s">
        <v>6484</v>
      </c>
      <c r="E979" s="2" t="s">
        <v>6485</v>
      </c>
      <c r="F979" s="2"/>
      <c r="G979" s="2"/>
      <c r="H979" s="5" t="s">
        <v>2333</v>
      </c>
    </row>
    <row r="980" spans="1:8" hidden="1" x14ac:dyDescent="0.35">
      <c r="A980" s="136" t="s">
        <v>3895</v>
      </c>
      <c r="B980" s="2"/>
      <c r="C980" s="2" t="s">
        <v>6457</v>
      </c>
      <c r="D980" s="100" t="s">
        <v>6484</v>
      </c>
      <c r="E980" s="2" t="s">
        <v>6488</v>
      </c>
      <c r="F980" s="2"/>
      <c r="G980" s="2"/>
      <c r="H980" s="5" t="s">
        <v>3106</v>
      </c>
    </row>
    <row r="981" spans="1:8" ht="29" hidden="1" x14ac:dyDescent="0.35">
      <c r="A981" s="136" t="s">
        <v>3920</v>
      </c>
      <c r="B981" s="2"/>
      <c r="C981" s="2" t="s">
        <v>6457</v>
      </c>
      <c r="D981" s="100" t="s">
        <v>5920</v>
      </c>
      <c r="E981" s="2" t="s">
        <v>6048</v>
      </c>
      <c r="F981" s="2"/>
      <c r="G981" s="2"/>
      <c r="H981" s="5" t="s">
        <v>1785</v>
      </c>
    </row>
    <row r="982" spans="1:8" hidden="1" x14ac:dyDescent="0.35">
      <c r="A982" s="135" t="s">
        <v>3920</v>
      </c>
      <c r="B982" s="2"/>
      <c r="C982" s="2" t="s">
        <v>5845</v>
      </c>
      <c r="D982" s="100" t="s">
        <v>6021</v>
      </c>
      <c r="E982" s="2" t="s">
        <v>5846</v>
      </c>
      <c r="F982" s="2" t="s">
        <v>6417</v>
      </c>
      <c r="G982" s="2"/>
      <c r="H982" s="5" t="s">
        <v>2336</v>
      </c>
    </row>
    <row r="983" spans="1:8" hidden="1" x14ac:dyDescent="0.35">
      <c r="A983" s="136" t="s">
        <v>3920</v>
      </c>
      <c r="B983" s="2"/>
      <c r="C983" s="2" t="s">
        <v>5845</v>
      </c>
      <c r="D983" s="100" t="s">
        <v>6021</v>
      </c>
      <c r="E983" s="2" t="s">
        <v>5846</v>
      </c>
      <c r="F983" s="2" t="s">
        <v>6452</v>
      </c>
      <c r="G983" s="2"/>
      <c r="H983" s="5" t="s">
        <v>2337</v>
      </c>
    </row>
    <row r="984" spans="1:8" hidden="1" x14ac:dyDescent="0.35">
      <c r="A984" s="136" t="s">
        <v>3920</v>
      </c>
      <c r="B984" s="2"/>
      <c r="C984" s="2" t="s">
        <v>5845</v>
      </c>
      <c r="D984" s="100" t="s">
        <v>6021</v>
      </c>
      <c r="E984" s="2" t="s">
        <v>5846</v>
      </c>
      <c r="F984" s="2"/>
      <c r="G984" s="2"/>
      <c r="H984" s="5" t="s">
        <v>2335</v>
      </c>
    </row>
    <row r="985" spans="1:8" hidden="1" x14ac:dyDescent="0.35">
      <c r="A985" s="136" t="s">
        <v>3920</v>
      </c>
      <c r="B985" s="2"/>
      <c r="C985" s="2" t="s">
        <v>5845</v>
      </c>
      <c r="D985" s="100" t="s">
        <v>6021</v>
      </c>
      <c r="E985" s="2" t="s">
        <v>5931</v>
      </c>
      <c r="F985" s="2" t="s">
        <v>6586</v>
      </c>
      <c r="G985" s="2"/>
      <c r="H985" s="5" t="s">
        <v>1919</v>
      </c>
    </row>
    <row r="986" spans="1:8" hidden="1" x14ac:dyDescent="0.35">
      <c r="A986" s="135" t="s">
        <v>3920</v>
      </c>
      <c r="B986" s="2"/>
      <c r="C986" s="2" t="s">
        <v>5845</v>
      </c>
      <c r="D986" s="100" t="s">
        <v>6021</v>
      </c>
      <c r="E986" s="2" t="s">
        <v>5931</v>
      </c>
      <c r="F986" s="2"/>
      <c r="G986" s="2"/>
      <c r="H986" s="5" t="s">
        <v>1918</v>
      </c>
    </row>
    <row r="987" spans="1:8" ht="29" hidden="1" x14ac:dyDescent="0.35">
      <c r="A987" s="136" t="s">
        <v>3920</v>
      </c>
      <c r="B987" s="2"/>
      <c r="C987" s="2" t="s">
        <v>5845</v>
      </c>
      <c r="D987" s="2" t="s">
        <v>5994</v>
      </c>
      <c r="E987" s="2" t="s">
        <v>6416</v>
      </c>
      <c r="F987" s="2" t="s">
        <v>6417</v>
      </c>
      <c r="G987" s="2"/>
      <c r="H987" s="5" t="s">
        <v>184</v>
      </c>
    </row>
    <row r="988" spans="1:8" hidden="1" x14ac:dyDescent="0.35">
      <c r="A988" s="136" t="s">
        <v>3920</v>
      </c>
      <c r="B988" s="2"/>
      <c r="C988" s="2" t="s">
        <v>5845</v>
      </c>
      <c r="D988" s="2" t="s">
        <v>5994</v>
      </c>
      <c r="E988" s="2" t="s">
        <v>5846</v>
      </c>
      <c r="F988" s="2" t="s">
        <v>5867</v>
      </c>
      <c r="G988" s="2"/>
      <c r="H988" s="5" t="s">
        <v>708</v>
      </c>
    </row>
    <row r="989" spans="1:8" hidden="1" x14ac:dyDescent="0.35">
      <c r="A989" s="135" t="s">
        <v>3920</v>
      </c>
      <c r="B989" s="2"/>
      <c r="C989" s="2" t="s">
        <v>5845</v>
      </c>
      <c r="D989" s="2" t="s">
        <v>5994</v>
      </c>
      <c r="E989" s="2" t="s">
        <v>5846</v>
      </c>
      <c r="F989" s="2" t="s">
        <v>5868</v>
      </c>
      <c r="G989" s="2"/>
      <c r="H989" s="5" t="s">
        <v>709</v>
      </c>
    </row>
    <row r="990" spans="1:8" hidden="1" x14ac:dyDescent="0.35">
      <c r="A990" s="135" t="s">
        <v>3920</v>
      </c>
      <c r="B990" s="2"/>
      <c r="C990" s="2" t="s">
        <v>5845</v>
      </c>
      <c r="D990" s="2" t="s">
        <v>5994</v>
      </c>
      <c r="E990" s="2" t="s">
        <v>5846</v>
      </c>
      <c r="F990" s="2"/>
      <c r="G990" s="2"/>
      <c r="H990" s="5" t="s">
        <v>3081</v>
      </c>
    </row>
    <row r="991" spans="1:8" hidden="1" x14ac:dyDescent="0.35">
      <c r="A991" s="136" t="s">
        <v>3920</v>
      </c>
      <c r="B991" s="2"/>
      <c r="C991" s="2" t="s">
        <v>5845</v>
      </c>
      <c r="D991" s="2" t="s">
        <v>5994</v>
      </c>
      <c r="E991" s="2" t="s">
        <v>6552</v>
      </c>
      <c r="F991" s="2"/>
      <c r="G991" s="2"/>
      <c r="H991" s="5" t="s">
        <v>1820</v>
      </c>
    </row>
    <row r="992" spans="1:8" ht="29" hidden="1" x14ac:dyDescent="0.35">
      <c r="A992" s="135" t="s">
        <v>3920</v>
      </c>
      <c r="B992" s="2"/>
      <c r="C992" s="2" t="s">
        <v>6306</v>
      </c>
      <c r="D992" s="2" t="s">
        <v>5994</v>
      </c>
      <c r="E992" s="2" t="s">
        <v>6584</v>
      </c>
      <c r="F992" s="2"/>
      <c r="G992" s="2"/>
      <c r="H992" s="5" t="s">
        <v>1888</v>
      </c>
    </row>
    <row r="993" spans="1:8" ht="29" hidden="1" x14ac:dyDescent="0.35">
      <c r="A993" s="136" t="s">
        <v>3920</v>
      </c>
      <c r="B993" s="2"/>
      <c r="C993" s="2" t="s">
        <v>6306</v>
      </c>
      <c r="D993" s="2" t="s">
        <v>5994</v>
      </c>
      <c r="E993" s="2" t="s">
        <v>6583</v>
      </c>
      <c r="F993" s="2"/>
      <c r="G993" s="2"/>
      <c r="H993" s="5" t="s">
        <v>1887</v>
      </c>
    </row>
    <row r="994" spans="1:8" ht="29" hidden="1" x14ac:dyDescent="0.35">
      <c r="A994" s="136" t="s">
        <v>3308</v>
      </c>
      <c r="B994" s="2"/>
      <c r="C994" s="2" t="s">
        <v>5810</v>
      </c>
      <c r="D994" s="2" t="s">
        <v>6443</v>
      </c>
      <c r="E994" s="2" t="s">
        <v>5789</v>
      </c>
      <c r="F994" s="2"/>
      <c r="G994" s="2"/>
      <c r="H994" s="5" t="s">
        <v>2296</v>
      </c>
    </row>
    <row r="995" spans="1:8" ht="29" hidden="1" x14ac:dyDescent="0.35">
      <c r="A995" s="135" t="s">
        <v>3308</v>
      </c>
      <c r="B995" s="2"/>
      <c r="C995" s="2" t="s">
        <v>5810</v>
      </c>
      <c r="D995" s="2" t="s">
        <v>6443</v>
      </c>
      <c r="E995" s="2" t="s">
        <v>5790</v>
      </c>
      <c r="F995" s="2"/>
      <c r="G995" s="2"/>
      <c r="H995" s="5" t="s">
        <v>2297</v>
      </c>
    </row>
    <row r="996" spans="1:8" ht="29" hidden="1" x14ac:dyDescent="0.35">
      <c r="A996" s="136" t="s">
        <v>3308</v>
      </c>
      <c r="B996" s="2"/>
      <c r="C996" s="2" t="s">
        <v>5810</v>
      </c>
      <c r="D996" s="2" t="s">
        <v>6443</v>
      </c>
      <c r="E996" s="2" t="s">
        <v>5791</v>
      </c>
      <c r="F996" s="2"/>
      <c r="G996" s="2"/>
      <c r="H996" s="5" t="s">
        <v>2298</v>
      </c>
    </row>
    <row r="997" spans="1:8" ht="29" hidden="1" x14ac:dyDescent="0.35">
      <c r="A997" s="135" t="s">
        <v>3308</v>
      </c>
      <c r="B997" s="2"/>
      <c r="C997" s="2" t="s">
        <v>5810</v>
      </c>
      <c r="D997" s="2" t="s">
        <v>6443</v>
      </c>
      <c r="E997" s="2" t="s">
        <v>5792</v>
      </c>
      <c r="F997" s="2"/>
      <c r="G997" s="2"/>
      <c r="H997" s="5" t="s">
        <v>2299</v>
      </c>
    </row>
    <row r="998" spans="1:8" hidden="1" x14ac:dyDescent="0.35">
      <c r="A998" s="136" t="s">
        <v>3920</v>
      </c>
      <c r="B998" s="2"/>
      <c r="C998" s="2" t="s">
        <v>5853</v>
      </c>
      <c r="D998" s="2" t="s">
        <v>6413</v>
      </c>
      <c r="E998" s="2" t="s">
        <v>5994</v>
      </c>
      <c r="F998" s="2" t="s">
        <v>5789</v>
      </c>
      <c r="G998" s="2"/>
      <c r="H998" s="5" t="s">
        <v>1840</v>
      </c>
    </row>
    <row r="999" spans="1:8" hidden="1" x14ac:dyDescent="0.35">
      <c r="A999" s="135" t="s">
        <v>3920</v>
      </c>
      <c r="B999" s="2"/>
      <c r="C999" s="2" t="s">
        <v>5853</v>
      </c>
      <c r="D999" s="2" t="s">
        <v>6413</v>
      </c>
      <c r="E999" s="2" t="s">
        <v>5994</v>
      </c>
      <c r="F999" s="2" t="s">
        <v>5790</v>
      </c>
      <c r="G999" s="2"/>
      <c r="H999" s="5" t="s">
        <v>736</v>
      </c>
    </row>
    <row r="1000" spans="1:8" hidden="1" x14ac:dyDescent="0.35">
      <c r="A1000" s="136" t="s">
        <v>3920</v>
      </c>
      <c r="B1000" s="2"/>
      <c r="C1000" s="2" t="s">
        <v>5853</v>
      </c>
      <c r="D1000" s="100" t="s">
        <v>5927</v>
      </c>
      <c r="E1000" s="2" t="s">
        <v>5994</v>
      </c>
      <c r="F1000" s="2"/>
      <c r="G1000" s="2"/>
      <c r="H1000" s="5" t="s">
        <v>7459</v>
      </c>
    </row>
    <row r="1001" spans="1:8" hidden="1" x14ac:dyDescent="0.35">
      <c r="A1001" s="135" t="s">
        <v>3920</v>
      </c>
      <c r="B1001" s="2"/>
      <c r="C1001" s="2" t="s">
        <v>5853</v>
      </c>
      <c r="D1001" s="2" t="s">
        <v>5927</v>
      </c>
      <c r="E1001" s="2" t="s">
        <v>5994</v>
      </c>
      <c r="F1001" s="2"/>
      <c r="G1001" s="2"/>
      <c r="H1001" s="5" t="s">
        <v>2243</v>
      </c>
    </row>
    <row r="1002" spans="1:8" ht="29" hidden="1" x14ac:dyDescent="0.35">
      <c r="A1002" s="135" t="s">
        <v>3309</v>
      </c>
      <c r="B1002" s="2"/>
      <c r="C1002" s="2" t="s">
        <v>5844</v>
      </c>
      <c r="D1002" s="2" t="s">
        <v>6224</v>
      </c>
      <c r="E1002" s="2" t="s">
        <v>6300</v>
      </c>
      <c r="F1002" s="2" t="s">
        <v>6755</v>
      </c>
      <c r="G1002" s="2" t="s">
        <v>6775</v>
      </c>
      <c r="H1002" s="5" t="s">
        <v>7571</v>
      </c>
    </row>
    <row r="1003" spans="1:8" ht="29" hidden="1" x14ac:dyDescent="0.35">
      <c r="A1003" s="136" t="s">
        <v>3309</v>
      </c>
      <c r="B1003" s="2"/>
      <c r="C1003" s="2" t="s">
        <v>5844</v>
      </c>
      <c r="D1003" s="2" t="s">
        <v>6224</v>
      </c>
      <c r="E1003" s="2" t="s">
        <v>6300</v>
      </c>
      <c r="F1003" s="2" t="s">
        <v>6755</v>
      </c>
      <c r="G1003" s="2" t="s">
        <v>6776</v>
      </c>
      <c r="H1003" s="5" t="s">
        <v>7572</v>
      </c>
    </row>
    <row r="1004" spans="1:8" ht="43.5" hidden="1" x14ac:dyDescent="0.35">
      <c r="A1004" s="135" t="s">
        <v>3309</v>
      </c>
      <c r="B1004" s="2"/>
      <c r="C1004" s="2" t="s">
        <v>5844</v>
      </c>
      <c r="D1004" s="2" t="s">
        <v>6224</v>
      </c>
      <c r="E1004" s="2" t="s">
        <v>6300</v>
      </c>
      <c r="F1004" s="2" t="s">
        <v>6755</v>
      </c>
      <c r="G1004" s="2" t="s">
        <v>6777</v>
      </c>
      <c r="H1004" s="5" t="s">
        <v>7573</v>
      </c>
    </row>
    <row r="1005" spans="1:8" ht="43.5" hidden="1" x14ac:dyDescent="0.35">
      <c r="A1005" s="136" t="s">
        <v>3309</v>
      </c>
      <c r="B1005" s="2"/>
      <c r="C1005" s="2" t="s">
        <v>5844</v>
      </c>
      <c r="D1005" s="2" t="s">
        <v>6224</v>
      </c>
      <c r="E1005" s="2" t="s">
        <v>6300</v>
      </c>
      <c r="F1005" s="2" t="s">
        <v>6755</v>
      </c>
      <c r="G1005" s="2" t="s">
        <v>6778</v>
      </c>
      <c r="H1005" s="5" t="s">
        <v>7574</v>
      </c>
    </row>
    <row r="1006" spans="1:8" ht="43.5" hidden="1" x14ac:dyDescent="0.35">
      <c r="A1006" s="135" t="s">
        <v>3309</v>
      </c>
      <c r="B1006" s="2"/>
      <c r="C1006" s="2" t="s">
        <v>5844</v>
      </c>
      <c r="D1006" s="2" t="s">
        <v>6224</v>
      </c>
      <c r="E1006" s="2" t="s">
        <v>6300</v>
      </c>
      <c r="F1006" s="2" t="s">
        <v>6755</v>
      </c>
      <c r="G1006" s="2" t="s">
        <v>6779</v>
      </c>
      <c r="H1006" s="5" t="s">
        <v>7575</v>
      </c>
    </row>
    <row r="1007" spans="1:8" ht="43.5" hidden="1" x14ac:dyDescent="0.35">
      <c r="A1007" s="136" t="s">
        <v>3309</v>
      </c>
      <c r="B1007" s="2"/>
      <c r="C1007" s="2" t="s">
        <v>5844</v>
      </c>
      <c r="D1007" s="100" t="s">
        <v>6224</v>
      </c>
      <c r="E1007" s="2" t="s">
        <v>6300</v>
      </c>
      <c r="F1007" s="2" t="s">
        <v>6755</v>
      </c>
      <c r="G1007" s="2" t="s">
        <v>6780</v>
      </c>
      <c r="H1007" s="5" t="s">
        <v>7576</v>
      </c>
    </row>
    <row r="1008" spans="1:8" ht="43.5" hidden="1" x14ac:dyDescent="0.35">
      <c r="A1008" s="135" t="s">
        <v>3309</v>
      </c>
      <c r="B1008" s="2"/>
      <c r="C1008" s="2" t="s">
        <v>5844</v>
      </c>
      <c r="D1008" s="2" t="s">
        <v>6224</v>
      </c>
      <c r="E1008" s="2" t="s">
        <v>6300</v>
      </c>
      <c r="F1008" s="2" t="s">
        <v>6755</v>
      </c>
      <c r="G1008" s="2" t="s">
        <v>6781</v>
      </c>
      <c r="H1008" s="5" t="s">
        <v>7577</v>
      </c>
    </row>
    <row r="1009" spans="1:8" ht="43.5" hidden="1" x14ac:dyDescent="0.35">
      <c r="A1009" s="136" t="s">
        <v>3309</v>
      </c>
      <c r="B1009" s="2"/>
      <c r="C1009" s="2" t="s">
        <v>5844</v>
      </c>
      <c r="D1009" s="2" t="s">
        <v>6224</v>
      </c>
      <c r="E1009" s="2" t="s">
        <v>6300</v>
      </c>
      <c r="F1009" s="2" t="s">
        <v>6755</v>
      </c>
      <c r="G1009" s="2" t="s">
        <v>6782</v>
      </c>
      <c r="H1009" s="5" t="s">
        <v>7578</v>
      </c>
    </row>
    <row r="1010" spans="1:8" ht="43.5" hidden="1" x14ac:dyDescent="0.35">
      <c r="A1010" s="135" t="s">
        <v>3309</v>
      </c>
      <c r="B1010" s="2"/>
      <c r="C1010" s="2" t="s">
        <v>5844</v>
      </c>
      <c r="D1010" s="2" t="s">
        <v>6224</v>
      </c>
      <c r="E1010" s="2" t="s">
        <v>6300</v>
      </c>
      <c r="F1010" s="2" t="s">
        <v>6755</v>
      </c>
      <c r="G1010" s="2" t="s">
        <v>6783</v>
      </c>
      <c r="H1010" s="5" t="s">
        <v>7579</v>
      </c>
    </row>
    <row r="1011" spans="1:8" ht="43.5" hidden="1" x14ac:dyDescent="0.35">
      <c r="A1011" s="136" t="s">
        <v>3309</v>
      </c>
      <c r="B1011" s="2"/>
      <c r="C1011" s="2" t="s">
        <v>5844</v>
      </c>
      <c r="D1011" s="2" t="s">
        <v>6224</v>
      </c>
      <c r="E1011" s="2" t="s">
        <v>6300</v>
      </c>
      <c r="F1011" s="2" t="s">
        <v>6754</v>
      </c>
      <c r="G1011" s="2" t="s">
        <v>6766</v>
      </c>
      <c r="H1011" s="5" t="s">
        <v>7562</v>
      </c>
    </row>
    <row r="1012" spans="1:8" ht="43.5" hidden="1" x14ac:dyDescent="0.35">
      <c r="A1012" s="135" t="s">
        <v>3309</v>
      </c>
      <c r="B1012" s="2"/>
      <c r="C1012" s="2" t="s">
        <v>5844</v>
      </c>
      <c r="D1012" s="2" t="s">
        <v>6224</v>
      </c>
      <c r="E1012" s="2" t="s">
        <v>6300</v>
      </c>
      <c r="F1012" s="2" t="s">
        <v>6754</v>
      </c>
      <c r="G1012" s="2" t="s">
        <v>6767</v>
      </c>
      <c r="H1012" s="5" t="s">
        <v>7563</v>
      </c>
    </row>
    <row r="1013" spans="1:8" ht="43.5" hidden="1" x14ac:dyDescent="0.35">
      <c r="A1013" s="136" t="s">
        <v>3309</v>
      </c>
      <c r="B1013" s="2"/>
      <c r="C1013" s="2" t="s">
        <v>5844</v>
      </c>
      <c r="D1013" s="100" t="s">
        <v>6224</v>
      </c>
      <c r="E1013" s="2" t="s">
        <v>6300</v>
      </c>
      <c r="F1013" s="2" t="s">
        <v>6754</v>
      </c>
      <c r="G1013" s="2" t="s">
        <v>6768</v>
      </c>
      <c r="H1013" s="5" t="s">
        <v>7564</v>
      </c>
    </row>
    <row r="1014" spans="1:8" ht="43.5" hidden="1" x14ac:dyDescent="0.35">
      <c r="A1014" s="135" t="s">
        <v>3309</v>
      </c>
      <c r="B1014" s="2"/>
      <c r="C1014" s="2" t="s">
        <v>5844</v>
      </c>
      <c r="D1014" s="2" t="s">
        <v>6224</v>
      </c>
      <c r="E1014" s="2" t="s">
        <v>6300</v>
      </c>
      <c r="F1014" s="2" t="s">
        <v>6754</v>
      </c>
      <c r="G1014" s="2" t="s">
        <v>6769</v>
      </c>
      <c r="H1014" s="5" t="s">
        <v>7565</v>
      </c>
    </row>
    <row r="1015" spans="1:8" ht="43.5" hidden="1" x14ac:dyDescent="0.35">
      <c r="A1015" s="136" t="s">
        <v>3309</v>
      </c>
      <c r="B1015" s="2"/>
      <c r="C1015" s="2" t="s">
        <v>5844</v>
      </c>
      <c r="D1015" s="100" t="s">
        <v>6224</v>
      </c>
      <c r="E1015" s="2" t="s">
        <v>6300</v>
      </c>
      <c r="F1015" s="2" t="s">
        <v>6754</v>
      </c>
      <c r="G1015" s="2" t="s">
        <v>6770</v>
      </c>
      <c r="H1015" s="5" t="s">
        <v>7566</v>
      </c>
    </row>
    <row r="1016" spans="1:8" ht="43.5" hidden="1" x14ac:dyDescent="0.35">
      <c r="A1016" s="135" t="s">
        <v>3309</v>
      </c>
      <c r="B1016" s="2"/>
      <c r="C1016" s="2" t="s">
        <v>5844</v>
      </c>
      <c r="D1016" s="100" t="s">
        <v>6224</v>
      </c>
      <c r="E1016" s="2" t="s">
        <v>6300</v>
      </c>
      <c r="F1016" s="2" t="s">
        <v>6754</v>
      </c>
      <c r="G1016" s="2" t="s">
        <v>6771</v>
      </c>
      <c r="H1016" s="5" t="s">
        <v>7567</v>
      </c>
    </row>
    <row r="1017" spans="1:8" ht="43.5" hidden="1" x14ac:dyDescent="0.35">
      <c r="A1017" s="136" t="s">
        <v>3309</v>
      </c>
      <c r="B1017" s="2"/>
      <c r="C1017" s="2" t="s">
        <v>5844</v>
      </c>
      <c r="D1017" s="100" t="s">
        <v>6224</v>
      </c>
      <c r="E1017" s="2" t="s">
        <v>6300</v>
      </c>
      <c r="F1017" s="2" t="s">
        <v>6754</v>
      </c>
      <c r="G1017" s="2" t="s">
        <v>6772</v>
      </c>
      <c r="H1017" s="5" t="s">
        <v>7568</v>
      </c>
    </row>
    <row r="1018" spans="1:8" ht="43.5" hidden="1" x14ac:dyDescent="0.35">
      <c r="A1018" s="135" t="s">
        <v>3309</v>
      </c>
      <c r="B1018" s="2"/>
      <c r="C1018" s="2" t="s">
        <v>5844</v>
      </c>
      <c r="D1018" s="100" t="s">
        <v>6224</v>
      </c>
      <c r="E1018" s="2" t="s">
        <v>6300</v>
      </c>
      <c r="F1018" s="2" t="s">
        <v>6754</v>
      </c>
      <c r="G1018" s="2" t="s">
        <v>6773</v>
      </c>
      <c r="H1018" s="5" t="s">
        <v>7569</v>
      </c>
    </row>
    <row r="1019" spans="1:8" ht="43.5" hidden="1" x14ac:dyDescent="0.35">
      <c r="A1019" s="136" t="s">
        <v>3309</v>
      </c>
      <c r="B1019" s="2"/>
      <c r="C1019" s="2" t="s">
        <v>5844</v>
      </c>
      <c r="D1019" s="2" t="s">
        <v>6224</v>
      </c>
      <c r="E1019" s="2" t="s">
        <v>6300</v>
      </c>
      <c r="F1019" s="2" t="s">
        <v>6754</v>
      </c>
      <c r="G1019" s="2" t="s">
        <v>6774</v>
      </c>
      <c r="H1019" s="5" t="s">
        <v>7570</v>
      </c>
    </row>
    <row r="1020" spans="1:8" hidden="1" x14ac:dyDescent="0.35">
      <c r="A1020" s="136" t="s">
        <v>2565</v>
      </c>
      <c r="B1020" s="2"/>
      <c r="C1020" s="2" t="s">
        <v>5844</v>
      </c>
      <c r="D1020" s="100" t="s">
        <v>5806</v>
      </c>
      <c r="E1020" s="2" t="s">
        <v>5795</v>
      </c>
      <c r="F1020" s="2" t="s">
        <v>6818</v>
      </c>
      <c r="G1020" s="2"/>
      <c r="H1020" s="5" t="s">
        <v>667</v>
      </c>
    </row>
    <row r="1021" spans="1:8" ht="43.5" hidden="1" x14ac:dyDescent="0.35">
      <c r="A1021" s="136" t="s">
        <v>4047</v>
      </c>
      <c r="B1021" s="2"/>
      <c r="C1021" s="2" t="s">
        <v>5844</v>
      </c>
      <c r="D1021" s="100" t="s">
        <v>6029</v>
      </c>
      <c r="E1021" s="2" t="s">
        <v>6842</v>
      </c>
      <c r="F1021" s="2"/>
      <c r="G1021" s="2"/>
      <c r="H1021" s="5" t="s">
        <v>2864</v>
      </c>
    </row>
    <row r="1022" spans="1:8" ht="58" hidden="1" x14ac:dyDescent="0.35">
      <c r="A1022" s="135" t="s">
        <v>4047</v>
      </c>
      <c r="B1022" s="2"/>
      <c r="C1022" s="2" t="s">
        <v>5844</v>
      </c>
      <c r="D1022" s="100" t="s">
        <v>6029</v>
      </c>
      <c r="E1022" s="2" t="s">
        <v>6072</v>
      </c>
      <c r="F1022" s="2" t="s">
        <v>6841</v>
      </c>
      <c r="G1022" s="2"/>
      <c r="H1022" s="5" t="s">
        <v>45</v>
      </c>
    </row>
    <row r="1023" spans="1:8" ht="29" hidden="1" x14ac:dyDescent="0.35">
      <c r="A1023" s="135" t="s">
        <v>4044</v>
      </c>
      <c r="B1023" s="2"/>
      <c r="C1023" s="2" t="s">
        <v>5844</v>
      </c>
      <c r="D1023" s="100" t="s">
        <v>5954</v>
      </c>
      <c r="E1023" s="2" t="s">
        <v>6820</v>
      </c>
      <c r="F1023" s="2" t="s">
        <v>6833</v>
      </c>
      <c r="G1023" s="2"/>
      <c r="H1023" s="5" t="s">
        <v>7599</v>
      </c>
    </row>
    <row r="1024" spans="1:8" ht="29" hidden="1" x14ac:dyDescent="0.35">
      <c r="A1024" s="136" t="s">
        <v>4044</v>
      </c>
      <c r="B1024" s="2"/>
      <c r="C1024" s="2" t="s">
        <v>5844</v>
      </c>
      <c r="D1024" s="100" t="s">
        <v>5954</v>
      </c>
      <c r="E1024" s="2" t="s">
        <v>6820</v>
      </c>
      <c r="F1024" s="2" t="s">
        <v>6830</v>
      </c>
      <c r="G1024" s="2"/>
      <c r="H1024" s="5" t="s">
        <v>7596</v>
      </c>
    </row>
    <row r="1025" spans="1:8" ht="29" hidden="1" x14ac:dyDescent="0.35">
      <c r="A1025" s="135" t="s">
        <v>4044</v>
      </c>
      <c r="B1025" s="2"/>
      <c r="C1025" s="2" t="s">
        <v>5844</v>
      </c>
      <c r="D1025" s="100" t="s">
        <v>5954</v>
      </c>
      <c r="E1025" s="2" t="s">
        <v>6820</v>
      </c>
      <c r="F1025" s="2" t="s">
        <v>6830</v>
      </c>
      <c r="G1025" s="2"/>
      <c r="H1025" s="5" t="s">
        <v>1241</v>
      </c>
    </row>
    <row r="1026" spans="1:8" ht="29" hidden="1" x14ac:dyDescent="0.35">
      <c r="A1026" s="136" t="s">
        <v>4044</v>
      </c>
      <c r="B1026" s="2"/>
      <c r="C1026" s="2" t="s">
        <v>5844</v>
      </c>
      <c r="D1026" s="100" t="s">
        <v>6834</v>
      </c>
      <c r="E1026" s="2" t="s">
        <v>6820</v>
      </c>
      <c r="F1026" s="2" t="s">
        <v>6835</v>
      </c>
      <c r="G1026" s="2"/>
      <c r="H1026" s="5" t="s">
        <v>7600</v>
      </c>
    </row>
    <row r="1027" spans="1:8" ht="29" hidden="1" x14ac:dyDescent="0.35">
      <c r="A1027" s="135" t="s">
        <v>4047</v>
      </c>
      <c r="B1027" s="2"/>
      <c r="C1027" s="2" t="s">
        <v>5844</v>
      </c>
      <c r="D1027" s="100" t="s">
        <v>5850</v>
      </c>
      <c r="E1027" s="2" t="s">
        <v>6030</v>
      </c>
      <c r="F1027" s="2" t="s">
        <v>6029</v>
      </c>
      <c r="G1027" s="2"/>
      <c r="H1027" s="5" t="s">
        <v>2895</v>
      </c>
    </row>
    <row r="1028" spans="1:8" hidden="1" x14ac:dyDescent="0.35">
      <c r="A1028" s="135" t="s">
        <v>2565</v>
      </c>
      <c r="B1028" s="2"/>
      <c r="C1028" s="2" t="s">
        <v>5844</v>
      </c>
      <c r="D1028" s="100" t="s">
        <v>5850</v>
      </c>
      <c r="E1028" s="2" t="s">
        <v>5866</v>
      </c>
      <c r="F1028" s="2" t="s">
        <v>6819</v>
      </c>
      <c r="G1028" s="2"/>
      <c r="H1028" s="5" t="s">
        <v>669</v>
      </c>
    </row>
    <row r="1029" spans="1:8" hidden="1" x14ac:dyDescent="0.35">
      <c r="A1029" s="136" t="s">
        <v>4044</v>
      </c>
      <c r="B1029" s="2"/>
      <c r="C1029" s="2" t="s">
        <v>5844</v>
      </c>
      <c r="D1029" s="100" t="s">
        <v>5848</v>
      </c>
      <c r="E1029" s="2" t="s">
        <v>6820</v>
      </c>
      <c r="F1029" s="2" t="s">
        <v>6824</v>
      </c>
      <c r="G1029" s="2"/>
      <c r="H1029" s="5" t="s">
        <v>255</v>
      </c>
    </row>
    <row r="1030" spans="1:8" ht="29" hidden="1" x14ac:dyDescent="0.35">
      <c r="A1030" s="135" t="s">
        <v>4044</v>
      </c>
      <c r="B1030" s="2"/>
      <c r="C1030" s="2" t="s">
        <v>5844</v>
      </c>
      <c r="D1030" s="100" t="s">
        <v>5848</v>
      </c>
      <c r="E1030" s="2" t="s">
        <v>6820</v>
      </c>
      <c r="F1030" s="2" t="s">
        <v>6826</v>
      </c>
      <c r="G1030" s="2"/>
      <c r="H1030" s="5" t="s">
        <v>7595</v>
      </c>
    </row>
    <row r="1031" spans="1:8" hidden="1" x14ac:dyDescent="0.35">
      <c r="A1031" s="135" t="s">
        <v>4044</v>
      </c>
      <c r="B1031" s="2"/>
      <c r="C1031" s="2" t="s">
        <v>5844</v>
      </c>
      <c r="D1031" s="100" t="s">
        <v>5848</v>
      </c>
      <c r="E1031" s="2" t="s">
        <v>6820</v>
      </c>
      <c r="F1031" s="2" t="s">
        <v>6827</v>
      </c>
      <c r="G1031" s="2"/>
      <c r="H1031" s="5" t="s">
        <v>256</v>
      </c>
    </row>
    <row r="1032" spans="1:8" ht="29" hidden="1" x14ac:dyDescent="0.35">
      <c r="A1032" s="136" t="s">
        <v>2565</v>
      </c>
      <c r="B1032" s="2"/>
      <c r="C1032" s="2" t="s">
        <v>5844</v>
      </c>
      <c r="D1032" s="100" t="s">
        <v>6457</v>
      </c>
      <c r="E1032" s="2" t="s">
        <v>6812</v>
      </c>
      <c r="F1032" s="2" t="s">
        <v>6455</v>
      </c>
      <c r="G1032" s="2"/>
      <c r="H1032" s="5" t="s">
        <v>7593</v>
      </c>
    </row>
    <row r="1033" spans="1:8" hidden="1" x14ac:dyDescent="0.35">
      <c r="A1033" s="136" t="s">
        <v>2565</v>
      </c>
      <c r="B1033" s="2"/>
      <c r="C1033" s="2" t="s">
        <v>5844</v>
      </c>
      <c r="D1033" s="100" t="s">
        <v>6457</v>
      </c>
      <c r="E1033" s="2" t="s">
        <v>6812</v>
      </c>
      <c r="F1033" s="2" t="s">
        <v>6814</v>
      </c>
      <c r="G1033" s="2"/>
      <c r="H1033" s="5" t="s">
        <v>663</v>
      </c>
    </row>
    <row r="1034" spans="1:8" hidden="1" x14ac:dyDescent="0.35">
      <c r="A1034" s="135" t="s">
        <v>2565</v>
      </c>
      <c r="B1034" s="2"/>
      <c r="C1034" s="2" t="s">
        <v>5844</v>
      </c>
      <c r="D1034" s="100" t="s">
        <v>6457</v>
      </c>
      <c r="E1034" s="2" t="s">
        <v>6812</v>
      </c>
      <c r="F1034" s="2" t="s">
        <v>6817</v>
      </c>
      <c r="G1034" s="2"/>
      <c r="H1034" s="5" t="s">
        <v>666</v>
      </c>
    </row>
    <row r="1035" spans="1:8" hidden="1" x14ac:dyDescent="0.35">
      <c r="A1035" s="136" t="s">
        <v>3309</v>
      </c>
      <c r="B1035" s="2"/>
      <c r="C1035" s="2" t="s">
        <v>5844</v>
      </c>
      <c r="D1035" s="100" t="s">
        <v>6306</v>
      </c>
      <c r="E1035" s="2" t="s">
        <v>6300</v>
      </c>
      <c r="F1035" s="2" t="s">
        <v>5968</v>
      </c>
      <c r="G1035" s="2"/>
      <c r="H1035" s="5" t="s">
        <v>3020</v>
      </c>
    </row>
    <row r="1036" spans="1:8" hidden="1" x14ac:dyDescent="0.35">
      <c r="A1036" s="136" t="s">
        <v>4044</v>
      </c>
      <c r="B1036" s="2"/>
      <c r="C1036" s="2" t="s">
        <v>5844</v>
      </c>
      <c r="D1036" s="100" t="s">
        <v>6676</v>
      </c>
      <c r="E1036" s="2" t="s">
        <v>6820</v>
      </c>
      <c r="F1036" s="2" t="s">
        <v>6826</v>
      </c>
      <c r="G1036" s="2"/>
      <c r="H1036" s="5" t="s">
        <v>257</v>
      </c>
    </row>
    <row r="1037" spans="1:8" hidden="1" x14ac:dyDescent="0.35">
      <c r="A1037" s="135" t="s">
        <v>4044</v>
      </c>
      <c r="B1037" s="2"/>
      <c r="C1037" s="2" t="s">
        <v>5844</v>
      </c>
      <c r="D1037" s="100" t="s">
        <v>6676</v>
      </c>
      <c r="E1037" s="2" t="s">
        <v>6820</v>
      </c>
      <c r="F1037" s="2" t="s">
        <v>6828</v>
      </c>
      <c r="G1037" s="2"/>
      <c r="H1037" s="5" t="s">
        <v>258</v>
      </c>
    </row>
    <row r="1038" spans="1:8" hidden="1" x14ac:dyDescent="0.35">
      <c r="A1038" s="136" t="s">
        <v>4044</v>
      </c>
      <c r="B1038" s="2"/>
      <c r="C1038" s="2" t="s">
        <v>5844</v>
      </c>
      <c r="D1038" s="100" t="s">
        <v>6676</v>
      </c>
      <c r="E1038" s="2" t="s">
        <v>6820</v>
      </c>
      <c r="F1038" s="2" t="s">
        <v>6827</v>
      </c>
      <c r="G1038" s="2"/>
      <c r="H1038" s="5" t="s">
        <v>259</v>
      </c>
    </row>
    <row r="1039" spans="1:8" hidden="1" x14ac:dyDescent="0.35">
      <c r="A1039" s="136" t="s">
        <v>4047</v>
      </c>
      <c r="B1039" s="2"/>
      <c r="C1039" s="2" t="s">
        <v>5844</v>
      </c>
      <c r="D1039" s="100" t="s">
        <v>5853</v>
      </c>
      <c r="E1039" s="2" t="s">
        <v>5927</v>
      </c>
      <c r="F1039" s="2" t="s">
        <v>6029</v>
      </c>
      <c r="G1039" s="2"/>
      <c r="H1039" s="5" t="s">
        <v>2867</v>
      </c>
    </row>
    <row r="1040" spans="1:8" ht="29" hidden="1" x14ac:dyDescent="0.35">
      <c r="A1040" s="136" t="s">
        <v>4044</v>
      </c>
      <c r="B1040" s="2"/>
      <c r="C1040" s="2" t="s">
        <v>5844</v>
      </c>
      <c r="D1040" s="100" t="s">
        <v>5853</v>
      </c>
      <c r="E1040" s="2" t="s">
        <v>6035</v>
      </c>
      <c r="F1040" s="2" t="s">
        <v>6820</v>
      </c>
      <c r="G1040" s="2" t="s">
        <v>5781</v>
      </c>
      <c r="H1040" s="5" t="s">
        <v>870</v>
      </c>
    </row>
    <row r="1041" spans="1:8" ht="29" hidden="1" x14ac:dyDescent="0.35">
      <c r="A1041" s="135" t="s">
        <v>4044</v>
      </c>
      <c r="B1041" s="2"/>
      <c r="C1041" s="2" t="s">
        <v>5844</v>
      </c>
      <c r="D1041" s="100" t="s">
        <v>6151</v>
      </c>
      <c r="E1041" s="2" t="s">
        <v>6820</v>
      </c>
      <c r="F1041" s="2" t="s">
        <v>6824</v>
      </c>
      <c r="G1041" s="2"/>
      <c r="H1041" s="5" t="s">
        <v>7594</v>
      </c>
    </row>
    <row r="1042" spans="1:8" ht="29" hidden="1" x14ac:dyDescent="0.35">
      <c r="A1042" s="136" t="s">
        <v>4044</v>
      </c>
      <c r="B1042" s="2"/>
      <c r="C1042" s="2" t="s">
        <v>5844</v>
      </c>
      <c r="D1042" s="100" t="s">
        <v>6151</v>
      </c>
      <c r="E1042" s="2" t="s">
        <v>6820</v>
      </c>
      <c r="F1042" s="2" t="s">
        <v>6832</v>
      </c>
      <c r="G1042" s="2"/>
      <c r="H1042" s="5" t="s">
        <v>7598</v>
      </c>
    </row>
    <row r="1043" spans="1:8" ht="29" hidden="1" x14ac:dyDescent="0.35">
      <c r="A1043" s="135" t="s">
        <v>4044</v>
      </c>
      <c r="B1043" s="2"/>
      <c r="C1043" s="2" t="s">
        <v>5844</v>
      </c>
      <c r="D1043" s="100" t="s">
        <v>6151</v>
      </c>
      <c r="E1043" s="2" t="s">
        <v>6820</v>
      </c>
      <c r="F1043" s="2" t="s">
        <v>6831</v>
      </c>
      <c r="G1043" s="2"/>
      <c r="H1043" s="5" t="s">
        <v>7597</v>
      </c>
    </row>
    <row r="1044" spans="1:8" hidden="1" x14ac:dyDescent="0.35">
      <c r="A1044" s="136" t="s">
        <v>4044</v>
      </c>
      <c r="B1044" s="2"/>
      <c r="C1044" s="2" t="s">
        <v>5844</v>
      </c>
      <c r="D1044" s="100" t="s">
        <v>6820</v>
      </c>
      <c r="E1044" s="2" t="s">
        <v>6838</v>
      </c>
      <c r="F1044" s="2"/>
      <c r="G1044" s="2"/>
      <c r="H1044" s="5" t="s">
        <v>3175</v>
      </c>
    </row>
    <row r="1045" spans="1:8" hidden="1" x14ac:dyDescent="0.35">
      <c r="A1045" s="135" t="s">
        <v>4044</v>
      </c>
      <c r="B1045" s="2"/>
      <c r="C1045" s="2" t="s">
        <v>5844</v>
      </c>
      <c r="D1045" s="100" t="s">
        <v>6820</v>
      </c>
      <c r="E1045" s="2" t="s">
        <v>6676</v>
      </c>
      <c r="F1045" s="2"/>
      <c r="G1045" s="2"/>
      <c r="H1045" s="5" t="s">
        <v>49</v>
      </c>
    </row>
    <row r="1046" spans="1:8" ht="29" hidden="1" x14ac:dyDescent="0.35">
      <c r="A1046" s="136" t="s">
        <v>4044</v>
      </c>
      <c r="B1046" s="2"/>
      <c r="C1046" s="2" t="s">
        <v>5844</v>
      </c>
      <c r="D1046" s="100" t="s">
        <v>6820</v>
      </c>
      <c r="E1046" s="2" t="s">
        <v>6821</v>
      </c>
      <c r="F1046" s="2" t="s">
        <v>6836</v>
      </c>
      <c r="G1046" s="2"/>
      <c r="H1046" s="5" t="s">
        <v>3173</v>
      </c>
    </row>
    <row r="1047" spans="1:8" ht="29" hidden="1" x14ac:dyDescent="0.35">
      <c r="A1047" s="135" t="s">
        <v>4044</v>
      </c>
      <c r="B1047" s="2"/>
      <c r="C1047" s="2" t="s">
        <v>5844</v>
      </c>
      <c r="D1047" s="100" t="s">
        <v>6820</v>
      </c>
      <c r="E1047" s="2" t="s">
        <v>6821</v>
      </c>
      <c r="F1047" s="2" t="s">
        <v>6837</v>
      </c>
      <c r="G1047" s="2" t="s">
        <v>6838</v>
      </c>
      <c r="H1047" s="5" t="s">
        <v>3174</v>
      </c>
    </row>
    <row r="1048" spans="1:8" ht="43.5" hidden="1" x14ac:dyDescent="0.35">
      <c r="A1048" s="136" t="s">
        <v>4044</v>
      </c>
      <c r="B1048" s="2"/>
      <c r="C1048" s="2" t="s">
        <v>5844</v>
      </c>
      <c r="D1048" s="100" t="s">
        <v>6820</v>
      </c>
      <c r="E1048" s="2" t="s">
        <v>6821</v>
      </c>
      <c r="F1048" s="2"/>
      <c r="G1048" s="2"/>
      <c r="H1048" s="5" t="s">
        <v>46</v>
      </c>
    </row>
    <row r="1049" spans="1:8" hidden="1" x14ac:dyDescent="0.35">
      <c r="A1049" s="135" t="s">
        <v>4044</v>
      </c>
      <c r="B1049" s="2"/>
      <c r="C1049" s="2" t="s">
        <v>5844</v>
      </c>
      <c r="D1049" s="100" t="s">
        <v>6820</v>
      </c>
      <c r="E1049" s="2" t="s">
        <v>6822</v>
      </c>
      <c r="F1049" s="2"/>
      <c r="G1049" s="2"/>
      <c r="H1049" s="5" t="s">
        <v>47</v>
      </c>
    </row>
    <row r="1050" spans="1:8" hidden="1" x14ac:dyDescent="0.35">
      <c r="A1050" s="136" t="s">
        <v>4044</v>
      </c>
      <c r="B1050" s="2"/>
      <c r="C1050" s="2" t="s">
        <v>5844</v>
      </c>
      <c r="D1050" s="100" t="s">
        <v>6820</v>
      </c>
      <c r="E1050" s="2" t="s">
        <v>6004</v>
      </c>
      <c r="F1050" s="2" t="s">
        <v>5927</v>
      </c>
      <c r="G1050" s="2"/>
      <c r="H1050" s="5" t="s">
        <v>48</v>
      </c>
    </row>
    <row r="1051" spans="1:8" ht="29" hidden="1" x14ac:dyDescent="0.35">
      <c r="A1051" s="136" t="s">
        <v>4044</v>
      </c>
      <c r="B1051" s="2"/>
      <c r="C1051" s="2" t="s">
        <v>5844</v>
      </c>
      <c r="D1051" s="100" t="s">
        <v>6820</v>
      </c>
      <c r="E1051" s="2" t="s">
        <v>5961</v>
      </c>
      <c r="F1051" s="2" t="s">
        <v>6823</v>
      </c>
      <c r="G1051" s="2"/>
      <c r="H1051" s="5" t="s">
        <v>52</v>
      </c>
    </row>
    <row r="1052" spans="1:8" hidden="1" x14ac:dyDescent="0.35">
      <c r="A1052" s="135" t="s">
        <v>4044</v>
      </c>
      <c r="B1052" s="2"/>
      <c r="C1052" s="2" t="s">
        <v>5844</v>
      </c>
      <c r="D1052" s="100" t="s">
        <v>6820</v>
      </c>
      <c r="E1052" s="2" t="s">
        <v>5961</v>
      </c>
      <c r="F1052" s="2" t="s">
        <v>6676</v>
      </c>
      <c r="G1052" s="2"/>
      <c r="H1052" s="5" t="s">
        <v>53</v>
      </c>
    </row>
    <row r="1053" spans="1:8" hidden="1" x14ac:dyDescent="0.35">
      <c r="A1053" s="136" t="s">
        <v>3920</v>
      </c>
      <c r="B1053" s="2"/>
      <c r="C1053" s="2" t="s">
        <v>5882</v>
      </c>
      <c r="D1053" s="100" t="s">
        <v>6021</v>
      </c>
      <c r="E1053" s="2" t="s">
        <v>6590</v>
      </c>
      <c r="F1053" s="2"/>
      <c r="G1053" s="2"/>
      <c r="H1053" s="5" t="s">
        <v>2198</v>
      </c>
    </row>
    <row r="1054" spans="1:8" ht="29" hidden="1" x14ac:dyDescent="0.35">
      <c r="A1054" s="135" t="s">
        <v>3895</v>
      </c>
      <c r="B1054" s="2"/>
      <c r="C1054" s="2" t="s">
        <v>5882</v>
      </c>
      <c r="D1054" s="100" t="s">
        <v>5804</v>
      </c>
      <c r="E1054" s="2" t="s">
        <v>6487</v>
      </c>
      <c r="F1054" s="2"/>
      <c r="G1054" s="2"/>
      <c r="H1054" s="5" t="s">
        <v>3105</v>
      </c>
    </row>
    <row r="1055" spans="1:8" ht="29" hidden="1" x14ac:dyDescent="0.35">
      <c r="A1055" s="135" t="s">
        <v>3895</v>
      </c>
      <c r="B1055" s="2"/>
      <c r="C1055" s="2" t="s">
        <v>5882</v>
      </c>
      <c r="D1055" s="100" t="s">
        <v>5804</v>
      </c>
      <c r="E1055" s="2" t="s">
        <v>6486</v>
      </c>
      <c r="F1055" s="2"/>
      <c r="G1055" s="2"/>
      <c r="H1055" s="5" t="s">
        <v>2554</v>
      </c>
    </row>
    <row r="1056" spans="1:8" ht="29" hidden="1" x14ac:dyDescent="0.35">
      <c r="A1056" s="136" t="s">
        <v>3920</v>
      </c>
      <c r="B1056" s="2"/>
      <c r="C1056" s="2" t="s">
        <v>5882</v>
      </c>
      <c r="D1056" s="100" t="s">
        <v>5994</v>
      </c>
      <c r="E1056" s="2" t="s">
        <v>6556</v>
      </c>
      <c r="F1056" s="2"/>
      <c r="G1056" s="2"/>
      <c r="H1056" s="5" t="s">
        <v>7472</v>
      </c>
    </row>
    <row r="1057" spans="1:8" hidden="1" x14ac:dyDescent="0.35">
      <c r="A1057" s="136" t="s">
        <v>3920</v>
      </c>
      <c r="B1057" s="2"/>
      <c r="C1057" s="2" t="s">
        <v>5882</v>
      </c>
      <c r="D1057" s="2" t="s">
        <v>5994</v>
      </c>
      <c r="E1057" s="2" t="s">
        <v>6503</v>
      </c>
      <c r="F1057" s="2"/>
      <c r="G1057" s="2"/>
      <c r="H1057" s="5" t="s">
        <v>3013</v>
      </c>
    </row>
    <row r="1058" spans="1:8" ht="29" hidden="1" x14ac:dyDescent="0.35">
      <c r="A1058" s="136" t="s">
        <v>3920</v>
      </c>
      <c r="B1058" s="2"/>
      <c r="C1058" s="2" t="s">
        <v>5882</v>
      </c>
      <c r="D1058" s="2" t="s">
        <v>5994</v>
      </c>
      <c r="E1058" s="2" t="s">
        <v>6497</v>
      </c>
      <c r="F1058" s="2"/>
      <c r="G1058" s="2"/>
      <c r="H1058" s="5" t="s">
        <v>7461</v>
      </c>
    </row>
    <row r="1059" spans="1:8" ht="29" hidden="1" x14ac:dyDescent="0.35">
      <c r="A1059" s="135" t="s">
        <v>3920</v>
      </c>
      <c r="B1059" s="2"/>
      <c r="C1059" s="2" t="s">
        <v>5882</v>
      </c>
      <c r="D1059" s="2" t="s">
        <v>5994</v>
      </c>
      <c r="E1059" s="2" t="s">
        <v>6498</v>
      </c>
      <c r="F1059" s="2"/>
      <c r="G1059" s="2"/>
      <c r="H1059" s="5" t="s">
        <v>7462</v>
      </c>
    </row>
    <row r="1060" spans="1:8" ht="29" hidden="1" x14ac:dyDescent="0.35">
      <c r="A1060" s="135" t="s">
        <v>3920</v>
      </c>
      <c r="B1060" s="2"/>
      <c r="C1060" s="2" t="s">
        <v>5882</v>
      </c>
      <c r="D1060" s="100" t="s">
        <v>5994</v>
      </c>
      <c r="E1060" s="2" t="s">
        <v>6496</v>
      </c>
      <c r="F1060" s="2"/>
      <c r="G1060" s="2"/>
      <c r="H1060" s="5" t="s">
        <v>7460</v>
      </c>
    </row>
    <row r="1061" spans="1:8" ht="29" hidden="1" x14ac:dyDescent="0.35">
      <c r="A1061" s="135" t="s">
        <v>3920</v>
      </c>
      <c r="B1061" s="2"/>
      <c r="C1061" s="2" t="s">
        <v>5882</v>
      </c>
      <c r="D1061" s="2" t="s">
        <v>5994</v>
      </c>
      <c r="E1061" s="2" t="s">
        <v>6192</v>
      </c>
      <c r="F1061" s="2"/>
      <c r="G1061" s="2"/>
      <c r="H1061" s="5" t="s">
        <v>1864</v>
      </c>
    </row>
    <row r="1062" spans="1:8" ht="29" hidden="1" x14ac:dyDescent="0.35">
      <c r="A1062" s="136" t="s">
        <v>3920</v>
      </c>
      <c r="B1062" s="2"/>
      <c r="C1062" s="2" t="s">
        <v>5882</v>
      </c>
      <c r="D1062" s="100" t="s">
        <v>5994</v>
      </c>
      <c r="E1062" s="2" t="s">
        <v>6499</v>
      </c>
      <c r="F1062" s="2"/>
      <c r="G1062" s="2"/>
      <c r="H1062" s="5" t="s">
        <v>7463</v>
      </c>
    </row>
    <row r="1063" spans="1:8" ht="29" hidden="1" x14ac:dyDescent="0.35">
      <c r="A1063" s="135" t="s">
        <v>3920</v>
      </c>
      <c r="B1063" s="2"/>
      <c r="C1063" s="2" t="s">
        <v>5882</v>
      </c>
      <c r="D1063" s="100" t="s">
        <v>5994</v>
      </c>
      <c r="E1063" s="2" t="s">
        <v>5825</v>
      </c>
      <c r="F1063" s="2" t="s">
        <v>6569</v>
      </c>
      <c r="G1063" s="2"/>
      <c r="H1063" s="5" t="s">
        <v>1853</v>
      </c>
    </row>
    <row r="1064" spans="1:8" ht="29" hidden="1" x14ac:dyDescent="0.35">
      <c r="A1064" s="136" t="s">
        <v>3920</v>
      </c>
      <c r="B1064" s="2"/>
      <c r="C1064" s="2" t="s">
        <v>5882</v>
      </c>
      <c r="D1064" s="100" t="s">
        <v>5994</v>
      </c>
      <c r="E1064" s="2" t="s">
        <v>5825</v>
      </c>
      <c r="F1064" s="2" t="s">
        <v>6568</v>
      </c>
      <c r="G1064" s="2"/>
      <c r="H1064" s="5" t="s">
        <v>1852</v>
      </c>
    </row>
    <row r="1065" spans="1:8" ht="43.5" hidden="1" x14ac:dyDescent="0.35">
      <c r="A1065" s="135" t="s">
        <v>3920</v>
      </c>
      <c r="B1065" s="2"/>
      <c r="C1065" s="2" t="s">
        <v>5882</v>
      </c>
      <c r="D1065" s="100" t="s">
        <v>5994</v>
      </c>
      <c r="E1065" s="2" t="s">
        <v>6490</v>
      </c>
      <c r="F1065" s="2"/>
      <c r="G1065" s="2"/>
      <c r="H1065" s="5" t="s">
        <v>415</v>
      </c>
    </row>
    <row r="1066" spans="1:8" ht="87" hidden="1" x14ac:dyDescent="0.35">
      <c r="A1066" s="136" t="s">
        <v>3920</v>
      </c>
      <c r="B1066" s="2"/>
      <c r="C1066" s="2" t="s">
        <v>5882</v>
      </c>
      <c r="D1066" s="100" t="s">
        <v>5994</v>
      </c>
      <c r="E1066" s="2" t="s">
        <v>6573</v>
      </c>
      <c r="F1066" s="2"/>
      <c r="G1066" s="2"/>
      <c r="H1066" s="5" t="s">
        <v>1865</v>
      </c>
    </row>
    <row r="1067" spans="1:8" ht="29" hidden="1" x14ac:dyDescent="0.35">
      <c r="A1067" s="135" t="s">
        <v>3920</v>
      </c>
      <c r="B1067" s="2"/>
      <c r="C1067" s="2" t="s">
        <v>5882</v>
      </c>
      <c r="D1067" s="100" t="s">
        <v>5994</v>
      </c>
      <c r="E1067" s="2" t="s">
        <v>6555</v>
      </c>
      <c r="F1067" s="2"/>
      <c r="G1067" s="2"/>
      <c r="H1067" s="5" t="s">
        <v>7471</v>
      </c>
    </row>
    <row r="1068" spans="1:8" hidden="1" x14ac:dyDescent="0.35">
      <c r="A1068" s="135" t="s">
        <v>3920</v>
      </c>
      <c r="B1068" s="2"/>
      <c r="C1068" s="2" t="s">
        <v>5882</v>
      </c>
      <c r="D1068" s="2" t="s">
        <v>5994</v>
      </c>
      <c r="E1068" s="2" t="s">
        <v>6545</v>
      </c>
      <c r="F1068" s="2"/>
      <c r="G1068" s="2"/>
      <c r="H1068" s="5" t="s">
        <v>1813</v>
      </c>
    </row>
    <row r="1069" spans="1:8" ht="29" hidden="1" x14ac:dyDescent="0.35">
      <c r="A1069" s="135" t="s">
        <v>3920</v>
      </c>
      <c r="B1069" s="2"/>
      <c r="C1069" s="2" t="s">
        <v>5882</v>
      </c>
      <c r="D1069" s="100" t="s">
        <v>5994</v>
      </c>
      <c r="E1069" s="2" t="s">
        <v>6553</v>
      </c>
      <c r="F1069" s="2"/>
      <c r="G1069" s="2"/>
      <c r="H1069" s="5" t="s">
        <v>1821</v>
      </c>
    </row>
    <row r="1070" spans="1:8" ht="29" hidden="1" x14ac:dyDescent="0.35">
      <c r="A1070" s="136" t="s">
        <v>3920</v>
      </c>
      <c r="B1070" s="2"/>
      <c r="C1070" s="2" t="s">
        <v>5882</v>
      </c>
      <c r="D1070" s="100" t="s">
        <v>5994</v>
      </c>
      <c r="E1070" s="2" t="s">
        <v>6559</v>
      </c>
      <c r="F1070" s="2"/>
      <c r="G1070" s="2"/>
      <c r="H1070" s="5" t="s">
        <v>1841</v>
      </c>
    </row>
    <row r="1071" spans="1:8" ht="29" hidden="1" x14ac:dyDescent="0.35">
      <c r="A1071" s="136" t="s">
        <v>3920</v>
      </c>
      <c r="B1071" s="2"/>
      <c r="C1071" s="2" t="s">
        <v>5882</v>
      </c>
      <c r="D1071" s="100" t="s">
        <v>5994</v>
      </c>
      <c r="E1071" s="2" t="s">
        <v>6494</v>
      </c>
      <c r="F1071" s="2" t="s">
        <v>6495</v>
      </c>
      <c r="G1071" s="2"/>
      <c r="H1071" s="5" t="s">
        <v>714</v>
      </c>
    </row>
    <row r="1072" spans="1:8" ht="29" hidden="1" x14ac:dyDescent="0.35">
      <c r="A1072" s="135" t="s">
        <v>3920</v>
      </c>
      <c r="B1072" s="2"/>
      <c r="C1072" s="2" t="s">
        <v>5882</v>
      </c>
      <c r="D1072" s="100" t="s">
        <v>5994</v>
      </c>
      <c r="E1072" s="2" t="s">
        <v>6494</v>
      </c>
      <c r="F1072" s="2" t="s">
        <v>6525</v>
      </c>
      <c r="G1072" s="2"/>
      <c r="H1072" s="5" t="s">
        <v>1792</v>
      </c>
    </row>
    <row r="1073" spans="1:8" ht="43.5" hidden="1" x14ac:dyDescent="0.35">
      <c r="A1073" s="136" t="s">
        <v>3920</v>
      </c>
      <c r="B1073" s="2"/>
      <c r="C1073" s="2" t="s">
        <v>5882</v>
      </c>
      <c r="D1073" s="100" t="s">
        <v>5994</v>
      </c>
      <c r="E1073" s="2" t="s">
        <v>6554</v>
      </c>
      <c r="F1073" s="2"/>
      <c r="G1073" s="2"/>
      <c r="H1073" s="5" t="s">
        <v>7470</v>
      </c>
    </row>
    <row r="1074" spans="1:8" ht="29" hidden="1" x14ac:dyDescent="0.35">
      <c r="A1074" s="135" t="s">
        <v>3920</v>
      </c>
      <c r="B1074" s="2"/>
      <c r="C1074" s="2" t="s">
        <v>5882</v>
      </c>
      <c r="D1074" s="100" t="s">
        <v>5994</v>
      </c>
      <c r="E1074" s="2" t="s">
        <v>6587</v>
      </c>
      <c r="F1074" s="2"/>
      <c r="G1074" s="2"/>
      <c r="H1074" s="5" t="s">
        <v>1920</v>
      </c>
    </row>
    <row r="1075" spans="1:8" hidden="1" x14ac:dyDescent="0.35">
      <c r="A1075" s="136" t="s">
        <v>3920</v>
      </c>
      <c r="B1075" s="2"/>
      <c r="C1075" s="2" t="s">
        <v>5882</v>
      </c>
      <c r="D1075" s="100" t="s">
        <v>5994</v>
      </c>
      <c r="E1075" s="2" t="s">
        <v>6505</v>
      </c>
      <c r="F1075" s="2" t="s">
        <v>6540</v>
      </c>
      <c r="G1075" s="2"/>
      <c r="H1075" s="5" t="s">
        <v>1808</v>
      </c>
    </row>
    <row r="1076" spans="1:8" ht="29" hidden="1" x14ac:dyDescent="0.35">
      <c r="A1076" s="135" t="s">
        <v>3920</v>
      </c>
      <c r="B1076" s="2"/>
      <c r="C1076" s="2" t="s">
        <v>5882</v>
      </c>
      <c r="D1076" s="2" t="s">
        <v>5994</v>
      </c>
      <c r="E1076" s="2" t="s">
        <v>6505</v>
      </c>
      <c r="F1076" s="2" t="s">
        <v>6535</v>
      </c>
      <c r="G1076" s="2"/>
      <c r="H1076" s="5" t="s">
        <v>7468</v>
      </c>
    </row>
    <row r="1077" spans="1:8" hidden="1" x14ac:dyDescent="0.35">
      <c r="A1077" s="136" t="s">
        <v>3920</v>
      </c>
      <c r="B1077" s="2"/>
      <c r="C1077" s="2" t="s">
        <v>5882</v>
      </c>
      <c r="D1077" s="2" t="s">
        <v>5994</v>
      </c>
      <c r="E1077" s="2" t="s">
        <v>6505</v>
      </c>
      <c r="F1077" s="2" t="s">
        <v>6536</v>
      </c>
      <c r="G1077" s="2"/>
      <c r="H1077" s="5" t="s">
        <v>1804</v>
      </c>
    </row>
    <row r="1078" spans="1:8" hidden="1" x14ac:dyDescent="0.35">
      <c r="A1078" s="136" t="s">
        <v>3920</v>
      </c>
      <c r="B1078" s="2"/>
      <c r="C1078" s="2" t="s">
        <v>5882</v>
      </c>
      <c r="D1078" s="100" t="s">
        <v>5994</v>
      </c>
      <c r="E1078" s="2" t="s">
        <v>6505</v>
      </c>
      <c r="F1078" s="2" t="s">
        <v>6544</v>
      </c>
      <c r="G1078" s="2"/>
      <c r="H1078" s="5" t="s">
        <v>1812</v>
      </c>
    </row>
    <row r="1079" spans="1:8" hidden="1" x14ac:dyDescent="0.35">
      <c r="A1079" s="135" t="s">
        <v>3920</v>
      </c>
      <c r="B1079" s="2"/>
      <c r="C1079" s="2" t="s">
        <v>5882</v>
      </c>
      <c r="D1079" s="100" t="s">
        <v>5994</v>
      </c>
      <c r="E1079" s="2" t="s">
        <v>6505</v>
      </c>
      <c r="F1079" s="2" t="s">
        <v>6543</v>
      </c>
      <c r="G1079" s="2"/>
      <c r="H1079" s="5" t="s">
        <v>1811</v>
      </c>
    </row>
    <row r="1080" spans="1:8" hidden="1" x14ac:dyDescent="0.35">
      <c r="A1080" s="136" t="s">
        <v>3920</v>
      </c>
      <c r="B1080" s="2"/>
      <c r="C1080" s="2" t="s">
        <v>5882</v>
      </c>
      <c r="D1080" s="100" t="s">
        <v>5994</v>
      </c>
      <c r="E1080" s="2" t="s">
        <v>6505</v>
      </c>
      <c r="F1080" s="2" t="s">
        <v>6542</v>
      </c>
      <c r="G1080" s="2"/>
      <c r="H1080" s="5" t="s">
        <v>1810</v>
      </c>
    </row>
    <row r="1081" spans="1:8" hidden="1" x14ac:dyDescent="0.35">
      <c r="A1081" s="135" t="s">
        <v>3920</v>
      </c>
      <c r="B1081" s="2"/>
      <c r="C1081" s="2" t="s">
        <v>5882</v>
      </c>
      <c r="D1081" s="100" t="s">
        <v>5994</v>
      </c>
      <c r="E1081" s="2" t="s">
        <v>6505</v>
      </c>
      <c r="F1081" s="2" t="s">
        <v>6541</v>
      </c>
      <c r="G1081" s="2"/>
      <c r="H1081" s="5" t="s">
        <v>1809</v>
      </c>
    </row>
    <row r="1082" spans="1:8" ht="29" hidden="1" x14ac:dyDescent="0.35">
      <c r="A1082" s="136" t="s">
        <v>3920</v>
      </c>
      <c r="B1082" s="2"/>
      <c r="C1082" s="2" t="s">
        <v>5882</v>
      </c>
      <c r="D1082" s="100" t="s">
        <v>5994</v>
      </c>
      <c r="E1082" s="2" t="s">
        <v>6505</v>
      </c>
      <c r="F1082" s="2" t="s">
        <v>6538</v>
      </c>
      <c r="G1082" s="2"/>
      <c r="H1082" s="5" t="s">
        <v>1806</v>
      </c>
    </row>
    <row r="1083" spans="1:8" hidden="1" x14ac:dyDescent="0.35">
      <c r="A1083" s="135" t="s">
        <v>3920</v>
      </c>
      <c r="B1083" s="2"/>
      <c r="C1083" s="2" t="s">
        <v>5882</v>
      </c>
      <c r="D1083" s="100" t="s">
        <v>5994</v>
      </c>
      <c r="E1083" s="2" t="s">
        <v>6505</v>
      </c>
      <c r="F1083" s="2" t="s">
        <v>6539</v>
      </c>
      <c r="G1083" s="2"/>
      <c r="H1083" s="5" t="s">
        <v>1807</v>
      </c>
    </row>
    <row r="1084" spans="1:8" hidden="1" x14ac:dyDescent="0.35">
      <c r="A1084" s="135" t="s">
        <v>3920</v>
      </c>
      <c r="B1084" s="2"/>
      <c r="C1084" s="2" t="s">
        <v>5882</v>
      </c>
      <c r="D1084" s="100" t="s">
        <v>5994</v>
      </c>
      <c r="E1084" s="2" t="s">
        <v>6505</v>
      </c>
      <c r="F1084" s="2" t="s">
        <v>6537</v>
      </c>
      <c r="G1084" s="2"/>
      <c r="H1084" s="5" t="s">
        <v>1805</v>
      </c>
    </row>
    <row r="1085" spans="1:8" ht="58" hidden="1" x14ac:dyDescent="0.35">
      <c r="A1085" s="136" t="s">
        <v>3920</v>
      </c>
      <c r="B1085" s="2"/>
      <c r="C1085" s="2" t="s">
        <v>5882</v>
      </c>
      <c r="D1085" s="2" t="s">
        <v>5994</v>
      </c>
      <c r="E1085" s="2" t="s">
        <v>6048</v>
      </c>
      <c r="F1085" s="2" t="s">
        <v>6521</v>
      </c>
      <c r="G1085" s="2"/>
      <c r="H1085" s="5" t="s">
        <v>1698</v>
      </c>
    </row>
    <row r="1086" spans="1:8" ht="58" hidden="1" x14ac:dyDescent="0.35">
      <c r="A1086" s="135" t="s">
        <v>3920</v>
      </c>
      <c r="B1086" s="2"/>
      <c r="C1086" s="2" t="s">
        <v>5882</v>
      </c>
      <c r="D1086" s="2" t="s">
        <v>5994</v>
      </c>
      <c r="E1086" s="2" t="s">
        <v>6048</v>
      </c>
      <c r="F1086" s="2" t="s">
        <v>6522</v>
      </c>
      <c r="G1086" s="2"/>
      <c r="H1086" s="5" t="s">
        <v>1784</v>
      </c>
    </row>
    <row r="1087" spans="1:8" ht="29" hidden="1" x14ac:dyDescent="0.35">
      <c r="A1087" s="135" t="s">
        <v>3920</v>
      </c>
      <c r="B1087" s="2"/>
      <c r="C1087" s="2" t="s">
        <v>5882</v>
      </c>
      <c r="D1087" s="2" t="s">
        <v>5994</v>
      </c>
      <c r="E1087" s="2" t="s">
        <v>6048</v>
      </c>
      <c r="F1087" s="2"/>
      <c r="G1087" s="2"/>
      <c r="H1087" s="5" t="s">
        <v>1682</v>
      </c>
    </row>
    <row r="1088" spans="1:8" hidden="1" x14ac:dyDescent="0.35">
      <c r="A1088" s="135" t="s">
        <v>3920</v>
      </c>
      <c r="B1088" s="2"/>
      <c r="C1088" s="2" t="s">
        <v>5882</v>
      </c>
      <c r="D1088" s="100" t="s">
        <v>5994</v>
      </c>
      <c r="E1088" s="2" t="s">
        <v>6489</v>
      </c>
      <c r="F1088" s="2" t="s">
        <v>6531</v>
      </c>
      <c r="G1088" s="2"/>
      <c r="H1088" s="5" t="s">
        <v>1799</v>
      </c>
    </row>
    <row r="1089" spans="1:8" hidden="1" x14ac:dyDescent="0.35">
      <c r="A1089" s="135" t="s">
        <v>3920</v>
      </c>
      <c r="B1089" s="2"/>
      <c r="C1089" s="2" t="s">
        <v>5882</v>
      </c>
      <c r="D1089" s="2" t="s">
        <v>5994</v>
      </c>
      <c r="E1089" s="2" t="s">
        <v>6489</v>
      </c>
      <c r="F1089" s="2" t="s">
        <v>6529</v>
      </c>
      <c r="G1089" s="2"/>
      <c r="H1089" s="5" t="s">
        <v>1797</v>
      </c>
    </row>
    <row r="1090" spans="1:8" hidden="1" x14ac:dyDescent="0.35">
      <c r="A1090" s="136" t="s">
        <v>3920</v>
      </c>
      <c r="B1090" s="2"/>
      <c r="C1090" s="2" t="s">
        <v>5882</v>
      </c>
      <c r="D1090" s="100" t="s">
        <v>5994</v>
      </c>
      <c r="E1090" s="2" t="s">
        <v>6489</v>
      </c>
      <c r="F1090" s="2" t="s">
        <v>6528</v>
      </c>
      <c r="G1090" s="2"/>
      <c r="H1090" s="5" t="s">
        <v>1796</v>
      </c>
    </row>
    <row r="1091" spans="1:8" ht="43.5" hidden="1" x14ac:dyDescent="0.35">
      <c r="A1091" s="135" t="s">
        <v>3920</v>
      </c>
      <c r="B1091" s="2"/>
      <c r="C1091" s="2" t="s">
        <v>5882</v>
      </c>
      <c r="D1091" s="100" t="s">
        <v>5994</v>
      </c>
      <c r="E1091" s="2" t="s">
        <v>6489</v>
      </c>
      <c r="F1091" s="2" t="s">
        <v>6527</v>
      </c>
      <c r="G1091" s="2"/>
      <c r="H1091" s="5" t="s">
        <v>7467</v>
      </c>
    </row>
    <row r="1092" spans="1:8" ht="29" hidden="1" x14ac:dyDescent="0.35">
      <c r="A1092" s="136" t="s">
        <v>3920</v>
      </c>
      <c r="B1092" s="2"/>
      <c r="C1092" s="2" t="s">
        <v>5882</v>
      </c>
      <c r="D1092" s="2" t="s">
        <v>5994</v>
      </c>
      <c r="E1092" s="2" t="s">
        <v>6489</v>
      </c>
      <c r="F1092" s="2" t="s">
        <v>6524</v>
      </c>
      <c r="G1092" s="2"/>
      <c r="H1092" s="5" t="s">
        <v>1791</v>
      </c>
    </row>
    <row r="1093" spans="1:8" hidden="1" x14ac:dyDescent="0.35">
      <c r="A1093" s="136" t="s">
        <v>3920</v>
      </c>
      <c r="B1093" s="2"/>
      <c r="C1093" s="2" t="s">
        <v>5882</v>
      </c>
      <c r="D1093" s="2" t="s">
        <v>5994</v>
      </c>
      <c r="E1093" s="2" t="s">
        <v>6489</v>
      </c>
      <c r="F1093" s="2" t="s">
        <v>6532</v>
      </c>
      <c r="G1093" s="2"/>
      <c r="H1093" s="5" t="s">
        <v>1800</v>
      </c>
    </row>
    <row r="1094" spans="1:8" hidden="1" x14ac:dyDescent="0.35">
      <c r="A1094" s="136" t="s">
        <v>3920</v>
      </c>
      <c r="B1094" s="2"/>
      <c r="C1094" s="2" t="s">
        <v>5882</v>
      </c>
      <c r="D1094" s="2" t="s">
        <v>5994</v>
      </c>
      <c r="E1094" s="2" t="s">
        <v>6489</v>
      </c>
      <c r="F1094" s="2" t="s">
        <v>6530</v>
      </c>
      <c r="G1094" s="2"/>
      <c r="H1094" s="5" t="s">
        <v>1798</v>
      </c>
    </row>
    <row r="1095" spans="1:8" hidden="1" x14ac:dyDescent="0.35">
      <c r="A1095" s="135" t="s">
        <v>3920</v>
      </c>
      <c r="B1095" s="2"/>
      <c r="C1095" s="2" t="s">
        <v>5882</v>
      </c>
      <c r="D1095" s="2" t="s">
        <v>5994</v>
      </c>
      <c r="E1095" s="2" t="s">
        <v>6489</v>
      </c>
      <c r="F1095" s="2" t="s">
        <v>6523</v>
      </c>
      <c r="G1095" s="2"/>
      <c r="H1095" s="5" t="s">
        <v>1790</v>
      </c>
    </row>
    <row r="1096" spans="1:8" ht="29" hidden="1" x14ac:dyDescent="0.35">
      <c r="A1096" s="135" t="s">
        <v>3920</v>
      </c>
      <c r="B1096" s="2"/>
      <c r="C1096" s="2" t="s">
        <v>5882</v>
      </c>
      <c r="D1096" s="2" t="s">
        <v>5994</v>
      </c>
      <c r="E1096" s="2" t="s">
        <v>6533</v>
      </c>
      <c r="F1096" s="2"/>
      <c r="G1096" s="2"/>
      <c r="H1096" s="5" t="s">
        <v>1801</v>
      </c>
    </row>
    <row r="1097" spans="1:8" ht="29" hidden="1" x14ac:dyDescent="0.35">
      <c r="A1097" s="136" t="s">
        <v>3920</v>
      </c>
      <c r="B1097" s="2"/>
      <c r="C1097" s="2" t="s">
        <v>5882</v>
      </c>
      <c r="D1097" s="100" t="s">
        <v>5994</v>
      </c>
      <c r="E1097" s="2" t="s">
        <v>6534</v>
      </c>
      <c r="F1097" s="2"/>
      <c r="G1097" s="2"/>
      <c r="H1097" s="5" t="s">
        <v>1802</v>
      </c>
    </row>
    <row r="1098" spans="1:8" ht="29" hidden="1" x14ac:dyDescent="0.35">
      <c r="A1098" s="136" t="s">
        <v>3920</v>
      </c>
      <c r="B1098" s="2"/>
      <c r="C1098" s="2" t="s">
        <v>5882</v>
      </c>
      <c r="D1098" s="100" t="s">
        <v>5994</v>
      </c>
      <c r="E1098" s="2" t="s">
        <v>6588</v>
      </c>
      <c r="F1098" s="2"/>
      <c r="G1098" s="2"/>
      <c r="H1098" s="5" t="s">
        <v>1921</v>
      </c>
    </row>
    <row r="1099" spans="1:8" hidden="1" x14ac:dyDescent="0.35">
      <c r="A1099" s="135" t="s">
        <v>3920</v>
      </c>
      <c r="B1099" s="2"/>
      <c r="C1099" s="2" t="s">
        <v>5882</v>
      </c>
      <c r="D1099" s="100" t="s">
        <v>5994</v>
      </c>
      <c r="E1099" s="2" t="s">
        <v>6546</v>
      </c>
      <c r="F1099" s="2" t="s">
        <v>6549</v>
      </c>
      <c r="G1099" s="2"/>
      <c r="H1099" s="5" t="s">
        <v>1817</v>
      </c>
    </row>
    <row r="1100" spans="1:8" hidden="1" x14ac:dyDescent="0.35">
      <c r="A1100" s="136" t="s">
        <v>3920</v>
      </c>
      <c r="B1100" s="2"/>
      <c r="C1100" s="2" t="s">
        <v>5882</v>
      </c>
      <c r="D1100" s="2" t="s">
        <v>5994</v>
      </c>
      <c r="E1100" s="2" t="s">
        <v>6546</v>
      </c>
      <c r="F1100" s="2" t="s">
        <v>6548</v>
      </c>
      <c r="G1100" s="2"/>
      <c r="H1100" s="5" t="s">
        <v>1816</v>
      </c>
    </row>
    <row r="1101" spans="1:8" hidden="1" x14ac:dyDescent="0.35">
      <c r="A1101" s="136" t="s">
        <v>3920</v>
      </c>
      <c r="B1101" s="2"/>
      <c r="C1101" s="2" t="s">
        <v>5882</v>
      </c>
      <c r="D1101" s="2" t="s">
        <v>5994</v>
      </c>
      <c r="E1101" s="2" t="s">
        <v>6546</v>
      </c>
      <c r="F1101" s="2" t="s">
        <v>6550</v>
      </c>
      <c r="G1101" s="2"/>
      <c r="H1101" s="5" t="s">
        <v>1818</v>
      </c>
    </row>
    <row r="1102" spans="1:8" hidden="1" x14ac:dyDescent="0.35">
      <c r="A1102" s="135" t="s">
        <v>3920</v>
      </c>
      <c r="B1102" s="2"/>
      <c r="C1102" s="2" t="s">
        <v>5882</v>
      </c>
      <c r="D1102" s="2" t="s">
        <v>5994</v>
      </c>
      <c r="E1102" s="2" t="s">
        <v>6546</v>
      </c>
      <c r="F1102" s="2" t="s">
        <v>6551</v>
      </c>
      <c r="G1102" s="2"/>
      <c r="H1102" s="5" t="s">
        <v>1819</v>
      </c>
    </row>
    <row r="1103" spans="1:8" ht="29" hidden="1" x14ac:dyDescent="0.35">
      <c r="A1103" s="135" t="s">
        <v>3920</v>
      </c>
      <c r="B1103" s="2"/>
      <c r="C1103" s="2" t="s">
        <v>5882</v>
      </c>
      <c r="D1103" s="2" t="s">
        <v>5994</v>
      </c>
      <c r="E1103" s="2" t="s">
        <v>6546</v>
      </c>
      <c r="F1103" s="2" t="s">
        <v>6547</v>
      </c>
      <c r="G1103" s="2"/>
      <c r="H1103" s="5" t="s">
        <v>7469</v>
      </c>
    </row>
    <row r="1104" spans="1:8" ht="29" hidden="1" x14ac:dyDescent="0.35">
      <c r="A1104" s="136" t="s">
        <v>3920</v>
      </c>
      <c r="B1104" s="2"/>
      <c r="C1104" s="2" t="s">
        <v>5882</v>
      </c>
      <c r="D1104" s="2" t="s">
        <v>5994</v>
      </c>
      <c r="E1104" s="2" t="s">
        <v>6546</v>
      </c>
      <c r="F1104" s="2"/>
      <c r="G1104" s="2"/>
      <c r="H1104" s="5" t="s">
        <v>1814</v>
      </c>
    </row>
    <row r="1105" spans="1:8" ht="29" hidden="1" x14ac:dyDescent="0.35">
      <c r="A1105" s="136" t="s">
        <v>3309</v>
      </c>
      <c r="B1105" s="2"/>
      <c r="C1105" s="2" t="s">
        <v>5856</v>
      </c>
      <c r="D1105" s="2" t="s">
        <v>6306</v>
      </c>
      <c r="E1105" s="2" t="s">
        <v>6299</v>
      </c>
      <c r="F1105" s="2" t="s">
        <v>6300</v>
      </c>
      <c r="G1105" s="2" t="s">
        <v>6758</v>
      </c>
      <c r="H1105" s="5" t="s">
        <v>2805</v>
      </c>
    </row>
    <row r="1106" spans="1:8" hidden="1" x14ac:dyDescent="0.35">
      <c r="A1106" s="135" t="s">
        <v>3309</v>
      </c>
      <c r="B1106" s="2"/>
      <c r="C1106" s="2" t="s">
        <v>5856</v>
      </c>
      <c r="D1106" s="2" t="s">
        <v>6306</v>
      </c>
      <c r="E1106" s="2" t="s">
        <v>6299</v>
      </c>
      <c r="F1106" s="2" t="s">
        <v>6300</v>
      </c>
      <c r="G1106" s="2" t="s">
        <v>6759</v>
      </c>
      <c r="H1106" s="5" t="s">
        <v>2836</v>
      </c>
    </row>
    <row r="1107" spans="1:8" ht="43.5" hidden="1" x14ac:dyDescent="0.35">
      <c r="A1107" s="136" t="s">
        <v>3309</v>
      </c>
      <c r="B1107" s="2"/>
      <c r="C1107" s="2" t="s">
        <v>5856</v>
      </c>
      <c r="D1107" s="2" t="s">
        <v>6306</v>
      </c>
      <c r="E1107" s="2" t="s">
        <v>6299</v>
      </c>
      <c r="F1107" s="2" t="s">
        <v>6300</v>
      </c>
      <c r="G1107" s="2" t="s">
        <v>6760</v>
      </c>
      <c r="H1107" s="5" t="s">
        <v>7560</v>
      </c>
    </row>
    <row r="1108" spans="1:8" ht="43.5" hidden="1" x14ac:dyDescent="0.35">
      <c r="A1108" s="135" t="s">
        <v>3309</v>
      </c>
      <c r="B1108" s="2"/>
      <c r="C1108" s="2" t="s">
        <v>5856</v>
      </c>
      <c r="D1108" s="2" t="s">
        <v>6306</v>
      </c>
      <c r="E1108" s="2" t="s">
        <v>6299</v>
      </c>
      <c r="F1108" s="2" t="s">
        <v>6300</v>
      </c>
      <c r="G1108" s="2" t="s">
        <v>6761</v>
      </c>
      <c r="H1108" s="5" t="s">
        <v>7561</v>
      </c>
    </row>
    <row r="1109" spans="1:8" hidden="1" x14ac:dyDescent="0.35">
      <c r="A1109" s="136" t="s">
        <v>3309</v>
      </c>
      <c r="B1109" s="2"/>
      <c r="C1109" s="2" t="s">
        <v>5856</v>
      </c>
      <c r="D1109" s="2" t="s">
        <v>6306</v>
      </c>
      <c r="E1109" s="2" t="s">
        <v>6299</v>
      </c>
      <c r="F1109" s="2" t="s">
        <v>6300</v>
      </c>
      <c r="G1109" s="2" t="s">
        <v>6762</v>
      </c>
      <c r="H1109" s="5" t="s">
        <v>2806</v>
      </c>
    </row>
    <row r="1110" spans="1:8" hidden="1" x14ac:dyDescent="0.35">
      <c r="A1110" s="135" t="s">
        <v>3309</v>
      </c>
      <c r="B1110" s="2"/>
      <c r="C1110" s="2" t="e" vm="1">
        <v>#VALUE!</v>
      </c>
      <c r="D1110" s="2"/>
      <c r="E1110" s="2"/>
      <c r="F1110" s="2"/>
      <c r="G1110" s="2"/>
      <c r="H1110" s="5" t="s">
        <v>2747</v>
      </c>
    </row>
    <row r="1111" spans="1:8" ht="29" hidden="1" x14ac:dyDescent="0.35">
      <c r="A1111" s="136" t="s">
        <v>3920</v>
      </c>
      <c r="B1111" s="2"/>
      <c r="C1111" s="2"/>
      <c r="D1111" s="2" t="s">
        <v>5936</v>
      </c>
      <c r="E1111" s="2" t="s">
        <v>6136</v>
      </c>
      <c r="F1111" s="2" t="s">
        <v>6442</v>
      </c>
      <c r="G1111" s="2"/>
      <c r="H1111" s="5" t="s">
        <v>412</v>
      </c>
    </row>
    <row r="1112" spans="1:8" ht="29" hidden="1" x14ac:dyDescent="0.35">
      <c r="A1112" s="135" t="s">
        <v>3920</v>
      </c>
      <c r="B1112" s="2"/>
      <c r="C1112" s="2"/>
      <c r="D1112" s="2" t="s">
        <v>5936</v>
      </c>
      <c r="E1112" s="2" t="s">
        <v>6136</v>
      </c>
      <c r="F1112" s="2" t="s">
        <v>6489</v>
      </c>
      <c r="G1112" s="2"/>
      <c r="H1112" s="5" t="s">
        <v>186</v>
      </c>
    </row>
    <row r="1113" spans="1:8" hidden="1" x14ac:dyDescent="0.35">
      <c r="A1113" s="136" t="s">
        <v>3332</v>
      </c>
      <c r="B1113" s="2"/>
      <c r="C1113" s="2"/>
      <c r="D1113" s="2" t="s">
        <v>6443</v>
      </c>
      <c r="E1113" s="161" t="s">
        <v>5862</v>
      </c>
      <c r="F1113" s="161" t="s">
        <v>5906</v>
      </c>
      <c r="G1113" s="2" t="s">
        <v>5907</v>
      </c>
      <c r="H1113" s="5" t="s">
        <v>1895</v>
      </c>
    </row>
    <row r="1114" spans="1:8" hidden="1" x14ac:dyDescent="0.35">
      <c r="A1114" s="135" t="s">
        <v>3332</v>
      </c>
      <c r="B1114" s="2"/>
      <c r="C1114" s="2"/>
      <c r="D1114" s="2" t="s">
        <v>6443</v>
      </c>
      <c r="E1114" s="2" t="s">
        <v>5862</v>
      </c>
      <c r="F1114" s="2" t="s">
        <v>5928</v>
      </c>
      <c r="G1114" s="2" t="s">
        <v>5929</v>
      </c>
      <c r="H1114" s="5" t="s">
        <v>1915</v>
      </c>
    </row>
    <row r="1115" spans="1:8" ht="29" hidden="1" x14ac:dyDescent="0.35">
      <c r="A1115" s="135" t="s">
        <v>3332</v>
      </c>
      <c r="B1115" s="2"/>
      <c r="C1115" s="2"/>
      <c r="D1115" s="2" t="s">
        <v>6443</v>
      </c>
      <c r="E1115" s="2" t="s">
        <v>5862</v>
      </c>
      <c r="F1115" s="2" t="s">
        <v>5905</v>
      </c>
      <c r="G1115" s="2"/>
      <c r="H1115" s="5" t="s">
        <v>1894</v>
      </c>
    </row>
    <row r="1116" spans="1:8" ht="29" hidden="1" x14ac:dyDescent="0.35">
      <c r="A1116" s="136" t="s">
        <v>3332</v>
      </c>
      <c r="B1116" s="2"/>
      <c r="C1116" s="2"/>
      <c r="D1116" s="2" t="s">
        <v>6443</v>
      </c>
      <c r="E1116" s="161" t="s">
        <v>5862</v>
      </c>
      <c r="F1116" s="161" t="s">
        <v>5787</v>
      </c>
      <c r="G1116" s="2" t="s">
        <v>5927</v>
      </c>
      <c r="H1116" s="5" t="s">
        <v>1914</v>
      </c>
    </row>
    <row r="1117" spans="1:8" ht="29" hidden="1" x14ac:dyDescent="0.35">
      <c r="A1117" s="136" t="s">
        <v>3851</v>
      </c>
      <c r="B1117" s="2"/>
      <c r="C1117" s="2"/>
      <c r="D1117" s="2" t="s">
        <v>6443</v>
      </c>
      <c r="E1117" s="2" t="s">
        <v>5862</v>
      </c>
      <c r="F1117" s="2" t="s">
        <v>5976</v>
      </c>
      <c r="G1117" s="2" t="s">
        <v>6072</v>
      </c>
      <c r="H1117" s="5" t="s">
        <v>7412</v>
      </c>
    </row>
    <row r="1118" spans="1:8" hidden="1" x14ac:dyDescent="0.35">
      <c r="A1118" s="135" t="s">
        <v>3851</v>
      </c>
      <c r="B1118" s="2"/>
      <c r="C1118" s="2"/>
      <c r="D1118" s="2" t="s">
        <v>6443</v>
      </c>
      <c r="E1118" s="2" t="s">
        <v>5862</v>
      </c>
      <c r="F1118" s="2" t="s">
        <v>5976</v>
      </c>
      <c r="G1118" s="2" t="s">
        <v>6072</v>
      </c>
      <c r="H1118" s="5" t="s">
        <v>696</v>
      </c>
    </row>
    <row r="1119" spans="1:8" hidden="1" x14ac:dyDescent="0.35">
      <c r="A1119" s="136" t="s">
        <v>3851</v>
      </c>
      <c r="B1119" s="2"/>
      <c r="C1119" s="2"/>
      <c r="D1119" s="2" t="s">
        <v>6443</v>
      </c>
      <c r="E1119" s="2" t="s">
        <v>5862</v>
      </c>
      <c r="F1119" s="2" t="s">
        <v>5976</v>
      </c>
      <c r="G1119" s="2" t="s">
        <v>5883</v>
      </c>
      <c r="H1119" s="5" t="s">
        <v>314</v>
      </c>
    </row>
    <row r="1120" spans="1:8" hidden="1" x14ac:dyDescent="0.35">
      <c r="A1120" s="135" t="s">
        <v>3851</v>
      </c>
      <c r="B1120" s="2"/>
      <c r="C1120" s="2"/>
      <c r="D1120" s="2" t="s">
        <v>6443</v>
      </c>
      <c r="E1120" s="2" t="s">
        <v>5862</v>
      </c>
      <c r="F1120" s="2" t="s">
        <v>5976</v>
      </c>
      <c r="G1120" s="2" t="s">
        <v>6072</v>
      </c>
      <c r="H1120" s="5" t="s">
        <v>316</v>
      </c>
    </row>
    <row r="1121" spans="1:8" hidden="1" x14ac:dyDescent="0.35">
      <c r="A1121" s="136" t="s">
        <v>3851</v>
      </c>
      <c r="B1121" s="2"/>
      <c r="C1121" s="2"/>
      <c r="D1121" s="2" t="s">
        <v>6443</v>
      </c>
      <c r="E1121" s="2" t="s">
        <v>5862</v>
      </c>
      <c r="F1121" s="2" t="s">
        <v>5976</v>
      </c>
      <c r="G1121" s="2" t="s">
        <v>5994</v>
      </c>
      <c r="H1121" s="5" t="s">
        <v>318</v>
      </c>
    </row>
    <row r="1122" spans="1:8" hidden="1" x14ac:dyDescent="0.35">
      <c r="A1122" s="135" t="s">
        <v>3851</v>
      </c>
      <c r="B1122" s="2"/>
      <c r="C1122" s="2"/>
      <c r="D1122" s="2" t="s">
        <v>6443</v>
      </c>
      <c r="E1122" s="2" t="s">
        <v>5862</v>
      </c>
      <c r="F1122" s="2" t="s">
        <v>5976</v>
      </c>
      <c r="G1122" s="2" t="s">
        <v>6006</v>
      </c>
      <c r="H1122" s="5" t="s">
        <v>320</v>
      </c>
    </row>
    <row r="1123" spans="1:8" hidden="1" x14ac:dyDescent="0.35">
      <c r="A1123" s="136" t="s">
        <v>3851</v>
      </c>
      <c r="B1123" s="2"/>
      <c r="C1123" s="2"/>
      <c r="D1123" s="100" t="s">
        <v>6443</v>
      </c>
      <c r="E1123" s="2" t="s">
        <v>5862</v>
      </c>
      <c r="F1123" s="2" t="s">
        <v>5976</v>
      </c>
      <c r="G1123" s="2" t="s">
        <v>6393</v>
      </c>
      <c r="H1123" s="5" t="s">
        <v>322</v>
      </c>
    </row>
    <row r="1124" spans="1:8" hidden="1" x14ac:dyDescent="0.35">
      <c r="A1124" s="135" t="s">
        <v>3851</v>
      </c>
      <c r="B1124" s="2"/>
      <c r="C1124" s="2"/>
      <c r="D1124" s="100" t="s">
        <v>6443</v>
      </c>
      <c r="E1124" s="2" t="s">
        <v>5862</v>
      </c>
      <c r="F1124" s="2" t="s">
        <v>5976</v>
      </c>
      <c r="G1124" s="2" t="s">
        <v>6394</v>
      </c>
      <c r="H1124" s="5" t="s">
        <v>324</v>
      </c>
    </row>
    <row r="1125" spans="1:8" hidden="1" x14ac:dyDescent="0.35">
      <c r="A1125" s="136" t="s">
        <v>3851</v>
      </c>
      <c r="B1125" s="2"/>
      <c r="C1125" s="2"/>
      <c r="D1125" s="2" t="s">
        <v>6443</v>
      </c>
      <c r="E1125" s="2" t="s">
        <v>5862</v>
      </c>
      <c r="F1125" s="2" t="s">
        <v>5976</v>
      </c>
      <c r="G1125" s="2" t="s">
        <v>6015</v>
      </c>
      <c r="H1125" s="5" t="s">
        <v>326</v>
      </c>
    </row>
    <row r="1126" spans="1:8" hidden="1" x14ac:dyDescent="0.35">
      <c r="A1126" s="135" t="s">
        <v>3851</v>
      </c>
      <c r="B1126" s="2"/>
      <c r="C1126" s="2"/>
      <c r="D1126" s="2" t="s">
        <v>6443</v>
      </c>
      <c r="E1126" s="2" t="s">
        <v>5862</v>
      </c>
      <c r="F1126" s="2" t="s">
        <v>5976</v>
      </c>
      <c r="G1126" s="2" t="s">
        <v>6395</v>
      </c>
      <c r="H1126" s="5" t="s">
        <v>698</v>
      </c>
    </row>
    <row r="1127" spans="1:8" hidden="1" x14ac:dyDescent="0.35">
      <c r="A1127" s="136" t="s">
        <v>3851</v>
      </c>
      <c r="B1127" s="2"/>
      <c r="C1127" s="2"/>
      <c r="D1127" s="2" t="s">
        <v>6443</v>
      </c>
      <c r="E1127" s="2" t="s">
        <v>5862</v>
      </c>
      <c r="F1127" s="2" t="s">
        <v>5976</v>
      </c>
      <c r="G1127" s="2" t="s">
        <v>6029</v>
      </c>
      <c r="H1127" s="5" t="s">
        <v>1140</v>
      </c>
    </row>
    <row r="1128" spans="1:8" hidden="1" x14ac:dyDescent="0.35">
      <c r="A1128" s="135" t="s">
        <v>3851</v>
      </c>
      <c r="B1128" s="2"/>
      <c r="C1128" s="2"/>
      <c r="D1128" s="2" t="s">
        <v>6443</v>
      </c>
      <c r="E1128" s="2" t="s">
        <v>5862</v>
      </c>
      <c r="F1128" s="2" t="s">
        <v>5976</v>
      </c>
      <c r="G1128" s="2" t="s">
        <v>6006</v>
      </c>
      <c r="H1128" s="5" t="s">
        <v>580</v>
      </c>
    </row>
    <row r="1129" spans="1:8" ht="29" hidden="1" x14ac:dyDescent="0.35">
      <c r="A1129" s="136" t="s">
        <v>3851</v>
      </c>
      <c r="B1129" s="2"/>
      <c r="C1129" s="2"/>
      <c r="D1129" s="2" t="s">
        <v>6443</v>
      </c>
      <c r="E1129" s="2" t="s">
        <v>5862</v>
      </c>
      <c r="F1129" s="2" t="s">
        <v>5976</v>
      </c>
      <c r="G1129" s="2" t="s">
        <v>6396</v>
      </c>
      <c r="H1129" s="5" t="s">
        <v>582</v>
      </c>
    </row>
    <row r="1130" spans="1:8" ht="29" hidden="1" x14ac:dyDescent="0.35">
      <c r="A1130" s="135" t="s">
        <v>3851</v>
      </c>
      <c r="B1130" s="2"/>
      <c r="C1130" s="2"/>
      <c r="D1130" s="2" t="s">
        <v>6443</v>
      </c>
      <c r="E1130" s="2" t="s">
        <v>5862</v>
      </c>
      <c r="F1130" s="2" t="s">
        <v>5976</v>
      </c>
      <c r="G1130" s="2" t="s">
        <v>5874</v>
      </c>
      <c r="H1130" s="5" t="s">
        <v>585</v>
      </c>
    </row>
    <row r="1131" spans="1:8" hidden="1" x14ac:dyDescent="0.35">
      <c r="A1131" s="136" t="s">
        <v>3851</v>
      </c>
      <c r="B1131" s="2"/>
      <c r="C1131" s="2"/>
      <c r="D1131" s="2" t="s">
        <v>6443</v>
      </c>
      <c r="E1131" s="2" t="s">
        <v>5862</v>
      </c>
      <c r="F1131" s="2" t="s">
        <v>5976</v>
      </c>
      <c r="G1131" s="2" t="s">
        <v>6026</v>
      </c>
      <c r="H1131" s="5" t="s">
        <v>588</v>
      </c>
    </row>
    <row r="1132" spans="1:8" hidden="1" x14ac:dyDescent="0.35">
      <c r="A1132" s="135" t="s">
        <v>3851</v>
      </c>
      <c r="B1132" s="2"/>
      <c r="C1132" s="2"/>
      <c r="D1132" s="2" t="s">
        <v>6443</v>
      </c>
      <c r="E1132" s="2" t="s">
        <v>5862</v>
      </c>
      <c r="F1132" s="2" t="s">
        <v>5976</v>
      </c>
      <c r="G1132" s="2" t="s">
        <v>6006</v>
      </c>
      <c r="H1132" s="5" t="s">
        <v>590</v>
      </c>
    </row>
    <row r="1133" spans="1:8" ht="29" hidden="1" x14ac:dyDescent="0.35">
      <c r="A1133" s="136" t="s">
        <v>3851</v>
      </c>
      <c r="B1133" s="2"/>
      <c r="C1133" s="2"/>
      <c r="D1133" s="2" t="s">
        <v>6443</v>
      </c>
      <c r="E1133" s="2" t="s">
        <v>5862</v>
      </c>
      <c r="F1133" s="2" t="s">
        <v>5976</v>
      </c>
      <c r="G1133" s="2" t="s">
        <v>6397</v>
      </c>
      <c r="H1133" s="5" t="s">
        <v>592</v>
      </c>
    </row>
    <row r="1134" spans="1:8" hidden="1" x14ac:dyDescent="0.35">
      <c r="A1134" s="135" t="s">
        <v>3851</v>
      </c>
      <c r="B1134" s="2"/>
      <c r="C1134" s="2"/>
      <c r="D1134" s="2" t="s">
        <v>6443</v>
      </c>
      <c r="E1134" s="2" t="s">
        <v>5862</v>
      </c>
      <c r="F1134" s="2" t="s">
        <v>5976</v>
      </c>
      <c r="G1134" s="2" t="s">
        <v>6398</v>
      </c>
      <c r="H1134" s="5" t="s">
        <v>683</v>
      </c>
    </row>
    <row r="1135" spans="1:8" hidden="1" x14ac:dyDescent="0.35">
      <c r="A1135" s="136" t="s">
        <v>3851</v>
      </c>
      <c r="B1135" s="2"/>
      <c r="C1135" s="2"/>
      <c r="D1135" s="2" t="s">
        <v>6443</v>
      </c>
      <c r="E1135" s="2" t="s">
        <v>5862</v>
      </c>
      <c r="F1135" s="2" t="s">
        <v>5976</v>
      </c>
      <c r="G1135" s="2" t="s">
        <v>6399</v>
      </c>
      <c r="H1135" s="5" t="s">
        <v>686</v>
      </c>
    </row>
    <row r="1136" spans="1:8" hidden="1" x14ac:dyDescent="0.35">
      <c r="A1136" s="135" t="s">
        <v>3851</v>
      </c>
      <c r="B1136" s="2"/>
      <c r="C1136" s="2"/>
      <c r="D1136" s="2" t="s">
        <v>6443</v>
      </c>
      <c r="E1136" s="2" t="s">
        <v>5862</v>
      </c>
      <c r="F1136" s="2" t="s">
        <v>5976</v>
      </c>
      <c r="G1136" s="2" t="s">
        <v>6006</v>
      </c>
      <c r="H1136" s="5" t="s">
        <v>689</v>
      </c>
    </row>
    <row r="1137" spans="1:8" hidden="1" x14ac:dyDescent="0.35">
      <c r="A1137" s="136" t="s">
        <v>3851</v>
      </c>
      <c r="B1137" s="2"/>
      <c r="C1137" s="2"/>
      <c r="D1137" s="2" t="s">
        <v>6443</v>
      </c>
      <c r="E1137" s="2" t="s">
        <v>5862</v>
      </c>
      <c r="F1137" s="2" t="s">
        <v>5976</v>
      </c>
      <c r="G1137" s="2" t="s">
        <v>5826</v>
      </c>
      <c r="H1137" s="5" t="s">
        <v>694</v>
      </c>
    </row>
    <row r="1138" spans="1:8" hidden="1" x14ac:dyDescent="0.35">
      <c r="A1138" s="135" t="s">
        <v>3851</v>
      </c>
      <c r="B1138" s="2"/>
      <c r="C1138" s="2"/>
      <c r="D1138" s="2" t="s">
        <v>6443</v>
      </c>
      <c r="E1138" s="2" t="s">
        <v>5862</v>
      </c>
      <c r="F1138" s="2" t="s">
        <v>5976</v>
      </c>
      <c r="G1138" s="2" t="s">
        <v>6398</v>
      </c>
      <c r="H1138" s="5" t="s">
        <v>853</v>
      </c>
    </row>
    <row r="1139" spans="1:8" hidden="1" x14ac:dyDescent="0.35">
      <c r="A1139" s="136" t="s">
        <v>3851</v>
      </c>
      <c r="B1139" s="2"/>
      <c r="C1139" s="2"/>
      <c r="D1139" s="2" t="s">
        <v>6443</v>
      </c>
      <c r="E1139" s="2" t="s">
        <v>5862</v>
      </c>
      <c r="F1139" s="2" t="s">
        <v>5976</v>
      </c>
      <c r="G1139" s="2" t="s">
        <v>6029</v>
      </c>
      <c r="H1139" s="5" t="s">
        <v>855</v>
      </c>
    </row>
    <row r="1140" spans="1:8" hidden="1" x14ac:dyDescent="0.35">
      <c r="A1140" s="135" t="s">
        <v>3851</v>
      </c>
      <c r="B1140" s="2"/>
      <c r="C1140" s="2"/>
      <c r="D1140" s="2" t="s">
        <v>6443</v>
      </c>
      <c r="E1140" s="2" t="s">
        <v>5862</v>
      </c>
      <c r="F1140" s="2" t="s">
        <v>5976</v>
      </c>
      <c r="G1140" s="2" t="s">
        <v>6006</v>
      </c>
      <c r="H1140" s="5" t="s">
        <v>858</v>
      </c>
    </row>
    <row r="1141" spans="1:8" hidden="1" x14ac:dyDescent="0.35">
      <c r="A1141" s="136" t="s">
        <v>3851</v>
      </c>
      <c r="B1141" s="2"/>
      <c r="C1141" s="2"/>
      <c r="D1141" s="2" t="s">
        <v>6443</v>
      </c>
      <c r="E1141" s="2" t="s">
        <v>5862</v>
      </c>
      <c r="F1141" s="2" t="s">
        <v>5976</v>
      </c>
      <c r="G1141" s="2" t="s">
        <v>6397</v>
      </c>
      <c r="H1141" s="5" t="s">
        <v>863</v>
      </c>
    </row>
    <row r="1142" spans="1:8" hidden="1" x14ac:dyDescent="0.35">
      <c r="A1142" s="135" t="s">
        <v>3851</v>
      </c>
      <c r="B1142" s="2"/>
      <c r="C1142" s="2"/>
      <c r="D1142" s="2" t="s">
        <v>6443</v>
      </c>
      <c r="E1142" s="2" t="s">
        <v>5862</v>
      </c>
      <c r="F1142" s="2" t="s">
        <v>5976</v>
      </c>
      <c r="G1142" s="2" t="s">
        <v>6032</v>
      </c>
      <c r="H1142" s="5" t="s">
        <v>861</v>
      </c>
    </row>
    <row r="1143" spans="1:8" hidden="1" x14ac:dyDescent="0.35">
      <c r="A1143" s="136" t="s">
        <v>3851</v>
      </c>
      <c r="B1143" s="2"/>
      <c r="C1143" s="2"/>
      <c r="D1143" s="2" t="s">
        <v>6443</v>
      </c>
      <c r="E1143" s="2" t="s">
        <v>5862</v>
      </c>
      <c r="F1143" s="2" t="s">
        <v>5976</v>
      </c>
      <c r="G1143" s="2" t="s">
        <v>6400</v>
      </c>
      <c r="H1143" s="5" t="s">
        <v>865</v>
      </c>
    </row>
    <row r="1144" spans="1:8" hidden="1" x14ac:dyDescent="0.35">
      <c r="A1144" s="135" t="s">
        <v>3851</v>
      </c>
      <c r="B1144" s="2"/>
      <c r="C1144" s="2"/>
      <c r="D1144" s="2" t="s">
        <v>6443</v>
      </c>
      <c r="E1144" s="2" t="s">
        <v>5862</v>
      </c>
      <c r="F1144" s="2" t="s">
        <v>5976</v>
      </c>
      <c r="G1144" s="2" t="s">
        <v>6006</v>
      </c>
      <c r="H1144" s="5" t="s">
        <v>1135</v>
      </c>
    </row>
    <row r="1145" spans="1:8" hidden="1" x14ac:dyDescent="0.35">
      <c r="A1145" s="136" t="s">
        <v>3851</v>
      </c>
      <c r="B1145" s="2"/>
      <c r="C1145" s="2"/>
      <c r="D1145" s="2" t="s">
        <v>6443</v>
      </c>
      <c r="E1145" s="2" t="s">
        <v>5862</v>
      </c>
      <c r="F1145" s="2" t="s">
        <v>5976</v>
      </c>
      <c r="G1145" s="2" t="s">
        <v>5874</v>
      </c>
      <c r="H1145" s="5" t="s">
        <v>1137</v>
      </c>
    </row>
    <row r="1146" spans="1:8" hidden="1" x14ac:dyDescent="0.35">
      <c r="A1146" s="135" t="s">
        <v>3851</v>
      </c>
      <c r="B1146" s="2"/>
      <c r="C1146" s="2"/>
      <c r="D1146" s="2" t="s">
        <v>6443</v>
      </c>
      <c r="E1146" s="2" t="s">
        <v>5862</v>
      </c>
      <c r="F1146" s="2" t="s">
        <v>5976</v>
      </c>
      <c r="G1146" s="2" t="s">
        <v>6011</v>
      </c>
      <c r="H1146" s="5" t="s">
        <v>1142</v>
      </c>
    </row>
    <row r="1147" spans="1:8" ht="29" hidden="1" x14ac:dyDescent="0.35">
      <c r="A1147" s="136" t="s">
        <v>3851</v>
      </c>
      <c r="B1147" s="2"/>
      <c r="C1147" s="2"/>
      <c r="D1147" s="2" t="s">
        <v>6443</v>
      </c>
      <c r="E1147" s="2" t="s">
        <v>5862</v>
      </c>
      <c r="F1147" s="2" t="s">
        <v>5976</v>
      </c>
      <c r="G1147" s="2" t="s">
        <v>5975</v>
      </c>
      <c r="H1147" s="5" t="s">
        <v>867</v>
      </c>
    </row>
    <row r="1148" spans="1:8" hidden="1" x14ac:dyDescent="0.35">
      <c r="A1148" s="135" t="s">
        <v>3851</v>
      </c>
      <c r="B1148" s="2"/>
      <c r="C1148" s="100"/>
      <c r="D1148" s="2" t="s">
        <v>6443</v>
      </c>
      <c r="E1148" s="2" t="s">
        <v>5862</v>
      </c>
      <c r="F1148" s="2" t="s">
        <v>5976</v>
      </c>
      <c r="G1148" s="2" t="s">
        <v>6191</v>
      </c>
      <c r="H1148" s="5" t="s">
        <v>1467</v>
      </c>
    </row>
    <row r="1149" spans="1:8" ht="29" hidden="1" x14ac:dyDescent="0.35">
      <c r="A1149" s="136" t="s">
        <v>3851</v>
      </c>
      <c r="B1149" s="2"/>
      <c r="C1149" s="100"/>
      <c r="D1149" s="2" t="s">
        <v>6443</v>
      </c>
      <c r="E1149" s="2" t="s">
        <v>5862</v>
      </c>
      <c r="F1149" s="2" t="s">
        <v>5976</v>
      </c>
      <c r="G1149" s="2" t="s">
        <v>6189</v>
      </c>
      <c r="H1149" s="5" t="s">
        <v>1468</v>
      </c>
    </row>
    <row r="1150" spans="1:8" ht="29" hidden="1" x14ac:dyDescent="0.35">
      <c r="A1150" s="135" t="s">
        <v>3851</v>
      </c>
      <c r="B1150" s="2"/>
      <c r="C1150" s="100"/>
      <c r="D1150" s="2" t="s">
        <v>6443</v>
      </c>
      <c r="E1150" s="2" t="s">
        <v>5862</v>
      </c>
      <c r="F1150" s="2" t="s">
        <v>5976</v>
      </c>
      <c r="G1150" s="2" t="s">
        <v>5874</v>
      </c>
      <c r="H1150" s="5" t="s">
        <v>1469</v>
      </c>
    </row>
    <row r="1151" spans="1:8" hidden="1" x14ac:dyDescent="0.35">
      <c r="A1151" s="136" t="s">
        <v>3851</v>
      </c>
      <c r="B1151" s="2"/>
      <c r="C1151" s="100"/>
      <c r="D1151" s="2" t="s">
        <v>6443</v>
      </c>
      <c r="E1151" s="2" t="s">
        <v>5862</v>
      </c>
      <c r="F1151" s="2" t="s">
        <v>5976</v>
      </c>
      <c r="G1151" s="2" t="s">
        <v>6006</v>
      </c>
      <c r="H1151" s="5" t="s">
        <v>1470</v>
      </c>
    </row>
    <row r="1152" spans="1:8" ht="29" hidden="1" x14ac:dyDescent="0.35">
      <c r="A1152" s="135" t="s">
        <v>3851</v>
      </c>
      <c r="B1152" s="2"/>
      <c r="C1152" s="100"/>
      <c r="D1152" s="2" t="s">
        <v>6443</v>
      </c>
      <c r="E1152" s="2" t="s">
        <v>5862</v>
      </c>
      <c r="F1152" s="2" t="s">
        <v>5976</v>
      </c>
      <c r="G1152" s="2" t="s">
        <v>5874</v>
      </c>
      <c r="H1152" s="5" t="s">
        <v>1471</v>
      </c>
    </row>
    <row r="1153" spans="1:8" ht="29" hidden="1" x14ac:dyDescent="0.35">
      <c r="A1153" s="136" t="s">
        <v>3851</v>
      </c>
      <c r="B1153" s="2"/>
      <c r="C1153" s="100"/>
      <c r="D1153" s="2" t="s">
        <v>6443</v>
      </c>
      <c r="E1153" s="2" t="s">
        <v>5862</v>
      </c>
      <c r="F1153" s="2" t="s">
        <v>5976</v>
      </c>
      <c r="G1153" s="2" t="s">
        <v>5874</v>
      </c>
      <c r="H1153" s="5" t="s">
        <v>1146</v>
      </c>
    </row>
    <row r="1154" spans="1:8" hidden="1" x14ac:dyDescent="0.35">
      <c r="A1154" s="135" t="s">
        <v>3332</v>
      </c>
      <c r="B1154" s="2"/>
      <c r="C1154" s="100"/>
      <c r="D1154" s="2" t="s">
        <v>6443</v>
      </c>
      <c r="E1154" s="2" t="s">
        <v>5862</v>
      </c>
      <c r="F1154" s="2" t="s">
        <v>5917</v>
      </c>
      <c r="G1154" s="2"/>
      <c r="H1154" s="5" t="s">
        <v>1909</v>
      </c>
    </row>
    <row r="1155" spans="1:8" ht="43.5" hidden="1" x14ac:dyDescent="0.35">
      <c r="A1155" s="135" t="s">
        <v>3332</v>
      </c>
      <c r="B1155" s="2"/>
      <c r="C1155" s="2"/>
      <c r="D1155" s="2" t="s">
        <v>6443</v>
      </c>
      <c r="E1155" s="2" t="s">
        <v>5862</v>
      </c>
      <c r="F1155" s="2" t="s">
        <v>5881</v>
      </c>
      <c r="G1155" s="2"/>
      <c r="H1155" s="5" t="s">
        <v>6865</v>
      </c>
    </row>
    <row r="1156" spans="1:8" hidden="1" x14ac:dyDescent="0.35">
      <c r="A1156" s="135" t="s">
        <v>3332</v>
      </c>
      <c r="B1156" s="2"/>
      <c r="C1156" s="100"/>
      <c r="D1156" s="2" t="s">
        <v>6443</v>
      </c>
      <c r="E1156" s="2" t="s">
        <v>5862</v>
      </c>
      <c r="F1156" s="2" t="s">
        <v>5924</v>
      </c>
      <c r="G1156" s="2" t="s">
        <v>5925</v>
      </c>
      <c r="H1156" s="5" t="s">
        <v>1913</v>
      </c>
    </row>
    <row r="1157" spans="1:8" hidden="1" x14ac:dyDescent="0.35">
      <c r="A1157" s="135" t="s">
        <v>3332</v>
      </c>
      <c r="B1157" s="2"/>
      <c r="C1157" s="100"/>
      <c r="D1157" s="2" t="s">
        <v>6443</v>
      </c>
      <c r="E1157" s="2" t="s">
        <v>5862</v>
      </c>
      <c r="F1157" s="2" t="s">
        <v>5920</v>
      </c>
      <c r="G1157" s="2" t="s">
        <v>5921</v>
      </c>
      <c r="H1157" s="5" t="s">
        <v>1911</v>
      </c>
    </row>
    <row r="1158" spans="1:8" ht="29" hidden="1" x14ac:dyDescent="0.35">
      <c r="A1158" s="153" t="s">
        <v>3533</v>
      </c>
      <c r="B1158" s="2"/>
      <c r="C1158" s="100"/>
      <c r="D1158" s="2" t="s">
        <v>6443</v>
      </c>
      <c r="E1158" s="2" t="s">
        <v>5862</v>
      </c>
      <c r="F1158" s="2" t="s">
        <v>6122</v>
      </c>
      <c r="G1158" s="2" t="s">
        <v>6123</v>
      </c>
      <c r="H1158" s="5" t="s">
        <v>7043</v>
      </c>
    </row>
    <row r="1159" spans="1:8" hidden="1" x14ac:dyDescent="0.35">
      <c r="A1159" s="148" t="s">
        <v>3533</v>
      </c>
      <c r="B1159" s="2"/>
      <c r="C1159" s="100"/>
      <c r="D1159" s="2" t="s">
        <v>6443</v>
      </c>
      <c r="E1159" s="163" t="s">
        <v>5862</v>
      </c>
      <c r="F1159" s="2" t="s">
        <v>6122</v>
      </c>
      <c r="G1159" s="2" t="s">
        <v>6124</v>
      </c>
      <c r="H1159" s="5" t="s">
        <v>561</v>
      </c>
    </row>
    <row r="1160" spans="1:8" hidden="1" x14ac:dyDescent="0.35">
      <c r="A1160" s="153" t="s">
        <v>3533</v>
      </c>
      <c r="B1160" s="2"/>
      <c r="C1160" s="100"/>
      <c r="D1160" s="2" t="s">
        <v>6443</v>
      </c>
      <c r="E1160" s="2" t="s">
        <v>5862</v>
      </c>
      <c r="F1160" s="2" t="s">
        <v>6122</v>
      </c>
      <c r="G1160" s="2" t="s">
        <v>6125</v>
      </c>
      <c r="H1160" s="5" t="s">
        <v>562</v>
      </c>
    </row>
    <row r="1161" spans="1:8" hidden="1" x14ac:dyDescent="0.35">
      <c r="A1161" s="148" t="s">
        <v>3533</v>
      </c>
      <c r="B1161" s="2"/>
      <c r="C1161" s="100"/>
      <c r="D1161" s="2" t="s">
        <v>6443</v>
      </c>
      <c r="E1161" s="2" t="s">
        <v>5862</v>
      </c>
      <c r="F1161" s="2" t="s">
        <v>6122</v>
      </c>
      <c r="G1161" s="2" t="s">
        <v>6126</v>
      </c>
      <c r="H1161" s="5" t="s">
        <v>563</v>
      </c>
    </row>
    <row r="1162" spans="1:8" ht="43.5" hidden="1" x14ac:dyDescent="0.35">
      <c r="A1162" s="136" t="s">
        <v>3332</v>
      </c>
      <c r="B1162" s="2"/>
      <c r="C1162" s="100"/>
      <c r="D1162" s="2" t="s">
        <v>6443</v>
      </c>
      <c r="E1162" s="161" t="s">
        <v>5862</v>
      </c>
      <c r="F1162" s="161" t="s">
        <v>5895</v>
      </c>
      <c r="G1162" s="2" t="s">
        <v>5789</v>
      </c>
      <c r="H1162" s="5" t="s">
        <v>6866</v>
      </c>
    </row>
    <row r="1163" spans="1:8" hidden="1" x14ac:dyDescent="0.35">
      <c r="A1163" s="135" t="s">
        <v>3332</v>
      </c>
      <c r="B1163" s="2"/>
      <c r="C1163" s="100"/>
      <c r="D1163" s="2" t="s">
        <v>6443</v>
      </c>
      <c r="E1163" s="2" t="s">
        <v>5862</v>
      </c>
      <c r="F1163" s="2" t="s">
        <v>5895</v>
      </c>
      <c r="G1163" s="2" t="s">
        <v>5790</v>
      </c>
      <c r="H1163" s="5" t="s">
        <v>1870</v>
      </c>
    </row>
    <row r="1164" spans="1:8" hidden="1" x14ac:dyDescent="0.35">
      <c r="A1164" s="136" t="s">
        <v>3332</v>
      </c>
      <c r="B1164" s="2"/>
      <c r="C1164" s="100"/>
      <c r="D1164" s="2" t="s">
        <v>6443</v>
      </c>
      <c r="E1164" s="161" t="s">
        <v>5862</v>
      </c>
      <c r="F1164" s="161" t="s">
        <v>5895</v>
      </c>
      <c r="G1164" s="2" t="s">
        <v>5791</v>
      </c>
      <c r="H1164" s="5" t="s">
        <v>1871</v>
      </c>
    </row>
    <row r="1165" spans="1:8" hidden="1" x14ac:dyDescent="0.35">
      <c r="A1165" s="135" t="s">
        <v>3332</v>
      </c>
      <c r="B1165" s="2"/>
      <c r="C1165" s="100"/>
      <c r="D1165" s="2" t="s">
        <v>6443</v>
      </c>
      <c r="E1165" s="2" t="s">
        <v>5862</v>
      </c>
      <c r="F1165" s="2" t="s">
        <v>5895</v>
      </c>
      <c r="G1165" s="2" t="s">
        <v>5792</v>
      </c>
      <c r="H1165" s="5" t="s">
        <v>1872</v>
      </c>
    </row>
    <row r="1166" spans="1:8" hidden="1" x14ac:dyDescent="0.35">
      <c r="A1166" s="136" t="s">
        <v>3332</v>
      </c>
      <c r="B1166" s="2"/>
      <c r="C1166" s="100"/>
      <c r="D1166" s="2" t="s">
        <v>6443</v>
      </c>
      <c r="E1166" s="161" t="s">
        <v>5862</v>
      </c>
      <c r="F1166" s="161" t="s">
        <v>5895</v>
      </c>
      <c r="G1166" s="2" t="s">
        <v>5896</v>
      </c>
      <c r="H1166" s="5" t="s">
        <v>1873</v>
      </c>
    </row>
    <row r="1167" spans="1:8" hidden="1" x14ac:dyDescent="0.35">
      <c r="A1167" s="135" t="s">
        <v>3332</v>
      </c>
      <c r="B1167" s="2"/>
      <c r="C1167" s="100"/>
      <c r="D1167" s="2" t="s">
        <v>6443</v>
      </c>
      <c r="E1167" s="2" t="s">
        <v>5862</v>
      </c>
      <c r="F1167" s="2" t="s">
        <v>5895</v>
      </c>
      <c r="G1167" s="2" t="s">
        <v>5897</v>
      </c>
      <c r="H1167" s="5" t="s">
        <v>1874</v>
      </c>
    </row>
    <row r="1168" spans="1:8" hidden="1" x14ac:dyDescent="0.35">
      <c r="A1168" s="136" t="s">
        <v>3332</v>
      </c>
      <c r="B1168" s="2"/>
      <c r="C1168" s="100"/>
      <c r="D1168" s="2" t="s">
        <v>6443</v>
      </c>
      <c r="E1168" s="161" t="s">
        <v>5862</v>
      </c>
      <c r="F1168" s="161" t="s">
        <v>5895</v>
      </c>
      <c r="G1168" s="2" t="s">
        <v>5898</v>
      </c>
      <c r="H1168" s="5" t="s">
        <v>1875</v>
      </c>
    </row>
    <row r="1169" spans="1:8" hidden="1" x14ac:dyDescent="0.35">
      <c r="A1169" s="135" t="s">
        <v>3332</v>
      </c>
      <c r="B1169" s="2"/>
      <c r="C1169" s="100"/>
      <c r="D1169" s="2" t="s">
        <v>6443</v>
      </c>
      <c r="E1169" s="2" t="s">
        <v>5862</v>
      </c>
      <c r="F1169" s="2" t="s">
        <v>5895</v>
      </c>
      <c r="G1169" s="2" t="s">
        <v>5899</v>
      </c>
      <c r="H1169" s="5" t="s">
        <v>1876</v>
      </c>
    </row>
    <row r="1170" spans="1:8" hidden="1" x14ac:dyDescent="0.35">
      <c r="A1170" s="136" t="s">
        <v>3332</v>
      </c>
      <c r="B1170" s="2"/>
      <c r="C1170" s="2"/>
      <c r="D1170" s="2" t="s">
        <v>6443</v>
      </c>
      <c r="E1170" s="161" t="s">
        <v>5862</v>
      </c>
      <c r="F1170" s="161" t="s">
        <v>5895</v>
      </c>
      <c r="G1170" s="2" t="s">
        <v>5900</v>
      </c>
      <c r="H1170" s="5" t="s">
        <v>1877</v>
      </c>
    </row>
    <row r="1171" spans="1:8" ht="43.5" hidden="1" x14ac:dyDescent="0.35">
      <c r="A1171" s="136" t="s">
        <v>3332</v>
      </c>
      <c r="B1171" s="2"/>
      <c r="C1171" s="2"/>
      <c r="D1171" s="2" t="s">
        <v>6443</v>
      </c>
      <c r="E1171" s="161" t="s">
        <v>5862</v>
      </c>
      <c r="F1171" s="161" t="s">
        <v>5922</v>
      </c>
      <c r="G1171" s="2" t="s">
        <v>5923</v>
      </c>
      <c r="H1171" s="5" t="s">
        <v>1912</v>
      </c>
    </row>
    <row r="1172" spans="1:8" hidden="1" x14ac:dyDescent="0.35">
      <c r="A1172" s="136" t="s">
        <v>3332</v>
      </c>
      <c r="B1172" s="2"/>
      <c r="C1172" s="2"/>
      <c r="D1172" s="2" t="s">
        <v>6443</v>
      </c>
      <c r="E1172" s="161" t="s">
        <v>5862</v>
      </c>
      <c r="F1172" s="161" t="s">
        <v>5918</v>
      </c>
      <c r="G1172" s="2" t="s">
        <v>5919</v>
      </c>
      <c r="H1172" s="5" t="s">
        <v>1910</v>
      </c>
    </row>
    <row r="1173" spans="1:8" ht="29" hidden="1" x14ac:dyDescent="0.35">
      <c r="A1173" s="136" t="s">
        <v>3332</v>
      </c>
      <c r="B1173" s="2"/>
      <c r="C1173" s="100"/>
      <c r="D1173" s="2" t="s">
        <v>6443</v>
      </c>
      <c r="E1173" s="161" t="s">
        <v>5862</v>
      </c>
      <c r="F1173" s="161" t="s">
        <v>5863</v>
      </c>
      <c r="G1173" s="2"/>
      <c r="H1173" s="5" t="s">
        <v>6859</v>
      </c>
    </row>
    <row r="1174" spans="1:8" hidden="1" x14ac:dyDescent="0.35">
      <c r="A1174" s="135" t="s">
        <v>3332</v>
      </c>
      <c r="B1174" s="2"/>
      <c r="C1174" s="100"/>
      <c r="D1174" s="2" t="s">
        <v>6443</v>
      </c>
      <c r="E1174" s="2" t="s">
        <v>5862</v>
      </c>
      <c r="F1174" s="2" t="s">
        <v>5888</v>
      </c>
      <c r="G1174" s="2" t="s">
        <v>5889</v>
      </c>
      <c r="H1174" s="5" t="s">
        <v>1834</v>
      </c>
    </row>
    <row r="1175" spans="1:8" ht="29" hidden="1" x14ac:dyDescent="0.35">
      <c r="A1175" s="136" t="s">
        <v>3332</v>
      </c>
      <c r="B1175" s="2"/>
      <c r="C1175" s="100"/>
      <c r="D1175" s="2" t="s">
        <v>6443</v>
      </c>
      <c r="E1175" s="161" t="s">
        <v>5862</v>
      </c>
      <c r="F1175" s="161" t="s">
        <v>5869</v>
      </c>
      <c r="G1175" s="2" t="s">
        <v>5990</v>
      </c>
      <c r="H1175" s="5" t="s">
        <v>3103</v>
      </c>
    </row>
    <row r="1176" spans="1:8" ht="29" hidden="1" x14ac:dyDescent="0.35">
      <c r="A1176" s="136" t="s">
        <v>3332</v>
      </c>
      <c r="B1176" s="2"/>
      <c r="C1176" s="100"/>
      <c r="D1176" s="2" t="s">
        <v>6443</v>
      </c>
      <c r="E1176" s="161" t="s">
        <v>5862</v>
      </c>
      <c r="F1176" s="161" t="s">
        <v>5778</v>
      </c>
      <c r="G1176" s="2" t="s">
        <v>5916</v>
      </c>
      <c r="H1176" s="5" t="s">
        <v>6867</v>
      </c>
    </row>
    <row r="1177" spans="1:8" ht="29" hidden="1" x14ac:dyDescent="0.35">
      <c r="A1177" s="135" t="s">
        <v>3308</v>
      </c>
      <c r="B1177" s="2"/>
      <c r="C1177" s="100"/>
      <c r="D1177" s="2" t="s">
        <v>6443</v>
      </c>
      <c r="E1177" s="2" t="s">
        <v>5862</v>
      </c>
      <c r="F1177" s="2" t="s">
        <v>6006</v>
      </c>
      <c r="G1177" s="2" t="s">
        <v>6005</v>
      </c>
      <c r="H1177" s="5" t="s">
        <v>1381</v>
      </c>
    </row>
    <row r="1178" spans="1:8" ht="29" hidden="1" x14ac:dyDescent="0.35">
      <c r="A1178" s="135" t="s">
        <v>3306</v>
      </c>
      <c r="B1178" s="2"/>
      <c r="C1178" s="2"/>
      <c r="D1178" s="2" t="s">
        <v>6443</v>
      </c>
      <c r="E1178" s="2" t="s">
        <v>6224</v>
      </c>
      <c r="F1178" s="2" t="s">
        <v>6244</v>
      </c>
      <c r="G1178" s="2" t="s">
        <v>6030</v>
      </c>
      <c r="H1178" s="5" t="s">
        <v>7225</v>
      </c>
    </row>
    <row r="1179" spans="1:8" ht="29" hidden="1" x14ac:dyDescent="0.35">
      <c r="A1179" s="136" t="s">
        <v>3306</v>
      </c>
      <c r="B1179" s="2"/>
      <c r="C1179" s="2"/>
      <c r="D1179" s="2" t="s">
        <v>6443</v>
      </c>
      <c r="E1179" s="2" t="s">
        <v>6224</v>
      </c>
      <c r="F1179" s="2" t="s">
        <v>6244</v>
      </c>
      <c r="G1179" s="2" t="s">
        <v>5978</v>
      </c>
      <c r="H1179" s="5" t="s">
        <v>7252</v>
      </c>
    </row>
    <row r="1180" spans="1:8" ht="29" hidden="1" x14ac:dyDescent="0.35">
      <c r="A1180" s="136" t="s">
        <v>3306</v>
      </c>
      <c r="B1180" s="2"/>
      <c r="C1180" s="2"/>
      <c r="D1180" s="2" t="s">
        <v>6443</v>
      </c>
      <c r="E1180" s="2" t="s">
        <v>6224</v>
      </c>
      <c r="F1180" s="2" t="s">
        <v>6248</v>
      </c>
      <c r="G1180" s="2" t="s">
        <v>5978</v>
      </c>
      <c r="H1180" s="5" t="s">
        <v>7240</v>
      </c>
    </row>
    <row r="1181" spans="1:8" ht="29" hidden="1" x14ac:dyDescent="0.35">
      <c r="A1181" s="136" t="s">
        <v>3306</v>
      </c>
      <c r="B1181" s="2"/>
      <c r="C1181" s="2"/>
      <c r="D1181" s="2" t="s">
        <v>6443</v>
      </c>
      <c r="E1181" s="2" t="s">
        <v>6224</v>
      </c>
      <c r="F1181" s="2" t="s">
        <v>6252</v>
      </c>
      <c r="G1181" s="2" t="s">
        <v>5978</v>
      </c>
      <c r="H1181" s="5" t="s">
        <v>7246</v>
      </c>
    </row>
    <row r="1182" spans="1:8" ht="29" hidden="1" x14ac:dyDescent="0.35">
      <c r="A1182" s="135" t="s">
        <v>3306</v>
      </c>
      <c r="B1182" s="2"/>
      <c r="C1182" s="100"/>
      <c r="D1182" s="2" t="s">
        <v>6443</v>
      </c>
      <c r="E1182" s="2" t="s">
        <v>6224</v>
      </c>
      <c r="F1182" s="2" t="s">
        <v>6252</v>
      </c>
      <c r="G1182" s="2" t="s">
        <v>6262</v>
      </c>
      <c r="H1182" s="5" t="s">
        <v>7275</v>
      </c>
    </row>
    <row r="1183" spans="1:8" ht="29" hidden="1" x14ac:dyDescent="0.35">
      <c r="A1183" s="135" t="s">
        <v>3306</v>
      </c>
      <c r="B1183" s="2"/>
      <c r="C1183" s="100"/>
      <c r="D1183" s="2" t="s">
        <v>6443</v>
      </c>
      <c r="E1183" s="2" t="s">
        <v>6224</v>
      </c>
      <c r="F1183" s="2" t="s">
        <v>6029</v>
      </c>
      <c r="G1183" s="2" t="s">
        <v>5978</v>
      </c>
      <c r="H1183" s="5" t="s">
        <v>7245</v>
      </c>
    </row>
    <row r="1184" spans="1:8" ht="29" hidden="1" x14ac:dyDescent="0.35">
      <c r="A1184" s="136" t="s">
        <v>3306</v>
      </c>
      <c r="B1184" s="2"/>
      <c r="C1184" s="2"/>
      <c r="D1184" s="2" t="s">
        <v>6443</v>
      </c>
      <c r="E1184" s="2" t="s">
        <v>6224</v>
      </c>
      <c r="F1184" s="2" t="s">
        <v>6029</v>
      </c>
      <c r="G1184" s="2" t="s">
        <v>6262</v>
      </c>
      <c r="H1184" s="5" t="s">
        <v>7274</v>
      </c>
    </row>
    <row r="1185" spans="1:8" ht="29" hidden="1" x14ac:dyDescent="0.35">
      <c r="A1185" s="136" t="s">
        <v>3306</v>
      </c>
      <c r="B1185" s="2"/>
      <c r="C1185" s="100"/>
      <c r="D1185" s="2" t="s">
        <v>6443</v>
      </c>
      <c r="E1185" s="2" t="s">
        <v>6224</v>
      </c>
      <c r="F1185" s="2" t="s">
        <v>6254</v>
      </c>
      <c r="G1185" s="2" t="s">
        <v>5978</v>
      </c>
      <c r="H1185" s="5" t="s">
        <v>7248</v>
      </c>
    </row>
    <row r="1186" spans="1:8" ht="29" hidden="1" x14ac:dyDescent="0.35">
      <c r="A1186" s="136" t="s">
        <v>3306</v>
      </c>
      <c r="B1186" s="2"/>
      <c r="C1186" s="100"/>
      <c r="D1186" s="2" t="s">
        <v>6443</v>
      </c>
      <c r="E1186" s="2" t="s">
        <v>6224</v>
      </c>
      <c r="F1186" s="2" t="s">
        <v>6237</v>
      </c>
      <c r="G1186" s="2" t="s">
        <v>6030</v>
      </c>
      <c r="H1186" s="5" t="s">
        <v>7218</v>
      </c>
    </row>
    <row r="1187" spans="1:8" ht="29" hidden="1" x14ac:dyDescent="0.35">
      <c r="A1187" s="136" t="s">
        <v>3306</v>
      </c>
      <c r="B1187" s="2"/>
      <c r="C1187" s="2"/>
      <c r="D1187" s="2" t="s">
        <v>6443</v>
      </c>
      <c r="E1187" s="2" t="s">
        <v>6224</v>
      </c>
      <c r="F1187" s="2" t="s">
        <v>6237</v>
      </c>
      <c r="G1187" s="2" t="s">
        <v>6262</v>
      </c>
      <c r="H1187" s="5" t="s">
        <v>7276</v>
      </c>
    </row>
    <row r="1188" spans="1:8" ht="29" hidden="1" x14ac:dyDescent="0.35">
      <c r="A1188" s="135" t="s">
        <v>3306</v>
      </c>
      <c r="B1188" s="2"/>
      <c r="C1188" s="2"/>
      <c r="D1188" s="2" t="s">
        <v>6443</v>
      </c>
      <c r="E1188" s="2" t="s">
        <v>6224</v>
      </c>
      <c r="F1188" s="2" t="s">
        <v>6226</v>
      </c>
      <c r="G1188" s="2" t="s">
        <v>6030</v>
      </c>
      <c r="H1188" s="5" t="s">
        <v>7201</v>
      </c>
    </row>
    <row r="1189" spans="1:8" ht="29" hidden="1" x14ac:dyDescent="0.35">
      <c r="A1189" s="136" t="s">
        <v>3306</v>
      </c>
      <c r="B1189" s="2"/>
      <c r="C1189" s="2"/>
      <c r="D1189" s="2" t="s">
        <v>6443</v>
      </c>
      <c r="E1189" s="2" t="s">
        <v>6224</v>
      </c>
      <c r="F1189" s="2" t="s">
        <v>6226</v>
      </c>
      <c r="G1189" s="2" t="s">
        <v>5978</v>
      </c>
      <c r="H1189" s="5" t="s">
        <v>7228</v>
      </c>
    </row>
    <row r="1190" spans="1:8" ht="29" hidden="1" x14ac:dyDescent="0.35">
      <c r="A1190" s="135" t="s">
        <v>3306</v>
      </c>
      <c r="B1190" s="2"/>
      <c r="C1190" s="2"/>
      <c r="D1190" s="2" t="s">
        <v>6443</v>
      </c>
      <c r="E1190" s="2" t="s">
        <v>6224</v>
      </c>
      <c r="F1190" s="2" t="s">
        <v>6226</v>
      </c>
      <c r="G1190" s="2" t="s">
        <v>6257</v>
      </c>
      <c r="H1190" s="5" t="s">
        <v>7255</v>
      </c>
    </row>
    <row r="1191" spans="1:8" ht="29" hidden="1" x14ac:dyDescent="0.35">
      <c r="A1191" s="136" t="s">
        <v>3306</v>
      </c>
      <c r="B1191" s="2"/>
      <c r="C1191" s="2"/>
      <c r="D1191" s="2" t="s">
        <v>6443</v>
      </c>
      <c r="E1191" s="2" t="s">
        <v>6224</v>
      </c>
      <c r="F1191" s="2" t="s">
        <v>6246</v>
      </c>
      <c r="G1191" s="2" t="s">
        <v>5978</v>
      </c>
      <c r="H1191" s="5" t="s">
        <v>7234</v>
      </c>
    </row>
    <row r="1192" spans="1:8" ht="29" hidden="1" x14ac:dyDescent="0.35">
      <c r="A1192" s="135" t="s">
        <v>3306</v>
      </c>
      <c r="B1192" s="2"/>
      <c r="C1192" s="2"/>
      <c r="D1192" s="2" t="s">
        <v>6443</v>
      </c>
      <c r="E1192" s="2" t="s">
        <v>6224</v>
      </c>
      <c r="F1192" s="2" t="s">
        <v>6256</v>
      </c>
      <c r="G1192" s="2" t="s">
        <v>5978</v>
      </c>
      <c r="H1192" s="5" t="s">
        <v>7253</v>
      </c>
    </row>
    <row r="1193" spans="1:8" ht="29" hidden="1" x14ac:dyDescent="0.35">
      <c r="A1193" s="136" t="s">
        <v>3306</v>
      </c>
      <c r="B1193" s="2"/>
      <c r="C1193" s="2"/>
      <c r="D1193" s="2" t="s">
        <v>6443</v>
      </c>
      <c r="E1193" s="2" t="s">
        <v>6224</v>
      </c>
      <c r="F1193" s="2" t="s">
        <v>6235</v>
      </c>
      <c r="G1193" s="2" t="s">
        <v>6030</v>
      </c>
      <c r="H1193" s="5" t="s">
        <v>7216</v>
      </c>
    </row>
    <row r="1194" spans="1:8" ht="29" hidden="1" x14ac:dyDescent="0.35">
      <c r="A1194" s="135" t="s">
        <v>3306</v>
      </c>
      <c r="B1194" s="2"/>
      <c r="C1194" s="2"/>
      <c r="D1194" s="2" t="s">
        <v>6443</v>
      </c>
      <c r="E1194" s="2" t="s">
        <v>6224</v>
      </c>
      <c r="F1194" s="2" t="s">
        <v>6235</v>
      </c>
      <c r="G1194" s="2" t="s">
        <v>5978</v>
      </c>
      <c r="H1194" s="5" t="s">
        <v>7243</v>
      </c>
    </row>
    <row r="1195" spans="1:8" ht="29" hidden="1" x14ac:dyDescent="0.35">
      <c r="A1195" s="136" t="s">
        <v>3306</v>
      </c>
      <c r="B1195" s="2"/>
      <c r="C1195" s="2"/>
      <c r="D1195" s="2" t="s">
        <v>6443</v>
      </c>
      <c r="E1195" s="2" t="s">
        <v>6224</v>
      </c>
      <c r="F1195" s="2" t="s">
        <v>6235</v>
      </c>
      <c r="G1195" s="2" t="s">
        <v>6262</v>
      </c>
      <c r="H1195" s="5" t="s">
        <v>7270</v>
      </c>
    </row>
    <row r="1196" spans="1:8" ht="29" hidden="1" x14ac:dyDescent="0.35">
      <c r="A1196" s="135" t="s">
        <v>3306</v>
      </c>
      <c r="B1196" s="2"/>
      <c r="C1196" s="2"/>
      <c r="D1196" s="2" t="s">
        <v>6443</v>
      </c>
      <c r="E1196" s="2" t="s">
        <v>6224</v>
      </c>
      <c r="F1196" s="2" t="s">
        <v>6263</v>
      </c>
      <c r="G1196" s="2" t="s">
        <v>6262</v>
      </c>
      <c r="H1196" s="5" t="s">
        <v>7269</v>
      </c>
    </row>
    <row r="1197" spans="1:8" ht="43.5" hidden="1" x14ac:dyDescent="0.35">
      <c r="A1197" s="136" t="s">
        <v>3306</v>
      </c>
      <c r="B1197" s="2"/>
      <c r="C1197" s="2"/>
      <c r="D1197" s="2" t="s">
        <v>6443</v>
      </c>
      <c r="E1197" s="2" t="s">
        <v>6224</v>
      </c>
      <c r="F1197" s="2" t="s">
        <v>6231</v>
      </c>
      <c r="G1197" s="2" t="s">
        <v>6030</v>
      </c>
      <c r="H1197" s="5" t="s">
        <v>7212</v>
      </c>
    </row>
    <row r="1198" spans="1:8" ht="29" hidden="1" x14ac:dyDescent="0.35">
      <c r="A1198" s="136" t="s">
        <v>3306</v>
      </c>
      <c r="B1198" s="2"/>
      <c r="C1198" s="2"/>
      <c r="D1198" s="2" t="s">
        <v>6443</v>
      </c>
      <c r="E1198" s="2" t="s">
        <v>6224</v>
      </c>
      <c r="F1198" s="2" t="s">
        <v>6229</v>
      </c>
      <c r="G1198" s="2" t="s">
        <v>6030</v>
      </c>
      <c r="H1198" s="5" t="s">
        <v>7210</v>
      </c>
    </row>
    <row r="1199" spans="1:8" ht="29" hidden="1" x14ac:dyDescent="0.35">
      <c r="A1199" s="135" t="s">
        <v>3306</v>
      </c>
      <c r="B1199" s="2"/>
      <c r="C1199" s="2"/>
      <c r="D1199" s="2" t="s">
        <v>6443</v>
      </c>
      <c r="E1199" s="2" t="s">
        <v>6224</v>
      </c>
      <c r="F1199" s="2" t="s">
        <v>6238</v>
      </c>
      <c r="G1199" s="2" t="s">
        <v>6030</v>
      </c>
      <c r="H1199" s="5" t="s">
        <v>7219</v>
      </c>
    </row>
    <row r="1200" spans="1:8" ht="29" hidden="1" x14ac:dyDescent="0.35">
      <c r="A1200" s="135" t="s">
        <v>3306</v>
      </c>
      <c r="B1200" s="2"/>
      <c r="C1200" s="2"/>
      <c r="D1200" s="2" t="s">
        <v>6443</v>
      </c>
      <c r="E1200" s="2" t="s">
        <v>6224</v>
      </c>
      <c r="F1200" s="2" t="s">
        <v>6267</v>
      </c>
      <c r="G1200" s="2" t="s">
        <v>6262</v>
      </c>
      <c r="H1200" s="5" t="s">
        <v>7281</v>
      </c>
    </row>
    <row r="1201" spans="1:8" ht="43.5" hidden="1" x14ac:dyDescent="0.35">
      <c r="A1201" s="136" t="s">
        <v>3306</v>
      </c>
      <c r="B1201" s="2"/>
      <c r="C1201" s="2"/>
      <c r="D1201" s="2" t="s">
        <v>6443</v>
      </c>
      <c r="E1201" s="2" t="s">
        <v>6224</v>
      </c>
      <c r="F1201" s="2" t="s">
        <v>6260</v>
      </c>
      <c r="G1201" s="2" t="s">
        <v>6257</v>
      </c>
      <c r="H1201" s="5" t="s">
        <v>7266</v>
      </c>
    </row>
    <row r="1202" spans="1:8" ht="29" hidden="1" x14ac:dyDescent="0.35">
      <c r="A1202" s="136" t="s">
        <v>3306</v>
      </c>
      <c r="B1202" s="2"/>
      <c r="C1202" s="2"/>
      <c r="D1202" s="2" t="s">
        <v>6443</v>
      </c>
      <c r="E1202" s="2" t="s">
        <v>6224</v>
      </c>
      <c r="F1202" s="2" t="s">
        <v>6266</v>
      </c>
      <c r="G1202" s="2" t="s">
        <v>6262</v>
      </c>
      <c r="H1202" s="5" t="s">
        <v>7280</v>
      </c>
    </row>
    <row r="1203" spans="1:8" ht="43.5" hidden="1" x14ac:dyDescent="0.35">
      <c r="A1203" s="135" t="s">
        <v>3306</v>
      </c>
      <c r="B1203" s="2"/>
      <c r="C1203" s="2"/>
      <c r="D1203" s="2" t="s">
        <v>6443</v>
      </c>
      <c r="E1203" s="2" t="s">
        <v>6224</v>
      </c>
      <c r="F1203" s="2" t="s">
        <v>6261</v>
      </c>
      <c r="G1203" s="2" t="s">
        <v>6257</v>
      </c>
      <c r="H1203" s="5" t="s">
        <v>7267</v>
      </c>
    </row>
    <row r="1204" spans="1:8" ht="29" hidden="1" x14ac:dyDescent="0.35">
      <c r="A1204" s="136" t="s">
        <v>3306</v>
      </c>
      <c r="B1204" s="2"/>
      <c r="C1204" s="2"/>
      <c r="D1204" s="2" t="s">
        <v>6443</v>
      </c>
      <c r="E1204" s="2" t="s">
        <v>6224</v>
      </c>
      <c r="F1204" s="2" t="s">
        <v>6265</v>
      </c>
      <c r="G1204" s="2" t="s">
        <v>6262</v>
      </c>
      <c r="H1204" s="5" t="s">
        <v>7278</v>
      </c>
    </row>
    <row r="1205" spans="1:8" ht="43.5" hidden="1" x14ac:dyDescent="0.35">
      <c r="A1205" s="136" t="s">
        <v>3306</v>
      </c>
      <c r="B1205" s="2"/>
      <c r="C1205" s="100"/>
      <c r="D1205" s="2" t="s">
        <v>6443</v>
      </c>
      <c r="E1205" s="2" t="s">
        <v>6224</v>
      </c>
      <c r="F1205" s="2" t="s">
        <v>6258</v>
      </c>
      <c r="G1205" s="2" t="s">
        <v>6257</v>
      </c>
      <c r="H1205" s="5" t="s">
        <v>7264</v>
      </c>
    </row>
    <row r="1206" spans="1:8" ht="43.5" hidden="1" x14ac:dyDescent="0.35">
      <c r="A1206" s="136" t="s">
        <v>3306</v>
      </c>
      <c r="B1206" s="2"/>
      <c r="C1206" s="100"/>
      <c r="D1206" s="2" t="s">
        <v>6443</v>
      </c>
      <c r="E1206" s="2" t="s">
        <v>6224</v>
      </c>
      <c r="F1206" s="2" t="s">
        <v>6233</v>
      </c>
      <c r="G1206" s="2" t="s">
        <v>6030</v>
      </c>
      <c r="H1206" s="5" t="s">
        <v>7214</v>
      </c>
    </row>
    <row r="1207" spans="1:8" ht="29" hidden="1" x14ac:dyDescent="0.35">
      <c r="A1207" s="135" t="s">
        <v>3306</v>
      </c>
      <c r="B1207" s="2"/>
      <c r="C1207" s="2"/>
      <c r="D1207" s="2" t="s">
        <v>6443</v>
      </c>
      <c r="E1207" s="2" t="s">
        <v>6224</v>
      </c>
      <c r="F1207" s="2" t="s">
        <v>6228</v>
      </c>
      <c r="G1207" s="2" t="s">
        <v>6030</v>
      </c>
      <c r="H1207" s="5" t="s">
        <v>7207</v>
      </c>
    </row>
    <row r="1208" spans="1:8" ht="29" hidden="1" x14ac:dyDescent="0.35">
      <c r="A1208" s="136" t="s">
        <v>3306</v>
      </c>
      <c r="B1208" s="2"/>
      <c r="C1208" s="2"/>
      <c r="D1208" s="2" t="s">
        <v>6443</v>
      </c>
      <c r="E1208" s="2" t="s">
        <v>6224</v>
      </c>
      <c r="F1208" s="2" t="s">
        <v>6243</v>
      </c>
      <c r="G1208" s="2" t="s">
        <v>6030</v>
      </c>
      <c r="H1208" s="5" t="s">
        <v>7224</v>
      </c>
    </row>
    <row r="1209" spans="1:8" ht="43.5" hidden="1" x14ac:dyDescent="0.35">
      <c r="A1209" s="135" t="s">
        <v>3306</v>
      </c>
      <c r="B1209" s="2"/>
      <c r="C1209" s="2"/>
      <c r="D1209" s="2" t="s">
        <v>6443</v>
      </c>
      <c r="E1209" s="2" t="s">
        <v>6224</v>
      </c>
      <c r="F1209" s="2" t="s">
        <v>6232</v>
      </c>
      <c r="G1209" s="2" t="s">
        <v>6030</v>
      </c>
      <c r="H1209" s="5" t="s">
        <v>7213</v>
      </c>
    </row>
    <row r="1210" spans="1:8" ht="29" hidden="1" x14ac:dyDescent="0.35">
      <c r="A1210" s="136" t="s">
        <v>3306</v>
      </c>
      <c r="B1210" s="2"/>
      <c r="C1210" s="2"/>
      <c r="D1210" s="2" t="s">
        <v>6443</v>
      </c>
      <c r="E1210" s="2" t="s">
        <v>6224</v>
      </c>
      <c r="F1210" s="2" t="s">
        <v>6241</v>
      </c>
      <c r="G1210" s="2" t="s">
        <v>6030</v>
      </c>
      <c r="H1210" s="5" t="s">
        <v>7222</v>
      </c>
    </row>
    <row r="1211" spans="1:8" ht="29" hidden="1" x14ac:dyDescent="0.35">
      <c r="A1211" s="136" t="s">
        <v>3306</v>
      </c>
      <c r="B1211" s="2"/>
      <c r="C1211" s="2"/>
      <c r="D1211" s="2" t="s">
        <v>6443</v>
      </c>
      <c r="E1211" s="2" t="s">
        <v>6224</v>
      </c>
      <c r="F1211" s="2" t="s">
        <v>6239</v>
      </c>
      <c r="G1211" s="2" t="s">
        <v>6030</v>
      </c>
      <c r="H1211" s="5" t="s">
        <v>7220</v>
      </c>
    </row>
    <row r="1212" spans="1:8" ht="29" hidden="1" x14ac:dyDescent="0.35">
      <c r="A1212" s="136" t="s">
        <v>3306</v>
      </c>
      <c r="B1212" s="2"/>
      <c r="C1212" s="2"/>
      <c r="D1212" s="2" t="s">
        <v>6443</v>
      </c>
      <c r="E1212" s="2" t="s">
        <v>6224</v>
      </c>
      <c r="F1212" s="2" t="s">
        <v>6239</v>
      </c>
      <c r="G1212" s="2" t="s">
        <v>5978</v>
      </c>
      <c r="H1212" s="5" t="s">
        <v>7250</v>
      </c>
    </row>
    <row r="1213" spans="1:8" ht="29" hidden="1" x14ac:dyDescent="0.35">
      <c r="A1213" s="136" t="s">
        <v>3306</v>
      </c>
      <c r="B1213" s="2"/>
      <c r="C1213" s="2"/>
      <c r="D1213" s="2" t="s">
        <v>6443</v>
      </c>
      <c r="E1213" s="2" t="s">
        <v>6224</v>
      </c>
      <c r="F1213" s="2" t="s">
        <v>6239</v>
      </c>
      <c r="G1213" s="2" t="s">
        <v>6262</v>
      </c>
      <c r="H1213" s="5" t="s">
        <v>7282</v>
      </c>
    </row>
    <row r="1214" spans="1:8" ht="29" hidden="1" x14ac:dyDescent="0.35">
      <c r="A1214" s="135" t="s">
        <v>3306</v>
      </c>
      <c r="B1214" s="2"/>
      <c r="C1214" s="2"/>
      <c r="D1214" s="2" t="s">
        <v>6443</v>
      </c>
      <c r="E1214" s="2" t="s">
        <v>6224</v>
      </c>
      <c r="F1214" s="2" t="s">
        <v>6240</v>
      </c>
      <c r="G1214" s="2" t="s">
        <v>6030</v>
      </c>
      <c r="H1214" s="5" t="s">
        <v>7221</v>
      </c>
    </row>
    <row r="1215" spans="1:8" ht="43.5" hidden="1" x14ac:dyDescent="0.35">
      <c r="A1215" s="135" t="s">
        <v>3306</v>
      </c>
      <c r="B1215" s="2"/>
      <c r="C1215" s="2"/>
      <c r="D1215" s="2" t="s">
        <v>6443</v>
      </c>
      <c r="E1215" s="2" t="s">
        <v>6224</v>
      </c>
      <c r="F1215" s="2" t="s">
        <v>6240</v>
      </c>
      <c r="G1215" s="2" t="s">
        <v>5978</v>
      </c>
      <c r="H1215" s="5" t="s">
        <v>7251</v>
      </c>
    </row>
    <row r="1216" spans="1:8" ht="29" hidden="1" x14ac:dyDescent="0.35">
      <c r="A1216" s="135" t="s">
        <v>3306</v>
      </c>
      <c r="B1216" s="2"/>
      <c r="C1216" s="2"/>
      <c r="D1216" s="2" t="s">
        <v>6443</v>
      </c>
      <c r="E1216" s="2" t="s">
        <v>6224</v>
      </c>
      <c r="F1216" s="2" t="s">
        <v>6240</v>
      </c>
      <c r="G1216" s="2" t="s">
        <v>6262</v>
      </c>
      <c r="H1216" s="5" t="s">
        <v>7283</v>
      </c>
    </row>
    <row r="1217" spans="1:8" ht="29" hidden="1" x14ac:dyDescent="0.35">
      <c r="A1217" s="135" t="s">
        <v>3306</v>
      </c>
      <c r="B1217" s="2"/>
      <c r="C1217" s="2"/>
      <c r="D1217" s="2" t="s">
        <v>6443</v>
      </c>
      <c r="E1217" s="2" t="s">
        <v>6224</v>
      </c>
      <c r="F1217" s="2" t="s">
        <v>6227</v>
      </c>
      <c r="G1217" s="2" t="s">
        <v>6030</v>
      </c>
      <c r="H1217" s="5" t="s">
        <v>7203</v>
      </c>
    </row>
    <row r="1218" spans="1:8" ht="29" hidden="1" x14ac:dyDescent="0.35">
      <c r="A1218" s="136" t="s">
        <v>3306</v>
      </c>
      <c r="B1218" s="2"/>
      <c r="C1218" s="2"/>
      <c r="D1218" s="2" t="s">
        <v>6443</v>
      </c>
      <c r="E1218" s="2" t="s">
        <v>6224</v>
      </c>
      <c r="F1218" s="2" t="s">
        <v>6227</v>
      </c>
      <c r="G1218" s="2" t="s">
        <v>5978</v>
      </c>
      <c r="H1218" s="5" t="s">
        <v>7230</v>
      </c>
    </row>
    <row r="1219" spans="1:8" ht="29" hidden="1" x14ac:dyDescent="0.35">
      <c r="A1219" s="135" t="s">
        <v>3306</v>
      </c>
      <c r="B1219" s="2"/>
      <c r="C1219" s="100"/>
      <c r="D1219" s="2" t="s">
        <v>6443</v>
      </c>
      <c r="E1219" s="2" t="s">
        <v>6224</v>
      </c>
      <c r="F1219" s="2" t="s">
        <v>6227</v>
      </c>
      <c r="G1219" s="2" t="s">
        <v>6257</v>
      </c>
      <c r="H1219" s="5" t="s">
        <v>7257</v>
      </c>
    </row>
    <row r="1220" spans="1:8" ht="29" hidden="1" x14ac:dyDescent="0.35">
      <c r="A1220" s="135" t="s">
        <v>3306</v>
      </c>
      <c r="B1220" s="2"/>
      <c r="C1220" s="100"/>
      <c r="D1220" s="2" t="s">
        <v>6443</v>
      </c>
      <c r="E1220" s="2" t="s">
        <v>6224</v>
      </c>
      <c r="F1220" s="2" t="s">
        <v>6230</v>
      </c>
      <c r="G1220" s="2" t="s">
        <v>6030</v>
      </c>
      <c r="H1220" s="5" t="s">
        <v>7211</v>
      </c>
    </row>
    <row r="1221" spans="1:8" ht="29" hidden="1" x14ac:dyDescent="0.35">
      <c r="A1221" s="135" t="s">
        <v>3306</v>
      </c>
      <c r="B1221" s="2"/>
      <c r="C1221" s="100"/>
      <c r="D1221" s="2" t="s">
        <v>6443</v>
      </c>
      <c r="E1221" s="2" t="s">
        <v>6224</v>
      </c>
      <c r="F1221" s="2" t="s">
        <v>6230</v>
      </c>
      <c r="G1221" s="2" t="s">
        <v>5978</v>
      </c>
      <c r="H1221" s="5" t="s">
        <v>7239</v>
      </c>
    </row>
    <row r="1222" spans="1:8" ht="29" hidden="1" x14ac:dyDescent="0.35">
      <c r="A1222" s="135" t="s">
        <v>3306</v>
      </c>
      <c r="B1222" s="2"/>
      <c r="C1222" s="2"/>
      <c r="D1222" s="2" t="s">
        <v>6443</v>
      </c>
      <c r="E1222" s="2" t="s">
        <v>6224</v>
      </c>
      <c r="F1222" s="2" t="s">
        <v>6230</v>
      </c>
      <c r="G1222" s="2" t="s">
        <v>6257</v>
      </c>
      <c r="H1222" s="5" t="s">
        <v>7263</v>
      </c>
    </row>
    <row r="1223" spans="1:8" ht="29" hidden="1" x14ac:dyDescent="0.35">
      <c r="A1223" s="135" t="s">
        <v>3306</v>
      </c>
      <c r="B1223" s="2"/>
      <c r="C1223" s="2"/>
      <c r="D1223" s="2" t="s">
        <v>6443</v>
      </c>
      <c r="E1223" s="2" t="s">
        <v>6224</v>
      </c>
      <c r="F1223" s="2" t="s">
        <v>6230</v>
      </c>
      <c r="G1223" s="2" t="s">
        <v>6262</v>
      </c>
      <c r="H1223" s="5" t="s">
        <v>7277</v>
      </c>
    </row>
    <row r="1224" spans="1:8" ht="29" hidden="1" x14ac:dyDescent="0.35">
      <c r="A1224" s="135" t="s">
        <v>3306</v>
      </c>
      <c r="B1224" s="2"/>
      <c r="C1224" s="2"/>
      <c r="D1224" s="2" t="s">
        <v>6443</v>
      </c>
      <c r="E1224" s="2" t="s">
        <v>6224</v>
      </c>
      <c r="F1224" s="2" t="s">
        <v>6249</v>
      </c>
      <c r="G1224" s="2" t="s">
        <v>5978</v>
      </c>
      <c r="H1224" s="5" t="s">
        <v>7241</v>
      </c>
    </row>
    <row r="1225" spans="1:8" ht="29" hidden="1" x14ac:dyDescent="0.35">
      <c r="A1225" s="135" t="s">
        <v>3306</v>
      </c>
      <c r="B1225" s="2"/>
      <c r="C1225" s="2"/>
      <c r="D1225" s="2" t="s">
        <v>6443</v>
      </c>
      <c r="E1225" s="2" t="s">
        <v>6224</v>
      </c>
      <c r="F1225" s="2" t="s">
        <v>6255</v>
      </c>
      <c r="G1225" s="2" t="s">
        <v>5978</v>
      </c>
      <c r="H1225" s="5" t="s">
        <v>7249</v>
      </c>
    </row>
    <row r="1226" spans="1:8" ht="29" hidden="1" x14ac:dyDescent="0.35">
      <c r="A1226" s="135" t="s">
        <v>3306</v>
      </c>
      <c r="B1226" s="2"/>
      <c r="C1226" s="2"/>
      <c r="D1226" s="2" t="s">
        <v>6443</v>
      </c>
      <c r="E1226" s="2" t="s">
        <v>6224</v>
      </c>
      <c r="F1226" s="2" t="s">
        <v>6253</v>
      </c>
      <c r="G1226" s="2" t="s">
        <v>5978</v>
      </c>
      <c r="H1226" s="5" t="s">
        <v>7247</v>
      </c>
    </row>
    <row r="1227" spans="1:8" ht="29" hidden="1" x14ac:dyDescent="0.35">
      <c r="A1227" s="135" t="s">
        <v>3306</v>
      </c>
      <c r="B1227" s="2"/>
      <c r="C1227" s="2"/>
      <c r="D1227" s="2" t="s">
        <v>6443</v>
      </c>
      <c r="E1227" s="2" t="s">
        <v>6224</v>
      </c>
      <c r="F1227" s="2" t="s">
        <v>6219</v>
      </c>
      <c r="G1227" s="2" t="s">
        <v>6030</v>
      </c>
      <c r="H1227" s="5" t="s">
        <v>7205</v>
      </c>
    </row>
    <row r="1228" spans="1:8" ht="29" hidden="1" x14ac:dyDescent="0.35">
      <c r="A1228" s="136" t="s">
        <v>3306</v>
      </c>
      <c r="B1228" s="2"/>
      <c r="C1228" s="2"/>
      <c r="D1228" s="2" t="s">
        <v>6443</v>
      </c>
      <c r="E1228" s="2" t="s">
        <v>6224</v>
      </c>
      <c r="F1228" s="2" t="s">
        <v>6219</v>
      </c>
      <c r="G1228" s="2" t="s">
        <v>5978</v>
      </c>
      <c r="H1228" s="5" t="s">
        <v>7232</v>
      </c>
    </row>
    <row r="1229" spans="1:8" ht="29" hidden="1" x14ac:dyDescent="0.35">
      <c r="A1229" s="135" t="s">
        <v>3306</v>
      </c>
      <c r="B1229" s="2"/>
      <c r="C1229" s="2"/>
      <c r="D1229" s="2" t="s">
        <v>6443</v>
      </c>
      <c r="E1229" s="2" t="s">
        <v>6224</v>
      </c>
      <c r="F1229" s="2" t="s">
        <v>6219</v>
      </c>
      <c r="G1229" s="2" t="s">
        <v>6257</v>
      </c>
      <c r="H1229" s="5" t="s">
        <v>7259</v>
      </c>
    </row>
    <row r="1230" spans="1:8" ht="29" hidden="1" x14ac:dyDescent="0.35">
      <c r="A1230" s="135" t="s">
        <v>3306</v>
      </c>
      <c r="B1230" s="2"/>
      <c r="C1230" s="2"/>
      <c r="D1230" s="2" t="s">
        <v>6443</v>
      </c>
      <c r="E1230" s="2" t="s">
        <v>6224</v>
      </c>
      <c r="F1230" s="2" t="s">
        <v>6234</v>
      </c>
      <c r="G1230" s="2" t="s">
        <v>6030</v>
      </c>
      <c r="H1230" s="5" t="s">
        <v>7215</v>
      </c>
    </row>
    <row r="1231" spans="1:8" ht="29" hidden="1" x14ac:dyDescent="0.35">
      <c r="A1231" s="136" t="s">
        <v>3306</v>
      </c>
      <c r="B1231" s="2"/>
      <c r="C1231" s="2"/>
      <c r="D1231" s="2" t="s">
        <v>6443</v>
      </c>
      <c r="E1231" s="2" t="s">
        <v>6224</v>
      </c>
      <c r="F1231" s="2" t="s">
        <v>6234</v>
      </c>
      <c r="G1231" s="2" t="s">
        <v>6262</v>
      </c>
      <c r="H1231" s="5" t="s">
        <v>7268</v>
      </c>
    </row>
    <row r="1232" spans="1:8" ht="29" hidden="1" x14ac:dyDescent="0.35">
      <c r="A1232" s="135" t="s">
        <v>3306</v>
      </c>
      <c r="B1232" s="2"/>
      <c r="C1232" s="100"/>
      <c r="D1232" s="2" t="s">
        <v>6443</v>
      </c>
      <c r="E1232" s="2" t="s">
        <v>6224</v>
      </c>
      <c r="F1232" s="2" t="s">
        <v>6242</v>
      </c>
      <c r="G1232" s="2" t="s">
        <v>6030</v>
      </c>
      <c r="H1232" s="5" t="s">
        <v>7223</v>
      </c>
    </row>
    <row r="1233" spans="1:8" ht="29" hidden="1" x14ac:dyDescent="0.35">
      <c r="A1233" s="136" t="s">
        <v>3306</v>
      </c>
      <c r="B1233" s="2"/>
      <c r="C1233" s="100"/>
      <c r="D1233" s="2" t="s">
        <v>6443</v>
      </c>
      <c r="E1233" s="2" t="s">
        <v>6224</v>
      </c>
      <c r="F1233" s="2" t="s">
        <v>6245</v>
      </c>
      <c r="G1233" s="2" t="s">
        <v>6030</v>
      </c>
      <c r="H1233" s="5" t="s">
        <v>7226</v>
      </c>
    </row>
    <row r="1234" spans="1:8" ht="43.5" hidden="1" x14ac:dyDescent="0.35">
      <c r="A1234" s="136" t="s">
        <v>3306</v>
      </c>
      <c r="B1234" s="2"/>
      <c r="C1234" s="2"/>
      <c r="D1234" s="2" t="s">
        <v>6443</v>
      </c>
      <c r="E1234" s="2" t="s">
        <v>6224</v>
      </c>
      <c r="F1234" s="2" t="s">
        <v>6250</v>
      </c>
      <c r="G1234" s="2" t="s">
        <v>5978</v>
      </c>
      <c r="H1234" s="5" t="s">
        <v>7242</v>
      </c>
    </row>
    <row r="1235" spans="1:8" ht="29" hidden="1" x14ac:dyDescent="0.35">
      <c r="A1235" s="136" t="s">
        <v>3306</v>
      </c>
      <c r="B1235" s="2"/>
      <c r="C1235" s="100"/>
      <c r="D1235" s="2" t="s">
        <v>6443</v>
      </c>
      <c r="E1235" s="2" t="s">
        <v>6224</v>
      </c>
      <c r="F1235" s="2" t="s">
        <v>5874</v>
      </c>
      <c r="G1235" s="2" t="s">
        <v>6030</v>
      </c>
      <c r="H1235" s="5" t="s">
        <v>7208</v>
      </c>
    </row>
    <row r="1236" spans="1:8" ht="29" hidden="1" x14ac:dyDescent="0.35">
      <c r="A1236" s="136" t="s">
        <v>3306</v>
      </c>
      <c r="B1236" s="2"/>
      <c r="C1236" s="2"/>
      <c r="D1236" s="2" t="s">
        <v>6443</v>
      </c>
      <c r="E1236" s="2" t="s">
        <v>6224</v>
      </c>
      <c r="F1236" s="2" t="s">
        <v>5874</v>
      </c>
      <c r="G1236" s="2" t="s">
        <v>5978</v>
      </c>
      <c r="H1236" s="5" t="s">
        <v>7236</v>
      </c>
    </row>
    <row r="1237" spans="1:8" ht="29" hidden="1" x14ac:dyDescent="0.35">
      <c r="A1237" s="135" t="s">
        <v>3306</v>
      </c>
      <c r="B1237" s="2"/>
      <c r="C1237" s="2"/>
      <c r="D1237" s="2" t="s">
        <v>6443</v>
      </c>
      <c r="E1237" s="2" t="s">
        <v>6224</v>
      </c>
      <c r="F1237" s="2" t="s">
        <v>5874</v>
      </c>
      <c r="G1237" s="2" t="s">
        <v>6257</v>
      </c>
      <c r="H1237" s="5" t="s">
        <v>7261</v>
      </c>
    </row>
    <row r="1238" spans="1:8" ht="29" hidden="1" x14ac:dyDescent="0.35">
      <c r="A1238" s="135" t="s">
        <v>3306</v>
      </c>
      <c r="B1238" s="2"/>
      <c r="C1238" s="2"/>
      <c r="D1238" s="2" t="s">
        <v>6443</v>
      </c>
      <c r="E1238" s="2" t="s">
        <v>6224</v>
      </c>
      <c r="F1238" s="2" t="s">
        <v>5874</v>
      </c>
      <c r="G1238" s="2" t="s">
        <v>6262</v>
      </c>
      <c r="H1238" s="5" t="s">
        <v>7271</v>
      </c>
    </row>
    <row r="1239" spans="1:8" ht="43.5" hidden="1" x14ac:dyDescent="0.35">
      <c r="A1239" s="135" t="s">
        <v>3306</v>
      </c>
      <c r="B1239" s="2"/>
      <c r="C1239" s="2"/>
      <c r="D1239" s="2" t="s">
        <v>6443</v>
      </c>
      <c r="E1239" s="2" t="s">
        <v>6224</v>
      </c>
      <c r="F1239" s="2" t="s">
        <v>6247</v>
      </c>
      <c r="G1239" s="2" t="s">
        <v>5978</v>
      </c>
      <c r="H1239" s="5" t="s">
        <v>7235</v>
      </c>
    </row>
    <row r="1240" spans="1:8" ht="29" hidden="1" x14ac:dyDescent="0.35">
      <c r="A1240" s="136" t="s">
        <v>3306</v>
      </c>
      <c r="B1240" s="2"/>
      <c r="C1240" s="2"/>
      <c r="D1240" s="2" t="s">
        <v>6443</v>
      </c>
      <c r="E1240" s="2" t="s">
        <v>6224</v>
      </c>
      <c r="F1240" s="2" t="s">
        <v>6251</v>
      </c>
      <c r="G1240" s="2" t="s">
        <v>5978</v>
      </c>
      <c r="H1240" s="5" t="s">
        <v>7244</v>
      </c>
    </row>
    <row r="1241" spans="1:8" ht="29" hidden="1" x14ac:dyDescent="0.35">
      <c r="A1241" s="136" t="s">
        <v>3306</v>
      </c>
      <c r="B1241" s="2"/>
      <c r="C1241" s="2"/>
      <c r="D1241" s="2" t="s">
        <v>6443</v>
      </c>
      <c r="E1241" s="2" t="s">
        <v>6224</v>
      </c>
      <c r="F1241" s="2" t="s">
        <v>6169</v>
      </c>
      <c r="G1241" s="2" t="s">
        <v>6030</v>
      </c>
      <c r="H1241" s="5" t="s">
        <v>7202</v>
      </c>
    </row>
    <row r="1242" spans="1:8" ht="29" hidden="1" x14ac:dyDescent="0.35">
      <c r="A1242" s="135" t="s">
        <v>3306</v>
      </c>
      <c r="B1242" s="2"/>
      <c r="C1242" s="2"/>
      <c r="D1242" s="2" t="s">
        <v>6443</v>
      </c>
      <c r="E1242" s="2" t="s">
        <v>6224</v>
      </c>
      <c r="F1242" s="2" t="s">
        <v>6169</v>
      </c>
      <c r="G1242" s="2" t="s">
        <v>5978</v>
      </c>
      <c r="H1242" s="5" t="s">
        <v>7229</v>
      </c>
    </row>
    <row r="1243" spans="1:8" ht="29" hidden="1" x14ac:dyDescent="0.35">
      <c r="A1243" s="136" t="s">
        <v>3306</v>
      </c>
      <c r="B1243" s="2"/>
      <c r="C1243" s="2"/>
      <c r="D1243" s="2" t="s">
        <v>6443</v>
      </c>
      <c r="E1243" s="2" t="s">
        <v>6224</v>
      </c>
      <c r="F1243" s="2" t="s">
        <v>6169</v>
      </c>
      <c r="G1243" s="2" t="s">
        <v>6257</v>
      </c>
      <c r="H1243" s="5" t="s">
        <v>7256</v>
      </c>
    </row>
    <row r="1244" spans="1:8" ht="29" hidden="1" x14ac:dyDescent="0.35">
      <c r="A1244" s="136" t="s">
        <v>3306</v>
      </c>
      <c r="B1244" s="2"/>
      <c r="C1244" s="2"/>
      <c r="D1244" s="2" t="s">
        <v>6443</v>
      </c>
      <c r="E1244" s="2" t="s">
        <v>6224</v>
      </c>
      <c r="F1244" s="2" t="s">
        <v>5994</v>
      </c>
      <c r="G1244" s="2" t="s">
        <v>6030</v>
      </c>
      <c r="H1244" s="5" t="s">
        <v>7204</v>
      </c>
    </row>
    <row r="1245" spans="1:8" ht="29" hidden="1" x14ac:dyDescent="0.35">
      <c r="A1245" s="135" t="s">
        <v>3306</v>
      </c>
      <c r="B1245" s="2"/>
      <c r="C1245" s="2"/>
      <c r="D1245" s="2" t="s">
        <v>6443</v>
      </c>
      <c r="E1245" s="2" t="s">
        <v>6224</v>
      </c>
      <c r="F1245" s="2" t="s">
        <v>5994</v>
      </c>
      <c r="G1245" s="2" t="s">
        <v>5978</v>
      </c>
      <c r="H1245" s="5" t="s">
        <v>7231</v>
      </c>
    </row>
    <row r="1246" spans="1:8" ht="29" hidden="1" x14ac:dyDescent="0.35">
      <c r="A1246" s="136" t="s">
        <v>3306</v>
      </c>
      <c r="B1246" s="2"/>
      <c r="C1246" s="2"/>
      <c r="D1246" s="2" t="s">
        <v>6443</v>
      </c>
      <c r="E1246" s="2" t="s">
        <v>6224</v>
      </c>
      <c r="F1246" s="2" t="s">
        <v>5994</v>
      </c>
      <c r="G1246" s="2" t="s">
        <v>6257</v>
      </c>
      <c r="H1246" s="5" t="s">
        <v>7258</v>
      </c>
    </row>
    <row r="1247" spans="1:8" ht="29" hidden="1" x14ac:dyDescent="0.35">
      <c r="A1247" s="135" t="s">
        <v>3306</v>
      </c>
      <c r="B1247" s="2"/>
      <c r="C1247" s="2"/>
      <c r="D1247" s="2" t="s">
        <v>6443</v>
      </c>
      <c r="E1247" s="2" t="s">
        <v>6224</v>
      </c>
      <c r="F1247" s="2" t="s">
        <v>6006</v>
      </c>
      <c r="G1247" s="2" t="s">
        <v>6030</v>
      </c>
      <c r="H1247" s="5" t="s">
        <v>7209</v>
      </c>
    </row>
    <row r="1248" spans="1:8" ht="29" hidden="1" x14ac:dyDescent="0.35">
      <c r="A1248" s="135" t="s">
        <v>3306</v>
      </c>
      <c r="B1248" s="2"/>
      <c r="C1248" s="2"/>
      <c r="D1248" s="2" t="s">
        <v>6443</v>
      </c>
      <c r="E1248" s="2" t="s">
        <v>6224</v>
      </c>
      <c r="F1248" s="2" t="s">
        <v>6006</v>
      </c>
      <c r="G1248" s="2" t="s">
        <v>5978</v>
      </c>
      <c r="H1248" s="5" t="s">
        <v>7237</v>
      </c>
    </row>
    <row r="1249" spans="1:8" ht="43.5" hidden="1" x14ac:dyDescent="0.35">
      <c r="A1249" s="136" t="s">
        <v>3306</v>
      </c>
      <c r="B1249" s="2"/>
      <c r="C1249" s="2"/>
      <c r="D1249" s="2" t="s">
        <v>6443</v>
      </c>
      <c r="E1249" s="2" t="s">
        <v>6224</v>
      </c>
      <c r="F1249" s="2" t="s">
        <v>6006</v>
      </c>
      <c r="G1249" s="2" t="s">
        <v>6257</v>
      </c>
      <c r="H1249" s="5" t="s">
        <v>7262</v>
      </c>
    </row>
    <row r="1250" spans="1:8" ht="29" hidden="1" x14ac:dyDescent="0.35">
      <c r="A1250" s="135" t="s">
        <v>3306</v>
      </c>
      <c r="B1250" s="2"/>
      <c r="C1250" s="2"/>
      <c r="D1250" s="2" t="s">
        <v>6443</v>
      </c>
      <c r="E1250" s="2" t="s">
        <v>6224</v>
      </c>
      <c r="F1250" s="2" t="s">
        <v>6006</v>
      </c>
      <c r="G1250" s="2" t="s">
        <v>6262</v>
      </c>
      <c r="H1250" s="5" t="s">
        <v>7273</v>
      </c>
    </row>
    <row r="1251" spans="1:8" ht="29" hidden="1" x14ac:dyDescent="0.35">
      <c r="A1251" s="135" t="s">
        <v>3306</v>
      </c>
      <c r="B1251" s="16"/>
      <c r="C1251" s="2"/>
      <c r="D1251" s="2" t="s">
        <v>6443</v>
      </c>
      <c r="E1251" s="2" t="s">
        <v>6224</v>
      </c>
      <c r="F1251" s="2" t="s">
        <v>6236</v>
      </c>
      <c r="G1251" s="2" t="s">
        <v>6030</v>
      </c>
      <c r="H1251" s="5" t="s">
        <v>7217</v>
      </c>
    </row>
    <row r="1252" spans="1:8" ht="29" hidden="1" x14ac:dyDescent="0.35">
      <c r="A1252" s="136" t="s">
        <v>3306</v>
      </c>
      <c r="B1252" s="16"/>
      <c r="C1252" s="2"/>
      <c r="D1252" s="2" t="s">
        <v>6443</v>
      </c>
      <c r="E1252" s="2" t="s">
        <v>6224</v>
      </c>
      <c r="F1252" s="2" t="s">
        <v>6225</v>
      </c>
      <c r="G1252" s="2" t="s">
        <v>6030</v>
      </c>
      <c r="H1252" s="5" t="s">
        <v>7200</v>
      </c>
    </row>
    <row r="1253" spans="1:8" ht="29" hidden="1" x14ac:dyDescent="0.35">
      <c r="A1253" s="135" t="s">
        <v>3306</v>
      </c>
      <c r="B1253" s="16"/>
      <c r="C1253" s="2"/>
      <c r="D1253" s="2" t="s">
        <v>6443</v>
      </c>
      <c r="E1253" s="2" t="s">
        <v>6224</v>
      </c>
      <c r="F1253" s="2" t="s">
        <v>6225</v>
      </c>
      <c r="G1253" s="2" t="s">
        <v>5978</v>
      </c>
      <c r="H1253" s="5" t="s">
        <v>7227</v>
      </c>
    </row>
    <row r="1254" spans="1:8" ht="29" hidden="1" x14ac:dyDescent="0.35">
      <c r="A1254" s="136" t="s">
        <v>3306</v>
      </c>
      <c r="B1254" s="16"/>
      <c r="C1254" s="2"/>
      <c r="D1254" s="2" t="s">
        <v>6443</v>
      </c>
      <c r="E1254" s="2" t="s">
        <v>6224</v>
      </c>
      <c r="F1254" s="2" t="s">
        <v>6225</v>
      </c>
      <c r="G1254" s="2" t="s">
        <v>6257</v>
      </c>
      <c r="H1254" s="5" t="s">
        <v>7254</v>
      </c>
    </row>
    <row r="1255" spans="1:8" ht="29" hidden="1" x14ac:dyDescent="0.35">
      <c r="A1255" s="136" t="s">
        <v>3306</v>
      </c>
      <c r="B1255" s="16"/>
      <c r="C1255" s="2"/>
      <c r="D1255" s="2" t="s">
        <v>6443</v>
      </c>
      <c r="E1255" s="2" t="s">
        <v>6224</v>
      </c>
      <c r="F1255" s="2" t="s">
        <v>6152</v>
      </c>
      <c r="G1255" s="2" t="s">
        <v>6030</v>
      </c>
      <c r="H1255" s="5" t="s">
        <v>7206</v>
      </c>
    </row>
    <row r="1256" spans="1:8" ht="29" hidden="1" x14ac:dyDescent="0.35">
      <c r="A1256" s="135" t="s">
        <v>3306</v>
      </c>
      <c r="B1256" s="16"/>
      <c r="C1256" s="2"/>
      <c r="D1256" s="2" t="s">
        <v>6443</v>
      </c>
      <c r="E1256" s="2" t="s">
        <v>6224</v>
      </c>
      <c r="F1256" s="2" t="s">
        <v>6152</v>
      </c>
      <c r="G1256" s="2" t="s">
        <v>5978</v>
      </c>
      <c r="H1256" s="5" t="s">
        <v>7233</v>
      </c>
    </row>
    <row r="1257" spans="1:8" ht="29" hidden="1" x14ac:dyDescent="0.35">
      <c r="A1257" s="136" t="s">
        <v>3306</v>
      </c>
      <c r="B1257" s="16"/>
      <c r="C1257" s="2"/>
      <c r="D1257" s="2" t="s">
        <v>6443</v>
      </c>
      <c r="E1257" s="2" t="s">
        <v>6224</v>
      </c>
      <c r="F1257" s="2" t="s">
        <v>6152</v>
      </c>
      <c r="G1257" s="2" t="s">
        <v>6257</v>
      </c>
      <c r="H1257" s="5" t="s">
        <v>7260</v>
      </c>
    </row>
    <row r="1258" spans="1:8" ht="29" hidden="1" x14ac:dyDescent="0.35">
      <c r="A1258" s="136" t="s">
        <v>3306</v>
      </c>
      <c r="B1258" s="16"/>
      <c r="C1258" s="2"/>
      <c r="D1258" s="2" t="s">
        <v>6443</v>
      </c>
      <c r="E1258" s="2" t="s">
        <v>6224</v>
      </c>
      <c r="F1258" s="2" t="s">
        <v>6264</v>
      </c>
      <c r="G1258" s="2" t="s">
        <v>6262</v>
      </c>
      <c r="H1258" s="5" t="s">
        <v>7272</v>
      </c>
    </row>
    <row r="1259" spans="1:8" ht="29" hidden="1" x14ac:dyDescent="0.35">
      <c r="A1259" s="135" t="s">
        <v>3306</v>
      </c>
      <c r="B1259" s="16"/>
      <c r="C1259" s="2"/>
      <c r="D1259" s="2" t="s">
        <v>6443</v>
      </c>
      <c r="E1259" s="2" t="s">
        <v>6224</v>
      </c>
      <c r="F1259" s="2" t="s">
        <v>6259</v>
      </c>
      <c r="G1259" s="2" t="s">
        <v>6257</v>
      </c>
      <c r="H1259" s="5" t="s">
        <v>7265</v>
      </c>
    </row>
    <row r="1260" spans="1:8" ht="29" hidden="1" x14ac:dyDescent="0.35">
      <c r="A1260" s="135" t="s">
        <v>3306</v>
      </c>
      <c r="B1260" s="2"/>
      <c r="C1260" s="2"/>
      <c r="D1260" s="2" t="s">
        <v>6443</v>
      </c>
      <c r="E1260" s="2" t="s">
        <v>6224</v>
      </c>
      <c r="F1260" s="2" t="s">
        <v>6259</v>
      </c>
      <c r="G1260" s="2" t="s">
        <v>6262</v>
      </c>
      <c r="H1260" s="5" t="s">
        <v>7279</v>
      </c>
    </row>
    <row r="1261" spans="1:8" ht="29" hidden="1" x14ac:dyDescent="0.35">
      <c r="A1261" s="136" t="s">
        <v>3306</v>
      </c>
      <c r="B1261" s="2"/>
      <c r="C1261" s="2"/>
      <c r="D1261" s="2" t="s">
        <v>6443</v>
      </c>
      <c r="E1261" s="2" t="s">
        <v>6224</v>
      </c>
      <c r="F1261" s="2" t="s">
        <v>6186</v>
      </c>
      <c r="G1261" s="2" t="s">
        <v>5978</v>
      </c>
      <c r="H1261" s="5" t="s">
        <v>7238</v>
      </c>
    </row>
    <row r="1262" spans="1:8" hidden="1" x14ac:dyDescent="0.35">
      <c r="A1262" s="136" t="s">
        <v>3803</v>
      </c>
      <c r="B1262" s="2"/>
      <c r="C1262" s="2"/>
      <c r="D1262" s="2" t="s">
        <v>6443</v>
      </c>
      <c r="E1262" s="2" t="s">
        <v>5834</v>
      </c>
      <c r="F1262" s="2" t="s">
        <v>5967</v>
      </c>
      <c r="G1262" s="2" t="s">
        <v>5927</v>
      </c>
      <c r="H1262" s="165" t="s">
        <v>2246</v>
      </c>
    </row>
    <row r="1263" spans="1:8" hidden="1" x14ac:dyDescent="0.35">
      <c r="A1263" s="135" t="s">
        <v>3803</v>
      </c>
      <c r="B1263" s="2"/>
      <c r="C1263" s="2"/>
      <c r="D1263" s="2" t="s">
        <v>6443</v>
      </c>
      <c r="E1263" s="2" t="s">
        <v>5834</v>
      </c>
      <c r="F1263" s="2" t="s">
        <v>5967</v>
      </c>
      <c r="G1263" s="2" t="s">
        <v>5927</v>
      </c>
      <c r="H1263" s="165" t="s">
        <v>2247</v>
      </c>
    </row>
    <row r="1264" spans="1:8" hidden="1" x14ac:dyDescent="0.35">
      <c r="A1264" s="136" t="s">
        <v>3803</v>
      </c>
      <c r="B1264" s="2"/>
      <c r="C1264" s="2"/>
      <c r="D1264" s="2" t="s">
        <v>6443</v>
      </c>
      <c r="E1264" s="2" t="s">
        <v>5834</v>
      </c>
      <c r="F1264" s="2" t="s">
        <v>5967</v>
      </c>
      <c r="G1264" s="2" t="s">
        <v>5927</v>
      </c>
      <c r="H1264" s="165" t="s">
        <v>3034</v>
      </c>
    </row>
    <row r="1265" spans="1:8" hidden="1" x14ac:dyDescent="0.35">
      <c r="A1265" s="135" t="s">
        <v>3332</v>
      </c>
      <c r="B1265" s="2"/>
      <c r="C1265" s="2"/>
      <c r="D1265" s="2" t="s">
        <v>6443</v>
      </c>
      <c r="E1265" s="2" t="s">
        <v>5806</v>
      </c>
      <c r="F1265" s="2" t="s">
        <v>5954</v>
      </c>
      <c r="G1265" s="2" t="s">
        <v>5957</v>
      </c>
      <c r="H1265" s="5" t="s">
        <v>2869</v>
      </c>
    </row>
    <row r="1266" spans="1:8" ht="29" hidden="1" x14ac:dyDescent="0.35">
      <c r="A1266" s="136" t="s">
        <v>3332</v>
      </c>
      <c r="B1266" s="2"/>
      <c r="C1266" s="2"/>
      <c r="D1266" s="2" t="s">
        <v>6443</v>
      </c>
      <c r="E1266" s="161" t="s">
        <v>5806</v>
      </c>
      <c r="F1266" s="161" t="s">
        <v>5954</v>
      </c>
      <c r="G1266" s="2" t="s">
        <v>5958</v>
      </c>
      <c r="H1266" s="5" t="s">
        <v>2870</v>
      </c>
    </row>
    <row r="1267" spans="1:8" ht="29" hidden="1" x14ac:dyDescent="0.35">
      <c r="A1267" s="136" t="s">
        <v>3332</v>
      </c>
      <c r="B1267" s="2"/>
      <c r="C1267" s="2"/>
      <c r="D1267" s="2" t="s">
        <v>6443</v>
      </c>
      <c r="E1267" s="161" t="s">
        <v>5806</v>
      </c>
      <c r="F1267" s="161" t="s">
        <v>5948</v>
      </c>
      <c r="G1267" s="2" t="s">
        <v>5776</v>
      </c>
      <c r="H1267" s="5" t="s">
        <v>6868</v>
      </c>
    </row>
    <row r="1268" spans="1:8" ht="29" hidden="1" x14ac:dyDescent="0.35">
      <c r="A1268" s="135" t="s">
        <v>3332</v>
      </c>
      <c r="B1268" s="2"/>
      <c r="C1268" s="2"/>
      <c r="D1268" s="2" t="s">
        <v>6443</v>
      </c>
      <c r="E1268" s="2" t="s">
        <v>5806</v>
      </c>
      <c r="F1268" s="2" t="s">
        <v>5948</v>
      </c>
      <c r="G1268" s="2" t="s">
        <v>5776</v>
      </c>
      <c r="H1268" s="5" t="s">
        <v>6869</v>
      </c>
    </row>
    <row r="1269" spans="1:8" ht="29" hidden="1" x14ac:dyDescent="0.35">
      <c r="A1269" s="136" t="s">
        <v>3332</v>
      </c>
      <c r="B1269" s="2"/>
      <c r="C1269" s="2"/>
      <c r="D1269" s="2" t="s">
        <v>6443</v>
      </c>
      <c r="E1269" s="161" t="s">
        <v>5806</v>
      </c>
      <c r="F1269" s="161" t="s">
        <v>5948</v>
      </c>
      <c r="G1269" s="2" t="s">
        <v>5776</v>
      </c>
      <c r="H1269" s="5" t="s">
        <v>6870</v>
      </c>
    </row>
    <row r="1270" spans="1:8" ht="29" hidden="1" x14ac:dyDescent="0.35">
      <c r="A1270" s="135" t="s">
        <v>3332</v>
      </c>
      <c r="B1270" s="2"/>
      <c r="C1270" s="2"/>
      <c r="D1270" s="2" t="s">
        <v>6443</v>
      </c>
      <c r="E1270" s="2" t="s">
        <v>5806</v>
      </c>
      <c r="F1270" s="2" t="s">
        <v>5948</v>
      </c>
      <c r="G1270" s="2" t="s">
        <v>5776</v>
      </c>
      <c r="H1270" s="5" t="s">
        <v>6871</v>
      </c>
    </row>
    <row r="1271" spans="1:8" ht="29" hidden="1" x14ac:dyDescent="0.35">
      <c r="A1271" s="136" t="s">
        <v>3332</v>
      </c>
      <c r="B1271" s="2"/>
      <c r="C1271" s="2"/>
      <c r="D1271" s="2" t="s">
        <v>6443</v>
      </c>
      <c r="E1271" s="161" t="s">
        <v>5806</v>
      </c>
      <c r="F1271" s="161" t="s">
        <v>5948</v>
      </c>
      <c r="G1271" s="2" t="s">
        <v>5776</v>
      </c>
      <c r="H1271" s="5" t="s">
        <v>6872</v>
      </c>
    </row>
    <row r="1272" spans="1:8" ht="29" hidden="1" x14ac:dyDescent="0.35">
      <c r="A1272" s="135" t="s">
        <v>3332</v>
      </c>
      <c r="B1272" s="2"/>
      <c r="C1272" s="2"/>
      <c r="D1272" s="2" t="s">
        <v>6443</v>
      </c>
      <c r="E1272" s="2" t="s">
        <v>5806</v>
      </c>
      <c r="F1272" s="2" t="s">
        <v>5948</v>
      </c>
      <c r="G1272" s="2" t="s">
        <v>5776</v>
      </c>
      <c r="H1272" s="5" t="s">
        <v>6873</v>
      </c>
    </row>
    <row r="1273" spans="1:8" ht="29" hidden="1" x14ac:dyDescent="0.35">
      <c r="A1273" s="136" t="s">
        <v>3332</v>
      </c>
      <c r="B1273" s="2"/>
      <c r="C1273" s="2"/>
      <c r="D1273" s="2" t="s">
        <v>6443</v>
      </c>
      <c r="E1273" s="161" t="s">
        <v>5806</v>
      </c>
      <c r="F1273" s="161" t="s">
        <v>5948</v>
      </c>
      <c r="G1273" s="2" t="s">
        <v>5776</v>
      </c>
      <c r="H1273" s="5" t="s">
        <v>6874</v>
      </c>
    </row>
    <row r="1274" spans="1:8" hidden="1" x14ac:dyDescent="0.35">
      <c r="A1274" s="135" t="s">
        <v>3803</v>
      </c>
      <c r="B1274" s="2"/>
      <c r="C1274" s="2"/>
      <c r="D1274" s="2" t="s">
        <v>6443</v>
      </c>
      <c r="E1274" s="2" t="s">
        <v>5806</v>
      </c>
      <c r="F1274" s="2" t="s">
        <v>5967</v>
      </c>
      <c r="G1274" s="2" t="s">
        <v>5928</v>
      </c>
      <c r="H1274" s="5" t="s">
        <v>2293</v>
      </c>
    </row>
    <row r="1275" spans="1:8" hidden="1" x14ac:dyDescent="0.35">
      <c r="A1275" s="136" t="s">
        <v>3803</v>
      </c>
      <c r="B1275" s="2"/>
      <c r="C1275" s="2"/>
      <c r="D1275" s="2" t="s">
        <v>6443</v>
      </c>
      <c r="E1275" s="2" t="s">
        <v>5806</v>
      </c>
      <c r="F1275" s="2" t="s">
        <v>5967</v>
      </c>
      <c r="G1275" s="2" t="s">
        <v>5928</v>
      </c>
      <c r="H1275" s="5" t="s">
        <v>2345</v>
      </c>
    </row>
    <row r="1276" spans="1:8" hidden="1" x14ac:dyDescent="0.35">
      <c r="A1276" s="135" t="s">
        <v>3803</v>
      </c>
      <c r="B1276" s="2"/>
      <c r="C1276" s="2"/>
      <c r="D1276" s="2" t="s">
        <v>6443</v>
      </c>
      <c r="E1276" s="2" t="s">
        <v>5806</v>
      </c>
      <c r="F1276" s="2" t="s">
        <v>5967</v>
      </c>
      <c r="G1276" s="2" t="s">
        <v>6364</v>
      </c>
      <c r="H1276" s="5" t="s">
        <v>2679</v>
      </c>
    </row>
    <row r="1277" spans="1:8" ht="29" hidden="1" x14ac:dyDescent="0.35">
      <c r="A1277" s="148" t="s">
        <v>3533</v>
      </c>
      <c r="B1277" s="2"/>
      <c r="C1277" s="2"/>
      <c r="D1277" s="2" t="s">
        <v>6443</v>
      </c>
      <c r="E1277" s="2" t="s">
        <v>6024</v>
      </c>
      <c r="F1277" s="2" t="s">
        <v>5960</v>
      </c>
      <c r="G1277" s="2" t="s">
        <v>5964</v>
      </c>
      <c r="H1277" s="5" t="s">
        <v>7075</v>
      </c>
    </row>
    <row r="1278" spans="1:8" ht="29" hidden="1" x14ac:dyDescent="0.35">
      <c r="A1278" s="153" t="s">
        <v>3533</v>
      </c>
      <c r="B1278" s="2"/>
      <c r="C1278" s="2"/>
      <c r="D1278" s="2" t="s">
        <v>6443</v>
      </c>
      <c r="E1278" s="2" t="s">
        <v>6024</v>
      </c>
      <c r="F1278" s="2" t="s">
        <v>5960</v>
      </c>
      <c r="G1278" s="2" t="s">
        <v>6140</v>
      </c>
      <c r="H1278" s="5" t="s">
        <v>7076</v>
      </c>
    </row>
    <row r="1279" spans="1:8" ht="29" hidden="1" x14ac:dyDescent="0.35">
      <c r="A1279" s="148" t="s">
        <v>3533</v>
      </c>
      <c r="B1279" s="2"/>
      <c r="C1279" s="2"/>
      <c r="D1279" s="2" t="s">
        <v>6443</v>
      </c>
      <c r="E1279" s="2" t="s">
        <v>6024</v>
      </c>
      <c r="F1279" s="2" t="s">
        <v>5960</v>
      </c>
      <c r="G1279" s="2" t="s">
        <v>6075</v>
      </c>
      <c r="H1279" s="5" t="s">
        <v>7077</v>
      </c>
    </row>
    <row r="1280" spans="1:8" ht="29" hidden="1" x14ac:dyDescent="0.35">
      <c r="A1280" s="153" t="s">
        <v>3533</v>
      </c>
      <c r="B1280" s="2"/>
      <c r="C1280" s="2"/>
      <c r="D1280" s="2" t="s">
        <v>6443</v>
      </c>
      <c r="E1280" s="2" t="s">
        <v>6024</v>
      </c>
      <c r="F1280" s="2" t="s">
        <v>5960</v>
      </c>
      <c r="G1280" s="2" t="s">
        <v>6141</v>
      </c>
      <c r="H1280" s="5" t="s">
        <v>7078</v>
      </c>
    </row>
    <row r="1281" spans="1:8" ht="29" hidden="1" x14ac:dyDescent="0.35">
      <c r="A1281" s="148" t="s">
        <v>3533</v>
      </c>
      <c r="B1281" s="2"/>
      <c r="C1281" s="2"/>
      <c r="D1281" s="2" t="s">
        <v>6443</v>
      </c>
      <c r="E1281" s="2" t="s">
        <v>6024</v>
      </c>
      <c r="F1281" s="2" t="s">
        <v>5960</v>
      </c>
      <c r="G1281" s="2" t="s">
        <v>6073</v>
      </c>
      <c r="H1281" s="5" t="s">
        <v>7079</v>
      </c>
    </row>
    <row r="1282" spans="1:8" ht="29" hidden="1" x14ac:dyDescent="0.35">
      <c r="A1282" s="153" t="s">
        <v>3533</v>
      </c>
      <c r="B1282" s="2"/>
      <c r="C1282" s="2"/>
      <c r="D1282" s="2" t="s">
        <v>6443</v>
      </c>
      <c r="E1282" s="2" t="s">
        <v>6024</v>
      </c>
      <c r="F1282" s="2" t="s">
        <v>5960</v>
      </c>
      <c r="G1282" s="2" t="s">
        <v>6143</v>
      </c>
      <c r="H1282" s="5" t="s">
        <v>7080</v>
      </c>
    </row>
    <row r="1283" spans="1:8" ht="29" hidden="1" x14ac:dyDescent="0.35">
      <c r="A1283" s="148" t="s">
        <v>3533</v>
      </c>
      <c r="B1283" s="2"/>
      <c r="C1283" s="2"/>
      <c r="D1283" s="2" t="s">
        <v>6443</v>
      </c>
      <c r="E1283" s="2" t="s">
        <v>6024</v>
      </c>
      <c r="F1283" s="2" t="s">
        <v>5960</v>
      </c>
      <c r="G1283" s="2" t="s">
        <v>6144</v>
      </c>
      <c r="H1283" s="5" t="s">
        <v>7081</v>
      </c>
    </row>
    <row r="1284" spans="1:8" ht="29" hidden="1" x14ac:dyDescent="0.35">
      <c r="A1284" s="153" t="s">
        <v>3533</v>
      </c>
      <c r="B1284" s="2"/>
      <c r="C1284" s="2"/>
      <c r="D1284" s="2" t="s">
        <v>6443</v>
      </c>
      <c r="E1284" s="2" t="s">
        <v>6024</v>
      </c>
      <c r="F1284" s="2" t="s">
        <v>5960</v>
      </c>
      <c r="G1284" s="2" t="s">
        <v>6145</v>
      </c>
      <c r="H1284" s="5" t="s">
        <v>7082</v>
      </c>
    </row>
    <row r="1285" spans="1:8" ht="29" hidden="1" x14ac:dyDescent="0.35">
      <c r="A1285" s="136" t="s">
        <v>3383</v>
      </c>
      <c r="B1285" s="2"/>
      <c r="C1285" s="2"/>
      <c r="D1285" s="2" t="s">
        <v>6443</v>
      </c>
      <c r="E1285" s="2" t="s">
        <v>6024</v>
      </c>
      <c r="F1285" s="2" t="s">
        <v>6013</v>
      </c>
      <c r="G1285" s="2"/>
      <c r="H1285" s="5" t="s">
        <v>604</v>
      </c>
    </row>
    <row r="1286" spans="1:8" hidden="1" x14ac:dyDescent="0.35">
      <c r="A1286" s="135" t="s">
        <v>3383</v>
      </c>
      <c r="B1286" s="2"/>
      <c r="C1286" s="2"/>
      <c r="D1286" s="2" t="s">
        <v>6443</v>
      </c>
      <c r="E1286" s="2" t="s">
        <v>6024</v>
      </c>
      <c r="F1286" s="2" t="s">
        <v>5853</v>
      </c>
      <c r="G1286" s="2" t="s">
        <v>5849</v>
      </c>
      <c r="H1286" s="5" t="s">
        <v>2236</v>
      </c>
    </row>
    <row r="1287" spans="1:8" hidden="1" x14ac:dyDescent="0.35">
      <c r="A1287" s="136" t="s">
        <v>3383</v>
      </c>
      <c r="B1287" s="2"/>
      <c r="C1287" s="2"/>
      <c r="D1287" s="2" t="s">
        <v>6443</v>
      </c>
      <c r="E1287" s="2" t="s">
        <v>6024</v>
      </c>
      <c r="F1287" s="2" t="s">
        <v>5853</v>
      </c>
      <c r="G1287" s="2" t="s">
        <v>5849</v>
      </c>
      <c r="H1287" s="5" t="s">
        <v>2587</v>
      </c>
    </row>
    <row r="1288" spans="1:8" ht="29" hidden="1" x14ac:dyDescent="0.35">
      <c r="A1288" s="135" t="s">
        <v>3383</v>
      </c>
      <c r="B1288" s="2"/>
      <c r="C1288" s="2"/>
      <c r="D1288" s="2" t="s">
        <v>6443</v>
      </c>
      <c r="E1288" s="2" t="s">
        <v>6024</v>
      </c>
      <c r="F1288" s="2" t="s">
        <v>5853</v>
      </c>
      <c r="G1288" s="2" t="s">
        <v>6006</v>
      </c>
      <c r="H1288" s="5" t="s">
        <v>6923</v>
      </c>
    </row>
    <row r="1289" spans="1:8" ht="29" hidden="1" x14ac:dyDescent="0.35">
      <c r="A1289" s="136" t="s">
        <v>3383</v>
      </c>
      <c r="B1289" s="2"/>
      <c r="C1289" s="2"/>
      <c r="D1289" s="2" t="s">
        <v>6443</v>
      </c>
      <c r="E1289" s="2" t="s">
        <v>6024</v>
      </c>
      <c r="F1289" s="2" t="s">
        <v>5853</v>
      </c>
      <c r="G1289" s="2" t="s">
        <v>6006</v>
      </c>
      <c r="H1289" s="5" t="s">
        <v>6924</v>
      </c>
    </row>
    <row r="1290" spans="1:8" ht="29" hidden="1" x14ac:dyDescent="0.35">
      <c r="A1290" s="135" t="s">
        <v>3383</v>
      </c>
      <c r="B1290" s="2"/>
      <c r="C1290" s="2"/>
      <c r="D1290" s="2" t="s">
        <v>6443</v>
      </c>
      <c r="E1290" s="2" t="s">
        <v>6024</v>
      </c>
      <c r="F1290" s="2" t="s">
        <v>5853</v>
      </c>
      <c r="G1290" s="2" t="s">
        <v>6006</v>
      </c>
      <c r="H1290" s="5" t="s">
        <v>6925</v>
      </c>
    </row>
    <row r="1291" spans="1:8" ht="29" hidden="1" x14ac:dyDescent="0.35">
      <c r="A1291" s="136" t="s">
        <v>3383</v>
      </c>
      <c r="B1291" s="2"/>
      <c r="C1291" s="2"/>
      <c r="D1291" s="2" t="s">
        <v>6443</v>
      </c>
      <c r="E1291" s="2" t="s">
        <v>6024</v>
      </c>
      <c r="F1291" s="2" t="s">
        <v>5853</v>
      </c>
      <c r="G1291" s="2" t="s">
        <v>6025</v>
      </c>
      <c r="H1291" s="5" t="s">
        <v>6926</v>
      </c>
    </row>
    <row r="1292" spans="1:8" ht="29" hidden="1" x14ac:dyDescent="0.35">
      <c r="A1292" s="135" t="s">
        <v>3383</v>
      </c>
      <c r="B1292" s="2"/>
      <c r="C1292" s="2"/>
      <c r="D1292" s="2" t="s">
        <v>6443</v>
      </c>
      <c r="E1292" s="2" t="s">
        <v>6024</v>
      </c>
      <c r="F1292" s="2" t="s">
        <v>5853</v>
      </c>
      <c r="G1292" s="2" t="s">
        <v>5874</v>
      </c>
      <c r="H1292" s="5" t="s">
        <v>6927</v>
      </c>
    </row>
    <row r="1293" spans="1:8" ht="29" hidden="1" x14ac:dyDescent="0.35">
      <c r="A1293" s="136" t="s">
        <v>3383</v>
      </c>
      <c r="B1293" s="2"/>
      <c r="C1293" s="2"/>
      <c r="D1293" s="2" t="s">
        <v>6443</v>
      </c>
      <c r="E1293" s="2" t="s">
        <v>6024</v>
      </c>
      <c r="F1293" s="2" t="s">
        <v>5853</v>
      </c>
      <c r="G1293" s="2" t="s">
        <v>5994</v>
      </c>
      <c r="H1293" s="5" t="s">
        <v>6928</v>
      </c>
    </row>
    <row r="1294" spans="1:8" ht="29" hidden="1" x14ac:dyDescent="0.35">
      <c r="A1294" s="135" t="s">
        <v>3383</v>
      </c>
      <c r="B1294" s="2"/>
      <c r="C1294" s="2"/>
      <c r="D1294" s="2" t="s">
        <v>6443</v>
      </c>
      <c r="E1294" s="2" t="s">
        <v>6024</v>
      </c>
      <c r="F1294" s="2" t="s">
        <v>5853</v>
      </c>
      <c r="G1294" s="2" t="s">
        <v>5883</v>
      </c>
      <c r="H1294" s="5" t="s">
        <v>6929</v>
      </c>
    </row>
    <row r="1295" spans="1:8" ht="29" hidden="1" x14ac:dyDescent="0.35">
      <c r="A1295" s="136" t="s">
        <v>3383</v>
      </c>
      <c r="B1295" s="2"/>
      <c r="C1295" s="2"/>
      <c r="D1295" s="2" t="s">
        <v>6443</v>
      </c>
      <c r="E1295" s="2" t="s">
        <v>6024</v>
      </c>
      <c r="F1295" s="2" t="s">
        <v>5853</v>
      </c>
      <c r="G1295" s="2" t="s">
        <v>6026</v>
      </c>
      <c r="H1295" s="5" t="s">
        <v>6930</v>
      </c>
    </row>
    <row r="1296" spans="1:8" ht="29" hidden="1" x14ac:dyDescent="0.35">
      <c r="A1296" s="135" t="s">
        <v>3383</v>
      </c>
      <c r="B1296" s="2"/>
      <c r="C1296" s="2"/>
      <c r="D1296" s="2" t="s">
        <v>6443</v>
      </c>
      <c r="E1296" s="2" t="s">
        <v>6024</v>
      </c>
      <c r="F1296" s="2" t="s">
        <v>5853</v>
      </c>
      <c r="G1296" s="2" t="s">
        <v>6027</v>
      </c>
      <c r="H1296" s="5" t="s">
        <v>6931</v>
      </c>
    </row>
    <row r="1297" spans="1:8" ht="29" hidden="1" x14ac:dyDescent="0.35">
      <c r="A1297" s="136" t="s">
        <v>3383</v>
      </c>
      <c r="B1297" s="2"/>
      <c r="C1297" s="2"/>
      <c r="D1297" s="2" t="s">
        <v>6443</v>
      </c>
      <c r="E1297" s="2" t="s">
        <v>6024</v>
      </c>
      <c r="F1297" s="2" t="s">
        <v>5853</v>
      </c>
      <c r="G1297" s="2" t="s">
        <v>6028</v>
      </c>
      <c r="H1297" s="5" t="s">
        <v>6932</v>
      </c>
    </row>
    <row r="1298" spans="1:8" ht="29" hidden="1" x14ac:dyDescent="0.35">
      <c r="A1298" s="135" t="s">
        <v>3383</v>
      </c>
      <c r="B1298" s="2"/>
      <c r="C1298" s="2"/>
      <c r="D1298" s="2" t="s">
        <v>6443</v>
      </c>
      <c r="E1298" s="2" t="s">
        <v>6024</v>
      </c>
      <c r="F1298" s="2" t="s">
        <v>5853</v>
      </c>
      <c r="G1298" s="2" t="s">
        <v>6029</v>
      </c>
      <c r="H1298" s="5" t="s">
        <v>6933</v>
      </c>
    </row>
    <row r="1299" spans="1:8" ht="29" hidden="1" x14ac:dyDescent="0.35">
      <c r="A1299" s="135" t="s">
        <v>3383</v>
      </c>
      <c r="B1299" s="2"/>
      <c r="C1299" s="2"/>
      <c r="D1299" s="2" t="s">
        <v>6443</v>
      </c>
      <c r="E1299" s="2" t="s">
        <v>6024</v>
      </c>
      <c r="F1299" s="2" t="s">
        <v>5853</v>
      </c>
      <c r="G1299" s="2" t="s">
        <v>6045</v>
      </c>
      <c r="H1299" s="5" t="s">
        <v>2847</v>
      </c>
    </row>
    <row r="1300" spans="1:8" ht="29" hidden="1" x14ac:dyDescent="0.35">
      <c r="A1300" s="135" t="s">
        <v>3383</v>
      </c>
      <c r="B1300" s="2"/>
      <c r="C1300" s="2"/>
      <c r="D1300" s="2" t="s">
        <v>6443</v>
      </c>
      <c r="E1300" s="2" t="s">
        <v>6024</v>
      </c>
      <c r="F1300" s="2" t="s">
        <v>5853</v>
      </c>
      <c r="G1300" s="2" t="s">
        <v>5971</v>
      </c>
      <c r="H1300" s="5" t="s">
        <v>6948</v>
      </c>
    </row>
    <row r="1301" spans="1:8" hidden="1" x14ac:dyDescent="0.35">
      <c r="A1301" s="136" t="s">
        <v>3383</v>
      </c>
      <c r="B1301" s="2"/>
      <c r="C1301" s="2"/>
      <c r="D1301" s="2" t="s">
        <v>6443</v>
      </c>
      <c r="E1301" s="2" t="s">
        <v>6024</v>
      </c>
      <c r="F1301" s="2" t="s">
        <v>5853</v>
      </c>
      <c r="G1301" s="2" t="s">
        <v>5971</v>
      </c>
      <c r="H1301" s="5" t="s">
        <v>6949</v>
      </c>
    </row>
    <row r="1302" spans="1:8" hidden="1" x14ac:dyDescent="0.35">
      <c r="A1302" s="135" t="s">
        <v>3383</v>
      </c>
      <c r="B1302" s="2"/>
      <c r="C1302" s="2"/>
      <c r="D1302" s="2" t="s">
        <v>6443</v>
      </c>
      <c r="E1302" s="2" t="s">
        <v>6024</v>
      </c>
      <c r="F1302" s="2" t="s">
        <v>5853</v>
      </c>
      <c r="G1302" s="2" t="s">
        <v>5971</v>
      </c>
      <c r="H1302" s="5" t="s">
        <v>6950</v>
      </c>
    </row>
    <row r="1303" spans="1:8" hidden="1" x14ac:dyDescent="0.35">
      <c r="A1303" s="136" t="s">
        <v>3383</v>
      </c>
      <c r="B1303" s="2"/>
      <c r="C1303" s="2"/>
      <c r="D1303" s="2" t="s">
        <v>6443</v>
      </c>
      <c r="E1303" s="2" t="s">
        <v>6024</v>
      </c>
      <c r="F1303" s="2" t="s">
        <v>5853</v>
      </c>
      <c r="G1303" s="2"/>
      <c r="H1303" s="5" t="s">
        <v>2846</v>
      </c>
    </row>
    <row r="1304" spans="1:8" ht="43.5" hidden="1" x14ac:dyDescent="0.35">
      <c r="A1304" s="136" t="s">
        <v>3306</v>
      </c>
      <c r="B1304" s="2"/>
      <c r="C1304" s="2"/>
      <c r="D1304" s="2" t="s">
        <v>6443</v>
      </c>
      <c r="E1304" s="2" t="s">
        <v>5954</v>
      </c>
      <c r="F1304" s="2" t="s">
        <v>5965</v>
      </c>
      <c r="G1304" s="2"/>
      <c r="H1304" s="5" t="s">
        <v>7186</v>
      </c>
    </row>
    <row r="1305" spans="1:8" ht="29" hidden="1" x14ac:dyDescent="0.35">
      <c r="A1305" s="136" t="s">
        <v>3306</v>
      </c>
      <c r="B1305" s="2"/>
      <c r="C1305" s="2"/>
      <c r="D1305" s="2" t="s">
        <v>6443</v>
      </c>
      <c r="E1305" s="2" t="s">
        <v>5954</v>
      </c>
      <c r="F1305" s="2" t="s">
        <v>6215</v>
      </c>
      <c r="G1305" s="2"/>
      <c r="H1305" s="5" t="s">
        <v>7188</v>
      </c>
    </row>
    <row r="1306" spans="1:8" ht="29" hidden="1" x14ac:dyDescent="0.35">
      <c r="A1306" s="136" t="s">
        <v>3306</v>
      </c>
      <c r="B1306" s="2"/>
      <c r="C1306" s="2"/>
      <c r="D1306" s="2" t="s">
        <v>6443</v>
      </c>
      <c r="E1306" s="2" t="s">
        <v>5954</v>
      </c>
      <c r="F1306" s="2" t="s">
        <v>6208</v>
      </c>
      <c r="G1306" s="2"/>
      <c r="H1306" s="5" t="s">
        <v>7180</v>
      </c>
    </row>
    <row r="1307" spans="1:8" ht="29" hidden="1" x14ac:dyDescent="0.35">
      <c r="A1307" s="135" t="s">
        <v>3306</v>
      </c>
      <c r="B1307" s="2"/>
      <c r="C1307" s="2"/>
      <c r="D1307" s="2" t="s">
        <v>6443</v>
      </c>
      <c r="E1307" s="2" t="s">
        <v>5954</v>
      </c>
      <c r="F1307" s="2" t="s">
        <v>6209</v>
      </c>
      <c r="G1307" s="2"/>
      <c r="H1307" s="5" t="s">
        <v>7181</v>
      </c>
    </row>
    <row r="1308" spans="1:8" ht="29" hidden="1" x14ac:dyDescent="0.35">
      <c r="A1308" s="135" t="s">
        <v>3306</v>
      </c>
      <c r="B1308" s="2"/>
      <c r="C1308" s="2"/>
      <c r="D1308" s="2" t="s">
        <v>6443</v>
      </c>
      <c r="E1308" s="2" t="s">
        <v>5954</v>
      </c>
      <c r="F1308" s="2" t="s">
        <v>5857</v>
      </c>
      <c r="G1308" s="2"/>
      <c r="H1308" s="5" t="s">
        <v>7189</v>
      </c>
    </row>
    <row r="1309" spans="1:8" ht="29" hidden="1" x14ac:dyDescent="0.35">
      <c r="A1309" s="135" t="s">
        <v>3306</v>
      </c>
      <c r="B1309" s="2"/>
      <c r="C1309" s="2"/>
      <c r="D1309" s="2" t="s">
        <v>6443</v>
      </c>
      <c r="E1309" s="2" t="s">
        <v>5954</v>
      </c>
      <c r="F1309" s="2" t="s">
        <v>6211</v>
      </c>
      <c r="G1309" s="2"/>
      <c r="H1309" s="5" t="s">
        <v>7183</v>
      </c>
    </row>
    <row r="1310" spans="1:8" ht="29" hidden="1" x14ac:dyDescent="0.35">
      <c r="A1310" s="136" t="s">
        <v>3343</v>
      </c>
      <c r="B1310" s="2"/>
      <c r="C1310" s="2"/>
      <c r="D1310" s="2" t="s">
        <v>6443</v>
      </c>
      <c r="E1310" s="161" t="s">
        <v>5954</v>
      </c>
      <c r="F1310" s="161" t="s">
        <v>5942</v>
      </c>
      <c r="G1310" s="2" t="s">
        <v>6004</v>
      </c>
      <c r="H1310" s="5" t="s">
        <v>2738</v>
      </c>
    </row>
    <row r="1311" spans="1:8" hidden="1" x14ac:dyDescent="0.35">
      <c r="A1311" s="136" t="s">
        <v>3343</v>
      </c>
      <c r="B1311" s="2"/>
      <c r="C1311" s="2"/>
      <c r="D1311" s="2" t="s">
        <v>6443</v>
      </c>
      <c r="E1311" s="161" t="s">
        <v>5954</v>
      </c>
      <c r="F1311" s="161" t="s">
        <v>5942</v>
      </c>
      <c r="G1311" s="2" t="s">
        <v>5849</v>
      </c>
      <c r="H1311" s="5" t="s">
        <v>2736</v>
      </c>
    </row>
    <row r="1312" spans="1:8" ht="29" hidden="1" x14ac:dyDescent="0.35">
      <c r="A1312" s="136" t="s">
        <v>3383</v>
      </c>
      <c r="B1312" s="2"/>
      <c r="C1312" s="2"/>
      <c r="D1312" s="2" t="s">
        <v>6443</v>
      </c>
      <c r="E1312" s="2" t="s">
        <v>5954</v>
      </c>
      <c r="F1312" s="2" t="s">
        <v>5942</v>
      </c>
      <c r="G1312" s="2" t="s">
        <v>5853</v>
      </c>
      <c r="H1312" s="5" t="s">
        <v>2737</v>
      </c>
    </row>
    <row r="1313" spans="1:8" ht="29" hidden="1" x14ac:dyDescent="0.35">
      <c r="A1313" s="148" t="s">
        <v>3533</v>
      </c>
      <c r="B1313" s="2"/>
      <c r="C1313" s="2"/>
      <c r="D1313" s="2" t="s">
        <v>6443</v>
      </c>
      <c r="E1313" s="2" t="s">
        <v>5954</v>
      </c>
      <c r="F1313" s="2" t="s">
        <v>5942</v>
      </c>
      <c r="G1313" s="2" t="s">
        <v>5853</v>
      </c>
      <c r="H1313" s="5" t="s">
        <v>2739</v>
      </c>
    </row>
    <row r="1314" spans="1:8" ht="29" hidden="1" x14ac:dyDescent="0.35">
      <c r="A1314" s="135" t="s">
        <v>3306</v>
      </c>
      <c r="B1314" s="2"/>
      <c r="C1314" s="2"/>
      <c r="D1314" s="2" t="s">
        <v>6443</v>
      </c>
      <c r="E1314" s="2" t="s">
        <v>5954</v>
      </c>
      <c r="F1314" s="2" t="s">
        <v>6213</v>
      </c>
      <c r="G1314" s="2"/>
      <c r="H1314" s="5" t="s">
        <v>7185</v>
      </c>
    </row>
    <row r="1315" spans="1:8" ht="29" hidden="1" x14ac:dyDescent="0.35">
      <c r="A1315" s="136" t="s">
        <v>3306</v>
      </c>
      <c r="B1315" s="2"/>
      <c r="C1315" s="2"/>
      <c r="D1315" s="2" t="s">
        <v>6443</v>
      </c>
      <c r="E1315" s="2" t="s">
        <v>5954</v>
      </c>
      <c r="F1315" s="2" t="s">
        <v>6210</v>
      </c>
      <c r="G1315" s="2"/>
      <c r="H1315" s="5" t="s">
        <v>7182</v>
      </c>
    </row>
    <row r="1316" spans="1:8" ht="29" hidden="1" x14ac:dyDescent="0.35">
      <c r="A1316" s="136" t="s">
        <v>3306</v>
      </c>
      <c r="B1316" s="2"/>
      <c r="C1316" s="2"/>
      <c r="D1316" s="2" t="s">
        <v>6443</v>
      </c>
      <c r="E1316" s="2" t="s">
        <v>5954</v>
      </c>
      <c r="F1316" s="2" t="s">
        <v>6206</v>
      </c>
      <c r="G1316" s="2"/>
      <c r="H1316" s="5" t="s">
        <v>7178</v>
      </c>
    </row>
    <row r="1317" spans="1:8" ht="29" hidden="1" x14ac:dyDescent="0.35">
      <c r="A1317" s="136" t="s">
        <v>3851</v>
      </c>
      <c r="B1317" s="2"/>
      <c r="C1317" s="2"/>
      <c r="D1317" s="2" t="s">
        <v>6443</v>
      </c>
      <c r="E1317" s="2" t="s">
        <v>5954</v>
      </c>
      <c r="F1317" s="2" t="s">
        <v>6286</v>
      </c>
      <c r="G1317" s="2" t="s">
        <v>5847</v>
      </c>
      <c r="H1317" s="5" t="s">
        <v>21</v>
      </c>
    </row>
    <row r="1318" spans="1:8" ht="29" hidden="1" x14ac:dyDescent="0.35">
      <c r="A1318" s="135" t="s">
        <v>3851</v>
      </c>
      <c r="B1318" s="2"/>
      <c r="C1318" s="2"/>
      <c r="D1318" s="2" t="s">
        <v>6443</v>
      </c>
      <c r="E1318" s="2" t="s">
        <v>5954</v>
      </c>
      <c r="F1318" s="2" t="s">
        <v>6286</v>
      </c>
      <c r="G1318" s="2" t="s">
        <v>5935</v>
      </c>
      <c r="H1318" s="5" t="s">
        <v>3143</v>
      </c>
    </row>
    <row r="1319" spans="1:8" ht="29" hidden="1" x14ac:dyDescent="0.35">
      <c r="A1319" s="135" t="s">
        <v>3306</v>
      </c>
      <c r="B1319" s="2"/>
      <c r="C1319" s="2"/>
      <c r="D1319" s="2" t="s">
        <v>6443</v>
      </c>
      <c r="E1319" s="2" t="s">
        <v>5954</v>
      </c>
      <c r="F1319" s="2" t="s">
        <v>6207</v>
      </c>
      <c r="G1319" s="2"/>
      <c r="H1319" s="5" t="s">
        <v>7179</v>
      </c>
    </row>
    <row r="1320" spans="1:8" ht="29" hidden="1" x14ac:dyDescent="0.35">
      <c r="A1320" s="136" t="s">
        <v>3306</v>
      </c>
      <c r="B1320" s="2"/>
      <c r="C1320" s="2"/>
      <c r="D1320" s="2" t="s">
        <v>6443</v>
      </c>
      <c r="E1320" s="2" t="s">
        <v>5954</v>
      </c>
      <c r="F1320" s="2" t="s">
        <v>6212</v>
      </c>
      <c r="G1320" s="2"/>
      <c r="H1320" s="5" t="s">
        <v>7184</v>
      </c>
    </row>
    <row r="1321" spans="1:8" hidden="1" x14ac:dyDescent="0.35">
      <c r="A1321" s="136" t="s">
        <v>3803</v>
      </c>
      <c r="B1321" s="2"/>
      <c r="C1321" s="2"/>
      <c r="D1321" s="2" t="s">
        <v>6443</v>
      </c>
      <c r="E1321" s="2" t="s">
        <v>5954</v>
      </c>
      <c r="F1321" s="2" t="s">
        <v>5967</v>
      </c>
      <c r="G1321" s="2" t="s">
        <v>5928</v>
      </c>
      <c r="H1321" s="5" t="s">
        <v>774</v>
      </c>
    </row>
    <row r="1322" spans="1:8" ht="29" hidden="1" x14ac:dyDescent="0.35">
      <c r="A1322" s="135" t="s">
        <v>3306</v>
      </c>
      <c r="B1322" s="2"/>
      <c r="C1322" s="2"/>
      <c r="D1322" s="2" t="s">
        <v>6443</v>
      </c>
      <c r="E1322" s="2" t="s">
        <v>5954</v>
      </c>
      <c r="F1322" s="2" t="s">
        <v>6214</v>
      </c>
      <c r="G1322" s="2"/>
      <c r="H1322" s="5" t="s">
        <v>7187</v>
      </c>
    </row>
    <row r="1323" spans="1:8" ht="43.5" hidden="1" x14ac:dyDescent="0.35">
      <c r="A1323" s="135" t="s">
        <v>3920</v>
      </c>
      <c r="B1323" s="2"/>
      <c r="C1323" s="2"/>
      <c r="D1323" s="2" t="s">
        <v>6443</v>
      </c>
      <c r="E1323" s="2" t="s">
        <v>5850</v>
      </c>
      <c r="F1323" s="2" t="s">
        <v>6591</v>
      </c>
      <c r="G1323" s="2" t="s">
        <v>6592</v>
      </c>
      <c r="H1323" s="5" t="s">
        <v>2776</v>
      </c>
    </row>
    <row r="1324" spans="1:8" ht="29" hidden="1" x14ac:dyDescent="0.35">
      <c r="A1324" s="136" t="s">
        <v>3383</v>
      </c>
      <c r="B1324" s="2"/>
      <c r="C1324" s="2"/>
      <c r="D1324" s="2" t="s">
        <v>6443</v>
      </c>
      <c r="E1324" s="2" t="s">
        <v>5850</v>
      </c>
      <c r="F1324" s="2" t="s">
        <v>5965</v>
      </c>
      <c r="G1324" s="2" t="s">
        <v>6044</v>
      </c>
      <c r="H1324" s="5" t="s">
        <v>1329</v>
      </c>
    </row>
    <row r="1325" spans="1:8" hidden="1" x14ac:dyDescent="0.35">
      <c r="A1325" s="135" t="s">
        <v>3307</v>
      </c>
      <c r="B1325" s="2"/>
      <c r="C1325" s="2"/>
      <c r="D1325" s="2" t="s">
        <v>6443</v>
      </c>
      <c r="E1325" s="2" t="s">
        <v>5850</v>
      </c>
      <c r="F1325" s="2" t="s">
        <v>6374</v>
      </c>
      <c r="G1325" s="2" t="s">
        <v>6032</v>
      </c>
      <c r="H1325" s="5" t="s">
        <v>7369</v>
      </c>
    </row>
    <row r="1326" spans="1:8" hidden="1" x14ac:dyDescent="0.35">
      <c r="A1326" s="136" t="s">
        <v>3307</v>
      </c>
      <c r="B1326" s="2"/>
      <c r="C1326" s="2"/>
      <c r="D1326" s="2" t="s">
        <v>6443</v>
      </c>
      <c r="E1326" s="2" t="s">
        <v>5850</v>
      </c>
      <c r="F1326" s="2" t="s">
        <v>6374</v>
      </c>
      <c r="G1326" s="2" t="s">
        <v>6031</v>
      </c>
      <c r="H1326" s="5" t="s">
        <v>7370</v>
      </c>
    </row>
    <row r="1327" spans="1:8" hidden="1" x14ac:dyDescent="0.35">
      <c r="A1327" s="135" t="s">
        <v>3307</v>
      </c>
      <c r="B1327" s="2"/>
      <c r="C1327" s="2"/>
      <c r="D1327" s="2" t="s">
        <v>6443</v>
      </c>
      <c r="E1327" s="2" t="s">
        <v>5850</v>
      </c>
      <c r="F1327" s="2" t="s">
        <v>6374</v>
      </c>
      <c r="G1327" s="2" t="s">
        <v>6030</v>
      </c>
      <c r="H1327" s="5" t="s">
        <v>7371</v>
      </c>
    </row>
    <row r="1328" spans="1:8" hidden="1" x14ac:dyDescent="0.35">
      <c r="A1328" s="136" t="s">
        <v>3307</v>
      </c>
      <c r="B1328" s="2"/>
      <c r="C1328" s="2"/>
      <c r="D1328" s="2" t="s">
        <v>6443</v>
      </c>
      <c r="E1328" s="2" t="s">
        <v>5850</v>
      </c>
      <c r="F1328" s="2" t="s">
        <v>6374</v>
      </c>
      <c r="G1328" s="2" t="s">
        <v>6036</v>
      </c>
      <c r="H1328" s="5" t="s">
        <v>7372</v>
      </c>
    </row>
    <row r="1329" spans="1:8" hidden="1" x14ac:dyDescent="0.35">
      <c r="A1329" s="135" t="s">
        <v>3307</v>
      </c>
      <c r="B1329" s="2"/>
      <c r="C1329" s="2"/>
      <c r="D1329" s="2" t="s">
        <v>6443</v>
      </c>
      <c r="E1329" s="2" t="s">
        <v>5850</v>
      </c>
      <c r="F1329" s="2" t="s">
        <v>6374</v>
      </c>
      <c r="G1329" s="2" t="s">
        <v>6034</v>
      </c>
      <c r="H1329" s="5" t="s">
        <v>7373</v>
      </c>
    </row>
    <row r="1330" spans="1:8" hidden="1" x14ac:dyDescent="0.35">
      <c r="A1330" s="136" t="s">
        <v>3307</v>
      </c>
      <c r="B1330" s="2"/>
      <c r="C1330" s="2"/>
      <c r="D1330" s="2" t="s">
        <v>6443</v>
      </c>
      <c r="E1330" s="2" t="s">
        <v>5850</v>
      </c>
      <c r="F1330" s="2" t="s">
        <v>6374</v>
      </c>
      <c r="G1330" s="2" t="s">
        <v>6049</v>
      </c>
      <c r="H1330" s="5" t="s">
        <v>7374</v>
      </c>
    </row>
    <row r="1331" spans="1:8" hidden="1" x14ac:dyDescent="0.35">
      <c r="A1331" s="135" t="s">
        <v>3307</v>
      </c>
      <c r="B1331" s="2"/>
      <c r="C1331" s="2"/>
      <c r="D1331" s="2" t="s">
        <v>6443</v>
      </c>
      <c r="E1331" s="2" t="s">
        <v>5850</v>
      </c>
      <c r="F1331" s="2" t="s">
        <v>6374</v>
      </c>
      <c r="G1331" s="2" t="s">
        <v>6375</v>
      </c>
      <c r="H1331" s="5" t="s">
        <v>7375</v>
      </c>
    </row>
    <row r="1332" spans="1:8" hidden="1" x14ac:dyDescent="0.35">
      <c r="A1332" s="136" t="s">
        <v>3307</v>
      </c>
      <c r="B1332" s="2"/>
      <c r="C1332" s="2"/>
      <c r="D1332" s="2" t="s">
        <v>6443</v>
      </c>
      <c r="E1332" s="2" t="s">
        <v>5850</v>
      </c>
      <c r="F1332" s="2" t="s">
        <v>6374</v>
      </c>
      <c r="G1332" s="2" t="s">
        <v>6033</v>
      </c>
      <c r="H1332" s="5" t="s">
        <v>7376</v>
      </c>
    </row>
    <row r="1333" spans="1:8" hidden="1" x14ac:dyDescent="0.35">
      <c r="A1333" s="135" t="s">
        <v>3307</v>
      </c>
      <c r="B1333" s="2"/>
      <c r="C1333" s="2"/>
      <c r="D1333" s="2" t="s">
        <v>6443</v>
      </c>
      <c r="E1333" s="2" t="s">
        <v>5850</v>
      </c>
      <c r="F1333" s="2" t="s">
        <v>6374</v>
      </c>
      <c r="G1333" s="2" t="s">
        <v>6053</v>
      </c>
      <c r="H1333" s="5" t="s">
        <v>7377</v>
      </c>
    </row>
    <row r="1334" spans="1:8" hidden="1" x14ac:dyDescent="0.35">
      <c r="A1334" s="136" t="s">
        <v>3307</v>
      </c>
      <c r="B1334" s="2"/>
      <c r="C1334" s="2"/>
      <c r="D1334" s="2" t="s">
        <v>6443</v>
      </c>
      <c r="E1334" s="2" t="s">
        <v>5850</v>
      </c>
      <c r="F1334" s="2" t="s">
        <v>6374</v>
      </c>
      <c r="G1334" s="2" t="s">
        <v>6376</v>
      </c>
      <c r="H1334" s="5" t="s">
        <v>7378</v>
      </c>
    </row>
    <row r="1335" spans="1:8" hidden="1" x14ac:dyDescent="0.35">
      <c r="A1335" s="135" t="s">
        <v>3307</v>
      </c>
      <c r="B1335" s="2"/>
      <c r="C1335" s="2"/>
      <c r="D1335" s="2" t="s">
        <v>6443</v>
      </c>
      <c r="E1335" s="2" t="s">
        <v>5850</v>
      </c>
      <c r="F1335" s="2" t="s">
        <v>6374</v>
      </c>
      <c r="G1335" s="2" t="s">
        <v>6032</v>
      </c>
      <c r="H1335" s="5" t="s">
        <v>7389</v>
      </c>
    </row>
    <row r="1336" spans="1:8" hidden="1" x14ac:dyDescent="0.35">
      <c r="A1336" s="136" t="s">
        <v>3307</v>
      </c>
      <c r="B1336" s="2"/>
      <c r="C1336" s="2"/>
      <c r="D1336" s="2" t="s">
        <v>6443</v>
      </c>
      <c r="E1336" s="2" t="s">
        <v>5850</v>
      </c>
      <c r="F1336" s="2" t="s">
        <v>6374</v>
      </c>
      <c r="G1336" s="2" t="s">
        <v>6032</v>
      </c>
      <c r="H1336" s="5" t="s">
        <v>7390</v>
      </c>
    </row>
    <row r="1337" spans="1:8" hidden="1" x14ac:dyDescent="0.35">
      <c r="A1337" s="135" t="s">
        <v>3307</v>
      </c>
      <c r="B1337" s="2"/>
      <c r="C1337" s="2"/>
      <c r="D1337" s="2" t="s">
        <v>6443</v>
      </c>
      <c r="E1337" s="2" t="s">
        <v>5850</v>
      </c>
      <c r="F1337" s="2" t="s">
        <v>6374</v>
      </c>
      <c r="G1337" s="2" t="s">
        <v>6032</v>
      </c>
      <c r="H1337" s="5" t="s">
        <v>7391</v>
      </c>
    </row>
    <row r="1338" spans="1:8" hidden="1" x14ac:dyDescent="0.35">
      <c r="A1338" s="136" t="s">
        <v>3307</v>
      </c>
      <c r="B1338" s="2"/>
      <c r="C1338" s="2"/>
      <c r="D1338" s="2" t="s">
        <v>6443</v>
      </c>
      <c r="E1338" s="2" t="s">
        <v>5850</v>
      </c>
      <c r="F1338" s="2" t="s">
        <v>6374</v>
      </c>
      <c r="G1338" s="2" t="s">
        <v>6032</v>
      </c>
      <c r="H1338" s="5" t="s">
        <v>7392</v>
      </c>
    </row>
    <row r="1339" spans="1:8" hidden="1" x14ac:dyDescent="0.35">
      <c r="A1339" s="135" t="s">
        <v>3307</v>
      </c>
      <c r="B1339" s="2"/>
      <c r="C1339" s="2"/>
      <c r="D1339" s="2" t="s">
        <v>6443</v>
      </c>
      <c r="E1339" s="2" t="s">
        <v>5850</v>
      </c>
      <c r="F1339" s="2" t="s">
        <v>6374</v>
      </c>
      <c r="G1339" s="2" t="s">
        <v>6032</v>
      </c>
      <c r="H1339" s="5" t="s">
        <v>7393</v>
      </c>
    </row>
    <row r="1340" spans="1:8" hidden="1" x14ac:dyDescent="0.35">
      <c r="A1340" s="136" t="s">
        <v>3307</v>
      </c>
      <c r="B1340" s="2"/>
      <c r="C1340" s="2"/>
      <c r="D1340" s="2" t="s">
        <v>6443</v>
      </c>
      <c r="E1340" s="2" t="s">
        <v>5850</v>
      </c>
      <c r="F1340" s="2" t="s">
        <v>6374</v>
      </c>
      <c r="G1340" s="2" t="s">
        <v>6032</v>
      </c>
      <c r="H1340" s="5" t="s">
        <v>7394</v>
      </c>
    </row>
    <row r="1341" spans="1:8" ht="29" hidden="1" x14ac:dyDescent="0.35">
      <c r="A1341" s="135" t="s">
        <v>3307</v>
      </c>
      <c r="B1341" s="2"/>
      <c r="C1341" s="2"/>
      <c r="D1341" s="2" t="s">
        <v>6443</v>
      </c>
      <c r="E1341" s="2" t="s">
        <v>5850</v>
      </c>
      <c r="F1341" s="2" t="s">
        <v>6374</v>
      </c>
      <c r="G1341" s="2" t="s">
        <v>6032</v>
      </c>
      <c r="H1341" s="5" t="s">
        <v>7395</v>
      </c>
    </row>
    <row r="1342" spans="1:8" hidden="1" x14ac:dyDescent="0.35">
      <c r="A1342" s="136" t="s">
        <v>3307</v>
      </c>
      <c r="B1342" s="2"/>
      <c r="C1342" s="2"/>
      <c r="D1342" s="2" t="s">
        <v>6443</v>
      </c>
      <c r="E1342" s="2" t="s">
        <v>5850</v>
      </c>
      <c r="F1342" s="2" t="s">
        <v>6374</v>
      </c>
      <c r="G1342" s="2" t="s">
        <v>6030</v>
      </c>
      <c r="H1342" s="5" t="s">
        <v>7396</v>
      </c>
    </row>
    <row r="1343" spans="1:8" hidden="1" x14ac:dyDescent="0.35">
      <c r="A1343" s="135" t="s">
        <v>3307</v>
      </c>
      <c r="B1343" s="2"/>
      <c r="C1343" s="2"/>
      <c r="D1343" s="2" t="s">
        <v>6443</v>
      </c>
      <c r="E1343" s="2" t="s">
        <v>5850</v>
      </c>
      <c r="F1343" s="2" t="s">
        <v>6374</v>
      </c>
      <c r="G1343" s="2" t="s">
        <v>6030</v>
      </c>
      <c r="H1343" s="5" t="s">
        <v>7397</v>
      </c>
    </row>
    <row r="1344" spans="1:8" hidden="1" x14ac:dyDescent="0.35">
      <c r="A1344" s="136" t="s">
        <v>3307</v>
      </c>
      <c r="B1344" s="2"/>
      <c r="C1344" s="2"/>
      <c r="D1344" s="2" t="s">
        <v>6443</v>
      </c>
      <c r="E1344" s="2" t="s">
        <v>5850</v>
      </c>
      <c r="F1344" s="2" t="s">
        <v>6374</v>
      </c>
      <c r="G1344" s="2" t="s">
        <v>6031</v>
      </c>
      <c r="H1344" s="5" t="s">
        <v>7398</v>
      </c>
    </row>
    <row r="1345" spans="1:8" hidden="1" x14ac:dyDescent="0.35">
      <c r="A1345" s="136" t="s">
        <v>3307</v>
      </c>
      <c r="B1345" s="2"/>
      <c r="C1345" s="2"/>
      <c r="D1345" s="2" t="s">
        <v>6443</v>
      </c>
      <c r="E1345" s="2" t="s">
        <v>5850</v>
      </c>
      <c r="F1345" s="2" t="s">
        <v>6374</v>
      </c>
      <c r="G1345" s="2"/>
      <c r="H1345" s="5" t="s">
        <v>117</v>
      </c>
    </row>
    <row r="1346" spans="1:8" hidden="1" x14ac:dyDescent="0.35">
      <c r="A1346" s="136" t="s">
        <v>3307</v>
      </c>
      <c r="B1346" s="2"/>
      <c r="C1346" s="2"/>
      <c r="D1346" s="2" t="s">
        <v>6443</v>
      </c>
      <c r="E1346" s="2" t="s">
        <v>5850</v>
      </c>
      <c r="F1346" s="2" t="s">
        <v>6289</v>
      </c>
      <c r="G1346" s="2" t="s">
        <v>6371</v>
      </c>
      <c r="H1346" s="5" t="s">
        <v>1254</v>
      </c>
    </row>
    <row r="1347" spans="1:8" hidden="1" x14ac:dyDescent="0.35">
      <c r="A1347" s="135" t="s">
        <v>3307</v>
      </c>
      <c r="B1347" s="2"/>
      <c r="C1347" s="2"/>
      <c r="D1347" s="2" t="s">
        <v>6443</v>
      </c>
      <c r="E1347" s="2" t="s">
        <v>5850</v>
      </c>
      <c r="F1347" s="2" t="s">
        <v>6289</v>
      </c>
      <c r="G1347" s="2" t="s">
        <v>6372</v>
      </c>
      <c r="H1347" s="5" t="s">
        <v>1289</v>
      </c>
    </row>
    <row r="1348" spans="1:8" ht="29" hidden="1" x14ac:dyDescent="0.35">
      <c r="A1348" s="135" t="s">
        <v>3954</v>
      </c>
      <c r="B1348" s="2"/>
      <c r="C1348" s="2"/>
      <c r="D1348" s="2" t="s">
        <v>6443</v>
      </c>
      <c r="E1348" s="2" t="s">
        <v>5850</v>
      </c>
      <c r="F1348" s="2" t="s">
        <v>6021</v>
      </c>
      <c r="G1348" s="2" t="s">
        <v>6560</v>
      </c>
      <c r="H1348" s="5" t="s">
        <v>710</v>
      </c>
    </row>
    <row r="1349" spans="1:8" ht="29" hidden="1" x14ac:dyDescent="0.35">
      <c r="A1349" s="136" t="s">
        <v>3954</v>
      </c>
      <c r="B1349" s="2"/>
      <c r="C1349" s="2"/>
      <c r="D1349" s="2" t="s">
        <v>6443</v>
      </c>
      <c r="E1349" s="2" t="s">
        <v>5850</v>
      </c>
      <c r="F1349" s="2" t="s">
        <v>6021</v>
      </c>
      <c r="G1349" s="2" t="s">
        <v>6560</v>
      </c>
      <c r="H1349" s="5" t="s">
        <v>711</v>
      </c>
    </row>
    <row r="1350" spans="1:8" ht="58" hidden="1" x14ac:dyDescent="0.35">
      <c r="A1350" s="135" t="s">
        <v>3332</v>
      </c>
      <c r="B1350" s="2"/>
      <c r="C1350" s="2"/>
      <c r="D1350" s="2" t="s">
        <v>6443</v>
      </c>
      <c r="E1350" s="2" t="s">
        <v>5850</v>
      </c>
      <c r="F1350" s="2" t="s">
        <v>5865</v>
      </c>
      <c r="G1350" s="2" t="s">
        <v>5876</v>
      </c>
      <c r="H1350" s="5" t="s">
        <v>1589</v>
      </c>
    </row>
    <row r="1351" spans="1:8" hidden="1" x14ac:dyDescent="0.35">
      <c r="A1351" s="135" t="s">
        <v>3308</v>
      </c>
      <c r="B1351" s="2"/>
      <c r="C1351" s="2"/>
      <c r="D1351" s="2" t="s">
        <v>6443</v>
      </c>
      <c r="E1351" s="2" t="s">
        <v>5850</v>
      </c>
      <c r="F1351" s="2" t="s">
        <v>5835</v>
      </c>
      <c r="G1351" s="2" t="s">
        <v>6371</v>
      </c>
      <c r="H1351" s="5" t="s">
        <v>2369</v>
      </c>
    </row>
    <row r="1352" spans="1:8" ht="29" hidden="1" x14ac:dyDescent="0.35">
      <c r="A1352" s="135" t="s">
        <v>3307</v>
      </c>
      <c r="B1352" s="2"/>
      <c r="C1352" s="2"/>
      <c r="D1352" s="2" t="s">
        <v>6443</v>
      </c>
      <c r="E1352" s="2" t="s">
        <v>5850</v>
      </c>
      <c r="F1352" s="2" t="s">
        <v>6129</v>
      </c>
      <c r="G1352" s="2" t="s">
        <v>5954</v>
      </c>
      <c r="H1352" s="5" t="s">
        <v>7409</v>
      </c>
    </row>
    <row r="1353" spans="1:8" ht="29" hidden="1" x14ac:dyDescent="0.35">
      <c r="A1353" s="135" t="s">
        <v>3332</v>
      </c>
      <c r="B1353" s="2"/>
      <c r="C1353" s="2"/>
      <c r="D1353" s="2" t="s">
        <v>6443</v>
      </c>
      <c r="E1353" s="2" t="s">
        <v>5850</v>
      </c>
      <c r="F1353" s="2" t="s">
        <v>5879</v>
      </c>
      <c r="G1353" s="2"/>
      <c r="H1353" s="5" t="s">
        <v>6863</v>
      </c>
    </row>
    <row r="1354" spans="1:8" ht="29" hidden="1" x14ac:dyDescent="0.35">
      <c r="A1354" s="135" t="s">
        <v>3307</v>
      </c>
      <c r="B1354" s="2"/>
      <c r="C1354" s="2"/>
      <c r="D1354" s="2" t="s">
        <v>6443</v>
      </c>
      <c r="E1354" s="2" t="s">
        <v>5850</v>
      </c>
      <c r="F1354" s="2" t="s">
        <v>5960</v>
      </c>
      <c r="G1354" s="2" t="s">
        <v>6047</v>
      </c>
      <c r="H1354" s="5" t="s">
        <v>7410</v>
      </c>
    </row>
    <row r="1355" spans="1:8" ht="29" hidden="1" x14ac:dyDescent="0.35">
      <c r="A1355" s="136" t="s">
        <v>3307</v>
      </c>
      <c r="B1355" s="2"/>
      <c r="C1355" s="2"/>
      <c r="D1355" s="2" t="s">
        <v>6443</v>
      </c>
      <c r="E1355" s="2" t="s">
        <v>5850</v>
      </c>
      <c r="F1355" s="2" t="s">
        <v>5960</v>
      </c>
      <c r="G1355" s="2" t="s">
        <v>6030</v>
      </c>
      <c r="H1355" s="5" t="s">
        <v>7411</v>
      </c>
    </row>
    <row r="1356" spans="1:8" ht="29" hidden="1" x14ac:dyDescent="0.35">
      <c r="A1356" s="135" t="s">
        <v>3307</v>
      </c>
      <c r="B1356" s="2"/>
      <c r="C1356" s="2"/>
      <c r="D1356" s="2" t="s">
        <v>6443</v>
      </c>
      <c r="E1356" s="2" t="s">
        <v>5850</v>
      </c>
      <c r="F1356" s="2" t="s">
        <v>5960</v>
      </c>
      <c r="G1356" s="2" t="s">
        <v>6391</v>
      </c>
      <c r="H1356" s="5" t="s">
        <v>2818</v>
      </c>
    </row>
    <row r="1357" spans="1:8" ht="29" hidden="1" x14ac:dyDescent="0.35">
      <c r="A1357" s="136" t="s">
        <v>3308</v>
      </c>
      <c r="B1357" s="2"/>
      <c r="C1357" s="2"/>
      <c r="D1357" s="2" t="s">
        <v>6443</v>
      </c>
      <c r="E1357" s="2" t="s">
        <v>5850</v>
      </c>
      <c r="F1357" s="2" t="s">
        <v>6030</v>
      </c>
      <c r="G1357" s="2" t="s">
        <v>6454</v>
      </c>
      <c r="H1357" s="5" t="s">
        <v>2571</v>
      </c>
    </row>
    <row r="1358" spans="1:8" ht="29" hidden="1" x14ac:dyDescent="0.35">
      <c r="A1358" s="135" t="s">
        <v>3308</v>
      </c>
      <c r="B1358" s="2"/>
      <c r="C1358" s="2"/>
      <c r="D1358" s="2" t="s">
        <v>6443</v>
      </c>
      <c r="E1358" s="2" t="s">
        <v>5850</v>
      </c>
      <c r="F1358" s="2" t="s">
        <v>6030</v>
      </c>
      <c r="G1358" s="2" t="s">
        <v>6455</v>
      </c>
      <c r="H1358" s="5" t="s">
        <v>2891</v>
      </c>
    </row>
    <row r="1359" spans="1:8" ht="29" hidden="1" x14ac:dyDescent="0.35">
      <c r="A1359" s="136" t="s">
        <v>3920</v>
      </c>
      <c r="B1359" s="2"/>
      <c r="C1359" s="2"/>
      <c r="D1359" s="2" t="s">
        <v>6443</v>
      </c>
      <c r="E1359" s="2" t="s">
        <v>5850</v>
      </c>
      <c r="F1359" s="2" t="s">
        <v>6030</v>
      </c>
      <c r="G1359" s="2" t="s">
        <v>5994</v>
      </c>
      <c r="H1359" s="5" t="s">
        <v>2893</v>
      </c>
    </row>
    <row r="1360" spans="1:8" hidden="1" x14ac:dyDescent="0.35">
      <c r="A1360" s="136" t="s">
        <v>3332</v>
      </c>
      <c r="B1360" s="2"/>
      <c r="C1360" s="2"/>
      <c r="D1360" s="2" t="s">
        <v>6443</v>
      </c>
      <c r="E1360" s="161" t="s">
        <v>5850</v>
      </c>
      <c r="F1360" s="161" t="s">
        <v>5890</v>
      </c>
      <c r="G1360" s="2" t="s">
        <v>5891</v>
      </c>
      <c r="H1360" s="5" t="s">
        <v>1835</v>
      </c>
    </row>
    <row r="1361" spans="1:8" hidden="1" x14ac:dyDescent="0.35">
      <c r="A1361" s="135" t="s">
        <v>3332</v>
      </c>
      <c r="B1361" s="2"/>
      <c r="C1361" s="2"/>
      <c r="D1361" s="2" t="s">
        <v>6443</v>
      </c>
      <c r="E1361" s="2" t="s">
        <v>5850</v>
      </c>
      <c r="F1361" s="2" t="s">
        <v>5970</v>
      </c>
      <c r="G1361" s="2" t="s">
        <v>5851</v>
      </c>
      <c r="H1361" s="5" t="s">
        <v>2944</v>
      </c>
    </row>
    <row r="1362" spans="1:8" hidden="1" x14ac:dyDescent="0.35">
      <c r="A1362" s="135" t="s">
        <v>3307</v>
      </c>
      <c r="B1362" s="2"/>
      <c r="C1362" s="2"/>
      <c r="D1362" s="2" t="s">
        <v>6443</v>
      </c>
      <c r="E1362" s="2" t="s">
        <v>5850</v>
      </c>
      <c r="F1362" s="2" t="s">
        <v>5853</v>
      </c>
      <c r="G1362" s="2" t="s">
        <v>6373</v>
      </c>
      <c r="H1362" s="5" t="s">
        <v>1624</v>
      </c>
    </row>
    <row r="1363" spans="1:8" hidden="1" x14ac:dyDescent="0.35">
      <c r="A1363" s="136" t="s">
        <v>3307</v>
      </c>
      <c r="B1363" s="2"/>
      <c r="C1363" s="2"/>
      <c r="D1363" s="2" t="s">
        <v>6443</v>
      </c>
      <c r="E1363" s="2" t="s">
        <v>5850</v>
      </c>
      <c r="F1363" s="2" t="s">
        <v>5853</v>
      </c>
      <c r="G1363" s="2" t="s">
        <v>5848</v>
      </c>
      <c r="H1363" s="5" t="s">
        <v>2353</v>
      </c>
    </row>
    <row r="1364" spans="1:8" hidden="1" x14ac:dyDescent="0.35">
      <c r="A1364" s="135" t="s">
        <v>3307</v>
      </c>
      <c r="B1364" s="2"/>
      <c r="C1364" s="2"/>
      <c r="D1364" s="2" t="s">
        <v>6443</v>
      </c>
      <c r="E1364" s="2" t="s">
        <v>5850</v>
      </c>
      <c r="F1364" s="2" t="s">
        <v>5853</v>
      </c>
      <c r="G1364" s="2" t="s">
        <v>6389</v>
      </c>
      <c r="H1364" s="5" t="s">
        <v>2472</v>
      </c>
    </row>
    <row r="1365" spans="1:8" ht="29" hidden="1" x14ac:dyDescent="0.35">
      <c r="A1365" s="136" t="s">
        <v>3307</v>
      </c>
      <c r="B1365" s="2"/>
      <c r="C1365" s="2"/>
      <c r="D1365" s="2" t="s">
        <v>6443</v>
      </c>
      <c r="E1365" s="2" t="s">
        <v>5850</v>
      </c>
      <c r="F1365" s="2" t="s">
        <v>5853</v>
      </c>
      <c r="G1365" s="2" t="s">
        <v>6392</v>
      </c>
      <c r="H1365" s="5" t="s">
        <v>3006</v>
      </c>
    </row>
    <row r="1366" spans="1:8" ht="29" hidden="1" x14ac:dyDescent="0.35">
      <c r="A1366" s="136" t="s">
        <v>3332</v>
      </c>
      <c r="B1366" s="2"/>
      <c r="C1366" s="2"/>
      <c r="D1366" s="2" t="s">
        <v>6443</v>
      </c>
      <c r="E1366" s="161" t="s">
        <v>5850</v>
      </c>
      <c r="F1366" s="161" t="s">
        <v>5874</v>
      </c>
      <c r="G1366" s="2" t="s">
        <v>5875</v>
      </c>
      <c r="H1366" s="5" t="s">
        <v>1504</v>
      </c>
    </row>
    <row r="1367" spans="1:8" hidden="1" x14ac:dyDescent="0.35">
      <c r="A1367" s="135" t="s">
        <v>3954</v>
      </c>
      <c r="B1367" s="2"/>
      <c r="C1367" s="2"/>
      <c r="D1367" s="2" t="s">
        <v>6443</v>
      </c>
      <c r="E1367" s="2" t="s">
        <v>5850</v>
      </c>
      <c r="F1367" s="2" t="s">
        <v>5874</v>
      </c>
      <c r="G1367" s="2"/>
      <c r="H1367" s="5" t="s">
        <v>25</v>
      </c>
    </row>
    <row r="1368" spans="1:8" ht="29" hidden="1" x14ac:dyDescent="0.35">
      <c r="A1368" s="136" t="s">
        <v>3954</v>
      </c>
      <c r="B1368" s="2"/>
      <c r="C1368" s="2"/>
      <c r="D1368" s="2" t="s">
        <v>6443</v>
      </c>
      <c r="E1368" s="2" t="s">
        <v>5850</v>
      </c>
      <c r="F1368" s="2" t="s">
        <v>5874</v>
      </c>
      <c r="G1368" s="2" t="s">
        <v>6605</v>
      </c>
      <c r="H1368" s="5" t="s">
        <v>7486</v>
      </c>
    </row>
    <row r="1369" spans="1:8" ht="29" hidden="1" x14ac:dyDescent="0.35">
      <c r="A1369" s="135" t="s">
        <v>3954</v>
      </c>
      <c r="B1369" s="2"/>
      <c r="C1369" s="2"/>
      <c r="D1369" s="2" t="s">
        <v>6443</v>
      </c>
      <c r="E1369" s="2" t="s">
        <v>5850</v>
      </c>
      <c r="F1369" s="2" t="s">
        <v>5874</v>
      </c>
      <c r="G1369" s="2" t="s">
        <v>6607</v>
      </c>
      <c r="H1369" s="5" t="s">
        <v>716</v>
      </c>
    </row>
    <row r="1370" spans="1:8" hidden="1" x14ac:dyDescent="0.35">
      <c r="A1370" s="135" t="s">
        <v>3332</v>
      </c>
      <c r="B1370" s="2"/>
      <c r="C1370" s="2"/>
      <c r="D1370" s="2" t="s">
        <v>6443</v>
      </c>
      <c r="E1370" s="2" t="s">
        <v>5850</v>
      </c>
      <c r="F1370" s="2" t="s">
        <v>5866</v>
      </c>
      <c r="G1370" s="2" t="s">
        <v>5846</v>
      </c>
      <c r="H1370" s="5" t="s">
        <v>2900</v>
      </c>
    </row>
    <row r="1371" spans="1:8" ht="29" hidden="1" x14ac:dyDescent="0.35">
      <c r="A1371" s="136" t="s">
        <v>3308</v>
      </c>
      <c r="B1371" s="2"/>
      <c r="C1371" s="2"/>
      <c r="D1371" s="2" t="s">
        <v>6443</v>
      </c>
      <c r="E1371" s="2" t="s">
        <v>5850</v>
      </c>
      <c r="F1371" s="2" t="s">
        <v>6444</v>
      </c>
      <c r="G1371" s="2" t="s">
        <v>6445</v>
      </c>
      <c r="H1371" s="5" t="s">
        <v>2547</v>
      </c>
    </row>
    <row r="1372" spans="1:8" hidden="1" x14ac:dyDescent="0.35">
      <c r="A1372" s="136" t="s">
        <v>3307</v>
      </c>
      <c r="B1372" s="2"/>
      <c r="C1372" s="2"/>
      <c r="D1372" s="2" t="s">
        <v>6443</v>
      </c>
      <c r="E1372" s="2" t="s">
        <v>5850</v>
      </c>
      <c r="F1372" s="2" t="s">
        <v>6283</v>
      </c>
      <c r="G1372" s="2" t="s">
        <v>6090</v>
      </c>
      <c r="H1372" s="5" t="s">
        <v>794</v>
      </c>
    </row>
    <row r="1373" spans="1:8" hidden="1" x14ac:dyDescent="0.35">
      <c r="A1373" s="135" t="s">
        <v>3307</v>
      </c>
      <c r="B1373" s="16"/>
      <c r="C1373" s="2"/>
      <c r="D1373" s="2" t="s">
        <v>6443</v>
      </c>
      <c r="E1373" s="2" t="s">
        <v>5850</v>
      </c>
      <c r="F1373" s="2" t="s">
        <v>6283</v>
      </c>
      <c r="G1373" s="2" t="s">
        <v>6072</v>
      </c>
      <c r="H1373" s="5" t="s">
        <v>795</v>
      </c>
    </row>
    <row r="1374" spans="1:8" hidden="1" x14ac:dyDescent="0.35">
      <c r="A1374" s="136" t="s">
        <v>3307</v>
      </c>
      <c r="B1374" s="16"/>
      <c r="C1374" s="2"/>
      <c r="D1374" s="2" t="s">
        <v>6443</v>
      </c>
      <c r="E1374" s="2" t="s">
        <v>5850</v>
      </c>
      <c r="F1374" s="2" t="s">
        <v>6283</v>
      </c>
      <c r="G1374" s="2" t="s">
        <v>6087</v>
      </c>
      <c r="H1374" s="5" t="s">
        <v>796</v>
      </c>
    </row>
    <row r="1375" spans="1:8" ht="43.5" hidden="1" x14ac:dyDescent="0.35">
      <c r="A1375" s="136" t="s">
        <v>3954</v>
      </c>
      <c r="B1375" s="16"/>
      <c r="C1375" s="2"/>
      <c r="D1375" s="2" t="s">
        <v>6443</v>
      </c>
      <c r="E1375" s="2" t="s">
        <v>5850</v>
      </c>
      <c r="F1375" s="2" t="s">
        <v>5912</v>
      </c>
      <c r="G1375" s="2" t="s">
        <v>6251</v>
      </c>
      <c r="H1375" s="5" t="s">
        <v>1215</v>
      </c>
    </row>
    <row r="1376" spans="1:8" ht="43.5" hidden="1" x14ac:dyDescent="0.35">
      <c r="A1376" s="136" t="s">
        <v>3954</v>
      </c>
      <c r="B1376" s="16"/>
      <c r="C1376" s="2"/>
      <c r="D1376" s="2" t="s">
        <v>6443</v>
      </c>
      <c r="E1376" s="2" t="s">
        <v>5850</v>
      </c>
      <c r="F1376" s="2" t="s">
        <v>5912</v>
      </c>
      <c r="G1376" s="2" t="s">
        <v>6250</v>
      </c>
      <c r="H1376" s="5" t="s">
        <v>1498</v>
      </c>
    </row>
    <row r="1377" spans="1:8" ht="29" hidden="1" x14ac:dyDescent="0.35">
      <c r="A1377" s="136" t="s">
        <v>3895</v>
      </c>
      <c r="B1377" s="16"/>
      <c r="C1377" s="2"/>
      <c r="D1377" s="2" t="s">
        <v>6443</v>
      </c>
      <c r="E1377" s="2" t="s">
        <v>5850</v>
      </c>
      <c r="F1377" s="2" t="s">
        <v>5804</v>
      </c>
      <c r="G1377" s="2" t="s">
        <v>6482</v>
      </c>
      <c r="H1377" s="5" t="s">
        <v>7457</v>
      </c>
    </row>
    <row r="1378" spans="1:8" ht="29" hidden="1" x14ac:dyDescent="0.35">
      <c r="A1378" s="135" t="s">
        <v>3895</v>
      </c>
      <c r="B1378" s="16"/>
      <c r="C1378" s="2"/>
      <c r="D1378" s="2" t="s">
        <v>6443</v>
      </c>
      <c r="E1378" s="2" t="s">
        <v>5850</v>
      </c>
      <c r="F1378" s="2" t="s">
        <v>5804</v>
      </c>
      <c r="G1378" s="2" t="s">
        <v>6476</v>
      </c>
      <c r="H1378" s="5" t="s">
        <v>7458</v>
      </c>
    </row>
    <row r="1379" spans="1:8" ht="29" hidden="1" x14ac:dyDescent="0.35">
      <c r="A1379" s="135" t="s">
        <v>3954</v>
      </c>
      <c r="B1379" s="16"/>
      <c r="C1379" s="2"/>
      <c r="D1379" s="2" t="s">
        <v>6443</v>
      </c>
      <c r="E1379" s="2" t="s">
        <v>5850</v>
      </c>
      <c r="F1379" s="2" t="s">
        <v>6608</v>
      </c>
      <c r="G1379" s="2"/>
      <c r="H1379" s="5" t="s">
        <v>1502</v>
      </c>
    </row>
    <row r="1380" spans="1:8" hidden="1" x14ac:dyDescent="0.35">
      <c r="A1380" s="135" t="s">
        <v>3307</v>
      </c>
      <c r="B1380" s="16"/>
      <c r="C1380" s="2"/>
      <c r="D1380" s="2" t="s">
        <v>6443</v>
      </c>
      <c r="E1380" s="2" t="s">
        <v>5850</v>
      </c>
      <c r="F1380" s="2" t="s">
        <v>6377</v>
      </c>
      <c r="G1380" s="2" t="s">
        <v>6032</v>
      </c>
      <c r="H1380" s="5" t="s">
        <v>7379</v>
      </c>
    </row>
    <row r="1381" spans="1:8" hidden="1" x14ac:dyDescent="0.35">
      <c r="A1381" s="136" t="s">
        <v>3307</v>
      </c>
      <c r="B1381" s="16"/>
      <c r="C1381" s="2"/>
      <c r="D1381" s="2" t="s">
        <v>6443</v>
      </c>
      <c r="E1381" s="2" t="s">
        <v>5850</v>
      </c>
      <c r="F1381" s="2" t="s">
        <v>6377</v>
      </c>
      <c r="G1381" s="2" t="s">
        <v>6031</v>
      </c>
      <c r="H1381" s="5" t="s">
        <v>7380</v>
      </c>
    </row>
    <row r="1382" spans="1:8" hidden="1" x14ac:dyDescent="0.35">
      <c r="A1382" s="135" t="s">
        <v>3307</v>
      </c>
      <c r="B1382" s="16"/>
      <c r="C1382" s="2"/>
      <c r="D1382" s="2" t="s">
        <v>6443</v>
      </c>
      <c r="E1382" s="2" t="s">
        <v>5850</v>
      </c>
      <c r="F1382" s="2" t="s">
        <v>6377</v>
      </c>
      <c r="G1382" s="2" t="s">
        <v>6030</v>
      </c>
      <c r="H1382" s="5" t="s">
        <v>7381</v>
      </c>
    </row>
    <row r="1383" spans="1:8" hidden="1" x14ac:dyDescent="0.35">
      <c r="A1383" s="136" t="s">
        <v>3307</v>
      </c>
      <c r="B1383" s="16"/>
      <c r="C1383" s="2"/>
      <c r="D1383" s="100" t="s">
        <v>6443</v>
      </c>
      <c r="E1383" s="2" t="s">
        <v>5850</v>
      </c>
      <c r="F1383" s="2" t="s">
        <v>6377</v>
      </c>
      <c r="G1383" s="2" t="s">
        <v>6036</v>
      </c>
      <c r="H1383" s="5" t="s">
        <v>7382</v>
      </c>
    </row>
    <row r="1384" spans="1:8" hidden="1" x14ac:dyDescent="0.35">
      <c r="A1384" s="135" t="s">
        <v>3307</v>
      </c>
      <c r="B1384" s="16"/>
      <c r="C1384" s="2"/>
      <c r="D1384" s="2" t="s">
        <v>6443</v>
      </c>
      <c r="E1384" s="2" t="s">
        <v>5850</v>
      </c>
      <c r="F1384" s="2" t="s">
        <v>6377</v>
      </c>
      <c r="G1384" s="2" t="s">
        <v>6034</v>
      </c>
      <c r="H1384" s="5" t="s">
        <v>7383</v>
      </c>
    </row>
    <row r="1385" spans="1:8" hidden="1" x14ac:dyDescent="0.35">
      <c r="A1385" s="136" t="s">
        <v>3307</v>
      </c>
      <c r="B1385" s="16"/>
      <c r="C1385" s="2"/>
      <c r="D1385" s="2" t="s">
        <v>6443</v>
      </c>
      <c r="E1385" s="2" t="s">
        <v>5850</v>
      </c>
      <c r="F1385" s="2" t="s">
        <v>6377</v>
      </c>
      <c r="G1385" s="2" t="s">
        <v>6049</v>
      </c>
      <c r="H1385" s="5" t="s">
        <v>7384</v>
      </c>
    </row>
    <row r="1386" spans="1:8" hidden="1" x14ac:dyDescent="0.35">
      <c r="A1386" s="135" t="s">
        <v>3307</v>
      </c>
      <c r="B1386" s="16"/>
      <c r="C1386" s="2"/>
      <c r="D1386" s="2" t="s">
        <v>6443</v>
      </c>
      <c r="E1386" s="2" t="s">
        <v>5850</v>
      </c>
      <c r="F1386" s="2" t="s">
        <v>6377</v>
      </c>
      <c r="G1386" s="2" t="s">
        <v>6375</v>
      </c>
      <c r="H1386" s="5" t="s">
        <v>7385</v>
      </c>
    </row>
    <row r="1387" spans="1:8" hidden="1" x14ac:dyDescent="0.35">
      <c r="A1387" s="136" t="s">
        <v>3307</v>
      </c>
      <c r="B1387" s="16"/>
      <c r="C1387" s="2"/>
      <c r="D1387" s="100" t="s">
        <v>6443</v>
      </c>
      <c r="E1387" s="100" t="s">
        <v>5850</v>
      </c>
      <c r="F1387" s="101" t="s">
        <v>6377</v>
      </c>
      <c r="G1387" s="2" t="s">
        <v>6033</v>
      </c>
      <c r="H1387" s="5" t="s">
        <v>7386</v>
      </c>
    </row>
    <row r="1388" spans="1:8" hidden="1" x14ac:dyDescent="0.35">
      <c r="A1388" s="135" t="s">
        <v>3307</v>
      </c>
      <c r="B1388" s="16"/>
      <c r="C1388" s="2"/>
      <c r="D1388" s="100" t="s">
        <v>6443</v>
      </c>
      <c r="E1388" s="2" t="s">
        <v>5850</v>
      </c>
      <c r="F1388" s="101" t="s">
        <v>6377</v>
      </c>
      <c r="G1388" s="2" t="s">
        <v>6053</v>
      </c>
      <c r="H1388" s="5" t="s">
        <v>7387</v>
      </c>
    </row>
    <row r="1389" spans="1:8" hidden="1" x14ac:dyDescent="0.35">
      <c r="A1389" s="136" t="s">
        <v>3307</v>
      </c>
      <c r="B1389" s="16"/>
      <c r="C1389" s="2"/>
      <c r="D1389" s="100" t="s">
        <v>6443</v>
      </c>
      <c r="E1389" s="2" t="s">
        <v>5850</v>
      </c>
      <c r="F1389" s="2" t="s">
        <v>6377</v>
      </c>
      <c r="G1389" s="2" t="s">
        <v>6376</v>
      </c>
      <c r="H1389" s="5" t="s">
        <v>7388</v>
      </c>
    </row>
    <row r="1390" spans="1:8" hidden="1" x14ac:dyDescent="0.35">
      <c r="A1390" s="136" t="s">
        <v>3332</v>
      </c>
      <c r="B1390" s="2"/>
      <c r="C1390" s="2"/>
      <c r="D1390" s="2" t="s">
        <v>6443</v>
      </c>
      <c r="E1390" s="161" t="s">
        <v>5850</v>
      </c>
      <c r="F1390" s="161" t="s">
        <v>5851</v>
      </c>
      <c r="G1390" s="2" t="s">
        <v>5848</v>
      </c>
      <c r="H1390" s="5" t="s">
        <v>2860</v>
      </c>
    </row>
    <row r="1391" spans="1:8" hidden="1" x14ac:dyDescent="0.35">
      <c r="A1391" s="135" t="s">
        <v>3332</v>
      </c>
      <c r="B1391" s="2"/>
      <c r="C1391" s="2"/>
      <c r="D1391" s="2" t="s">
        <v>6443</v>
      </c>
      <c r="E1391" s="2" t="s">
        <v>5850</v>
      </c>
      <c r="F1391" s="2" t="s">
        <v>5851</v>
      </c>
      <c r="G1391" s="2" t="s">
        <v>5852</v>
      </c>
      <c r="H1391" s="5" t="s">
        <v>1265</v>
      </c>
    </row>
    <row r="1392" spans="1:8" hidden="1" x14ac:dyDescent="0.35">
      <c r="A1392" s="136" t="s">
        <v>3332</v>
      </c>
      <c r="B1392" s="100"/>
      <c r="C1392" s="2"/>
      <c r="D1392" s="2" t="s">
        <v>6443</v>
      </c>
      <c r="E1392" s="161" t="s">
        <v>5850</v>
      </c>
      <c r="F1392" s="161" t="s">
        <v>5851</v>
      </c>
      <c r="G1392" s="2" t="s">
        <v>5853</v>
      </c>
      <c r="H1392" s="5" t="s">
        <v>1489</v>
      </c>
    </row>
    <row r="1393" spans="1:8" ht="29" hidden="1" x14ac:dyDescent="0.35">
      <c r="A1393" s="136" t="s">
        <v>3332</v>
      </c>
      <c r="B1393" s="2"/>
      <c r="C1393" s="2"/>
      <c r="D1393" s="2" t="s">
        <v>6443</v>
      </c>
      <c r="E1393" s="161" t="s">
        <v>5850</v>
      </c>
      <c r="F1393" s="161" t="s">
        <v>5851</v>
      </c>
      <c r="G1393" s="2" t="s">
        <v>5854</v>
      </c>
      <c r="H1393" s="5" t="s">
        <v>2244</v>
      </c>
    </row>
    <row r="1394" spans="1:8" ht="29" hidden="1" x14ac:dyDescent="0.35">
      <c r="A1394" s="136" t="s">
        <v>3332</v>
      </c>
      <c r="B1394" s="2"/>
      <c r="C1394" s="2"/>
      <c r="D1394" s="2" t="s">
        <v>6443</v>
      </c>
      <c r="E1394" s="161" t="s">
        <v>5850</v>
      </c>
      <c r="F1394" s="161" t="s">
        <v>5880</v>
      </c>
      <c r="G1394" s="2"/>
      <c r="H1394" s="5" t="s">
        <v>6864</v>
      </c>
    </row>
    <row r="1395" spans="1:8" ht="29" hidden="1" x14ac:dyDescent="0.35">
      <c r="A1395" s="135" t="s">
        <v>3308</v>
      </c>
      <c r="B1395" s="2"/>
      <c r="C1395" s="2"/>
      <c r="D1395" s="2" t="s">
        <v>6443</v>
      </c>
      <c r="E1395" s="2" t="s">
        <v>5848</v>
      </c>
      <c r="F1395" s="2" t="s">
        <v>6413</v>
      </c>
      <c r="G1395" s="2" t="s">
        <v>6006</v>
      </c>
      <c r="H1395" s="5" t="s">
        <v>2583</v>
      </c>
    </row>
    <row r="1396" spans="1:8" ht="29" hidden="1" x14ac:dyDescent="0.35">
      <c r="A1396" s="135" t="s">
        <v>3920</v>
      </c>
      <c r="B1396" s="2"/>
      <c r="C1396" s="2"/>
      <c r="D1396" s="2" t="s">
        <v>6443</v>
      </c>
      <c r="E1396" s="2" t="s">
        <v>6457</v>
      </c>
      <c r="F1396" s="2" t="s">
        <v>6597</v>
      </c>
      <c r="G1396" s="2" t="s">
        <v>6129</v>
      </c>
      <c r="H1396" s="5" t="s">
        <v>7482</v>
      </c>
    </row>
    <row r="1397" spans="1:8" hidden="1" x14ac:dyDescent="0.35">
      <c r="A1397" s="136" t="s">
        <v>3954</v>
      </c>
      <c r="B1397" s="2"/>
      <c r="C1397" s="2"/>
      <c r="D1397" s="2" t="s">
        <v>6443</v>
      </c>
      <c r="E1397" s="2" t="s">
        <v>6457</v>
      </c>
      <c r="F1397" s="2" t="s">
        <v>6597</v>
      </c>
      <c r="G1397" s="2" t="s">
        <v>5865</v>
      </c>
      <c r="H1397" s="5" t="s">
        <v>3238</v>
      </c>
    </row>
    <row r="1398" spans="1:8" hidden="1" x14ac:dyDescent="0.35">
      <c r="A1398" s="136" t="s">
        <v>3308</v>
      </c>
      <c r="B1398" s="2"/>
      <c r="C1398" s="2"/>
      <c r="D1398" s="2" t="s">
        <v>6443</v>
      </c>
      <c r="E1398" s="2" t="s">
        <v>6457</v>
      </c>
      <c r="F1398" s="2" t="s">
        <v>6006</v>
      </c>
      <c r="G1398" s="2" t="s">
        <v>6455</v>
      </c>
      <c r="H1398" s="5" t="s">
        <v>2863</v>
      </c>
    </row>
    <row r="1399" spans="1:8" ht="29" hidden="1" x14ac:dyDescent="0.35">
      <c r="A1399" s="136" t="s">
        <v>3383</v>
      </c>
      <c r="B1399" s="2"/>
      <c r="C1399" s="2"/>
      <c r="D1399" s="2" t="s">
        <v>6443</v>
      </c>
      <c r="E1399" s="2" t="s">
        <v>5857</v>
      </c>
      <c r="F1399" s="2" t="s">
        <v>6013</v>
      </c>
      <c r="G1399" s="2"/>
      <c r="H1399" s="5" t="s">
        <v>2341</v>
      </c>
    </row>
    <row r="1400" spans="1:8" ht="29" hidden="1" x14ac:dyDescent="0.35">
      <c r="A1400" s="135" t="s">
        <v>3343</v>
      </c>
      <c r="B1400" s="100"/>
      <c r="C1400" s="2"/>
      <c r="D1400" s="2" t="s">
        <v>6443</v>
      </c>
      <c r="E1400" s="2" t="s">
        <v>5857</v>
      </c>
      <c r="F1400" s="2" t="s">
        <v>5849</v>
      </c>
      <c r="G1400" s="2" t="s">
        <v>6008</v>
      </c>
      <c r="H1400" s="5" t="s">
        <v>6907</v>
      </c>
    </row>
    <row r="1401" spans="1:8" ht="29" hidden="1" x14ac:dyDescent="0.35">
      <c r="A1401" s="136" t="s">
        <v>3343</v>
      </c>
      <c r="B1401" s="100"/>
      <c r="C1401" s="2"/>
      <c r="D1401" s="2" t="s">
        <v>6443</v>
      </c>
      <c r="E1401" s="161" t="s">
        <v>5857</v>
      </c>
      <c r="F1401" s="161" t="s">
        <v>5849</v>
      </c>
      <c r="G1401" s="2" t="s">
        <v>5994</v>
      </c>
      <c r="H1401" s="5" t="s">
        <v>6908</v>
      </c>
    </row>
    <row r="1402" spans="1:8" ht="29" hidden="1" x14ac:dyDescent="0.35">
      <c r="A1402" s="136" t="s">
        <v>3803</v>
      </c>
      <c r="B1402" s="100"/>
      <c r="C1402" s="2"/>
      <c r="D1402" s="2" t="s">
        <v>6443</v>
      </c>
      <c r="E1402" s="2" t="s">
        <v>5857</v>
      </c>
      <c r="F1402" s="2" t="s">
        <v>5927</v>
      </c>
      <c r="G1402" s="2" t="s">
        <v>5939</v>
      </c>
      <c r="H1402" s="5" t="s">
        <v>1932</v>
      </c>
    </row>
    <row r="1403" spans="1:8" hidden="1" x14ac:dyDescent="0.35">
      <c r="A1403" s="135" t="s">
        <v>3803</v>
      </c>
      <c r="B1403" s="100"/>
      <c r="C1403" s="2"/>
      <c r="D1403" s="2" t="s">
        <v>6443</v>
      </c>
      <c r="E1403" s="2" t="s">
        <v>5857</v>
      </c>
      <c r="F1403" s="2" t="s">
        <v>5967</v>
      </c>
      <c r="G1403" s="2" t="s">
        <v>5935</v>
      </c>
      <c r="H1403" s="5" t="s">
        <v>7365</v>
      </c>
    </row>
    <row r="1404" spans="1:8" hidden="1" x14ac:dyDescent="0.35">
      <c r="A1404" s="136" t="s">
        <v>3803</v>
      </c>
      <c r="B1404" s="2"/>
      <c r="C1404" s="2"/>
      <c r="D1404" s="2" t="s">
        <v>6443</v>
      </c>
      <c r="E1404" s="2" t="s">
        <v>5857</v>
      </c>
      <c r="F1404" s="2" t="s">
        <v>5967</v>
      </c>
      <c r="G1404" s="2"/>
      <c r="H1404" s="5" t="s">
        <v>2770</v>
      </c>
    </row>
    <row r="1405" spans="1:8" ht="29" hidden="1" x14ac:dyDescent="0.35">
      <c r="A1405" s="136" t="s">
        <v>3920</v>
      </c>
      <c r="B1405" s="100"/>
      <c r="C1405" s="2"/>
      <c r="D1405" s="2" t="s">
        <v>6443</v>
      </c>
      <c r="E1405" s="2" t="s">
        <v>5968</v>
      </c>
      <c r="F1405" s="2" t="s">
        <v>6129</v>
      </c>
      <c r="G1405" s="2" t="s">
        <v>6595</v>
      </c>
      <c r="H1405" s="5" t="s">
        <v>7479</v>
      </c>
    </row>
    <row r="1406" spans="1:8" ht="29" hidden="1" x14ac:dyDescent="0.35">
      <c r="A1406" s="136" t="s">
        <v>3343</v>
      </c>
      <c r="B1406" s="2"/>
      <c r="C1406" s="2"/>
      <c r="D1406" s="2" t="s">
        <v>6443</v>
      </c>
      <c r="E1406" s="161" t="s">
        <v>5998</v>
      </c>
      <c r="F1406" s="161" t="s">
        <v>5954</v>
      </c>
      <c r="G1406" s="2" t="s">
        <v>5999</v>
      </c>
      <c r="H1406" s="5" t="s">
        <v>2754</v>
      </c>
    </row>
    <row r="1407" spans="1:8" hidden="1" x14ac:dyDescent="0.35">
      <c r="A1407" s="135" t="s">
        <v>3343</v>
      </c>
      <c r="B1407" s="2"/>
      <c r="C1407" s="2"/>
      <c r="D1407" s="2" t="s">
        <v>6443</v>
      </c>
      <c r="E1407" s="2" t="s">
        <v>5998</v>
      </c>
      <c r="F1407" s="2" t="s">
        <v>5954</v>
      </c>
      <c r="G1407" s="2" t="s">
        <v>5835</v>
      </c>
      <c r="H1407" s="5" t="s">
        <v>6902</v>
      </c>
    </row>
    <row r="1408" spans="1:8" hidden="1" x14ac:dyDescent="0.35">
      <c r="A1408" s="136" t="s">
        <v>3343</v>
      </c>
      <c r="B1408" s="2"/>
      <c r="C1408" s="2"/>
      <c r="D1408" s="2" t="s">
        <v>6443</v>
      </c>
      <c r="E1408" s="161" t="s">
        <v>5998</v>
      </c>
      <c r="F1408" s="161" t="s">
        <v>5954</v>
      </c>
      <c r="G1408" s="2" t="s">
        <v>5970</v>
      </c>
      <c r="H1408" s="5" t="s">
        <v>6903</v>
      </c>
    </row>
    <row r="1409" spans="1:8" hidden="1" x14ac:dyDescent="0.35">
      <c r="A1409" s="135" t="s">
        <v>3343</v>
      </c>
      <c r="B1409" s="2"/>
      <c r="C1409" s="2"/>
      <c r="D1409" s="2" t="s">
        <v>6443</v>
      </c>
      <c r="E1409" s="2" t="s">
        <v>5998</v>
      </c>
      <c r="F1409" s="2" t="s">
        <v>5954</v>
      </c>
      <c r="G1409" s="2"/>
      <c r="H1409" s="5" t="s">
        <v>6904</v>
      </c>
    </row>
    <row r="1410" spans="1:8" hidden="1" x14ac:dyDescent="0.35">
      <c r="A1410" s="136" t="s">
        <v>3343</v>
      </c>
      <c r="B1410" s="2"/>
      <c r="C1410" s="2"/>
      <c r="D1410" s="2" t="s">
        <v>6443</v>
      </c>
      <c r="E1410" s="161" t="s">
        <v>5998</v>
      </c>
      <c r="F1410" s="161" t="s">
        <v>5954</v>
      </c>
      <c r="G1410" s="2" t="s">
        <v>6007</v>
      </c>
      <c r="H1410" s="5" t="s">
        <v>3012</v>
      </c>
    </row>
    <row r="1411" spans="1:8" ht="29" hidden="1" x14ac:dyDescent="0.35">
      <c r="A1411" s="135" t="s">
        <v>3343</v>
      </c>
      <c r="B1411" s="2"/>
      <c r="C1411" s="2"/>
      <c r="D1411" s="2" t="s">
        <v>6443</v>
      </c>
      <c r="E1411" s="2" t="s">
        <v>5998</v>
      </c>
      <c r="F1411" s="2" t="s">
        <v>6005</v>
      </c>
      <c r="G1411" s="2" t="s">
        <v>6006</v>
      </c>
      <c r="H1411" s="5" t="s">
        <v>2965</v>
      </c>
    </row>
    <row r="1412" spans="1:8" hidden="1" x14ac:dyDescent="0.35">
      <c r="A1412" s="136" t="s">
        <v>3343</v>
      </c>
      <c r="B1412" s="2"/>
      <c r="C1412" s="2"/>
      <c r="D1412" s="2" t="s">
        <v>6443</v>
      </c>
      <c r="E1412" s="161" t="s">
        <v>5998</v>
      </c>
      <c r="F1412" s="161" t="s">
        <v>6001</v>
      </c>
      <c r="G1412" s="2" t="s">
        <v>5954</v>
      </c>
      <c r="H1412" s="5" t="s">
        <v>2828</v>
      </c>
    </row>
    <row r="1413" spans="1:8" hidden="1" x14ac:dyDescent="0.35">
      <c r="A1413" s="135" t="s">
        <v>3343</v>
      </c>
      <c r="B1413" s="2"/>
      <c r="C1413" s="2"/>
      <c r="D1413" s="2" t="s">
        <v>6443</v>
      </c>
      <c r="E1413" s="2" t="s">
        <v>5998</v>
      </c>
      <c r="F1413" s="2" t="s">
        <v>6001</v>
      </c>
      <c r="G1413" s="2"/>
      <c r="H1413" s="5" t="s">
        <v>2839</v>
      </c>
    </row>
    <row r="1414" spans="1:8" hidden="1" x14ac:dyDescent="0.35">
      <c r="A1414" s="136" t="s">
        <v>3343</v>
      </c>
      <c r="B1414" s="2"/>
      <c r="C1414" s="2"/>
      <c r="D1414" s="2" t="s">
        <v>6443</v>
      </c>
      <c r="E1414" s="161" t="s">
        <v>5998</v>
      </c>
      <c r="F1414" s="161" t="s">
        <v>6001</v>
      </c>
      <c r="G1414" s="2" t="s">
        <v>5779</v>
      </c>
      <c r="H1414" s="5" t="s">
        <v>2962</v>
      </c>
    </row>
    <row r="1415" spans="1:8" hidden="1" x14ac:dyDescent="0.35">
      <c r="A1415" s="135" t="s">
        <v>3343</v>
      </c>
      <c r="B1415" s="2"/>
      <c r="C1415" s="2"/>
      <c r="D1415" s="2" t="s">
        <v>6443</v>
      </c>
      <c r="E1415" s="2" t="s">
        <v>5998</v>
      </c>
      <c r="F1415" s="2" t="s">
        <v>6001</v>
      </c>
      <c r="G1415" s="2" t="s">
        <v>5970</v>
      </c>
      <c r="H1415" s="5" t="s">
        <v>6911</v>
      </c>
    </row>
    <row r="1416" spans="1:8" hidden="1" x14ac:dyDescent="0.35">
      <c r="A1416" s="136" t="s">
        <v>3343</v>
      </c>
      <c r="B1416" s="2"/>
      <c r="C1416" s="2"/>
      <c r="D1416" s="2" t="s">
        <v>6443</v>
      </c>
      <c r="E1416" s="161" t="s">
        <v>5998</v>
      </c>
      <c r="F1416" s="161" t="s">
        <v>5849</v>
      </c>
      <c r="G1416" s="2" t="s">
        <v>6006</v>
      </c>
      <c r="H1416" s="5" t="s">
        <v>6905</v>
      </c>
    </row>
    <row r="1417" spans="1:8" hidden="1" x14ac:dyDescent="0.35">
      <c r="A1417" s="135" t="s">
        <v>3343</v>
      </c>
      <c r="B1417" s="2"/>
      <c r="C1417" s="2"/>
      <c r="D1417" s="2" t="s">
        <v>6443</v>
      </c>
      <c r="E1417" s="2" t="s">
        <v>5998</v>
      </c>
      <c r="F1417" s="2" t="s">
        <v>5849</v>
      </c>
      <c r="G1417" s="2" t="s">
        <v>5994</v>
      </c>
      <c r="H1417" s="5" t="s">
        <v>6906</v>
      </c>
    </row>
    <row r="1418" spans="1:8" hidden="1" x14ac:dyDescent="0.35">
      <c r="A1418" s="135" t="s">
        <v>3343</v>
      </c>
      <c r="B1418" s="2"/>
      <c r="C1418" s="2"/>
      <c r="D1418" s="2" t="s">
        <v>6443</v>
      </c>
      <c r="E1418" s="2" t="s">
        <v>5998</v>
      </c>
      <c r="F1418" s="2" t="s">
        <v>5849</v>
      </c>
      <c r="G1418" s="2" t="s">
        <v>6009</v>
      </c>
      <c r="H1418" s="5" t="s">
        <v>6909</v>
      </c>
    </row>
    <row r="1419" spans="1:8" hidden="1" x14ac:dyDescent="0.35">
      <c r="A1419" s="135" t="s">
        <v>3332</v>
      </c>
      <c r="B1419" s="100"/>
      <c r="C1419" s="2"/>
      <c r="D1419" s="2" t="s">
        <v>6443</v>
      </c>
      <c r="E1419" s="2" t="s">
        <v>5845</v>
      </c>
      <c r="F1419" s="2" t="s">
        <v>5846</v>
      </c>
      <c r="G1419" s="2"/>
      <c r="H1419" s="5" t="s">
        <v>18</v>
      </c>
    </row>
    <row r="1420" spans="1:8" hidden="1" x14ac:dyDescent="0.35">
      <c r="A1420" s="136" t="s">
        <v>3332</v>
      </c>
      <c r="B1420" s="2"/>
      <c r="C1420" s="2"/>
      <c r="D1420" s="2" t="s">
        <v>6443</v>
      </c>
      <c r="E1420" s="161" t="s">
        <v>5845</v>
      </c>
      <c r="F1420" s="161" t="s">
        <v>5846</v>
      </c>
      <c r="G1420" s="2" t="s">
        <v>5960</v>
      </c>
      <c r="H1420" s="5" t="s">
        <v>2788</v>
      </c>
    </row>
    <row r="1421" spans="1:8" ht="29" hidden="1" x14ac:dyDescent="0.35">
      <c r="A1421" s="135" t="s">
        <v>3306</v>
      </c>
      <c r="B1421" s="2"/>
      <c r="C1421" s="2"/>
      <c r="D1421" s="2" t="s">
        <v>6443</v>
      </c>
      <c r="E1421" s="2" t="s">
        <v>5845</v>
      </c>
      <c r="F1421" s="2" t="s">
        <v>6220</v>
      </c>
      <c r="G1421" s="2" t="s">
        <v>5898</v>
      </c>
      <c r="H1421" s="5" t="s">
        <v>7195</v>
      </c>
    </row>
    <row r="1422" spans="1:8" ht="29" hidden="1" x14ac:dyDescent="0.35">
      <c r="A1422" s="136" t="s">
        <v>3306</v>
      </c>
      <c r="B1422" s="2"/>
      <c r="C1422" s="2"/>
      <c r="D1422" s="2" t="s">
        <v>6443</v>
      </c>
      <c r="E1422" s="2" t="s">
        <v>5845</v>
      </c>
      <c r="F1422" s="2" t="s">
        <v>6203</v>
      </c>
      <c r="G1422" s="2"/>
      <c r="H1422" s="5" t="s">
        <v>7198</v>
      </c>
    </row>
    <row r="1423" spans="1:8" ht="29" hidden="1" x14ac:dyDescent="0.35">
      <c r="A1423" s="136" t="s">
        <v>3308</v>
      </c>
      <c r="B1423" s="2"/>
      <c r="C1423" s="2"/>
      <c r="D1423" s="2" t="s">
        <v>6443</v>
      </c>
      <c r="E1423" s="2" t="s">
        <v>5845</v>
      </c>
      <c r="F1423" s="2" t="s">
        <v>6008</v>
      </c>
      <c r="G1423" s="2" t="s">
        <v>6416</v>
      </c>
      <c r="H1423" s="5" t="s">
        <v>180</v>
      </c>
    </row>
    <row r="1424" spans="1:8" hidden="1" x14ac:dyDescent="0.35">
      <c r="A1424" s="136" t="s">
        <v>3308</v>
      </c>
      <c r="B1424" s="2"/>
      <c r="C1424" s="2"/>
      <c r="D1424" s="2" t="s">
        <v>6443</v>
      </c>
      <c r="E1424" s="2" t="s">
        <v>5845</v>
      </c>
      <c r="F1424" s="2" t="s">
        <v>6008</v>
      </c>
      <c r="G1424" s="2" t="s">
        <v>5846</v>
      </c>
      <c r="H1424" s="5" t="s">
        <v>2338</v>
      </c>
    </row>
    <row r="1425" spans="1:8" hidden="1" x14ac:dyDescent="0.35">
      <c r="A1425" s="135" t="s">
        <v>3308</v>
      </c>
      <c r="B1425" s="2"/>
      <c r="C1425" s="2"/>
      <c r="D1425" s="2" t="s">
        <v>6443</v>
      </c>
      <c r="E1425" s="2" t="s">
        <v>5845</v>
      </c>
      <c r="F1425" s="2" t="s">
        <v>6008</v>
      </c>
      <c r="G1425" s="2" t="s">
        <v>5846</v>
      </c>
      <c r="H1425" s="5" t="s">
        <v>2339</v>
      </c>
    </row>
    <row r="1426" spans="1:8" hidden="1" x14ac:dyDescent="0.35">
      <c r="A1426" s="136" t="s">
        <v>3308</v>
      </c>
      <c r="B1426" s="2"/>
      <c r="C1426" s="2"/>
      <c r="D1426" s="2" t="s">
        <v>6443</v>
      </c>
      <c r="E1426" s="2" t="s">
        <v>5845</v>
      </c>
      <c r="F1426" s="2" t="s">
        <v>6008</v>
      </c>
      <c r="G1426" s="2" t="s">
        <v>5846</v>
      </c>
      <c r="H1426" s="5" t="s">
        <v>2340</v>
      </c>
    </row>
    <row r="1427" spans="1:8" ht="43.5" hidden="1" x14ac:dyDescent="0.35">
      <c r="A1427" s="135" t="s">
        <v>3306</v>
      </c>
      <c r="B1427" s="100"/>
      <c r="C1427" s="2"/>
      <c r="D1427" s="2" t="s">
        <v>6443</v>
      </c>
      <c r="E1427" s="2" t="s">
        <v>5845</v>
      </c>
      <c r="F1427" s="2" t="s">
        <v>6222</v>
      </c>
      <c r="G1427" s="2"/>
      <c r="H1427" s="5" t="s">
        <v>7197</v>
      </c>
    </row>
    <row r="1428" spans="1:8" ht="29" hidden="1" x14ac:dyDescent="0.35">
      <c r="A1428" s="135" t="s">
        <v>3306</v>
      </c>
      <c r="B1428" s="100"/>
      <c r="C1428" s="2"/>
      <c r="D1428" s="2" t="s">
        <v>6443</v>
      </c>
      <c r="E1428" s="2" t="s">
        <v>5845</v>
      </c>
      <c r="F1428" s="2" t="s">
        <v>6216</v>
      </c>
      <c r="G1428" s="2"/>
      <c r="H1428" s="5" t="s">
        <v>7191</v>
      </c>
    </row>
    <row r="1429" spans="1:8" ht="29" hidden="1" x14ac:dyDescent="0.35">
      <c r="A1429" s="136" t="s">
        <v>3306</v>
      </c>
      <c r="B1429" s="100"/>
      <c r="C1429" s="2"/>
      <c r="D1429" s="2" t="s">
        <v>6443</v>
      </c>
      <c r="E1429" s="2" t="s">
        <v>5845</v>
      </c>
      <c r="F1429" s="2" t="s">
        <v>6217</v>
      </c>
      <c r="G1429" s="2"/>
      <c r="H1429" s="5" t="s">
        <v>7192</v>
      </c>
    </row>
    <row r="1430" spans="1:8" ht="29" hidden="1" x14ac:dyDescent="0.35">
      <c r="A1430" s="136" t="s">
        <v>3306</v>
      </c>
      <c r="B1430" s="100"/>
      <c r="C1430" s="2"/>
      <c r="D1430" s="2" t="s">
        <v>6443</v>
      </c>
      <c r="E1430" s="2" t="s">
        <v>5845</v>
      </c>
      <c r="F1430" s="2" t="s">
        <v>6219</v>
      </c>
      <c r="G1430" s="2"/>
      <c r="H1430" s="5" t="s">
        <v>7194</v>
      </c>
    </row>
    <row r="1431" spans="1:8" ht="29" hidden="1" x14ac:dyDescent="0.35">
      <c r="A1431" s="136" t="s">
        <v>3306</v>
      </c>
      <c r="B1431" s="2"/>
      <c r="C1431" s="2"/>
      <c r="D1431" s="2" t="s">
        <v>6443</v>
      </c>
      <c r="E1431" s="2" t="s">
        <v>5845</v>
      </c>
      <c r="F1431" s="2" t="s">
        <v>6221</v>
      </c>
      <c r="G1431" s="2"/>
      <c r="H1431" s="5" t="s">
        <v>7196</v>
      </c>
    </row>
    <row r="1432" spans="1:8" hidden="1" x14ac:dyDescent="0.35">
      <c r="A1432" s="135" t="s">
        <v>3308</v>
      </c>
      <c r="B1432" s="2"/>
      <c r="C1432" s="2"/>
      <c r="D1432" s="2" t="s">
        <v>6443</v>
      </c>
      <c r="E1432" s="2" t="s">
        <v>5845</v>
      </c>
      <c r="F1432" s="2" t="s">
        <v>6009</v>
      </c>
      <c r="G1432" s="2" t="s">
        <v>5846</v>
      </c>
      <c r="H1432" s="5" t="s">
        <v>3082</v>
      </c>
    </row>
    <row r="1433" spans="1:8" hidden="1" x14ac:dyDescent="0.35">
      <c r="A1433" s="136" t="s">
        <v>3308</v>
      </c>
      <c r="B1433" s="100"/>
      <c r="C1433" s="2"/>
      <c r="D1433" s="2" t="s">
        <v>6443</v>
      </c>
      <c r="E1433" s="2" t="s">
        <v>5845</v>
      </c>
      <c r="F1433" s="2" t="s">
        <v>6009</v>
      </c>
      <c r="G1433" s="2" t="s">
        <v>5846</v>
      </c>
      <c r="H1433" s="5" t="s">
        <v>3084</v>
      </c>
    </row>
    <row r="1434" spans="1:8" hidden="1" x14ac:dyDescent="0.35">
      <c r="A1434" s="135" t="s">
        <v>3308</v>
      </c>
      <c r="B1434" s="100"/>
      <c r="C1434" s="2"/>
      <c r="D1434" s="2" t="s">
        <v>6443</v>
      </c>
      <c r="E1434" s="2" t="s">
        <v>5845</v>
      </c>
      <c r="F1434" s="2" t="s">
        <v>6009</v>
      </c>
      <c r="G1434" s="2" t="s">
        <v>5846</v>
      </c>
      <c r="H1434" s="5" t="s">
        <v>3083</v>
      </c>
    </row>
    <row r="1435" spans="1:8" ht="29" hidden="1" x14ac:dyDescent="0.35">
      <c r="A1435" s="136" t="s">
        <v>3306</v>
      </c>
      <c r="B1435" s="100"/>
      <c r="C1435" s="2"/>
      <c r="D1435" s="2" t="s">
        <v>6443</v>
      </c>
      <c r="E1435" s="2" t="s">
        <v>5845</v>
      </c>
      <c r="F1435" s="2" t="s">
        <v>6196</v>
      </c>
      <c r="G1435" s="2"/>
      <c r="H1435" s="5" t="s">
        <v>7190</v>
      </c>
    </row>
    <row r="1436" spans="1:8" ht="29" hidden="1" x14ac:dyDescent="0.35">
      <c r="A1436" s="135" t="s">
        <v>3306</v>
      </c>
      <c r="B1436" s="100"/>
      <c r="C1436" s="2"/>
      <c r="D1436" s="2" t="s">
        <v>6443</v>
      </c>
      <c r="E1436" s="2" t="s">
        <v>5845</v>
      </c>
      <c r="F1436" s="2" t="s">
        <v>6218</v>
      </c>
      <c r="G1436" s="2"/>
      <c r="H1436" s="5" t="s">
        <v>7193</v>
      </c>
    </row>
    <row r="1437" spans="1:8" ht="29" hidden="1" x14ac:dyDescent="0.35">
      <c r="A1437" s="135" t="s">
        <v>3306</v>
      </c>
      <c r="B1437" s="100"/>
      <c r="C1437" s="2"/>
      <c r="D1437" s="2" t="s">
        <v>6443</v>
      </c>
      <c r="E1437" s="2" t="s">
        <v>5845</v>
      </c>
      <c r="F1437" s="2" t="s">
        <v>6223</v>
      </c>
      <c r="G1437" s="2"/>
      <c r="H1437" s="5" t="s">
        <v>7199</v>
      </c>
    </row>
    <row r="1438" spans="1:8" hidden="1" x14ac:dyDescent="0.35">
      <c r="A1438" s="136" t="s">
        <v>3851</v>
      </c>
      <c r="B1438" s="2"/>
      <c r="C1438" s="2"/>
      <c r="D1438" s="2" t="s">
        <v>6443</v>
      </c>
      <c r="E1438" s="2" t="s">
        <v>5976</v>
      </c>
      <c r="F1438" s="2" t="s">
        <v>5954</v>
      </c>
      <c r="G1438" s="2"/>
      <c r="H1438" s="5" t="s">
        <v>768</v>
      </c>
    </row>
    <row r="1439" spans="1:8" ht="29" hidden="1" x14ac:dyDescent="0.35">
      <c r="A1439" s="135" t="s">
        <v>3851</v>
      </c>
      <c r="B1439" s="100"/>
      <c r="C1439" s="2"/>
      <c r="D1439" s="2" t="s">
        <v>6443</v>
      </c>
      <c r="E1439" s="2" t="s">
        <v>5942</v>
      </c>
      <c r="F1439" s="2" t="s">
        <v>5975</v>
      </c>
      <c r="G1439" s="2"/>
      <c r="H1439" s="5" t="s">
        <v>2593</v>
      </c>
    </row>
    <row r="1440" spans="1:8" hidden="1" x14ac:dyDescent="0.35">
      <c r="A1440" s="136" t="s">
        <v>3851</v>
      </c>
      <c r="B1440" s="100"/>
      <c r="C1440" s="2"/>
      <c r="D1440" s="2" t="s">
        <v>6443</v>
      </c>
      <c r="E1440" s="2" t="s">
        <v>5942</v>
      </c>
      <c r="F1440" s="2" t="s">
        <v>6412</v>
      </c>
      <c r="G1440" s="2" t="s">
        <v>5789</v>
      </c>
      <c r="H1440" s="5" t="s">
        <v>2882</v>
      </c>
    </row>
    <row r="1441" spans="1:8" hidden="1" x14ac:dyDescent="0.35">
      <c r="A1441" s="135" t="s">
        <v>3851</v>
      </c>
      <c r="B1441" s="100"/>
      <c r="C1441" s="2"/>
      <c r="D1441" s="2" t="s">
        <v>6443</v>
      </c>
      <c r="E1441" s="2" t="s">
        <v>5942</v>
      </c>
      <c r="F1441" s="2" t="s">
        <v>6412</v>
      </c>
      <c r="G1441" s="2" t="s">
        <v>5790</v>
      </c>
      <c r="H1441" s="5" t="s">
        <v>2883</v>
      </c>
    </row>
    <row r="1442" spans="1:8" hidden="1" x14ac:dyDescent="0.35">
      <c r="A1442" s="136" t="s">
        <v>3851</v>
      </c>
      <c r="B1442" s="100"/>
      <c r="C1442" s="2"/>
      <c r="D1442" s="2" t="s">
        <v>6443</v>
      </c>
      <c r="E1442" s="2" t="s">
        <v>5942</v>
      </c>
      <c r="F1442" s="2" t="s">
        <v>6412</v>
      </c>
      <c r="G1442" s="2" t="s">
        <v>5791</v>
      </c>
      <c r="H1442" s="5" t="s">
        <v>2885</v>
      </c>
    </row>
    <row r="1443" spans="1:8" hidden="1" x14ac:dyDescent="0.35">
      <c r="A1443" s="136" t="s">
        <v>3383</v>
      </c>
      <c r="B1443" s="100"/>
      <c r="C1443" s="2"/>
      <c r="D1443" s="2" t="s">
        <v>6443</v>
      </c>
      <c r="E1443" s="2" t="s">
        <v>6013</v>
      </c>
      <c r="F1443" s="2" t="s">
        <v>6014</v>
      </c>
      <c r="G1443" s="2" t="s">
        <v>6015</v>
      </c>
      <c r="H1443" s="5" t="s">
        <v>6918</v>
      </c>
    </row>
    <row r="1444" spans="1:8" hidden="1" x14ac:dyDescent="0.35">
      <c r="A1444" s="135" t="s">
        <v>3383</v>
      </c>
      <c r="B1444" s="2"/>
      <c r="C1444" s="2"/>
      <c r="D1444" s="2" t="s">
        <v>6443</v>
      </c>
      <c r="E1444" s="2" t="s">
        <v>6013</v>
      </c>
      <c r="F1444" s="2" t="s">
        <v>6014</v>
      </c>
      <c r="G1444" s="2" t="s">
        <v>6016</v>
      </c>
      <c r="H1444" s="5" t="s">
        <v>6919</v>
      </c>
    </row>
    <row r="1445" spans="1:8" ht="29" hidden="1" x14ac:dyDescent="0.35">
      <c r="A1445" s="135" t="s">
        <v>3383</v>
      </c>
      <c r="B1445" s="2"/>
      <c r="C1445" s="2"/>
      <c r="D1445" s="2" t="s">
        <v>6443</v>
      </c>
      <c r="E1445" s="2" t="s">
        <v>6013</v>
      </c>
      <c r="F1445" s="2" t="s">
        <v>6031</v>
      </c>
      <c r="G1445" s="2"/>
      <c r="H1445" s="5" t="s">
        <v>6935</v>
      </c>
    </row>
    <row r="1446" spans="1:8" ht="29" hidden="1" x14ac:dyDescent="0.35">
      <c r="A1446" s="136" t="s">
        <v>3383</v>
      </c>
      <c r="B1446" s="100"/>
      <c r="C1446" s="2"/>
      <c r="D1446" s="2" t="s">
        <v>6443</v>
      </c>
      <c r="E1446" s="2" t="s">
        <v>6013</v>
      </c>
      <c r="F1446" s="2" t="s">
        <v>6034</v>
      </c>
      <c r="G1446" s="2"/>
      <c r="H1446" s="5" t="s">
        <v>6938</v>
      </c>
    </row>
    <row r="1447" spans="1:8" ht="29" hidden="1" x14ac:dyDescent="0.35">
      <c r="A1447" s="136" t="s">
        <v>3383</v>
      </c>
      <c r="B1447" s="2"/>
      <c r="C1447" s="2"/>
      <c r="D1447" s="2" t="s">
        <v>6443</v>
      </c>
      <c r="E1447" s="2" t="s">
        <v>6013</v>
      </c>
      <c r="F1447" s="2" t="s">
        <v>6042</v>
      </c>
      <c r="G1447" s="2"/>
      <c r="H1447" s="5" t="s">
        <v>6946</v>
      </c>
    </row>
    <row r="1448" spans="1:8" ht="29" hidden="1" x14ac:dyDescent="0.35">
      <c r="A1448" s="136" t="s">
        <v>3383</v>
      </c>
      <c r="B1448" s="2"/>
      <c r="C1448" s="2"/>
      <c r="D1448" s="2" t="s">
        <v>6443</v>
      </c>
      <c r="E1448" s="2" t="s">
        <v>6013</v>
      </c>
      <c r="F1448" s="2" t="s">
        <v>6032</v>
      </c>
      <c r="G1448" s="2"/>
      <c r="H1448" s="5" t="s">
        <v>6936</v>
      </c>
    </row>
    <row r="1449" spans="1:8" ht="29" hidden="1" x14ac:dyDescent="0.35">
      <c r="A1449" s="135" t="s">
        <v>3383</v>
      </c>
      <c r="B1449" s="100"/>
      <c r="C1449" s="2"/>
      <c r="D1449" s="2" t="s">
        <v>6443</v>
      </c>
      <c r="E1449" s="2" t="s">
        <v>6013</v>
      </c>
      <c r="F1449" s="2" t="s">
        <v>6037</v>
      </c>
      <c r="G1449" s="2"/>
      <c r="H1449" s="5" t="s">
        <v>6941</v>
      </c>
    </row>
    <row r="1450" spans="1:8" ht="29" hidden="1" x14ac:dyDescent="0.35">
      <c r="A1450" s="136" t="s">
        <v>3383</v>
      </c>
      <c r="B1450" s="2"/>
      <c r="C1450" s="2"/>
      <c r="D1450" s="2" t="s">
        <v>6443</v>
      </c>
      <c r="E1450" s="2" t="s">
        <v>6013</v>
      </c>
      <c r="F1450" s="2" t="s">
        <v>6030</v>
      </c>
      <c r="G1450" s="2"/>
      <c r="H1450" s="5" t="s">
        <v>6934</v>
      </c>
    </row>
    <row r="1451" spans="1:8" hidden="1" x14ac:dyDescent="0.35">
      <c r="A1451" s="135" t="s">
        <v>3383</v>
      </c>
      <c r="B1451" s="2"/>
      <c r="C1451" s="2"/>
      <c r="D1451" s="2" t="s">
        <v>6443</v>
      </c>
      <c r="E1451" s="161" t="s">
        <v>6013</v>
      </c>
      <c r="F1451" s="2" t="s">
        <v>6030</v>
      </c>
      <c r="G1451" s="2" t="s">
        <v>5791</v>
      </c>
      <c r="H1451" s="5" t="s">
        <v>2886</v>
      </c>
    </row>
    <row r="1452" spans="1:8" ht="29" hidden="1" x14ac:dyDescent="0.35">
      <c r="A1452" s="136" t="s">
        <v>3383</v>
      </c>
      <c r="B1452" s="100"/>
      <c r="C1452" s="2"/>
      <c r="D1452" s="2" t="s">
        <v>6443</v>
      </c>
      <c r="E1452" s="2" t="s">
        <v>6013</v>
      </c>
      <c r="F1452" s="2" t="s">
        <v>6036</v>
      </c>
      <c r="G1452" s="2"/>
      <c r="H1452" s="5" t="s">
        <v>6940</v>
      </c>
    </row>
    <row r="1453" spans="1:8" ht="29" hidden="1" x14ac:dyDescent="0.35">
      <c r="A1453" s="135" t="s">
        <v>3383</v>
      </c>
      <c r="B1453" s="2"/>
      <c r="C1453" s="2"/>
      <c r="D1453" s="2" t="s">
        <v>6443</v>
      </c>
      <c r="E1453" s="2" t="s">
        <v>6013</v>
      </c>
      <c r="F1453" s="2" t="s">
        <v>6043</v>
      </c>
      <c r="G1453" s="2"/>
      <c r="H1453" s="5" t="s">
        <v>6947</v>
      </c>
    </row>
    <row r="1454" spans="1:8" ht="29" hidden="1" x14ac:dyDescent="0.35">
      <c r="A1454" s="135" t="s">
        <v>3383</v>
      </c>
      <c r="B1454" s="100"/>
      <c r="C1454" s="2"/>
      <c r="D1454" s="2" t="s">
        <v>6443</v>
      </c>
      <c r="E1454" s="2" t="s">
        <v>6013</v>
      </c>
      <c r="F1454" s="2" t="s">
        <v>6033</v>
      </c>
      <c r="G1454" s="2"/>
      <c r="H1454" s="5" t="s">
        <v>6937</v>
      </c>
    </row>
    <row r="1455" spans="1:8" ht="29" hidden="1" x14ac:dyDescent="0.35">
      <c r="A1455" s="135" t="s">
        <v>3383</v>
      </c>
      <c r="B1455" s="2"/>
      <c r="C1455" s="2"/>
      <c r="D1455" s="2" t="s">
        <v>6443</v>
      </c>
      <c r="E1455" s="2" t="s">
        <v>6013</v>
      </c>
      <c r="F1455" s="2" t="s">
        <v>6039</v>
      </c>
      <c r="G1455" s="2"/>
      <c r="H1455" s="5" t="s">
        <v>6943</v>
      </c>
    </row>
    <row r="1456" spans="1:8" ht="29" hidden="1" x14ac:dyDescent="0.35">
      <c r="A1456" s="135" t="s">
        <v>3383</v>
      </c>
      <c r="B1456" s="2"/>
      <c r="C1456" s="2"/>
      <c r="D1456" s="2" t="s">
        <v>6443</v>
      </c>
      <c r="E1456" s="2" t="s">
        <v>6013</v>
      </c>
      <c r="F1456" s="2" t="s">
        <v>6041</v>
      </c>
      <c r="G1456" s="2"/>
      <c r="H1456" s="5" t="s">
        <v>6945</v>
      </c>
    </row>
    <row r="1457" spans="1:9" ht="29" hidden="1" x14ac:dyDescent="0.35">
      <c r="A1457" s="136" t="s">
        <v>3383</v>
      </c>
      <c r="B1457" s="2"/>
      <c r="C1457" s="2"/>
      <c r="D1457" s="2" t="s">
        <v>6443</v>
      </c>
      <c r="E1457" s="2" t="s">
        <v>6013</v>
      </c>
      <c r="F1457" s="2" t="s">
        <v>6040</v>
      </c>
      <c r="G1457" s="2"/>
      <c r="H1457" s="5" t="s">
        <v>6944</v>
      </c>
    </row>
    <row r="1458" spans="1:9" ht="29" hidden="1" x14ac:dyDescent="0.35">
      <c r="A1458" s="136" t="s">
        <v>3383</v>
      </c>
      <c r="B1458" s="100"/>
      <c r="C1458" s="2"/>
      <c r="D1458" s="2" t="s">
        <v>6443</v>
      </c>
      <c r="E1458" s="2" t="s">
        <v>6013</v>
      </c>
      <c r="F1458" s="2" t="s">
        <v>6038</v>
      </c>
      <c r="G1458" s="2"/>
      <c r="H1458" s="5" t="s">
        <v>6942</v>
      </c>
    </row>
    <row r="1459" spans="1:9" ht="29" hidden="1" x14ac:dyDescent="0.35">
      <c r="A1459" s="135" t="s">
        <v>3383</v>
      </c>
      <c r="B1459" s="100"/>
      <c r="C1459" s="2"/>
      <c r="D1459" s="2" t="s">
        <v>6443</v>
      </c>
      <c r="E1459" s="2" t="s">
        <v>6013</v>
      </c>
      <c r="F1459" s="2" t="s">
        <v>6035</v>
      </c>
      <c r="G1459" s="2"/>
      <c r="H1459" s="5" t="s">
        <v>6939</v>
      </c>
    </row>
    <row r="1460" spans="1:9" ht="29" hidden="1" x14ac:dyDescent="0.35">
      <c r="A1460" s="136" t="s">
        <v>3332</v>
      </c>
      <c r="B1460" s="100"/>
      <c r="C1460" s="2"/>
      <c r="D1460" s="2" t="s">
        <v>6443</v>
      </c>
      <c r="E1460" s="161" t="s">
        <v>5970</v>
      </c>
      <c r="F1460" s="161" t="s">
        <v>5851</v>
      </c>
      <c r="G1460" s="2" t="s">
        <v>5971</v>
      </c>
      <c r="H1460" s="5" t="s">
        <v>3099</v>
      </c>
      <c r="I1460" t="s">
        <v>7790</v>
      </c>
    </row>
    <row r="1461" spans="1:9" ht="29" hidden="1" x14ac:dyDescent="0.35">
      <c r="A1461" s="135" t="s">
        <v>3306</v>
      </c>
      <c r="B1461" s="100"/>
      <c r="C1461" s="2"/>
      <c r="D1461" s="2" t="s">
        <v>6443</v>
      </c>
      <c r="E1461" s="2" t="s">
        <v>5853</v>
      </c>
      <c r="F1461" s="2" t="s">
        <v>6181</v>
      </c>
      <c r="G1461" s="2"/>
      <c r="H1461" s="5" t="s">
        <v>7130</v>
      </c>
    </row>
    <row r="1462" spans="1:9" ht="29" hidden="1" x14ac:dyDescent="0.35">
      <c r="A1462" s="135" t="s">
        <v>3306</v>
      </c>
      <c r="B1462" s="100"/>
      <c r="C1462" s="2"/>
      <c r="D1462" s="2" t="s">
        <v>6443</v>
      </c>
      <c r="E1462" s="2" t="s">
        <v>5853</v>
      </c>
      <c r="F1462" s="2" t="s">
        <v>6164</v>
      </c>
      <c r="G1462" s="2"/>
      <c r="H1462" s="5" t="s">
        <v>7112</v>
      </c>
    </row>
    <row r="1463" spans="1:9" hidden="1" x14ac:dyDescent="0.35">
      <c r="A1463" s="135" t="s">
        <v>3306</v>
      </c>
      <c r="B1463" s="100"/>
      <c r="C1463" s="2"/>
      <c r="D1463" s="2" t="s">
        <v>6443</v>
      </c>
      <c r="E1463" s="2" t="s">
        <v>5853</v>
      </c>
      <c r="F1463" s="2" t="s">
        <v>6198</v>
      </c>
      <c r="G1463" s="2" t="s">
        <v>5978</v>
      </c>
      <c r="H1463" s="5" t="s">
        <v>7159</v>
      </c>
    </row>
    <row r="1464" spans="1:9" hidden="1" x14ac:dyDescent="0.35">
      <c r="A1464" s="136" t="s">
        <v>3306</v>
      </c>
      <c r="B1464" s="2"/>
      <c r="C1464" s="2"/>
      <c r="D1464" s="2" t="s">
        <v>6443</v>
      </c>
      <c r="E1464" s="2" t="s">
        <v>5853</v>
      </c>
      <c r="F1464" s="2" t="s">
        <v>6198</v>
      </c>
      <c r="G1464" s="2" t="s">
        <v>6030</v>
      </c>
      <c r="H1464" s="5" t="s">
        <v>7170</v>
      </c>
    </row>
    <row r="1465" spans="1:9" ht="29" hidden="1" x14ac:dyDescent="0.35">
      <c r="A1465" s="135" t="s">
        <v>3306</v>
      </c>
      <c r="B1465" s="2"/>
      <c r="C1465" s="2"/>
      <c r="D1465" s="2" t="s">
        <v>6443</v>
      </c>
      <c r="E1465" s="2" t="s">
        <v>5853</v>
      </c>
      <c r="F1465" s="2" t="s">
        <v>6156</v>
      </c>
      <c r="G1465" s="2"/>
      <c r="H1465" s="5" t="s">
        <v>7104</v>
      </c>
    </row>
    <row r="1466" spans="1:9" hidden="1" x14ac:dyDescent="0.35">
      <c r="A1466" s="136" t="s">
        <v>3306</v>
      </c>
      <c r="B1466" s="100"/>
      <c r="C1466" s="2"/>
      <c r="D1466" s="2" t="s">
        <v>6443</v>
      </c>
      <c r="E1466" s="2" t="s">
        <v>5853</v>
      </c>
      <c r="F1466" s="2" t="s">
        <v>6156</v>
      </c>
      <c r="G1466" s="2" t="s">
        <v>6137</v>
      </c>
      <c r="H1466" s="5" t="s">
        <v>754</v>
      </c>
    </row>
    <row r="1467" spans="1:9" ht="29" hidden="1" x14ac:dyDescent="0.35">
      <c r="A1467" s="135" t="s">
        <v>3306</v>
      </c>
      <c r="B1467" s="100"/>
      <c r="C1467" s="2"/>
      <c r="D1467" s="2" t="s">
        <v>6443</v>
      </c>
      <c r="E1467" s="2" t="s">
        <v>5853</v>
      </c>
      <c r="F1467" s="2" t="s">
        <v>6154</v>
      </c>
      <c r="G1467" s="2"/>
      <c r="H1467" s="5" t="s">
        <v>7102</v>
      </c>
    </row>
    <row r="1468" spans="1:9" hidden="1" x14ac:dyDescent="0.35">
      <c r="A1468" s="136" t="s">
        <v>3306</v>
      </c>
      <c r="B1468" s="100"/>
      <c r="C1468" s="2"/>
      <c r="D1468" s="2" t="s">
        <v>6443</v>
      </c>
      <c r="E1468" s="2" t="s">
        <v>5853</v>
      </c>
      <c r="F1468" s="2" t="s">
        <v>6154</v>
      </c>
      <c r="G1468" s="2" t="s">
        <v>6137</v>
      </c>
      <c r="H1468" s="5" t="s">
        <v>754</v>
      </c>
    </row>
    <row r="1469" spans="1:9" ht="29" hidden="1" x14ac:dyDescent="0.35">
      <c r="A1469" s="136" t="s">
        <v>3306</v>
      </c>
      <c r="B1469" s="100"/>
      <c r="C1469" s="2"/>
      <c r="D1469" s="2" t="s">
        <v>6443</v>
      </c>
      <c r="E1469" s="2" t="s">
        <v>5853</v>
      </c>
      <c r="F1469" s="2" t="s">
        <v>6167</v>
      </c>
      <c r="G1469" s="2"/>
      <c r="H1469" s="5" t="s">
        <v>7115</v>
      </c>
    </row>
    <row r="1470" spans="1:9" ht="29" hidden="1" x14ac:dyDescent="0.35">
      <c r="A1470" s="136" t="s">
        <v>3306</v>
      </c>
      <c r="B1470" s="100"/>
      <c r="C1470" s="2"/>
      <c r="D1470" s="2" t="s">
        <v>6443</v>
      </c>
      <c r="E1470" s="2" t="s">
        <v>5853</v>
      </c>
      <c r="F1470" s="2" t="s">
        <v>6165</v>
      </c>
      <c r="G1470" s="2"/>
      <c r="H1470" s="5" t="s">
        <v>7113</v>
      </c>
    </row>
    <row r="1471" spans="1:9" hidden="1" x14ac:dyDescent="0.35">
      <c r="A1471" s="135" t="s">
        <v>3308</v>
      </c>
      <c r="B1471" s="100"/>
      <c r="C1471" s="2"/>
      <c r="D1471" s="2" t="s">
        <v>6443</v>
      </c>
      <c r="E1471" s="2" t="s">
        <v>5853</v>
      </c>
      <c r="F1471" s="2" t="s">
        <v>6024</v>
      </c>
      <c r="G1471" s="2" t="s">
        <v>6006</v>
      </c>
      <c r="H1471" s="5" t="s">
        <v>2966</v>
      </c>
    </row>
    <row r="1472" spans="1:9" hidden="1" x14ac:dyDescent="0.35">
      <c r="A1472" s="135" t="s">
        <v>3954</v>
      </c>
      <c r="B1472" s="2"/>
      <c r="C1472" s="2"/>
      <c r="D1472" s="2" t="s">
        <v>6443</v>
      </c>
      <c r="E1472" s="2" t="s">
        <v>5853</v>
      </c>
      <c r="F1472" s="2" t="s">
        <v>6024</v>
      </c>
      <c r="G1472" s="2" t="s">
        <v>5874</v>
      </c>
      <c r="H1472" s="5" t="s">
        <v>2969</v>
      </c>
    </row>
    <row r="1473" spans="1:8" hidden="1" x14ac:dyDescent="0.35">
      <c r="A1473" s="136" t="s">
        <v>3306</v>
      </c>
      <c r="B1473" s="2"/>
      <c r="C1473" s="2"/>
      <c r="D1473" s="2" t="s">
        <v>6443</v>
      </c>
      <c r="E1473" s="2" t="s">
        <v>5853</v>
      </c>
      <c r="F1473" s="2" t="s">
        <v>6203</v>
      </c>
      <c r="G1473" s="2" t="s">
        <v>5978</v>
      </c>
      <c r="H1473" s="5" t="s">
        <v>7166</v>
      </c>
    </row>
    <row r="1474" spans="1:8" hidden="1" x14ac:dyDescent="0.35">
      <c r="A1474" s="135" t="s">
        <v>3306</v>
      </c>
      <c r="B1474" s="2"/>
      <c r="C1474" s="2"/>
      <c r="D1474" s="2" t="s">
        <v>6443</v>
      </c>
      <c r="E1474" s="2" t="s">
        <v>5853</v>
      </c>
      <c r="F1474" s="2" t="s">
        <v>6203</v>
      </c>
      <c r="G1474" s="2" t="s">
        <v>6030</v>
      </c>
      <c r="H1474" s="5" t="s">
        <v>7177</v>
      </c>
    </row>
    <row r="1475" spans="1:8" hidden="1" x14ac:dyDescent="0.35">
      <c r="A1475" s="136" t="s">
        <v>3306</v>
      </c>
      <c r="B1475" s="2"/>
      <c r="C1475" s="2"/>
      <c r="D1475" s="2" t="s">
        <v>6443</v>
      </c>
      <c r="E1475" s="2" t="s">
        <v>5853</v>
      </c>
      <c r="F1475" s="2" t="s">
        <v>6202</v>
      </c>
      <c r="G1475" s="2" t="s">
        <v>5978</v>
      </c>
      <c r="H1475" s="5" t="s">
        <v>7164</v>
      </c>
    </row>
    <row r="1476" spans="1:8" hidden="1" x14ac:dyDescent="0.35">
      <c r="A1476" s="135" t="s">
        <v>3306</v>
      </c>
      <c r="B1476" s="2"/>
      <c r="C1476" s="2"/>
      <c r="D1476" s="2" t="s">
        <v>6443</v>
      </c>
      <c r="E1476" s="2" t="s">
        <v>5853</v>
      </c>
      <c r="F1476" s="2" t="s">
        <v>6202</v>
      </c>
      <c r="G1476" s="2" t="s">
        <v>6030</v>
      </c>
      <c r="H1476" s="5" t="s">
        <v>7175</v>
      </c>
    </row>
    <row r="1477" spans="1:8" ht="29" hidden="1" x14ac:dyDescent="0.35">
      <c r="A1477" s="135" t="s">
        <v>3306</v>
      </c>
      <c r="B1477" s="2"/>
      <c r="C1477" s="2"/>
      <c r="D1477" s="2" t="s">
        <v>6443</v>
      </c>
      <c r="E1477" s="2" t="s">
        <v>5853</v>
      </c>
      <c r="F1477" s="2" t="s">
        <v>6177</v>
      </c>
      <c r="G1477" s="2"/>
      <c r="H1477" s="5" t="s">
        <v>7126</v>
      </c>
    </row>
    <row r="1478" spans="1:8" ht="29" hidden="1" x14ac:dyDescent="0.35">
      <c r="A1478" s="136" t="s">
        <v>3306</v>
      </c>
      <c r="B1478" s="100"/>
      <c r="C1478" s="2"/>
      <c r="D1478" s="2" t="s">
        <v>6443</v>
      </c>
      <c r="E1478" s="2" t="s">
        <v>5853</v>
      </c>
      <c r="F1478" s="2" t="s">
        <v>6163</v>
      </c>
      <c r="G1478" s="2"/>
      <c r="H1478" s="5" t="s">
        <v>7111</v>
      </c>
    </row>
    <row r="1479" spans="1:8" ht="29" hidden="1" x14ac:dyDescent="0.35">
      <c r="A1479" s="135" t="s">
        <v>3306</v>
      </c>
      <c r="B1479" s="2"/>
      <c r="C1479" s="2"/>
      <c r="D1479" s="2" t="s">
        <v>6443</v>
      </c>
      <c r="E1479" s="2" t="s">
        <v>5853</v>
      </c>
      <c r="F1479" s="2" t="s">
        <v>6175</v>
      </c>
      <c r="G1479" s="2"/>
      <c r="H1479" s="5" t="s">
        <v>7124</v>
      </c>
    </row>
    <row r="1480" spans="1:8" ht="29" hidden="1" x14ac:dyDescent="0.35">
      <c r="A1480" s="136" t="s">
        <v>3306</v>
      </c>
      <c r="B1480" s="2"/>
      <c r="C1480" s="2"/>
      <c r="D1480" s="2" t="s">
        <v>6443</v>
      </c>
      <c r="E1480" s="2" t="s">
        <v>5853</v>
      </c>
      <c r="F1480" s="2" t="s">
        <v>6161</v>
      </c>
      <c r="G1480" s="2"/>
      <c r="H1480" s="5" t="s">
        <v>7109</v>
      </c>
    </row>
    <row r="1481" spans="1:8" ht="29" hidden="1" x14ac:dyDescent="0.35">
      <c r="A1481" s="135" t="s">
        <v>3306</v>
      </c>
      <c r="B1481" s="100"/>
      <c r="C1481" s="2"/>
      <c r="D1481" s="2" t="s">
        <v>6443</v>
      </c>
      <c r="E1481" s="2" t="s">
        <v>5853</v>
      </c>
      <c r="F1481" s="2" t="s">
        <v>6162</v>
      </c>
      <c r="G1481" s="2"/>
      <c r="H1481" s="5" t="s">
        <v>7110</v>
      </c>
    </row>
    <row r="1482" spans="1:8" hidden="1" x14ac:dyDescent="0.35">
      <c r="A1482" s="135" t="s">
        <v>3851</v>
      </c>
      <c r="B1482" s="100"/>
      <c r="C1482" s="2"/>
      <c r="D1482" s="2" t="s">
        <v>6443</v>
      </c>
      <c r="E1482" s="2" t="s">
        <v>5853</v>
      </c>
      <c r="F1482" s="2" t="s">
        <v>5978</v>
      </c>
      <c r="G1482" s="2" t="s">
        <v>6402</v>
      </c>
      <c r="H1482" s="5" t="s">
        <v>2632</v>
      </c>
    </row>
    <row r="1483" spans="1:8" ht="29" hidden="1" x14ac:dyDescent="0.35">
      <c r="A1483" s="136" t="s">
        <v>3851</v>
      </c>
      <c r="B1483" s="100"/>
      <c r="C1483" s="2"/>
      <c r="D1483" s="2" t="s">
        <v>6443</v>
      </c>
      <c r="E1483" s="2" t="s">
        <v>5853</v>
      </c>
      <c r="F1483" s="2" t="s">
        <v>5978</v>
      </c>
      <c r="G1483" s="2" t="s">
        <v>6402</v>
      </c>
      <c r="H1483" s="5" t="s">
        <v>2633</v>
      </c>
    </row>
    <row r="1484" spans="1:8" hidden="1" x14ac:dyDescent="0.35">
      <c r="A1484" s="136" t="s">
        <v>3383</v>
      </c>
      <c r="B1484" s="100"/>
      <c r="C1484" s="2"/>
      <c r="D1484" s="2" t="s">
        <v>6443</v>
      </c>
      <c r="E1484" s="2" t="s">
        <v>5853</v>
      </c>
      <c r="F1484" s="2" t="s">
        <v>6046</v>
      </c>
      <c r="G1484" s="2" t="s">
        <v>6030</v>
      </c>
      <c r="H1484" s="5" t="s">
        <v>2321</v>
      </c>
    </row>
    <row r="1485" spans="1:8" hidden="1" x14ac:dyDescent="0.35">
      <c r="A1485" s="135" t="s">
        <v>3383</v>
      </c>
      <c r="B1485" s="100"/>
      <c r="C1485" s="2"/>
      <c r="D1485" s="2" t="s">
        <v>6443</v>
      </c>
      <c r="E1485" s="2" t="s">
        <v>5853</v>
      </c>
      <c r="F1485" s="2" t="s">
        <v>6046</v>
      </c>
      <c r="G1485" s="2" t="s">
        <v>6047</v>
      </c>
      <c r="H1485" s="5" t="s">
        <v>2322</v>
      </c>
    </row>
    <row r="1486" spans="1:8" ht="29" hidden="1" x14ac:dyDescent="0.35">
      <c r="A1486" s="136" t="s">
        <v>3306</v>
      </c>
      <c r="B1486" s="100"/>
      <c r="C1486" s="2"/>
      <c r="D1486" s="2" t="s">
        <v>6443</v>
      </c>
      <c r="E1486" s="2" t="s">
        <v>5853</v>
      </c>
      <c r="F1486" s="2" t="s">
        <v>6182</v>
      </c>
      <c r="G1486" s="2"/>
      <c r="H1486" s="5" t="s">
        <v>7131</v>
      </c>
    </row>
    <row r="1487" spans="1:8" hidden="1" x14ac:dyDescent="0.35">
      <c r="A1487" s="135" t="s">
        <v>3306</v>
      </c>
      <c r="B1487" s="100"/>
      <c r="C1487" s="2"/>
      <c r="D1487" s="2" t="s">
        <v>6443</v>
      </c>
      <c r="E1487" s="2" t="s">
        <v>5853</v>
      </c>
      <c r="F1487" s="2" t="s">
        <v>6204</v>
      </c>
      <c r="G1487" s="2" t="s">
        <v>5978</v>
      </c>
      <c r="H1487" s="5" t="s">
        <v>7163</v>
      </c>
    </row>
    <row r="1488" spans="1:8" hidden="1" x14ac:dyDescent="0.35">
      <c r="A1488" s="136" t="s">
        <v>3306</v>
      </c>
      <c r="B1488" s="100"/>
      <c r="C1488" s="2"/>
      <c r="D1488" s="2" t="s">
        <v>6443</v>
      </c>
      <c r="E1488" s="2" t="s">
        <v>5853</v>
      </c>
      <c r="F1488" s="2" t="s">
        <v>6204</v>
      </c>
      <c r="G1488" s="2" t="s">
        <v>6030</v>
      </c>
      <c r="H1488" s="5" t="s">
        <v>7174</v>
      </c>
    </row>
    <row r="1489" spans="1:8" ht="29" hidden="1" x14ac:dyDescent="0.35">
      <c r="A1489" s="136" t="s">
        <v>3306</v>
      </c>
      <c r="B1489" s="100"/>
      <c r="C1489" s="2"/>
      <c r="D1489" s="2" t="s">
        <v>6443</v>
      </c>
      <c r="E1489" s="2" t="s">
        <v>5853</v>
      </c>
      <c r="F1489" s="2" t="s">
        <v>6178</v>
      </c>
      <c r="G1489" s="2"/>
      <c r="H1489" s="5" t="s">
        <v>7127</v>
      </c>
    </row>
    <row r="1490" spans="1:8" ht="29" hidden="1" x14ac:dyDescent="0.35">
      <c r="A1490" s="135" t="s">
        <v>3306</v>
      </c>
      <c r="B1490" s="100"/>
      <c r="C1490" s="2"/>
      <c r="D1490" s="2" t="s">
        <v>6443</v>
      </c>
      <c r="E1490" s="2" t="s">
        <v>5853</v>
      </c>
      <c r="F1490" s="2" t="s">
        <v>6166</v>
      </c>
      <c r="G1490" s="2"/>
      <c r="H1490" s="5" t="s">
        <v>7114</v>
      </c>
    </row>
    <row r="1491" spans="1:8" ht="29" hidden="1" x14ac:dyDescent="0.35">
      <c r="A1491" s="135" t="s">
        <v>3306</v>
      </c>
      <c r="B1491" s="100"/>
      <c r="C1491" s="2"/>
      <c r="D1491" s="2" t="s">
        <v>6443</v>
      </c>
      <c r="E1491" s="2" t="s">
        <v>5853</v>
      </c>
      <c r="F1491" s="2" t="s">
        <v>6155</v>
      </c>
      <c r="G1491" s="2"/>
      <c r="H1491" s="5" t="s">
        <v>7103</v>
      </c>
    </row>
    <row r="1492" spans="1:8" hidden="1" x14ac:dyDescent="0.35">
      <c r="A1492" s="136" t="s">
        <v>3306</v>
      </c>
      <c r="B1492" s="2"/>
      <c r="C1492" s="2"/>
      <c r="D1492" s="2" t="s">
        <v>6443</v>
      </c>
      <c r="E1492" s="2" t="s">
        <v>5853</v>
      </c>
      <c r="F1492" s="2" t="s">
        <v>6155</v>
      </c>
      <c r="G1492" s="2" t="s">
        <v>6137</v>
      </c>
      <c r="H1492" s="5" t="s">
        <v>754</v>
      </c>
    </row>
    <row r="1493" spans="1:8" ht="29" hidden="1" x14ac:dyDescent="0.35">
      <c r="A1493" s="136" t="s">
        <v>3851</v>
      </c>
      <c r="B1493" s="100"/>
      <c r="C1493" s="2"/>
      <c r="D1493" s="2" t="s">
        <v>6443</v>
      </c>
      <c r="E1493" s="2" t="s">
        <v>5853</v>
      </c>
      <c r="F1493" s="2" t="s">
        <v>6030</v>
      </c>
      <c r="G1493" s="2" t="s">
        <v>6407</v>
      </c>
      <c r="H1493" s="5" t="s">
        <v>2473</v>
      </c>
    </row>
    <row r="1494" spans="1:8" hidden="1" x14ac:dyDescent="0.35">
      <c r="A1494" s="136" t="s">
        <v>3306</v>
      </c>
      <c r="B1494" s="2"/>
      <c r="C1494" s="2"/>
      <c r="D1494" s="2" t="s">
        <v>6443</v>
      </c>
      <c r="E1494" s="2" t="s">
        <v>5853</v>
      </c>
      <c r="F1494" s="2" t="s">
        <v>6199</v>
      </c>
      <c r="G1494" s="2" t="s">
        <v>5978</v>
      </c>
      <c r="H1494" s="5" t="s">
        <v>7160</v>
      </c>
    </row>
    <row r="1495" spans="1:8" hidden="1" x14ac:dyDescent="0.35">
      <c r="A1495" s="135" t="s">
        <v>3306</v>
      </c>
      <c r="B1495" s="2"/>
      <c r="C1495" s="2"/>
      <c r="D1495" s="2" t="s">
        <v>6443</v>
      </c>
      <c r="E1495" s="2" t="s">
        <v>5853</v>
      </c>
      <c r="F1495" s="2" t="s">
        <v>6199</v>
      </c>
      <c r="G1495" s="2" t="s">
        <v>6030</v>
      </c>
      <c r="H1495" s="5" t="s">
        <v>7171</v>
      </c>
    </row>
    <row r="1496" spans="1:8" ht="29" hidden="1" x14ac:dyDescent="0.35">
      <c r="A1496" s="148" t="s">
        <v>3533</v>
      </c>
      <c r="B1496" s="2"/>
      <c r="C1496" s="2"/>
      <c r="D1496" s="2" t="s">
        <v>6443</v>
      </c>
      <c r="E1496" s="2" t="s">
        <v>5853</v>
      </c>
      <c r="F1496" s="2" t="s">
        <v>6149</v>
      </c>
      <c r="G1496" s="2" t="s">
        <v>6150</v>
      </c>
      <c r="H1496" s="5" t="s">
        <v>7092</v>
      </c>
    </row>
    <row r="1497" spans="1:8" ht="29" hidden="1" x14ac:dyDescent="0.35">
      <c r="A1497" s="153" t="s">
        <v>3533</v>
      </c>
      <c r="B1497" s="2"/>
      <c r="C1497" s="2"/>
      <c r="D1497" s="2" t="s">
        <v>6443</v>
      </c>
      <c r="E1497" s="2" t="s">
        <v>5853</v>
      </c>
      <c r="F1497" s="2" t="s">
        <v>6149</v>
      </c>
      <c r="G1497" s="2" t="s">
        <v>6030</v>
      </c>
      <c r="H1497" s="5" t="s">
        <v>7093</v>
      </c>
    </row>
    <row r="1498" spans="1:8" ht="29" hidden="1" x14ac:dyDescent="0.35">
      <c r="A1498" s="148" t="s">
        <v>3533</v>
      </c>
      <c r="B1498" s="2"/>
      <c r="C1498" s="2"/>
      <c r="D1498" s="2" t="s">
        <v>6443</v>
      </c>
      <c r="E1498" s="2" t="s">
        <v>5853</v>
      </c>
      <c r="F1498" s="2" t="s">
        <v>6149</v>
      </c>
      <c r="G1498" s="2" t="s">
        <v>6047</v>
      </c>
      <c r="H1498" s="5" t="s">
        <v>7094</v>
      </c>
    </row>
    <row r="1499" spans="1:8" ht="29" hidden="1" x14ac:dyDescent="0.35">
      <c r="A1499" s="136" t="s">
        <v>3306</v>
      </c>
      <c r="B1499" s="100"/>
      <c r="C1499" s="2"/>
      <c r="D1499" s="2" t="s">
        <v>6443</v>
      </c>
      <c r="E1499" s="2" t="s">
        <v>5853</v>
      </c>
      <c r="F1499" s="2" t="s">
        <v>6172</v>
      </c>
      <c r="G1499" s="2"/>
      <c r="H1499" s="5" t="s">
        <v>7121</v>
      </c>
    </row>
    <row r="1500" spans="1:8" hidden="1" x14ac:dyDescent="0.35">
      <c r="A1500" s="136" t="s">
        <v>3306</v>
      </c>
      <c r="B1500" s="100"/>
      <c r="C1500" s="2"/>
      <c r="D1500" s="2" t="s">
        <v>6443</v>
      </c>
      <c r="E1500" s="2" t="s">
        <v>5853</v>
      </c>
      <c r="F1500" s="2" t="s">
        <v>5874</v>
      </c>
      <c r="G1500" s="2" t="s">
        <v>6137</v>
      </c>
      <c r="H1500" s="5" t="s">
        <v>754</v>
      </c>
    </row>
    <row r="1501" spans="1:8" ht="43.5" hidden="1" x14ac:dyDescent="0.35">
      <c r="A1501" s="135" t="s">
        <v>3306</v>
      </c>
      <c r="B1501" s="100"/>
      <c r="C1501" s="2"/>
      <c r="D1501" s="2" t="s">
        <v>6443</v>
      </c>
      <c r="E1501" s="2" t="s">
        <v>5853</v>
      </c>
      <c r="F1501" s="2" t="s">
        <v>6173</v>
      </c>
      <c r="G1501" s="2"/>
      <c r="H1501" s="5" t="s">
        <v>7122</v>
      </c>
    </row>
    <row r="1502" spans="1:8" ht="29" hidden="1" x14ac:dyDescent="0.35">
      <c r="A1502" s="148" t="s">
        <v>3306</v>
      </c>
      <c r="B1502" s="100"/>
      <c r="C1502" s="2"/>
      <c r="D1502" s="2" t="s">
        <v>6443</v>
      </c>
      <c r="E1502" s="2" t="s">
        <v>5853</v>
      </c>
      <c r="F1502" s="2" t="s">
        <v>6153</v>
      </c>
      <c r="G1502" s="2"/>
      <c r="H1502" s="5" t="s">
        <v>7101</v>
      </c>
    </row>
    <row r="1503" spans="1:8" ht="29" hidden="1" x14ac:dyDescent="0.35">
      <c r="A1503" s="135" t="s">
        <v>3306</v>
      </c>
      <c r="B1503" s="100"/>
      <c r="C1503" s="2"/>
      <c r="D1503" s="2" t="s">
        <v>6443</v>
      </c>
      <c r="E1503" s="2" t="s">
        <v>5853</v>
      </c>
      <c r="F1503" s="2" t="s">
        <v>6153</v>
      </c>
      <c r="G1503" s="2"/>
      <c r="H1503" s="5" t="s">
        <v>7101</v>
      </c>
    </row>
    <row r="1504" spans="1:8" hidden="1" x14ac:dyDescent="0.35">
      <c r="A1504" s="136" t="s">
        <v>3851</v>
      </c>
      <c r="B1504" s="2"/>
      <c r="C1504" s="2"/>
      <c r="D1504" s="2" t="s">
        <v>6443</v>
      </c>
      <c r="E1504" s="2" t="s">
        <v>5853</v>
      </c>
      <c r="F1504" s="2" t="s">
        <v>6043</v>
      </c>
      <c r="G1504" s="2" t="s">
        <v>6414</v>
      </c>
      <c r="H1504" s="5" t="s">
        <v>3267</v>
      </c>
    </row>
    <row r="1505" spans="1:8" ht="29" hidden="1" x14ac:dyDescent="0.35">
      <c r="A1505" s="136" t="s">
        <v>3306</v>
      </c>
      <c r="B1505" s="2"/>
      <c r="C1505" s="2"/>
      <c r="D1505" s="2" t="s">
        <v>6443</v>
      </c>
      <c r="E1505" s="2" t="s">
        <v>5853</v>
      </c>
      <c r="F1505" s="2" t="s">
        <v>6159</v>
      </c>
      <c r="G1505" s="2"/>
      <c r="H1505" s="5" t="s">
        <v>7107</v>
      </c>
    </row>
    <row r="1506" spans="1:8" ht="29" hidden="1" x14ac:dyDescent="0.35">
      <c r="A1506" s="135" t="s">
        <v>3306</v>
      </c>
      <c r="B1506" s="100"/>
      <c r="C1506" s="2"/>
      <c r="D1506" s="2" t="s">
        <v>6443</v>
      </c>
      <c r="E1506" s="2" t="s">
        <v>5853</v>
      </c>
      <c r="F1506" s="2" t="s">
        <v>6160</v>
      </c>
      <c r="G1506" s="2"/>
      <c r="H1506" s="5" t="s">
        <v>7108</v>
      </c>
    </row>
    <row r="1507" spans="1:8" ht="29" hidden="1" x14ac:dyDescent="0.35">
      <c r="A1507" s="135" t="s">
        <v>3306</v>
      </c>
      <c r="B1507" s="100"/>
      <c r="C1507" s="2"/>
      <c r="D1507" s="2" t="s">
        <v>6443</v>
      </c>
      <c r="E1507" s="2" t="s">
        <v>5853</v>
      </c>
      <c r="F1507" s="2" t="s">
        <v>6157</v>
      </c>
      <c r="G1507" s="2"/>
      <c r="H1507" s="5" t="s">
        <v>7105</v>
      </c>
    </row>
    <row r="1508" spans="1:8" hidden="1" x14ac:dyDescent="0.35">
      <c r="A1508" s="136" t="s">
        <v>3306</v>
      </c>
      <c r="B1508" s="100"/>
      <c r="C1508" s="2"/>
      <c r="D1508" s="2" t="s">
        <v>6443</v>
      </c>
      <c r="E1508" s="2" t="s">
        <v>5853</v>
      </c>
      <c r="F1508" s="2" t="s">
        <v>6157</v>
      </c>
      <c r="G1508" s="2" t="s">
        <v>6137</v>
      </c>
      <c r="H1508" s="5" t="s">
        <v>754</v>
      </c>
    </row>
    <row r="1509" spans="1:8" hidden="1" x14ac:dyDescent="0.35">
      <c r="A1509" s="135" t="s">
        <v>3306</v>
      </c>
      <c r="B1509" s="100"/>
      <c r="C1509" s="2"/>
      <c r="D1509" s="2" t="s">
        <v>6443</v>
      </c>
      <c r="E1509" s="2" t="s">
        <v>5853</v>
      </c>
      <c r="F1509" s="2" t="s">
        <v>6205</v>
      </c>
      <c r="G1509" s="2" t="s">
        <v>5978</v>
      </c>
      <c r="H1509" s="5" t="s">
        <v>7165</v>
      </c>
    </row>
    <row r="1510" spans="1:8" hidden="1" x14ac:dyDescent="0.35">
      <c r="A1510" s="136" t="s">
        <v>3306</v>
      </c>
      <c r="B1510" s="2"/>
      <c r="C1510" s="2"/>
      <c r="D1510" s="2" t="s">
        <v>6443</v>
      </c>
      <c r="E1510" s="2" t="s">
        <v>5853</v>
      </c>
      <c r="F1510" s="2" t="s">
        <v>6205</v>
      </c>
      <c r="G1510" s="2" t="s">
        <v>6030</v>
      </c>
      <c r="H1510" s="5" t="s">
        <v>7176</v>
      </c>
    </row>
    <row r="1511" spans="1:8" ht="29" hidden="1" x14ac:dyDescent="0.35">
      <c r="A1511" s="135" t="s">
        <v>3306</v>
      </c>
      <c r="B1511" s="100"/>
      <c r="C1511" s="2"/>
      <c r="D1511" s="2" t="s">
        <v>6443</v>
      </c>
      <c r="E1511" s="2" t="s">
        <v>5853</v>
      </c>
      <c r="F1511" s="2" t="s">
        <v>6183</v>
      </c>
      <c r="G1511" s="2"/>
      <c r="H1511" s="5" t="s">
        <v>7132</v>
      </c>
    </row>
    <row r="1512" spans="1:8" ht="29" hidden="1" x14ac:dyDescent="0.35">
      <c r="A1512" s="136" t="s">
        <v>3306</v>
      </c>
      <c r="B1512" s="2"/>
      <c r="C1512" s="2"/>
      <c r="D1512" s="2" t="s">
        <v>6443</v>
      </c>
      <c r="E1512" s="2" t="s">
        <v>5853</v>
      </c>
      <c r="F1512" s="2" t="s">
        <v>6180</v>
      </c>
      <c r="G1512" s="2"/>
      <c r="H1512" s="5" t="s">
        <v>7129</v>
      </c>
    </row>
    <row r="1513" spans="1:8" ht="29" hidden="1" x14ac:dyDescent="0.35">
      <c r="A1513" s="135" t="s">
        <v>3306</v>
      </c>
      <c r="B1513" s="2"/>
      <c r="C1513" s="2"/>
      <c r="D1513" s="2" t="s">
        <v>6443</v>
      </c>
      <c r="E1513" s="2" t="s">
        <v>5853</v>
      </c>
      <c r="F1513" s="2" t="s">
        <v>6168</v>
      </c>
      <c r="G1513" s="2"/>
      <c r="H1513" s="5" t="s">
        <v>7116</v>
      </c>
    </row>
    <row r="1514" spans="1:8" hidden="1" x14ac:dyDescent="0.35">
      <c r="A1514" s="135" t="s">
        <v>3306</v>
      </c>
      <c r="B1514" s="2"/>
      <c r="C1514" s="2"/>
      <c r="D1514" s="2" t="s">
        <v>6443</v>
      </c>
      <c r="E1514" s="2" t="s">
        <v>5853</v>
      </c>
      <c r="F1514" s="2" t="s">
        <v>6197</v>
      </c>
      <c r="G1514" s="2" t="s">
        <v>6030</v>
      </c>
      <c r="H1514" s="5" t="s">
        <v>7169</v>
      </c>
    </row>
    <row r="1515" spans="1:8" ht="29" hidden="1" x14ac:dyDescent="0.35">
      <c r="A1515" s="135" t="s">
        <v>3306</v>
      </c>
      <c r="B1515" s="2"/>
      <c r="C1515" s="2"/>
      <c r="D1515" s="2" t="s">
        <v>6443</v>
      </c>
      <c r="E1515" s="2" t="s">
        <v>5853</v>
      </c>
      <c r="F1515" s="2" t="s">
        <v>6170</v>
      </c>
      <c r="G1515" s="2"/>
      <c r="H1515" s="5" t="s">
        <v>7118</v>
      </c>
    </row>
    <row r="1516" spans="1:8" ht="29" hidden="1" x14ac:dyDescent="0.35">
      <c r="A1516" s="136" t="s">
        <v>3306</v>
      </c>
      <c r="B1516" s="2"/>
      <c r="C1516" s="2"/>
      <c r="D1516" s="2" t="s">
        <v>6443</v>
      </c>
      <c r="E1516" s="2" t="s">
        <v>5853</v>
      </c>
      <c r="F1516" s="2" t="s">
        <v>6169</v>
      </c>
      <c r="G1516" s="2"/>
      <c r="H1516" s="5" t="s">
        <v>7117</v>
      </c>
    </row>
    <row r="1517" spans="1:8" ht="29" hidden="1" x14ac:dyDescent="0.35">
      <c r="A1517" s="136" t="s">
        <v>3306</v>
      </c>
      <c r="B1517" s="2"/>
      <c r="C1517" s="2"/>
      <c r="D1517" s="2" t="s">
        <v>6443</v>
      </c>
      <c r="E1517" s="2" t="s">
        <v>5853</v>
      </c>
      <c r="F1517" s="2" t="s">
        <v>6201</v>
      </c>
      <c r="G1517" s="2" t="s">
        <v>5978</v>
      </c>
      <c r="H1517" s="5" t="s">
        <v>7162</v>
      </c>
    </row>
    <row r="1518" spans="1:8" ht="29" hidden="1" x14ac:dyDescent="0.35">
      <c r="A1518" s="135" t="s">
        <v>3306</v>
      </c>
      <c r="B1518" s="2"/>
      <c r="C1518" s="2"/>
      <c r="D1518" s="2" t="s">
        <v>6443</v>
      </c>
      <c r="E1518" s="2" t="s">
        <v>5853</v>
      </c>
      <c r="F1518" s="2" t="s">
        <v>6201</v>
      </c>
      <c r="G1518" s="2" t="s">
        <v>6030</v>
      </c>
      <c r="H1518" s="5" t="s">
        <v>7173</v>
      </c>
    </row>
    <row r="1519" spans="1:8" ht="29" hidden="1" x14ac:dyDescent="0.35">
      <c r="A1519" s="135" t="s">
        <v>3306</v>
      </c>
      <c r="B1519" s="2"/>
      <c r="C1519" s="2"/>
      <c r="D1519" s="2" t="s">
        <v>6443</v>
      </c>
      <c r="E1519" s="2" t="s">
        <v>5853</v>
      </c>
      <c r="F1519" s="2" t="s">
        <v>6158</v>
      </c>
      <c r="G1519" s="2"/>
      <c r="H1519" s="5" t="s">
        <v>7106</v>
      </c>
    </row>
    <row r="1520" spans="1:8" hidden="1" x14ac:dyDescent="0.35">
      <c r="A1520" s="135" t="s">
        <v>3306</v>
      </c>
      <c r="B1520" s="2"/>
      <c r="C1520" s="2"/>
      <c r="D1520" s="2" t="s">
        <v>6443</v>
      </c>
      <c r="E1520" s="2" t="s">
        <v>5853</v>
      </c>
      <c r="F1520" s="2" t="s">
        <v>6200</v>
      </c>
      <c r="G1520" s="2" t="s">
        <v>5978</v>
      </c>
      <c r="H1520" s="5" t="s">
        <v>7161</v>
      </c>
    </row>
    <row r="1521" spans="1:8" hidden="1" x14ac:dyDescent="0.35">
      <c r="A1521" s="136" t="s">
        <v>3306</v>
      </c>
      <c r="B1521" s="2"/>
      <c r="C1521" s="2"/>
      <c r="D1521" s="2" t="s">
        <v>6443</v>
      </c>
      <c r="E1521" s="2" t="s">
        <v>5853</v>
      </c>
      <c r="F1521" s="2" t="s">
        <v>6200</v>
      </c>
      <c r="G1521" s="2" t="s">
        <v>6030</v>
      </c>
      <c r="H1521" s="5" t="s">
        <v>7172</v>
      </c>
    </row>
    <row r="1522" spans="1:8" hidden="1" x14ac:dyDescent="0.35">
      <c r="A1522" s="136" t="s">
        <v>3308</v>
      </c>
      <c r="B1522" s="2"/>
      <c r="C1522" s="2"/>
      <c r="D1522" s="2" t="s">
        <v>6443</v>
      </c>
      <c r="E1522" s="2" t="s">
        <v>5853</v>
      </c>
      <c r="F1522" s="2" t="s">
        <v>5927</v>
      </c>
      <c r="G1522" s="2" t="s">
        <v>6006</v>
      </c>
      <c r="H1522" s="5" t="s">
        <v>7416</v>
      </c>
    </row>
    <row r="1523" spans="1:8" hidden="1" x14ac:dyDescent="0.35">
      <c r="A1523" s="135" t="s">
        <v>3308</v>
      </c>
      <c r="B1523" s="2"/>
      <c r="C1523" s="2"/>
      <c r="D1523" s="2" t="s">
        <v>6443</v>
      </c>
      <c r="E1523" s="2" t="s">
        <v>5853</v>
      </c>
      <c r="F1523" s="2" t="s">
        <v>5927</v>
      </c>
      <c r="G1523" s="2" t="s">
        <v>6006</v>
      </c>
      <c r="H1523" s="5" t="s">
        <v>2242</v>
      </c>
    </row>
    <row r="1524" spans="1:8" ht="29" hidden="1" x14ac:dyDescent="0.35">
      <c r="A1524" s="136" t="s">
        <v>3308</v>
      </c>
      <c r="B1524" s="2"/>
      <c r="C1524" s="2"/>
      <c r="D1524" s="2" t="s">
        <v>6443</v>
      </c>
      <c r="E1524" s="2" t="s">
        <v>5853</v>
      </c>
      <c r="F1524" s="2" t="s">
        <v>5927</v>
      </c>
      <c r="G1524" s="2" t="s">
        <v>6006</v>
      </c>
      <c r="H1524" s="5" t="s">
        <v>7428</v>
      </c>
    </row>
    <row r="1525" spans="1:8" ht="29" hidden="1" x14ac:dyDescent="0.35">
      <c r="A1525" s="135" t="s">
        <v>3308</v>
      </c>
      <c r="B1525" s="2"/>
      <c r="C1525" s="2"/>
      <c r="D1525" s="2" t="s">
        <v>6443</v>
      </c>
      <c r="E1525" s="2" t="s">
        <v>5853</v>
      </c>
      <c r="F1525" s="2" t="s">
        <v>5927</v>
      </c>
      <c r="G1525" s="2" t="s">
        <v>6006</v>
      </c>
      <c r="H1525" s="5" t="s">
        <v>7429</v>
      </c>
    </row>
    <row r="1526" spans="1:8" ht="29" hidden="1" x14ac:dyDescent="0.35">
      <c r="A1526" s="136" t="s">
        <v>3308</v>
      </c>
      <c r="B1526" s="2"/>
      <c r="C1526" s="2"/>
      <c r="D1526" s="2" t="s">
        <v>6443</v>
      </c>
      <c r="E1526" s="2" t="s">
        <v>5853</v>
      </c>
      <c r="F1526" s="2" t="s">
        <v>5927</v>
      </c>
      <c r="G1526" s="2" t="s">
        <v>6006</v>
      </c>
      <c r="H1526" s="5" t="s">
        <v>7430</v>
      </c>
    </row>
    <row r="1527" spans="1:8" hidden="1" x14ac:dyDescent="0.35">
      <c r="A1527" s="136" t="s">
        <v>3954</v>
      </c>
      <c r="B1527" s="2"/>
      <c r="C1527" s="2"/>
      <c r="D1527" s="2" t="s">
        <v>6443</v>
      </c>
      <c r="E1527" s="2" t="s">
        <v>5853</v>
      </c>
      <c r="F1527" s="2" t="s">
        <v>5927</v>
      </c>
      <c r="G1527" s="2" t="s">
        <v>5874</v>
      </c>
      <c r="H1527" s="5" t="s">
        <v>2514</v>
      </c>
    </row>
    <row r="1528" spans="1:8" hidden="1" x14ac:dyDescent="0.35">
      <c r="A1528" s="135" t="s">
        <v>3954</v>
      </c>
      <c r="B1528" s="2"/>
      <c r="C1528" s="2"/>
      <c r="D1528" s="2" t="s">
        <v>6443</v>
      </c>
      <c r="E1528" s="2" t="s">
        <v>5853</v>
      </c>
      <c r="F1528" s="2" t="s">
        <v>5927</v>
      </c>
      <c r="G1528" s="2" t="s">
        <v>6027</v>
      </c>
      <c r="H1528" s="5" t="s">
        <v>7483</v>
      </c>
    </row>
    <row r="1529" spans="1:8" hidden="1" x14ac:dyDescent="0.35">
      <c r="A1529" s="136" t="s">
        <v>3954</v>
      </c>
      <c r="B1529" s="2"/>
      <c r="C1529" s="2"/>
      <c r="D1529" s="2" t="s">
        <v>6443</v>
      </c>
      <c r="E1529" s="2" t="s">
        <v>5853</v>
      </c>
      <c r="F1529" s="2" t="s">
        <v>5927</v>
      </c>
      <c r="G1529" s="2" t="s">
        <v>5874</v>
      </c>
      <c r="H1529" s="5" t="s">
        <v>7484</v>
      </c>
    </row>
    <row r="1530" spans="1:8" ht="29" hidden="1" x14ac:dyDescent="0.35">
      <c r="A1530" s="136" t="s">
        <v>3306</v>
      </c>
      <c r="B1530" s="2"/>
      <c r="C1530" s="2"/>
      <c r="D1530" s="2" t="s">
        <v>6443</v>
      </c>
      <c r="E1530" s="2" t="s">
        <v>5853</v>
      </c>
      <c r="F1530" s="2" t="s">
        <v>6176</v>
      </c>
      <c r="G1530" s="2"/>
      <c r="H1530" s="5" t="s">
        <v>7125</v>
      </c>
    </row>
    <row r="1531" spans="1:8" ht="29" hidden="1" x14ac:dyDescent="0.35">
      <c r="A1531" s="148" t="s">
        <v>3306</v>
      </c>
      <c r="B1531" s="2"/>
      <c r="C1531" s="2"/>
      <c r="D1531" s="2" t="s">
        <v>6443</v>
      </c>
      <c r="E1531" s="2" t="s">
        <v>5853</v>
      </c>
      <c r="F1531" s="2" t="s">
        <v>6152</v>
      </c>
      <c r="G1531" s="2"/>
      <c r="H1531" s="5" t="s">
        <v>7100</v>
      </c>
    </row>
    <row r="1532" spans="1:8" hidden="1" x14ac:dyDescent="0.35">
      <c r="A1532" s="153" t="s">
        <v>3306</v>
      </c>
      <c r="B1532" s="2"/>
      <c r="C1532" s="2"/>
      <c r="D1532" s="2" t="s">
        <v>6443</v>
      </c>
      <c r="E1532" s="2" t="s">
        <v>5853</v>
      </c>
      <c r="F1532" s="2" t="s">
        <v>6152</v>
      </c>
      <c r="G1532" s="2" t="s">
        <v>6137</v>
      </c>
      <c r="H1532" s="5" t="s">
        <v>754</v>
      </c>
    </row>
    <row r="1533" spans="1:8" hidden="1" x14ac:dyDescent="0.35">
      <c r="A1533" s="153" t="s">
        <v>3306</v>
      </c>
      <c r="B1533" s="2"/>
      <c r="C1533" s="2"/>
      <c r="D1533" s="2" t="s">
        <v>6443</v>
      </c>
      <c r="E1533" s="2" t="s">
        <v>5853</v>
      </c>
      <c r="F1533" s="2" t="s">
        <v>6152</v>
      </c>
      <c r="G1533" s="2" t="s">
        <v>6137</v>
      </c>
      <c r="H1533" s="5" t="s">
        <v>754</v>
      </c>
    </row>
    <row r="1534" spans="1:8" hidden="1" x14ac:dyDescent="0.35">
      <c r="A1534" s="135" t="s">
        <v>3306</v>
      </c>
      <c r="B1534" s="2"/>
      <c r="C1534" s="2"/>
      <c r="D1534" s="2" t="s">
        <v>6443</v>
      </c>
      <c r="E1534" s="2" t="s">
        <v>5853</v>
      </c>
      <c r="F1534" s="2" t="s">
        <v>6196</v>
      </c>
      <c r="G1534" s="2" t="s">
        <v>6047</v>
      </c>
      <c r="H1534" s="5" t="s">
        <v>7157</v>
      </c>
    </row>
    <row r="1535" spans="1:8" hidden="1" x14ac:dyDescent="0.35">
      <c r="A1535" s="136" t="s">
        <v>3306</v>
      </c>
      <c r="B1535" s="2"/>
      <c r="C1535" s="2"/>
      <c r="D1535" s="2" t="s">
        <v>6443</v>
      </c>
      <c r="E1535" s="2" t="s">
        <v>5853</v>
      </c>
      <c r="F1535" s="2" t="s">
        <v>6196</v>
      </c>
      <c r="G1535" s="2" t="s">
        <v>6030</v>
      </c>
      <c r="H1535" s="5" t="s">
        <v>7168</v>
      </c>
    </row>
    <row r="1536" spans="1:8" ht="29" hidden="1" x14ac:dyDescent="0.35">
      <c r="A1536" s="135" t="s">
        <v>3332</v>
      </c>
      <c r="B1536" s="2"/>
      <c r="C1536" s="2"/>
      <c r="D1536" s="2" t="s">
        <v>6443</v>
      </c>
      <c r="E1536" s="2" t="s">
        <v>5853</v>
      </c>
      <c r="F1536" s="2" t="s">
        <v>5977</v>
      </c>
      <c r="G1536" s="2" t="s">
        <v>5978</v>
      </c>
      <c r="H1536" s="5" t="s">
        <v>6879</v>
      </c>
    </row>
    <row r="1537" spans="1:8" ht="29" hidden="1" x14ac:dyDescent="0.35">
      <c r="A1537" s="136" t="s">
        <v>3332</v>
      </c>
      <c r="B1537" s="100"/>
      <c r="C1537" s="2"/>
      <c r="D1537" s="2" t="s">
        <v>6443</v>
      </c>
      <c r="E1537" s="161" t="s">
        <v>5853</v>
      </c>
      <c r="F1537" s="161" t="s">
        <v>5977</v>
      </c>
      <c r="G1537" s="2" t="s">
        <v>5978</v>
      </c>
      <c r="H1537" s="5" t="s">
        <v>6880</v>
      </c>
    </row>
    <row r="1538" spans="1:8" ht="29" hidden="1" x14ac:dyDescent="0.35">
      <c r="A1538" s="135" t="s">
        <v>3332</v>
      </c>
      <c r="B1538" s="100"/>
      <c r="C1538" s="2"/>
      <c r="D1538" s="2" t="s">
        <v>6443</v>
      </c>
      <c r="E1538" s="2" t="s">
        <v>5853</v>
      </c>
      <c r="F1538" s="2" t="s">
        <v>5977</v>
      </c>
      <c r="G1538" s="2" t="s">
        <v>5978</v>
      </c>
      <c r="H1538" s="5" t="s">
        <v>6881</v>
      </c>
    </row>
    <row r="1539" spans="1:8" ht="29" hidden="1" x14ac:dyDescent="0.35">
      <c r="A1539" s="136" t="s">
        <v>3332</v>
      </c>
      <c r="B1539" s="2"/>
      <c r="C1539" s="2"/>
      <c r="D1539" s="2" t="s">
        <v>6443</v>
      </c>
      <c r="E1539" s="161" t="s">
        <v>5853</v>
      </c>
      <c r="F1539" s="161" t="s">
        <v>5977</v>
      </c>
      <c r="G1539" s="2" t="s">
        <v>5979</v>
      </c>
      <c r="H1539" s="5" t="s">
        <v>6882</v>
      </c>
    </row>
    <row r="1540" spans="1:8" ht="29" hidden="1" x14ac:dyDescent="0.35">
      <c r="A1540" s="135" t="s">
        <v>3332</v>
      </c>
      <c r="B1540" s="2"/>
      <c r="C1540" s="2"/>
      <c r="D1540" s="2" t="s">
        <v>6443</v>
      </c>
      <c r="E1540" s="2" t="s">
        <v>5853</v>
      </c>
      <c r="F1540" s="2" t="s">
        <v>5977</v>
      </c>
      <c r="G1540" s="2" t="s">
        <v>5979</v>
      </c>
      <c r="H1540" s="5" t="s">
        <v>6883</v>
      </c>
    </row>
    <row r="1541" spans="1:8" ht="29" hidden="1" x14ac:dyDescent="0.35">
      <c r="A1541" s="136" t="s">
        <v>3332</v>
      </c>
      <c r="B1541" s="100"/>
      <c r="C1541" s="2"/>
      <c r="D1541" s="2" t="s">
        <v>6443</v>
      </c>
      <c r="E1541" s="161" t="s">
        <v>5853</v>
      </c>
      <c r="F1541" s="161" t="s">
        <v>5977</v>
      </c>
      <c r="G1541" s="2" t="s">
        <v>5979</v>
      </c>
      <c r="H1541" s="5" t="s">
        <v>6884</v>
      </c>
    </row>
    <row r="1542" spans="1:8" ht="29" hidden="1" x14ac:dyDescent="0.35">
      <c r="A1542" s="135" t="s">
        <v>3332</v>
      </c>
      <c r="B1542" s="2"/>
      <c r="C1542" s="2"/>
      <c r="D1542" s="2" t="s">
        <v>6443</v>
      </c>
      <c r="E1542" s="2" t="s">
        <v>5853</v>
      </c>
      <c r="F1542" s="2" t="s">
        <v>5977</v>
      </c>
      <c r="G1542" s="2" t="s">
        <v>5980</v>
      </c>
      <c r="H1542" s="5" t="s">
        <v>6885</v>
      </c>
    </row>
    <row r="1543" spans="1:8" ht="29" hidden="1" x14ac:dyDescent="0.35">
      <c r="A1543" s="136" t="s">
        <v>3332</v>
      </c>
      <c r="B1543" s="2"/>
      <c r="C1543" s="2"/>
      <c r="D1543" s="2" t="s">
        <v>6443</v>
      </c>
      <c r="E1543" s="161" t="s">
        <v>5853</v>
      </c>
      <c r="F1543" s="161" t="s">
        <v>5977</v>
      </c>
      <c r="G1543" s="2" t="s">
        <v>5980</v>
      </c>
      <c r="H1543" s="5" t="s">
        <v>6886</v>
      </c>
    </row>
    <row r="1544" spans="1:8" ht="29" hidden="1" x14ac:dyDescent="0.35">
      <c r="A1544" s="135" t="s">
        <v>3332</v>
      </c>
      <c r="B1544" s="2"/>
      <c r="C1544" s="2"/>
      <c r="D1544" s="2" t="s">
        <v>6443</v>
      </c>
      <c r="E1544" s="2" t="s">
        <v>5853</v>
      </c>
      <c r="F1544" s="2" t="s">
        <v>5977</v>
      </c>
      <c r="G1544" s="2" t="s">
        <v>5980</v>
      </c>
      <c r="H1544" s="5" t="s">
        <v>6887</v>
      </c>
    </row>
    <row r="1545" spans="1:8" ht="29" hidden="1" x14ac:dyDescent="0.35">
      <c r="A1545" s="136" t="s">
        <v>3306</v>
      </c>
      <c r="B1545" s="2"/>
      <c r="C1545" s="2"/>
      <c r="D1545" s="2" t="s">
        <v>6443</v>
      </c>
      <c r="E1545" s="2" t="s">
        <v>5853</v>
      </c>
      <c r="F1545" s="2" t="s">
        <v>6048</v>
      </c>
      <c r="G1545" s="2"/>
      <c r="H1545" s="5" t="s">
        <v>7119</v>
      </c>
    </row>
    <row r="1546" spans="1:8" ht="29" hidden="1" x14ac:dyDescent="0.35">
      <c r="A1546" s="135" t="s">
        <v>3306</v>
      </c>
      <c r="B1546" s="2"/>
      <c r="C1546" s="2"/>
      <c r="D1546" s="2" t="s">
        <v>6443</v>
      </c>
      <c r="E1546" s="2" t="s">
        <v>5853</v>
      </c>
      <c r="F1546" s="2" t="s">
        <v>6171</v>
      </c>
      <c r="G1546" s="2"/>
      <c r="H1546" s="5" t="s">
        <v>7120</v>
      </c>
    </row>
    <row r="1547" spans="1:8" ht="29" hidden="1" x14ac:dyDescent="0.35">
      <c r="A1547" s="136" t="s">
        <v>3306</v>
      </c>
      <c r="B1547" s="2"/>
      <c r="C1547" s="2"/>
      <c r="D1547" s="2" t="s">
        <v>6443</v>
      </c>
      <c r="E1547" s="2" t="s">
        <v>5853</v>
      </c>
      <c r="F1547" s="2" t="s">
        <v>6174</v>
      </c>
      <c r="G1547" s="2"/>
      <c r="H1547" s="5" t="s">
        <v>7123</v>
      </c>
    </row>
    <row r="1548" spans="1:8" ht="29" hidden="1" x14ac:dyDescent="0.35">
      <c r="A1548" s="135" t="s">
        <v>3306</v>
      </c>
      <c r="B1548" s="2"/>
      <c r="C1548" s="2"/>
      <c r="D1548" s="2" t="s">
        <v>6443</v>
      </c>
      <c r="E1548" s="1" t="s">
        <v>5853</v>
      </c>
      <c r="F1548" s="2" t="s">
        <v>6179</v>
      </c>
      <c r="G1548" s="2"/>
      <c r="H1548" s="5" t="s">
        <v>7128</v>
      </c>
    </row>
    <row r="1549" spans="1:8" hidden="1" x14ac:dyDescent="0.35">
      <c r="A1549" s="136" t="s">
        <v>3306</v>
      </c>
      <c r="B1549" s="2"/>
      <c r="C1549" s="2"/>
      <c r="D1549" s="2" t="s">
        <v>6443</v>
      </c>
      <c r="E1549" s="2" t="s">
        <v>5853</v>
      </c>
      <c r="F1549" s="2" t="s">
        <v>6195</v>
      </c>
      <c r="G1549" s="2" t="s">
        <v>6047</v>
      </c>
      <c r="H1549" s="5" t="s">
        <v>7156</v>
      </c>
    </row>
    <row r="1550" spans="1:8" hidden="1" x14ac:dyDescent="0.35">
      <c r="A1550" s="135" t="s">
        <v>3306</v>
      </c>
      <c r="B1550" s="2"/>
      <c r="C1550" s="2"/>
      <c r="D1550" s="2" t="s">
        <v>6443</v>
      </c>
      <c r="E1550" s="2" t="s">
        <v>5853</v>
      </c>
      <c r="F1550" s="2" t="s">
        <v>6195</v>
      </c>
      <c r="G1550" s="2" t="s">
        <v>6030</v>
      </c>
      <c r="H1550" s="5" t="s">
        <v>7167</v>
      </c>
    </row>
    <row r="1551" spans="1:8" hidden="1" x14ac:dyDescent="0.35">
      <c r="A1551" s="136" t="s">
        <v>3332</v>
      </c>
      <c r="B1551" s="2"/>
      <c r="C1551" s="2"/>
      <c r="D1551" s="2" t="s">
        <v>6443</v>
      </c>
      <c r="E1551" s="161" t="s">
        <v>5866</v>
      </c>
      <c r="F1551" s="161" t="s">
        <v>5846</v>
      </c>
      <c r="G1551" s="2"/>
      <c r="H1551" s="5" t="s">
        <v>727</v>
      </c>
    </row>
    <row r="1552" spans="1:8" hidden="1" x14ac:dyDescent="0.35">
      <c r="A1552" s="135" t="s">
        <v>3332</v>
      </c>
      <c r="B1552" s="2"/>
      <c r="C1552" s="2"/>
      <c r="D1552" s="2" t="s">
        <v>6443</v>
      </c>
      <c r="E1552" s="2" t="s">
        <v>5866</v>
      </c>
      <c r="F1552" s="2" t="s">
        <v>5846</v>
      </c>
      <c r="G1552" s="2" t="s">
        <v>5867</v>
      </c>
      <c r="H1552" s="5" t="s">
        <v>728</v>
      </c>
    </row>
    <row r="1553" spans="1:8" hidden="1" x14ac:dyDescent="0.35">
      <c r="A1553" s="136" t="s">
        <v>3332</v>
      </c>
      <c r="B1553" s="100"/>
      <c r="C1553" s="2"/>
      <c r="D1553" s="2" t="s">
        <v>6443</v>
      </c>
      <c r="E1553" s="161" t="s">
        <v>5866</v>
      </c>
      <c r="F1553" s="161" t="s">
        <v>5846</v>
      </c>
      <c r="G1553" s="2" t="s">
        <v>5868</v>
      </c>
      <c r="H1553" s="5" t="s">
        <v>729</v>
      </c>
    </row>
    <row r="1554" spans="1:8" hidden="1" x14ac:dyDescent="0.35">
      <c r="A1554" s="135" t="s">
        <v>3308</v>
      </c>
      <c r="B1554" s="100"/>
      <c r="C1554" s="2"/>
      <c r="D1554" s="2" t="s">
        <v>6443</v>
      </c>
      <c r="E1554" s="2" t="s">
        <v>5866</v>
      </c>
      <c r="F1554" s="2" t="s">
        <v>6008</v>
      </c>
      <c r="G1554" s="2" t="s">
        <v>5846</v>
      </c>
      <c r="H1554" s="5" t="s">
        <v>182</v>
      </c>
    </row>
    <row r="1555" spans="1:8" ht="43.5" hidden="1" x14ac:dyDescent="0.35">
      <c r="A1555" s="136" t="s">
        <v>3308</v>
      </c>
      <c r="B1555" s="100"/>
      <c r="C1555" s="100"/>
      <c r="D1555" s="2" t="s">
        <v>6443</v>
      </c>
      <c r="E1555" s="101" t="s">
        <v>5866</v>
      </c>
      <c r="F1555" s="100" t="s">
        <v>6006</v>
      </c>
      <c r="G1555" s="2" t="s">
        <v>6471</v>
      </c>
      <c r="H1555" s="5" t="s">
        <v>3290</v>
      </c>
    </row>
    <row r="1556" spans="1:8" ht="29" hidden="1" x14ac:dyDescent="0.35">
      <c r="A1556" s="136" t="s">
        <v>3332</v>
      </c>
      <c r="B1556" s="100"/>
      <c r="C1556" s="100"/>
      <c r="D1556" s="2" t="s">
        <v>6443</v>
      </c>
      <c r="E1556" s="104" t="s">
        <v>5882</v>
      </c>
      <c r="F1556" s="103" t="s">
        <v>5968</v>
      </c>
      <c r="G1556" s="2" t="s">
        <v>5810</v>
      </c>
      <c r="H1556" s="5" t="s">
        <v>6892</v>
      </c>
    </row>
    <row r="1557" spans="1:8" ht="29" hidden="1" x14ac:dyDescent="0.35">
      <c r="A1557" s="135" t="s">
        <v>3332</v>
      </c>
      <c r="B1557" s="100"/>
      <c r="C1557" s="100"/>
      <c r="D1557" s="2" t="s">
        <v>6443</v>
      </c>
      <c r="E1557" s="101" t="s">
        <v>5882</v>
      </c>
      <c r="F1557" s="100" t="s">
        <v>5968</v>
      </c>
      <c r="G1557" s="2" t="s">
        <v>5810</v>
      </c>
      <c r="H1557" s="5" t="s">
        <v>6893</v>
      </c>
    </row>
    <row r="1558" spans="1:8" hidden="1" x14ac:dyDescent="0.35">
      <c r="A1558" s="136" t="s">
        <v>3343</v>
      </c>
      <c r="B1558" s="100"/>
      <c r="C1558" s="100"/>
      <c r="D1558" s="2" t="s">
        <v>6443</v>
      </c>
      <c r="E1558" s="104" t="s">
        <v>5882</v>
      </c>
      <c r="F1558" s="103" t="s">
        <v>5968</v>
      </c>
      <c r="G1558" s="2"/>
      <c r="H1558" s="5" t="s">
        <v>61</v>
      </c>
    </row>
    <row r="1559" spans="1:8" hidden="1" x14ac:dyDescent="0.35">
      <c r="A1559" s="136" t="s">
        <v>3308</v>
      </c>
      <c r="B1559" s="2"/>
      <c r="C1559" s="2"/>
      <c r="D1559" s="2" t="s">
        <v>6443</v>
      </c>
      <c r="E1559" s="2" t="s">
        <v>5882</v>
      </c>
      <c r="F1559" s="2" t="s">
        <v>6444</v>
      </c>
      <c r="G1559" s="2" t="s">
        <v>6445</v>
      </c>
      <c r="H1559" s="5" t="s">
        <v>2307</v>
      </c>
    </row>
    <row r="1560" spans="1:8" hidden="1" x14ac:dyDescent="0.35">
      <c r="A1560" s="135" t="s">
        <v>3308</v>
      </c>
      <c r="B1560" s="2"/>
      <c r="C1560" s="2"/>
      <c r="D1560" s="2" t="s">
        <v>6443</v>
      </c>
      <c r="E1560" s="2" t="s">
        <v>5882</v>
      </c>
      <c r="F1560" s="2" t="s">
        <v>6444</v>
      </c>
      <c r="G1560" s="2" t="s">
        <v>6446</v>
      </c>
      <c r="H1560" s="5" t="s">
        <v>2308</v>
      </c>
    </row>
    <row r="1561" spans="1:8" hidden="1" x14ac:dyDescent="0.35">
      <c r="A1561" s="136" t="s">
        <v>3308</v>
      </c>
      <c r="B1561" s="2"/>
      <c r="C1561" s="2"/>
      <c r="D1561" s="2" t="s">
        <v>6443</v>
      </c>
      <c r="E1561" s="2" t="s">
        <v>5882</v>
      </c>
      <c r="F1561" s="2" t="s">
        <v>6444</v>
      </c>
      <c r="G1561" s="2" t="s">
        <v>6445</v>
      </c>
      <c r="H1561" s="5" t="s">
        <v>2309</v>
      </c>
    </row>
    <row r="1562" spans="1:8" ht="29" hidden="1" x14ac:dyDescent="0.35">
      <c r="A1562" s="135" t="s">
        <v>3308</v>
      </c>
      <c r="B1562" s="2"/>
      <c r="C1562" s="2"/>
      <c r="D1562" s="2" t="s">
        <v>6443</v>
      </c>
      <c r="E1562" s="2" t="s">
        <v>5882</v>
      </c>
      <c r="F1562" s="2" t="s">
        <v>6444</v>
      </c>
      <c r="G1562" s="2" t="s">
        <v>6446</v>
      </c>
      <c r="H1562" s="5" t="s">
        <v>2310</v>
      </c>
    </row>
    <row r="1563" spans="1:8" ht="29" hidden="1" x14ac:dyDescent="0.35">
      <c r="A1563" s="136" t="s">
        <v>3308</v>
      </c>
      <c r="B1563" s="2"/>
      <c r="C1563" s="2"/>
      <c r="D1563" s="2" t="s">
        <v>6443</v>
      </c>
      <c r="E1563" s="2" t="s">
        <v>5882</v>
      </c>
      <c r="F1563" s="2" t="s">
        <v>6444</v>
      </c>
      <c r="G1563" s="2" t="s">
        <v>6445</v>
      </c>
      <c r="H1563" s="5" t="s">
        <v>2549</v>
      </c>
    </row>
    <row r="1564" spans="1:8" hidden="1" x14ac:dyDescent="0.35">
      <c r="A1564" s="135" t="s">
        <v>3920</v>
      </c>
      <c r="B1564" s="2"/>
      <c r="C1564" s="2"/>
      <c r="D1564" s="2" t="s">
        <v>6443</v>
      </c>
      <c r="E1564" s="2" t="s">
        <v>5882</v>
      </c>
      <c r="F1564" s="2" t="s">
        <v>5994</v>
      </c>
      <c r="G1564" s="2" t="s">
        <v>6593</v>
      </c>
      <c r="H1564" s="5" t="s">
        <v>2794</v>
      </c>
    </row>
    <row r="1565" spans="1:8" ht="29" hidden="1" x14ac:dyDescent="0.35">
      <c r="A1565" s="135" t="s">
        <v>3332</v>
      </c>
      <c r="B1565" s="2"/>
      <c r="C1565" s="2"/>
      <c r="D1565" s="2" t="s">
        <v>6443</v>
      </c>
      <c r="E1565" s="2" t="s">
        <v>5882</v>
      </c>
      <c r="F1565" s="2" t="s">
        <v>5851</v>
      </c>
      <c r="G1565" s="2" t="s">
        <v>5971</v>
      </c>
      <c r="H1565" s="5" t="s">
        <v>3097</v>
      </c>
    </row>
    <row r="1566" spans="1:8" hidden="1" x14ac:dyDescent="0.35">
      <c r="A1566" s="136" t="s">
        <v>3306</v>
      </c>
      <c r="B1566" s="2"/>
      <c r="C1566" s="2"/>
      <c r="D1566" s="2" t="s">
        <v>6443</v>
      </c>
      <c r="E1566" s="2" t="s">
        <v>6151</v>
      </c>
      <c r="F1566" s="2" t="s">
        <v>6185</v>
      </c>
      <c r="G1566" s="2"/>
      <c r="H1566" s="5" t="s">
        <v>7134</v>
      </c>
    </row>
    <row r="1567" spans="1:8" ht="29" hidden="1" x14ac:dyDescent="0.35">
      <c r="A1567" s="135" t="s">
        <v>3306</v>
      </c>
      <c r="B1567" s="2"/>
      <c r="C1567" s="2"/>
      <c r="D1567" s="2" t="s">
        <v>6443</v>
      </c>
      <c r="E1567" s="2" t="s">
        <v>6151</v>
      </c>
      <c r="F1567" s="2" t="s">
        <v>6140</v>
      </c>
      <c r="G1567" s="2" t="s">
        <v>6196</v>
      </c>
      <c r="H1567" s="5" t="s">
        <v>7307</v>
      </c>
    </row>
    <row r="1568" spans="1:8" ht="29" hidden="1" x14ac:dyDescent="0.35">
      <c r="A1568" s="136" t="s">
        <v>3306</v>
      </c>
      <c r="B1568" s="2"/>
      <c r="C1568" s="2"/>
      <c r="D1568" s="2" t="s">
        <v>6443</v>
      </c>
      <c r="E1568" s="2" t="s">
        <v>6151</v>
      </c>
      <c r="F1568" s="2" t="s">
        <v>6140</v>
      </c>
      <c r="G1568" s="2" t="s">
        <v>6278</v>
      </c>
      <c r="H1568" s="5" t="s">
        <v>7308</v>
      </c>
    </row>
    <row r="1569" spans="1:8" ht="29" hidden="1" x14ac:dyDescent="0.35">
      <c r="A1569" s="135" t="s">
        <v>3306</v>
      </c>
      <c r="B1569" s="2"/>
      <c r="C1569" s="2"/>
      <c r="D1569" s="2" t="s">
        <v>6443</v>
      </c>
      <c r="E1569" s="2" t="s">
        <v>6151</v>
      </c>
      <c r="F1569" s="2" t="s">
        <v>6140</v>
      </c>
      <c r="G1569" s="2" t="s">
        <v>6182</v>
      </c>
      <c r="H1569" s="5" t="s">
        <v>7309</v>
      </c>
    </row>
    <row r="1570" spans="1:8" ht="29" hidden="1" x14ac:dyDescent="0.35">
      <c r="A1570" s="136" t="s">
        <v>3306</v>
      </c>
      <c r="B1570" s="100"/>
      <c r="C1570" s="2"/>
      <c r="D1570" s="2" t="s">
        <v>6443</v>
      </c>
      <c r="E1570" s="2" t="s">
        <v>6151</v>
      </c>
      <c r="F1570" s="2" t="s">
        <v>6140</v>
      </c>
      <c r="G1570" s="2" t="s">
        <v>6279</v>
      </c>
      <c r="H1570" s="5" t="s">
        <v>7310</v>
      </c>
    </row>
    <row r="1571" spans="1:8" ht="29" hidden="1" x14ac:dyDescent="0.35">
      <c r="A1571" s="135" t="s">
        <v>3306</v>
      </c>
      <c r="B1571" s="100"/>
      <c r="C1571" s="2"/>
      <c r="D1571" s="2" t="s">
        <v>6443</v>
      </c>
      <c r="E1571" s="2" t="s">
        <v>6151</v>
      </c>
      <c r="F1571" s="2" t="s">
        <v>6140</v>
      </c>
      <c r="G1571" s="2" t="s">
        <v>6190</v>
      </c>
      <c r="H1571" s="5" t="s">
        <v>7311</v>
      </c>
    </row>
    <row r="1572" spans="1:8" ht="43.5" hidden="1" x14ac:dyDescent="0.35">
      <c r="A1572" s="135" t="s">
        <v>3851</v>
      </c>
      <c r="B1572" s="2"/>
      <c r="C1572" s="2"/>
      <c r="D1572" s="2" t="s">
        <v>6443</v>
      </c>
      <c r="E1572" s="2" t="s">
        <v>6151</v>
      </c>
      <c r="F1572" s="2" t="s">
        <v>6140</v>
      </c>
      <c r="G1572" s="2" t="s">
        <v>6406</v>
      </c>
      <c r="H1572" s="5" t="s">
        <v>2555</v>
      </c>
    </row>
    <row r="1573" spans="1:8" hidden="1" x14ac:dyDescent="0.35">
      <c r="A1573" s="136" t="s">
        <v>3306</v>
      </c>
      <c r="B1573" s="100"/>
      <c r="C1573" s="2"/>
      <c r="D1573" s="2" t="s">
        <v>6443</v>
      </c>
      <c r="E1573" s="2" t="s">
        <v>6151</v>
      </c>
      <c r="F1573" s="2" t="s">
        <v>6192</v>
      </c>
      <c r="G1573" s="2"/>
      <c r="H1573" s="5" t="s">
        <v>7143</v>
      </c>
    </row>
    <row r="1574" spans="1:8" hidden="1" x14ac:dyDescent="0.35">
      <c r="A1574" s="135" t="s">
        <v>3306</v>
      </c>
      <c r="B1574" s="2"/>
      <c r="C1574" s="2"/>
      <c r="D1574" s="2" t="s">
        <v>6443</v>
      </c>
      <c r="E1574" s="2" t="s">
        <v>6151</v>
      </c>
      <c r="F1574" s="2" t="s">
        <v>6192</v>
      </c>
      <c r="G1574" s="2" t="s">
        <v>6137</v>
      </c>
      <c r="H1574" s="5" t="s">
        <v>754</v>
      </c>
    </row>
    <row r="1575" spans="1:8" hidden="1" x14ac:dyDescent="0.35">
      <c r="A1575" s="136" t="s">
        <v>3306</v>
      </c>
      <c r="B1575" s="100"/>
      <c r="C1575" s="2"/>
      <c r="D1575" s="2" t="s">
        <v>6443</v>
      </c>
      <c r="E1575" s="2" t="s">
        <v>6151</v>
      </c>
      <c r="F1575" s="2" t="s">
        <v>6177</v>
      </c>
      <c r="G1575" s="2"/>
      <c r="H1575" s="5" t="s">
        <v>7141</v>
      </c>
    </row>
    <row r="1576" spans="1:8" hidden="1" x14ac:dyDescent="0.35">
      <c r="A1576" s="135" t="s">
        <v>3306</v>
      </c>
      <c r="B1576" s="100"/>
      <c r="C1576" s="100"/>
      <c r="D1576" s="2" t="s">
        <v>6443</v>
      </c>
      <c r="E1576" s="101" t="s">
        <v>6151</v>
      </c>
      <c r="F1576" s="100" t="s">
        <v>6177</v>
      </c>
      <c r="G1576" s="2" t="s">
        <v>6137</v>
      </c>
      <c r="H1576" s="5" t="s">
        <v>754</v>
      </c>
    </row>
    <row r="1577" spans="1:8" hidden="1" x14ac:dyDescent="0.35">
      <c r="A1577" s="135" t="s">
        <v>3306</v>
      </c>
      <c r="B1577" s="100"/>
      <c r="C1577" s="100"/>
      <c r="D1577" s="2" t="s">
        <v>6443</v>
      </c>
      <c r="E1577" s="101" t="s">
        <v>6151</v>
      </c>
      <c r="F1577" s="100" t="s">
        <v>6182</v>
      </c>
      <c r="G1577" s="2"/>
      <c r="H1577" s="5" t="s">
        <v>7135</v>
      </c>
    </row>
    <row r="1578" spans="1:8" hidden="1" x14ac:dyDescent="0.35">
      <c r="A1578" s="136" t="s">
        <v>3306</v>
      </c>
      <c r="B1578" s="100"/>
      <c r="C1578" s="100"/>
      <c r="D1578" s="2" t="s">
        <v>6443</v>
      </c>
      <c r="E1578" s="101" t="s">
        <v>6151</v>
      </c>
      <c r="F1578" s="100" t="s">
        <v>6193</v>
      </c>
      <c r="G1578" s="2"/>
      <c r="H1578" s="5" t="s">
        <v>7144</v>
      </c>
    </row>
    <row r="1579" spans="1:8" hidden="1" x14ac:dyDescent="0.35">
      <c r="A1579" s="135" t="s">
        <v>3306</v>
      </c>
      <c r="B1579" s="100"/>
      <c r="C1579" s="2"/>
      <c r="D1579" s="100" t="s">
        <v>6443</v>
      </c>
      <c r="E1579" s="2" t="s">
        <v>6151</v>
      </c>
      <c r="F1579" s="2" t="s">
        <v>6193</v>
      </c>
      <c r="G1579" s="2" t="s">
        <v>6137</v>
      </c>
      <c r="H1579" s="5" t="s">
        <v>754</v>
      </c>
    </row>
    <row r="1580" spans="1:8" ht="29" hidden="1" x14ac:dyDescent="0.35">
      <c r="A1580" s="136" t="s">
        <v>3306</v>
      </c>
      <c r="B1580" s="100"/>
      <c r="C1580" s="2"/>
      <c r="D1580" s="2" t="s">
        <v>6443</v>
      </c>
      <c r="E1580" s="2" t="s">
        <v>6151</v>
      </c>
      <c r="F1580" s="2" t="s">
        <v>6184</v>
      </c>
      <c r="G1580" s="2"/>
      <c r="H1580" s="5" t="s">
        <v>7133</v>
      </c>
    </row>
    <row r="1581" spans="1:8" hidden="1" x14ac:dyDescent="0.35">
      <c r="A1581" s="135" t="s">
        <v>3306</v>
      </c>
      <c r="B1581" s="100"/>
      <c r="C1581" s="2"/>
      <c r="D1581" s="2" t="s">
        <v>6443</v>
      </c>
      <c r="E1581" s="2" t="s">
        <v>6151</v>
      </c>
      <c r="F1581" s="2" t="s">
        <v>6184</v>
      </c>
      <c r="G1581" s="2" t="s">
        <v>6137</v>
      </c>
      <c r="H1581" s="5" t="s">
        <v>754</v>
      </c>
    </row>
    <row r="1582" spans="1:8" ht="29" hidden="1" x14ac:dyDescent="0.35">
      <c r="A1582" s="136" t="s">
        <v>3306</v>
      </c>
      <c r="B1582" s="100"/>
      <c r="C1582" s="2"/>
      <c r="D1582" s="2" t="s">
        <v>6443</v>
      </c>
      <c r="E1582" s="2" t="s">
        <v>6151</v>
      </c>
      <c r="F1582" s="2" t="s">
        <v>6075</v>
      </c>
      <c r="G1582" s="2" t="s">
        <v>6268</v>
      </c>
      <c r="H1582" s="5" t="s">
        <v>7284</v>
      </c>
    </row>
    <row r="1583" spans="1:8" ht="29" hidden="1" x14ac:dyDescent="0.35">
      <c r="A1583" s="135" t="s">
        <v>3306</v>
      </c>
      <c r="B1583" s="100"/>
      <c r="C1583" s="2"/>
      <c r="D1583" s="2" t="s">
        <v>6443</v>
      </c>
      <c r="E1583" s="2" t="s">
        <v>6151</v>
      </c>
      <c r="F1583" s="2" t="s">
        <v>6075</v>
      </c>
      <c r="G1583" s="2" t="s">
        <v>6269</v>
      </c>
      <c r="H1583" s="5" t="s">
        <v>7285</v>
      </c>
    </row>
    <row r="1584" spans="1:8" ht="29" hidden="1" x14ac:dyDescent="0.35">
      <c r="A1584" s="136" t="s">
        <v>3306</v>
      </c>
      <c r="B1584" s="2"/>
      <c r="C1584" s="2"/>
      <c r="D1584" s="2" t="s">
        <v>6443</v>
      </c>
      <c r="E1584" s="2" t="s">
        <v>6151</v>
      </c>
      <c r="F1584" s="2" t="s">
        <v>6075</v>
      </c>
      <c r="G1584" s="2" t="s">
        <v>6270</v>
      </c>
      <c r="H1584" s="5" t="s">
        <v>7286</v>
      </c>
    </row>
    <row r="1585" spans="1:8" ht="29" hidden="1" x14ac:dyDescent="0.35">
      <c r="A1585" s="135" t="s">
        <v>3306</v>
      </c>
      <c r="B1585" s="2"/>
      <c r="C1585" s="2"/>
      <c r="D1585" s="2" t="s">
        <v>6443</v>
      </c>
      <c r="E1585" s="2" t="s">
        <v>6151</v>
      </c>
      <c r="F1585" s="2" t="s">
        <v>6075</v>
      </c>
      <c r="G1585" s="2" t="s">
        <v>6271</v>
      </c>
      <c r="H1585" s="5" t="s">
        <v>7287</v>
      </c>
    </row>
    <row r="1586" spans="1:8" ht="29" hidden="1" x14ac:dyDescent="0.35">
      <c r="A1586" s="136" t="s">
        <v>3306</v>
      </c>
      <c r="B1586" s="100"/>
      <c r="C1586" s="2"/>
      <c r="D1586" s="2" t="s">
        <v>6443</v>
      </c>
      <c r="E1586" s="2" t="s">
        <v>6151</v>
      </c>
      <c r="F1586" s="2" t="s">
        <v>6075</v>
      </c>
      <c r="G1586" s="2" t="s">
        <v>6272</v>
      </c>
      <c r="H1586" s="5" t="s">
        <v>7288</v>
      </c>
    </row>
    <row r="1587" spans="1:8" ht="29" hidden="1" x14ac:dyDescent="0.35">
      <c r="A1587" s="135" t="s">
        <v>3306</v>
      </c>
      <c r="B1587" s="100"/>
      <c r="C1587" s="2"/>
      <c r="D1587" s="2" t="s">
        <v>6443</v>
      </c>
      <c r="E1587" s="2" t="s">
        <v>6151</v>
      </c>
      <c r="F1587" s="2" t="s">
        <v>6075</v>
      </c>
      <c r="G1587" s="2" t="s">
        <v>6273</v>
      </c>
      <c r="H1587" s="5" t="s">
        <v>7289</v>
      </c>
    </row>
    <row r="1588" spans="1:8" ht="29" hidden="1" x14ac:dyDescent="0.35">
      <c r="A1588" s="136" t="s">
        <v>3306</v>
      </c>
      <c r="B1588" s="100"/>
      <c r="C1588" s="2"/>
      <c r="D1588" s="2" t="s">
        <v>6443</v>
      </c>
      <c r="E1588" s="2" t="s">
        <v>6151</v>
      </c>
      <c r="F1588" s="2" t="s">
        <v>6075</v>
      </c>
      <c r="G1588" s="2" t="s">
        <v>6274</v>
      </c>
      <c r="H1588" s="5" t="s">
        <v>7290</v>
      </c>
    </row>
    <row r="1589" spans="1:8" ht="29" hidden="1" x14ac:dyDescent="0.35">
      <c r="A1589" s="135" t="s">
        <v>3306</v>
      </c>
      <c r="B1589" s="100"/>
      <c r="C1589" s="2"/>
      <c r="D1589" s="2" t="s">
        <v>6443</v>
      </c>
      <c r="E1589" s="2" t="s">
        <v>6151</v>
      </c>
      <c r="F1589" s="2" t="s">
        <v>6075</v>
      </c>
      <c r="G1589" s="2" t="s">
        <v>6275</v>
      </c>
      <c r="H1589" s="5" t="s">
        <v>7291</v>
      </c>
    </row>
    <row r="1590" spans="1:8" ht="29" hidden="1" x14ac:dyDescent="0.35">
      <c r="A1590" s="136" t="s">
        <v>3306</v>
      </c>
      <c r="B1590" s="2"/>
      <c r="C1590" s="2"/>
      <c r="D1590" s="2" t="s">
        <v>6443</v>
      </c>
      <c r="E1590" s="2" t="s">
        <v>6151</v>
      </c>
      <c r="F1590" s="2" t="s">
        <v>6075</v>
      </c>
      <c r="G1590" s="2" t="s">
        <v>6276</v>
      </c>
      <c r="H1590" s="5" t="s">
        <v>7292</v>
      </c>
    </row>
    <row r="1591" spans="1:8" ht="29" hidden="1" x14ac:dyDescent="0.35">
      <c r="A1591" s="135" t="s">
        <v>3306</v>
      </c>
      <c r="B1591" s="100"/>
      <c r="C1591" s="2"/>
      <c r="D1591" s="2" t="s">
        <v>6443</v>
      </c>
      <c r="E1591" s="2" t="s">
        <v>6151</v>
      </c>
      <c r="F1591" s="2" t="s">
        <v>6075</v>
      </c>
      <c r="G1591" s="2" t="s">
        <v>6277</v>
      </c>
      <c r="H1591" s="5" t="s">
        <v>7293</v>
      </c>
    </row>
    <row r="1592" spans="1:8" ht="29" hidden="1" x14ac:dyDescent="0.35">
      <c r="A1592" s="136" t="s">
        <v>3306</v>
      </c>
      <c r="B1592" s="2"/>
      <c r="C1592" s="2"/>
      <c r="D1592" s="2" t="s">
        <v>6443</v>
      </c>
      <c r="E1592" s="2" t="s">
        <v>6151</v>
      </c>
      <c r="F1592" s="2" t="s">
        <v>6075</v>
      </c>
      <c r="G1592" s="2" t="s">
        <v>6196</v>
      </c>
      <c r="H1592" s="5" t="s">
        <v>7294</v>
      </c>
    </row>
    <row r="1593" spans="1:8" ht="29" hidden="1" x14ac:dyDescent="0.35">
      <c r="A1593" s="135" t="s">
        <v>3306</v>
      </c>
      <c r="B1593" s="2"/>
      <c r="C1593" s="2"/>
      <c r="D1593" s="2" t="s">
        <v>6443</v>
      </c>
      <c r="E1593" s="2" t="s">
        <v>6151</v>
      </c>
      <c r="F1593" s="2" t="s">
        <v>6075</v>
      </c>
      <c r="G1593" s="2" t="s">
        <v>6278</v>
      </c>
      <c r="H1593" s="5" t="s">
        <v>7295</v>
      </c>
    </row>
    <row r="1594" spans="1:8" ht="29" hidden="1" x14ac:dyDescent="0.35">
      <c r="A1594" s="136" t="s">
        <v>3306</v>
      </c>
      <c r="B1594" s="2"/>
      <c r="C1594" s="2"/>
      <c r="D1594" s="2" t="s">
        <v>6443</v>
      </c>
      <c r="E1594" s="2" t="s">
        <v>6151</v>
      </c>
      <c r="F1594" s="2" t="s">
        <v>6075</v>
      </c>
      <c r="G1594" s="2" t="s">
        <v>6182</v>
      </c>
      <c r="H1594" s="5" t="s">
        <v>7296</v>
      </c>
    </row>
    <row r="1595" spans="1:8" ht="29" hidden="1" x14ac:dyDescent="0.35">
      <c r="A1595" s="135" t="s">
        <v>3306</v>
      </c>
      <c r="B1595" s="2"/>
      <c r="C1595" s="2"/>
      <c r="D1595" s="2" t="s">
        <v>6443</v>
      </c>
      <c r="E1595" s="2" t="s">
        <v>6151</v>
      </c>
      <c r="F1595" s="2" t="s">
        <v>6075</v>
      </c>
      <c r="G1595" s="2" t="s">
        <v>6279</v>
      </c>
      <c r="H1595" s="5" t="s">
        <v>7297</v>
      </c>
    </row>
    <row r="1596" spans="1:8" ht="29" hidden="1" x14ac:dyDescent="0.35">
      <c r="A1596" s="136" t="s">
        <v>3306</v>
      </c>
      <c r="B1596" s="100"/>
      <c r="C1596" s="2"/>
      <c r="D1596" s="2" t="s">
        <v>6443</v>
      </c>
      <c r="E1596" s="2" t="s">
        <v>6151</v>
      </c>
      <c r="F1596" s="2" t="s">
        <v>6075</v>
      </c>
      <c r="G1596" s="2" t="s">
        <v>6190</v>
      </c>
      <c r="H1596" s="5" t="s">
        <v>7298</v>
      </c>
    </row>
    <row r="1597" spans="1:8" hidden="1" x14ac:dyDescent="0.35">
      <c r="A1597" s="135" t="s">
        <v>3306</v>
      </c>
      <c r="B1597" s="100"/>
      <c r="C1597" s="2"/>
      <c r="D1597" s="2" t="s">
        <v>6443</v>
      </c>
      <c r="E1597" s="2" t="s">
        <v>6151</v>
      </c>
      <c r="F1597" s="2" t="s">
        <v>6284</v>
      </c>
      <c r="G1597" s="2"/>
      <c r="H1597" s="5" t="s">
        <v>2819</v>
      </c>
    </row>
    <row r="1598" spans="1:8" hidden="1" x14ac:dyDescent="0.35">
      <c r="A1598" s="136" t="s">
        <v>3306</v>
      </c>
      <c r="B1598" s="100"/>
      <c r="C1598" s="2"/>
      <c r="D1598" s="2" t="s">
        <v>6443</v>
      </c>
      <c r="E1598" s="2" t="s">
        <v>6151</v>
      </c>
      <c r="F1598" s="2" t="s">
        <v>6285</v>
      </c>
      <c r="G1598" s="2"/>
      <c r="H1598" s="5" t="s">
        <v>2820</v>
      </c>
    </row>
    <row r="1599" spans="1:8" hidden="1" x14ac:dyDescent="0.35">
      <c r="A1599" s="136" t="s">
        <v>3306</v>
      </c>
      <c r="B1599" s="2"/>
      <c r="C1599" s="2"/>
      <c r="D1599" s="2" t="s">
        <v>6443</v>
      </c>
      <c r="E1599" s="2" t="s">
        <v>6151</v>
      </c>
      <c r="F1599" s="2" t="s">
        <v>6188</v>
      </c>
      <c r="G1599" s="2"/>
      <c r="H1599" s="5" t="s">
        <v>7138</v>
      </c>
    </row>
    <row r="1600" spans="1:8" hidden="1" x14ac:dyDescent="0.35">
      <c r="A1600" s="135" t="s">
        <v>3306</v>
      </c>
      <c r="B1600" s="100"/>
      <c r="C1600" s="2"/>
      <c r="D1600" s="2" t="s">
        <v>6443</v>
      </c>
      <c r="E1600" s="2" t="s">
        <v>6151</v>
      </c>
      <c r="F1600" s="2" t="s">
        <v>6188</v>
      </c>
      <c r="G1600" s="2" t="s">
        <v>6137</v>
      </c>
      <c r="H1600" s="5" t="s">
        <v>754</v>
      </c>
    </row>
    <row r="1601" spans="1:8" ht="29" hidden="1" x14ac:dyDescent="0.35">
      <c r="A1601" s="135" t="s">
        <v>3306</v>
      </c>
      <c r="B1601" s="2"/>
      <c r="C1601" s="2"/>
      <c r="D1601" s="2" t="s">
        <v>6443</v>
      </c>
      <c r="E1601" s="2" t="s">
        <v>6151</v>
      </c>
      <c r="F1601" s="2" t="s">
        <v>6086</v>
      </c>
      <c r="G1601" s="2" t="s">
        <v>6196</v>
      </c>
      <c r="H1601" s="5" t="s">
        <v>7299</v>
      </c>
    </row>
    <row r="1602" spans="1:8" ht="29" hidden="1" x14ac:dyDescent="0.35">
      <c r="A1602" s="136" t="s">
        <v>3306</v>
      </c>
      <c r="B1602" s="2"/>
      <c r="C1602" s="2"/>
      <c r="D1602" s="2" t="s">
        <v>6443</v>
      </c>
      <c r="E1602" s="2" t="s">
        <v>6151</v>
      </c>
      <c r="F1602" s="2" t="s">
        <v>6086</v>
      </c>
      <c r="G1602" s="2" t="s">
        <v>6278</v>
      </c>
      <c r="H1602" s="5" t="s">
        <v>7300</v>
      </c>
    </row>
    <row r="1603" spans="1:8" ht="29" hidden="1" x14ac:dyDescent="0.35">
      <c r="A1603" s="135" t="s">
        <v>3306</v>
      </c>
      <c r="B1603" s="2"/>
      <c r="C1603" s="2"/>
      <c r="D1603" s="2" t="s">
        <v>6443</v>
      </c>
      <c r="E1603" s="2" t="s">
        <v>6151</v>
      </c>
      <c r="F1603" s="2" t="s">
        <v>6086</v>
      </c>
      <c r="G1603" s="2" t="s">
        <v>6182</v>
      </c>
      <c r="H1603" s="5" t="s">
        <v>7301</v>
      </c>
    </row>
    <row r="1604" spans="1:8" ht="29" hidden="1" x14ac:dyDescent="0.35">
      <c r="A1604" s="136" t="s">
        <v>3306</v>
      </c>
      <c r="B1604" s="2"/>
      <c r="C1604" s="2"/>
      <c r="D1604" s="2" t="s">
        <v>6443</v>
      </c>
      <c r="E1604" s="2" t="s">
        <v>6151</v>
      </c>
      <c r="F1604" s="2" t="s">
        <v>6086</v>
      </c>
      <c r="G1604" s="2" t="s">
        <v>6279</v>
      </c>
      <c r="H1604" s="5" t="s">
        <v>7302</v>
      </c>
    </row>
    <row r="1605" spans="1:8" ht="29" hidden="1" x14ac:dyDescent="0.35">
      <c r="A1605" s="135" t="s">
        <v>3306</v>
      </c>
      <c r="B1605" s="2"/>
      <c r="C1605" s="2"/>
      <c r="D1605" s="2" t="s">
        <v>6443</v>
      </c>
      <c r="E1605" s="2" t="s">
        <v>6151</v>
      </c>
      <c r="F1605" s="2" t="s">
        <v>6086</v>
      </c>
      <c r="G1605" s="2" t="s">
        <v>6190</v>
      </c>
      <c r="H1605" s="5" t="s">
        <v>7303</v>
      </c>
    </row>
    <row r="1606" spans="1:8" ht="29" hidden="1" x14ac:dyDescent="0.35">
      <c r="A1606" s="136" t="s">
        <v>3306</v>
      </c>
      <c r="B1606" s="2"/>
      <c r="C1606" s="2"/>
      <c r="D1606" s="2" t="s">
        <v>6443</v>
      </c>
      <c r="E1606" s="2" t="s">
        <v>6151</v>
      </c>
      <c r="F1606" s="2" t="s">
        <v>6086</v>
      </c>
      <c r="G1606" s="2" t="s">
        <v>6280</v>
      </c>
      <c r="H1606" s="5" t="s">
        <v>7304</v>
      </c>
    </row>
    <row r="1607" spans="1:8" ht="29" hidden="1" x14ac:dyDescent="0.35">
      <c r="A1607" s="135" t="s">
        <v>3306</v>
      </c>
      <c r="B1607" s="2"/>
      <c r="C1607" s="2"/>
      <c r="D1607" s="2" t="s">
        <v>6443</v>
      </c>
      <c r="E1607" s="2" t="s">
        <v>6151</v>
      </c>
      <c r="F1607" s="2" t="s">
        <v>6086</v>
      </c>
      <c r="G1607" s="2" t="s">
        <v>6281</v>
      </c>
      <c r="H1607" s="5" t="s">
        <v>7305</v>
      </c>
    </row>
    <row r="1608" spans="1:8" ht="29" hidden="1" x14ac:dyDescent="0.35">
      <c r="A1608" s="136" t="s">
        <v>3306</v>
      </c>
      <c r="B1608" s="2"/>
      <c r="C1608" s="2"/>
      <c r="D1608" s="2" t="s">
        <v>6443</v>
      </c>
      <c r="E1608" s="2" t="s">
        <v>6151</v>
      </c>
      <c r="F1608" s="2" t="s">
        <v>6086</v>
      </c>
      <c r="G1608" s="2" t="s">
        <v>6282</v>
      </c>
      <c r="H1608" s="5" t="s">
        <v>7306</v>
      </c>
    </row>
    <row r="1609" spans="1:8" hidden="1" x14ac:dyDescent="0.35">
      <c r="A1609" s="136" t="s">
        <v>3306</v>
      </c>
      <c r="B1609" s="2"/>
      <c r="C1609" s="2"/>
      <c r="D1609" s="2" t="s">
        <v>6443</v>
      </c>
      <c r="E1609" s="2" t="s">
        <v>6151</v>
      </c>
      <c r="F1609" s="2" t="s">
        <v>6190</v>
      </c>
      <c r="G1609" s="2"/>
      <c r="H1609" s="5" t="s">
        <v>7140</v>
      </c>
    </row>
    <row r="1610" spans="1:8" hidden="1" x14ac:dyDescent="0.35">
      <c r="A1610" s="135" t="s">
        <v>3306</v>
      </c>
      <c r="B1610" s="2"/>
      <c r="C1610" s="2"/>
      <c r="D1610" s="2" t="s">
        <v>6443</v>
      </c>
      <c r="E1610" s="2" t="s">
        <v>6151</v>
      </c>
      <c r="F1610" s="2" t="s">
        <v>6190</v>
      </c>
      <c r="G1610" s="2" t="s">
        <v>6137</v>
      </c>
      <c r="H1610" s="5" t="s">
        <v>754</v>
      </c>
    </row>
    <row r="1611" spans="1:8" hidden="1" x14ac:dyDescent="0.35">
      <c r="A1611" s="136" t="s">
        <v>3306</v>
      </c>
      <c r="B1611" s="2"/>
      <c r="C1611" s="2"/>
      <c r="D1611" s="2" t="s">
        <v>6443</v>
      </c>
      <c r="E1611" s="2" t="s">
        <v>6151</v>
      </c>
      <c r="F1611" s="2" t="s">
        <v>6157</v>
      </c>
      <c r="G1611" s="2"/>
      <c r="H1611" s="5" t="s">
        <v>7145</v>
      </c>
    </row>
    <row r="1612" spans="1:8" hidden="1" x14ac:dyDescent="0.35">
      <c r="A1612" s="135" t="s">
        <v>3306</v>
      </c>
      <c r="B1612" s="2"/>
      <c r="C1612" s="2"/>
      <c r="D1612" s="2" t="s">
        <v>6443</v>
      </c>
      <c r="E1612" s="2" t="s">
        <v>6151</v>
      </c>
      <c r="F1612" s="2" t="s">
        <v>6157</v>
      </c>
      <c r="G1612" s="2" t="s">
        <v>6137</v>
      </c>
      <c r="H1612" s="5" t="s">
        <v>754</v>
      </c>
    </row>
    <row r="1613" spans="1:8" hidden="1" x14ac:dyDescent="0.35">
      <c r="A1613" s="136" t="s">
        <v>3306</v>
      </c>
      <c r="B1613" s="2"/>
      <c r="C1613" s="2"/>
      <c r="D1613" s="2" t="s">
        <v>6443</v>
      </c>
      <c r="E1613" s="2" t="s">
        <v>6151</v>
      </c>
      <c r="F1613" s="2" t="s">
        <v>6191</v>
      </c>
      <c r="G1613" s="2"/>
      <c r="H1613" s="5" t="s">
        <v>7142</v>
      </c>
    </row>
    <row r="1614" spans="1:8" hidden="1" x14ac:dyDescent="0.35">
      <c r="A1614" s="135" t="s">
        <v>3306</v>
      </c>
      <c r="B1614" s="2"/>
      <c r="C1614" s="2"/>
      <c r="D1614" s="2" t="s">
        <v>6443</v>
      </c>
      <c r="E1614" s="2" t="s">
        <v>6151</v>
      </c>
      <c r="F1614" s="2" t="s">
        <v>6191</v>
      </c>
      <c r="G1614" s="2" t="s">
        <v>6137</v>
      </c>
      <c r="H1614" s="5" t="s">
        <v>754</v>
      </c>
    </row>
    <row r="1615" spans="1:8" hidden="1" x14ac:dyDescent="0.35">
      <c r="A1615" s="136" t="s">
        <v>3306</v>
      </c>
      <c r="B1615" s="2"/>
      <c r="C1615" s="2"/>
      <c r="D1615" s="2" t="s">
        <v>6443</v>
      </c>
      <c r="E1615" s="2" t="s">
        <v>6151</v>
      </c>
      <c r="F1615" s="2" t="s">
        <v>6189</v>
      </c>
      <c r="G1615" s="2"/>
      <c r="H1615" s="5" t="s">
        <v>7139</v>
      </c>
    </row>
    <row r="1616" spans="1:8" hidden="1" x14ac:dyDescent="0.35">
      <c r="A1616" s="135" t="s">
        <v>3306</v>
      </c>
      <c r="B1616" s="2"/>
      <c r="C1616" s="2"/>
      <c r="D1616" s="2" t="s">
        <v>6443</v>
      </c>
      <c r="E1616" s="2" t="s">
        <v>6151</v>
      </c>
      <c r="F1616" s="2" t="s">
        <v>6189</v>
      </c>
      <c r="G1616" s="2" t="s">
        <v>6137</v>
      </c>
      <c r="H1616" s="5" t="s">
        <v>754</v>
      </c>
    </row>
    <row r="1617" spans="1:8" hidden="1" x14ac:dyDescent="0.35">
      <c r="A1617" s="135" t="s">
        <v>3308</v>
      </c>
      <c r="B1617" s="2"/>
      <c r="C1617" s="2"/>
      <c r="D1617" s="2" t="s">
        <v>6443</v>
      </c>
      <c r="E1617" s="2" t="s">
        <v>6151</v>
      </c>
      <c r="F1617" s="2" t="s">
        <v>5927</v>
      </c>
      <c r="G1617" s="2" t="s">
        <v>6006</v>
      </c>
      <c r="H1617" s="5" t="s">
        <v>7431</v>
      </c>
    </row>
    <row r="1618" spans="1:8" hidden="1" x14ac:dyDescent="0.35">
      <c r="A1618" s="136" t="s">
        <v>3308</v>
      </c>
      <c r="B1618" s="2"/>
      <c r="C1618" s="2"/>
      <c r="D1618" s="2" t="s">
        <v>6443</v>
      </c>
      <c r="E1618" s="2" t="s">
        <v>6151</v>
      </c>
      <c r="F1618" s="2" t="s">
        <v>5927</v>
      </c>
      <c r="G1618" s="2" t="s">
        <v>6006</v>
      </c>
      <c r="H1618" s="5" t="s">
        <v>7432</v>
      </c>
    </row>
    <row r="1619" spans="1:8" hidden="1" x14ac:dyDescent="0.35">
      <c r="A1619" s="135" t="s">
        <v>3308</v>
      </c>
      <c r="B1619" s="2"/>
      <c r="C1619" s="2"/>
      <c r="D1619" s="2" t="s">
        <v>6443</v>
      </c>
      <c r="E1619" s="2" t="s">
        <v>6151</v>
      </c>
      <c r="F1619" s="2" t="s">
        <v>5927</v>
      </c>
      <c r="G1619" s="2" t="s">
        <v>6006</v>
      </c>
      <c r="H1619" s="5" t="s">
        <v>7433</v>
      </c>
    </row>
    <row r="1620" spans="1:8" hidden="1" x14ac:dyDescent="0.35">
      <c r="A1620" s="136" t="s">
        <v>3308</v>
      </c>
      <c r="B1620" s="2"/>
      <c r="C1620" s="2"/>
      <c r="D1620" s="2" t="s">
        <v>6443</v>
      </c>
      <c r="E1620" s="2" t="s">
        <v>6151</v>
      </c>
      <c r="F1620" s="2" t="s">
        <v>5927</v>
      </c>
      <c r="G1620" s="2" t="s">
        <v>6006</v>
      </c>
      <c r="H1620" s="5" t="s">
        <v>7434</v>
      </c>
    </row>
    <row r="1621" spans="1:8" hidden="1" x14ac:dyDescent="0.35">
      <c r="A1621" s="135" t="s">
        <v>3308</v>
      </c>
      <c r="B1621" s="2"/>
      <c r="C1621" s="2"/>
      <c r="D1621" s="2" t="s">
        <v>6443</v>
      </c>
      <c r="E1621" s="2" t="s">
        <v>6151</v>
      </c>
      <c r="F1621" s="2" t="s">
        <v>5927</v>
      </c>
      <c r="G1621" s="2" t="s">
        <v>6006</v>
      </c>
      <c r="H1621" s="5" t="s">
        <v>7435</v>
      </c>
    </row>
    <row r="1622" spans="1:8" hidden="1" x14ac:dyDescent="0.35">
      <c r="A1622" s="136" t="s">
        <v>3306</v>
      </c>
      <c r="B1622" s="2"/>
      <c r="C1622" s="2"/>
      <c r="D1622" s="2" t="s">
        <v>6443</v>
      </c>
      <c r="E1622" s="2" t="s">
        <v>6151</v>
      </c>
      <c r="F1622" s="2" t="s">
        <v>6187</v>
      </c>
      <c r="G1622" s="2"/>
      <c r="H1622" s="5" t="s">
        <v>7137</v>
      </c>
    </row>
    <row r="1623" spans="1:8" hidden="1" x14ac:dyDescent="0.35">
      <c r="A1623" s="135" t="s">
        <v>3306</v>
      </c>
      <c r="B1623" s="2"/>
      <c r="C1623" s="2"/>
      <c r="D1623" s="2" t="s">
        <v>6443</v>
      </c>
      <c r="E1623" s="2" t="s">
        <v>6151</v>
      </c>
      <c r="F1623" s="2" t="s">
        <v>6187</v>
      </c>
      <c r="G1623" s="2" t="s">
        <v>6137</v>
      </c>
      <c r="H1623" s="5" t="s">
        <v>754</v>
      </c>
    </row>
    <row r="1624" spans="1:8" hidden="1" x14ac:dyDescent="0.35">
      <c r="A1624" s="136" t="s">
        <v>3306</v>
      </c>
      <c r="B1624" s="2"/>
      <c r="C1624" s="2"/>
      <c r="D1624" s="2" t="s">
        <v>6443</v>
      </c>
      <c r="E1624" s="2" t="s">
        <v>6151</v>
      </c>
      <c r="F1624" s="2" t="s">
        <v>6176</v>
      </c>
      <c r="G1624" s="2"/>
      <c r="H1624" s="5" t="s">
        <v>7146</v>
      </c>
    </row>
    <row r="1625" spans="1:8" hidden="1" x14ac:dyDescent="0.35">
      <c r="A1625" s="136" t="s">
        <v>3306</v>
      </c>
      <c r="B1625" s="2"/>
      <c r="C1625" s="2"/>
      <c r="D1625" s="2" t="s">
        <v>6443</v>
      </c>
      <c r="E1625" s="2" t="s">
        <v>6151</v>
      </c>
      <c r="F1625" s="2" t="s">
        <v>6186</v>
      </c>
      <c r="G1625" s="2"/>
      <c r="H1625" s="5" t="s">
        <v>7136</v>
      </c>
    </row>
    <row r="1626" spans="1:8" hidden="1" x14ac:dyDescent="0.35">
      <c r="A1626" s="135" t="s">
        <v>3306</v>
      </c>
      <c r="B1626" s="2"/>
      <c r="C1626" s="2"/>
      <c r="D1626" s="2" t="s">
        <v>6443</v>
      </c>
      <c r="E1626" s="2" t="s">
        <v>6151</v>
      </c>
      <c r="F1626" s="2" t="s">
        <v>6186</v>
      </c>
      <c r="G1626" s="2" t="s">
        <v>6137</v>
      </c>
      <c r="H1626" s="5" t="s">
        <v>754</v>
      </c>
    </row>
    <row r="1627" spans="1:8" ht="29" hidden="1" x14ac:dyDescent="0.35">
      <c r="A1627" s="135" t="s">
        <v>3851</v>
      </c>
      <c r="B1627" s="2"/>
      <c r="C1627" s="2"/>
      <c r="D1627" s="2" t="s">
        <v>6443</v>
      </c>
      <c r="E1627" s="2" t="s">
        <v>6004</v>
      </c>
      <c r="F1627" s="2" t="s">
        <v>6143</v>
      </c>
      <c r="G1627" s="2" t="s">
        <v>6410</v>
      </c>
      <c r="H1627" s="5" t="s">
        <v>2798</v>
      </c>
    </row>
    <row r="1628" spans="1:8" hidden="1" x14ac:dyDescent="0.35">
      <c r="A1628" s="136" t="s">
        <v>3332</v>
      </c>
      <c r="B1628" s="2"/>
      <c r="C1628" s="2"/>
      <c r="D1628" s="2" t="s">
        <v>6443</v>
      </c>
      <c r="E1628" s="161" t="s">
        <v>5849</v>
      </c>
      <c r="F1628" s="161" t="s">
        <v>5971</v>
      </c>
      <c r="G1628" s="2"/>
      <c r="H1628" s="5" t="s">
        <v>3023</v>
      </c>
    </row>
    <row r="1629" spans="1:8" hidden="1" x14ac:dyDescent="0.35">
      <c r="A1629" s="135" t="s">
        <v>3332</v>
      </c>
      <c r="B1629" s="2"/>
      <c r="C1629" s="2"/>
      <c r="D1629" s="2" t="s">
        <v>6443</v>
      </c>
      <c r="E1629" s="2" t="s">
        <v>5849</v>
      </c>
      <c r="F1629" s="2" t="s">
        <v>5788</v>
      </c>
      <c r="G1629" s="2" t="s">
        <v>5789</v>
      </c>
      <c r="H1629" s="5" t="s">
        <v>19</v>
      </c>
    </row>
    <row r="1630" spans="1:8" hidden="1" x14ac:dyDescent="0.35">
      <c r="A1630" s="136" t="s">
        <v>3332</v>
      </c>
      <c r="B1630" s="2"/>
      <c r="C1630" s="2"/>
      <c r="D1630" s="2" t="s">
        <v>6443</v>
      </c>
      <c r="E1630" s="161" t="s">
        <v>5849</v>
      </c>
      <c r="F1630" s="161" t="s">
        <v>5788</v>
      </c>
      <c r="G1630" s="2" t="s">
        <v>5790</v>
      </c>
      <c r="H1630" s="5" t="s">
        <v>2731</v>
      </c>
    </row>
    <row r="1631" spans="1:8" hidden="1" x14ac:dyDescent="0.35">
      <c r="A1631" s="135" t="s">
        <v>3332</v>
      </c>
      <c r="B1631" s="2"/>
      <c r="C1631" s="2"/>
      <c r="D1631" s="2" t="s">
        <v>6443</v>
      </c>
      <c r="E1631" s="2" t="s">
        <v>5849</v>
      </c>
      <c r="F1631" s="2" t="s">
        <v>5788</v>
      </c>
      <c r="G1631" s="2" t="s">
        <v>5791</v>
      </c>
      <c r="H1631" s="5" t="s">
        <v>3024</v>
      </c>
    </row>
    <row r="1632" spans="1:8" ht="29" hidden="1" x14ac:dyDescent="0.35">
      <c r="A1632" s="135" t="s">
        <v>3803</v>
      </c>
      <c r="B1632" s="2"/>
      <c r="C1632" s="2"/>
      <c r="D1632" s="2" t="s">
        <v>6443</v>
      </c>
      <c r="E1632" s="2" t="s">
        <v>5849</v>
      </c>
      <c r="F1632" s="2" t="s">
        <v>5788</v>
      </c>
      <c r="G1632" s="2" t="s">
        <v>5789</v>
      </c>
      <c r="H1632" s="5" t="s">
        <v>7366</v>
      </c>
    </row>
    <row r="1633" spans="1:8" ht="29" hidden="1" x14ac:dyDescent="0.35">
      <c r="A1633" s="136" t="s">
        <v>3803</v>
      </c>
      <c r="B1633" s="2"/>
      <c r="C1633" s="2"/>
      <c r="D1633" s="2" t="s">
        <v>6443</v>
      </c>
      <c r="E1633" s="2" t="s">
        <v>5849</v>
      </c>
      <c r="F1633" s="2" t="s">
        <v>5788</v>
      </c>
      <c r="G1633" s="2" t="s">
        <v>5790</v>
      </c>
      <c r="H1633" s="5" t="s">
        <v>7367</v>
      </c>
    </row>
    <row r="1634" spans="1:8" ht="29" hidden="1" x14ac:dyDescent="0.35">
      <c r="A1634" s="136" t="s">
        <v>3332</v>
      </c>
      <c r="B1634" s="2"/>
      <c r="C1634" s="2"/>
      <c r="D1634" s="2" t="s">
        <v>6443</v>
      </c>
      <c r="E1634" s="161" t="s">
        <v>5849</v>
      </c>
      <c r="F1634" s="161" t="s">
        <v>5968</v>
      </c>
      <c r="G1634" s="2" t="s">
        <v>5810</v>
      </c>
      <c r="H1634" s="5" t="s">
        <v>6894</v>
      </c>
    </row>
    <row r="1635" spans="1:8" ht="29" hidden="1" x14ac:dyDescent="0.35">
      <c r="A1635" s="135" t="s">
        <v>3332</v>
      </c>
      <c r="B1635" s="2"/>
      <c r="C1635" s="2"/>
      <c r="D1635" s="2" t="s">
        <v>6443</v>
      </c>
      <c r="E1635" s="2" t="s">
        <v>5849</v>
      </c>
      <c r="F1635" s="2" t="s">
        <v>5968</v>
      </c>
      <c r="G1635" s="2" t="s">
        <v>5810</v>
      </c>
      <c r="H1635" s="5" t="s">
        <v>6895</v>
      </c>
    </row>
    <row r="1636" spans="1:8" ht="43.5" hidden="1" x14ac:dyDescent="0.35">
      <c r="A1636" s="136" t="s">
        <v>3332</v>
      </c>
      <c r="B1636" s="2"/>
      <c r="C1636" s="2"/>
      <c r="D1636" s="2" t="s">
        <v>6443</v>
      </c>
      <c r="E1636" s="161" t="s">
        <v>5849</v>
      </c>
      <c r="F1636" s="161" t="s">
        <v>5968</v>
      </c>
      <c r="G1636" s="2" t="s">
        <v>5787</v>
      </c>
      <c r="H1636" s="5" t="s">
        <v>6896</v>
      </c>
    </row>
    <row r="1637" spans="1:8" ht="29" hidden="1" x14ac:dyDescent="0.35">
      <c r="A1637" s="135" t="s">
        <v>3332</v>
      </c>
      <c r="B1637" s="2"/>
      <c r="C1637" s="2"/>
      <c r="D1637" s="2" t="s">
        <v>6443</v>
      </c>
      <c r="E1637" s="2" t="s">
        <v>5849</v>
      </c>
      <c r="F1637" s="2" t="s">
        <v>5968</v>
      </c>
      <c r="G1637" s="2" t="s">
        <v>5787</v>
      </c>
      <c r="H1637" s="5" t="s">
        <v>6897</v>
      </c>
    </row>
    <row r="1638" spans="1:8" ht="29" hidden="1" x14ac:dyDescent="0.35">
      <c r="A1638" s="136" t="s">
        <v>3332</v>
      </c>
      <c r="B1638" s="2"/>
      <c r="C1638" s="2"/>
      <c r="D1638" s="2" t="s">
        <v>6443</v>
      </c>
      <c r="E1638" s="161" t="s">
        <v>5849</v>
      </c>
      <c r="F1638" s="161" t="s">
        <v>5968</v>
      </c>
      <c r="G1638" s="2" t="s">
        <v>5787</v>
      </c>
      <c r="H1638" s="5" t="s">
        <v>6898</v>
      </c>
    </row>
    <row r="1639" spans="1:8" ht="43.5" hidden="1" x14ac:dyDescent="0.35">
      <c r="A1639" s="135" t="s">
        <v>3332</v>
      </c>
      <c r="B1639" s="2"/>
      <c r="C1639" s="2"/>
      <c r="D1639" s="2" t="s">
        <v>6443</v>
      </c>
      <c r="E1639" s="2" t="s">
        <v>5849</v>
      </c>
      <c r="F1639" s="2" t="s">
        <v>5968</v>
      </c>
      <c r="G1639" s="2" t="s">
        <v>5787</v>
      </c>
      <c r="H1639" s="5" t="s">
        <v>6899</v>
      </c>
    </row>
    <row r="1640" spans="1:8" ht="29" hidden="1" x14ac:dyDescent="0.35">
      <c r="A1640" s="136" t="s">
        <v>3332</v>
      </c>
      <c r="B1640" s="2"/>
      <c r="C1640" s="2"/>
      <c r="D1640" s="2" t="s">
        <v>6443</v>
      </c>
      <c r="E1640" s="161" t="s">
        <v>5849</v>
      </c>
      <c r="F1640" s="161" t="s">
        <v>5968</v>
      </c>
      <c r="G1640" s="2" t="s">
        <v>5787</v>
      </c>
      <c r="H1640" s="5" t="s">
        <v>6900</v>
      </c>
    </row>
    <row r="1641" spans="1:8" ht="29" hidden="1" x14ac:dyDescent="0.35">
      <c r="A1641" s="135" t="s">
        <v>3332</v>
      </c>
      <c r="B1641" s="100"/>
      <c r="C1641" s="2"/>
      <c r="D1641" s="2" t="s">
        <v>6443</v>
      </c>
      <c r="E1641" s="2" t="s">
        <v>5849</v>
      </c>
      <c r="F1641" s="2" t="s">
        <v>5968</v>
      </c>
      <c r="G1641" s="2" t="s">
        <v>5787</v>
      </c>
      <c r="H1641" s="5" t="s">
        <v>6901</v>
      </c>
    </row>
    <row r="1642" spans="1:8" hidden="1" x14ac:dyDescent="0.35">
      <c r="A1642" s="135" t="s">
        <v>3332</v>
      </c>
      <c r="B1642" s="100"/>
      <c r="C1642" s="2"/>
      <c r="D1642" s="2" t="s">
        <v>6443</v>
      </c>
      <c r="E1642" s="2" t="s">
        <v>5849</v>
      </c>
      <c r="F1642" s="2" t="s">
        <v>5970</v>
      </c>
      <c r="G1642" s="2"/>
      <c r="H1642" s="5" t="s">
        <v>2941</v>
      </c>
    </row>
    <row r="1643" spans="1:8" ht="29" hidden="1" x14ac:dyDescent="0.35">
      <c r="A1643" s="136" t="s">
        <v>3332</v>
      </c>
      <c r="B1643" s="2"/>
      <c r="C1643" s="2"/>
      <c r="D1643" s="2" t="s">
        <v>6443</v>
      </c>
      <c r="E1643" s="161" t="s">
        <v>5912</v>
      </c>
      <c r="F1643" s="161" t="s">
        <v>5968</v>
      </c>
      <c r="G1643" s="2" t="s">
        <v>5810</v>
      </c>
      <c r="H1643" s="5" t="s">
        <v>6890</v>
      </c>
    </row>
    <row r="1644" spans="1:8" ht="29" hidden="1" x14ac:dyDescent="0.35">
      <c r="A1644" s="135" t="s">
        <v>3332</v>
      </c>
      <c r="B1644" s="2"/>
      <c r="C1644" s="2"/>
      <c r="D1644" s="2" t="s">
        <v>6443</v>
      </c>
      <c r="E1644" s="2" t="s">
        <v>5912</v>
      </c>
      <c r="F1644" s="2" t="s">
        <v>5968</v>
      </c>
      <c r="G1644" s="2" t="s">
        <v>5810</v>
      </c>
      <c r="H1644" s="5" t="s">
        <v>6891</v>
      </c>
    </row>
    <row r="1645" spans="1:8" ht="29" hidden="1" x14ac:dyDescent="0.35">
      <c r="A1645" s="136" t="s">
        <v>3308</v>
      </c>
      <c r="B1645" s="2"/>
      <c r="C1645" s="2"/>
      <c r="D1645" s="2" t="s">
        <v>6443</v>
      </c>
      <c r="E1645" s="2" t="s">
        <v>5912</v>
      </c>
      <c r="F1645" s="2" t="s">
        <v>5882</v>
      </c>
      <c r="G1645" s="2" t="s">
        <v>6438</v>
      </c>
      <c r="H1645" s="5" t="s">
        <v>2190</v>
      </c>
    </row>
    <row r="1646" spans="1:8" hidden="1" x14ac:dyDescent="0.35">
      <c r="A1646" s="135" t="s">
        <v>3895</v>
      </c>
      <c r="B1646" s="2"/>
      <c r="C1646" s="2"/>
      <c r="D1646" s="2" t="s">
        <v>6443</v>
      </c>
      <c r="E1646" s="2" t="s">
        <v>5912</v>
      </c>
      <c r="F1646" s="2" t="s">
        <v>5882</v>
      </c>
      <c r="G1646" s="2" t="s">
        <v>5804</v>
      </c>
      <c r="H1646" s="5" t="s">
        <v>2184</v>
      </c>
    </row>
    <row r="1647" spans="1:8" hidden="1" x14ac:dyDescent="0.35">
      <c r="A1647" s="135" t="s">
        <v>3954</v>
      </c>
      <c r="B1647" s="2"/>
      <c r="C1647" s="2"/>
      <c r="D1647" s="2" t="s">
        <v>6443</v>
      </c>
      <c r="E1647" s="2" t="s">
        <v>5912</v>
      </c>
      <c r="F1647" s="2" t="s">
        <v>5882</v>
      </c>
      <c r="G1647" s="2" t="s">
        <v>6251</v>
      </c>
      <c r="H1647" s="5" t="s">
        <v>1497</v>
      </c>
    </row>
    <row r="1648" spans="1:8" hidden="1" x14ac:dyDescent="0.35">
      <c r="A1648" s="135" t="s">
        <v>3954</v>
      </c>
      <c r="B1648" s="2"/>
      <c r="C1648" s="2"/>
      <c r="D1648" s="2" t="s">
        <v>6443</v>
      </c>
      <c r="E1648" s="100" t="s">
        <v>5912</v>
      </c>
      <c r="F1648" s="101" t="s">
        <v>5882</v>
      </c>
      <c r="G1648" s="1" t="s">
        <v>6250</v>
      </c>
      <c r="H1648" s="5" t="s">
        <v>1496</v>
      </c>
    </row>
    <row r="1649" spans="1:8" ht="29" hidden="1" x14ac:dyDescent="0.35">
      <c r="A1649" s="135" t="s">
        <v>3332</v>
      </c>
      <c r="B1649" s="2"/>
      <c r="C1649" s="2"/>
      <c r="D1649" s="2" t="s">
        <v>6443</v>
      </c>
      <c r="E1649" s="2" t="s">
        <v>5912</v>
      </c>
      <c r="F1649" s="2" t="s">
        <v>5935</v>
      </c>
      <c r="G1649" s="2" t="s">
        <v>5934</v>
      </c>
      <c r="H1649" s="5" t="s">
        <v>1937</v>
      </c>
    </row>
    <row r="1650" spans="1:8" hidden="1" x14ac:dyDescent="0.35">
      <c r="A1650" s="136" t="s">
        <v>3332</v>
      </c>
      <c r="B1650" s="2"/>
      <c r="C1650" s="2"/>
      <c r="D1650" s="2" t="s">
        <v>6443</v>
      </c>
      <c r="E1650" s="161" t="s">
        <v>5912</v>
      </c>
      <c r="F1650" s="161" t="s">
        <v>5913</v>
      </c>
      <c r="G1650" s="2"/>
      <c r="H1650" s="5" t="s">
        <v>1905</v>
      </c>
    </row>
    <row r="1651" spans="1:8" hidden="1" x14ac:dyDescent="0.35">
      <c r="A1651" s="135" t="s">
        <v>3803</v>
      </c>
      <c r="B1651" s="2"/>
      <c r="C1651" s="2"/>
      <c r="D1651" s="2" t="s">
        <v>6443</v>
      </c>
      <c r="E1651" s="2" t="s">
        <v>5912</v>
      </c>
      <c r="F1651" s="2" t="s">
        <v>5967</v>
      </c>
      <c r="G1651" s="2" t="s">
        <v>5928</v>
      </c>
      <c r="H1651" s="5" t="s">
        <v>1435</v>
      </c>
    </row>
    <row r="1652" spans="1:8" ht="29" hidden="1" x14ac:dyDescent="0.35">
      <c r="A1652" s="136" t="s">
        <v>3803</v>
      </c>
      <c r="B1652" s="2"/>
      <c r="C1652" s="2"/>
      <c r="D1652" s="2" t="s">
        <v>6443</v>
      </c>
      <c r="E1652" s="2" t="s">
        <v>5912</v>
      </c>
      <c r="F1652" s="2" t="s">
        <v>5967</v>
      </c>
      <c r="G1652" s="2" t="s">
        <v>6314</v>
      </c>
      <c r="H1652" s="5" t="s">
        <v>788</v>
      </c>
    </row>
    <row r="1653" spans="1:8" ht="29" hidden="1" x14ac:dyDescent="0.35">
      <c r="A1653" s="136" t="s">
        <v>3803</v>
      </c>
      <c r="B1653" s="2"/>
      <c r="C1653" s="2"/>
      <c r="D1653" s="2" t="s">
        <v>6443</v>
      </c>
      <c r="E1653" s="2" t="s">
        <v>5912</v>
      </c>
      <c r="F1653" s="2" t="s">
        <v>5967</v>
      </c>
      <c r="G1653" s="2" t="s">
        <v>5968</v>
      </c>
      <c r="H1653" s="5" t="s">
        <v>2475</v>
      </c>
    </row>
    <row r="1654" spans="1:8" ht="29" hidden="1" x14ac:dyDescent="0.35">
      <c r="A1654" s="136" t="s">
        <v>3803</v>
      </c>
      <c r="B1654" s="100"/>
      <c r="C1654" s="2"/>
      <c r="D1654" s="2" t="s">
        <v>6443</v>
      </c>
      <c r="E1654" s="2" t="s">
        <v>5912</v>
      </c>
      <c r="F1654" s="2" t="s">
        <v>5967</v>
      </c>
      <c r="G1654" s="2" t="s">
        <v>5928</v>
      </c>
      <c r="H1654" s="5" t="s">
        <v>2427</v>
      </c>
    </row>
    <row r="1655" spans="1:8" ht="29" hidden="1" x14ac:dyDescent="0.35">
      <c r="A1655" s="136" t="s">
        <v>3803</v>
      </c>
      <c r="B1655" s="100"/>
      <c r="C1655" s="2"/>
      <c r="D1655" s="2" t="s">
        <v>6443</v>
      </c>
      <c r="E1655" s="2" t="s">
        <v>5912</v>
      </c>
      <c r="F1655" s="2" t="s">
        <v>5967</v>
      </c>
      <c r="G1655" s="2" t="s">
        <v>5928</v>
      </c>
      <c r="H1655" s="5" t="s">
        <v>2428</v>
      </c>
    </row>
    <row r="1656" spans="1:8" hidden="1" x14ac:dyDescent="0.35">
      <c r="A1656" s="135" t="s">
        <v>3803</v>
      </c>
      <c r="B1656" s="2"/>
      <c r="C1656" s="2"/>
      <c r="D1656" s="2" t="s">
        <v>6443</v>
      </c>
      <c r="E1656" s="2" t="s">
        <v>5912</v>
      </c>
      <c r="F1656" s="2" t="s">
        <v>5967</v>
      </c>
      <c r="G1656" s="2" t="s">
        <v>5928</v>
      </c>
      <c r="H1656" s="5" t="s">
        <v>2429</v>
      </c>
    </row>
    <row r="1657" spans="1:8" ht="29" hidden="1" x14ac:dyDescent="0.35">
      <c r="A1657" s="136" t="s">
        <v>3803</v>
      </c>
      <c r="B1657" s="100"/>
      <c r="C1657" s="2"/>
      <c r="D1657" s="2" t="s">
        <v>6443</v>
      </c>
      <c r="E1657" s="2" t="s">
        <v>5912</v>
      </c>
      <c r="F1657" s="2" t="s">
        <v>5967</v>
      </c>
      <c r="G1657" s="2" t="s">
        <v>5928</v>
      </c>
      <c r="H1657" s="5" t="s">
        <v>2430</v>
      </c>
    </row>
    <row r="1658" spans="1:8" hidden="1" x14ac:dyDescent="0.35">
      <c r="A1658" s="135" t="s">
        <v>3803</v>
      </c>
      <c r="B1658" s="100"/>
      <c r="C1658" s="2"/>
      <c r="D1658" s="2" t="s">
        <v>6443</v>
      </c>
      <c r="E1658" s="2" t="s">
        <v>5912</v>
      </c>
      <c r="F1658" s="2" t="s">
        <v>5967</v>
      </c>
      <c r="G1658" s="2" t="s">
        <v>5928</v>
      </c>
      <c r="H1658" s="5" t="s">
        <v>2431</v>
      </c>
    </row>
    <row r="1659" spans="1:8" hidden="1" x14ac:dyDescent="0.35">
      <c r="A1659" s="135" t="s">
        <v>3332</v>
      </c>
      <c r="B1659" s="2"/>
      <c r="C1659" s="2"/>
      <c r="D1659" s="2" t="s">
        <v>6443</v>
      </c>
      <c r="E1659" s="2" t="s">
        <v>5961</v>
      </c>
      <c r="F1659" s="2" t="s">
        <v>5962</v>
      </c>
      <c r="G1659" s="2"/>
      <c r="H1659" s="5" t="s">
        <v>6877</v>
      </c>
    </row>
    <row r="1660" spans="1:8" hidden="1" x14ac:dyDescent="0.35">
      <c r="A1660" s="135" t="s">
        <v>3332</v>
      </c>
      <c r="B1660" s="2"/>
      <c r="C1660" s="2"/>
      <c r="D1660" s="2" t="s">
        <v>6443</v>
      </c>
      <c r="E1660" s="2" t="s">
        <v>5961</v>
      </c>
      <c r="F1660" s="2" t="s">
        <v>5848</v>
      </c>
      <c r="G1660" s="2"/>
      <c r="H1660" s="5" t="s">
        <v>6875</v>
      </c>
    </row>
    <row r="1661" spans="1:8" ht="29" hidden="1" x14ac:dyDescent="0.35">
      <c r="A1661" s="136" t="s">
        <v>3332</v>
      </c>
      <c r="B1661" s="2"/>
      <c r="C1661" s="2"/>
      <c r="D1661" s="2" t="s">
        <v>6443</v>
      </c>
      <c r="E1661" s="161" t="s">
        <v>5961</v>
      </c>
      <c r="F1661" s="161" t="s">
        <v>5825</v>
      </c>
      <c r="G1661" s="2"/>
      <c r="H1661" s="5" t="s">
        <v>6876</v>
      </c>
    </row>
    <row r="1662" spans="1:8" ht="29" hidden="1" x14ac:dyDescent="0.35">
      <c r="A1662" s="136" t="s">
        <v>3332</v>
      </c>
      <c r="B1662" s="2"/>
      <c r="C1662" s="2"/>
      <c r="D1662" s="2" t="s">
        <v>6443</v>
      </c>
      <c r="E1662" s="161" t="s">
        <v>5961</v>
      </c>
      <c r="F1662" s="161" t="s">
        <v>5963</v>
      </c>
      <c r="G1662" s="2"/>
      <c r="H1662" s="5" t="s">
        <v>6878</v>
      </c>
    </row>
    <row r="1663" spans="1:8" ht="29" hidden="1" x14ac:dyDescent="0.35">
      <c r="A1663" s="135" t="s">
        <v>3851</v>
      </c>
      <c r="B1663" s="2"/>
      <c r="C1663" s="2"/>
      <c r="D1663" s="2" t="s">
        <v>6443</v>
      </c>
      <c r="E1663" s="2" t="s">
        <v>6139</v>
      </c>
      <c r="F1663" s="2" t="s">
        <v>6338</v>
      </c>
      <c r="G1663" s="2" t="s">
        <v>6404</v>
      </c>
      <c r="H1663" s="5" t="s">
        <v>2311</v>
      </c>
    </row>
    <row r="1664" spans="1:8" ht="29" hidden="1" x14ac:dyDescent="0.35">
      <c r="A1664" s="135" t="s">
        <v>3851</v>
      </c>
      <c r="B1664" s="2"/>
      <c r="C1664" s="2"/>
      <c r="D1664" s="2" t="s">
        <v>6443</v>
      </c>
      <c r="E1664" s="2" t="s">
        <v>6139</v>
      </c>
      <c r="F1664" s="2" t="s">
        <v>6029</v>
      </c>
      <c r="G1664" s="2" t="s">
        <v>6007</v>
      </c>
      <c r="H1664" s="5" t="s">
        <v>2589</v>
      </c>
    </row>
    <row r="1665" spans="1:8" ht="29" hidden="1" x14ac:dyDescent="0.35">
      <c r="A1665" s="135" t="s">
        <v>3851</v>
      </c>
      <c r="B1665" s="2"/>
      <c r="C1665" s="2"/>
      <c r="D1665" s="2" t="s">
        <v>6443</v>
      </c>
      <c r="E1665" s="2" t="s">
        <v>6139</v>
      </c>
      <c r="F1665" s="2" t="s">
        <v>6008</v>
      </c>
      <c r="G1665" s="2" t="s">
        <v>6404</v>
      </c>
      <c r="H1665" s="5" t="s">
        <v>7414</v>
      </c>
    </row>
    <row r="1666" spans="1:8" ht="29" hidden="1" x14ac:dyDescent="0.35">
      <c r="A1666" s="135" t="s">
        <v>3851</v>
      </c>
      <c r="B1666" s="2"/>
      <c r="C1666" s="2"/>
      <c r="D1666" s="2" t="s">
        <v>6443</v>
      </c>
      <c r="E1666" s="2" t="s">
        <v>6139</v>
      </c>
      <c r="F1666" s="2" t="s">
        <v>6336</v>
      </c>
      <c r="G1666" s="2" t="s">
        <v>6404</v>
      </c>
      <c r="H1666" s="5" t="s">
        <v>2240</v>
      </c>
    </row>
    <row r="1667" spans="1:8" ht="29" hidden="1" x14ac:dyDescent="0.35">
      <c r="A1667" s="136" t="s">
        <v>3851</v>
      </c>
      <c r="B1667" s="2"/>
      <c r="C1667" s="2"/>
      <c r="D1667" s="2" t="s">
        <v>6443</v>
      </c>
      <c r="E1667" s="2" t="s">
        <v>6139</v>
      </c>
      <c r="F1667" s="2" t="s">
        <v>6408</v>
      </c>
      <c r="G1667" s="2" t="s">
        <v>6007</v>
      </c>
      <c r="H1667" s="5" t="s">
        <v>2631</v>
      </c>
    </row>
    <row r="1668" spans="1:8" ht="29" hidden="1" x14ac:dyDescent="0.35">
      <c r="A1668" s="136" t="s">
        <v>3851</v>
      </c>
      <c r="B1668" s="2"/>
      <c r="C1668" s="2"/>
      <c r="D1668" s="2" t="s">
        <v>6443</v>
      </c>
      <c r="E1668" s="2" t="s">
        <v>6139</v>
      </c>
      <c r="F1668" s="2" t="s">
        <v>5874</v>
      </c>
      <c r="G1668" s="2" t="s">
        <v>6404</v>
      </c>
      <c r="H1668" s="5" t="s">
        <v>2238</v>
      </c>
    </row>
    <row r="1669" spans="1:8" ht="29" hidden="1" x14ac:dyDescent="0.35">
      <c r="A1669" s="136" t="s">
        <v>3851</v>
      </c>
      <c r="B1669" s="2"/>
      <c r="C1669" s="2"/>
      <c r="D1669" s="2" t="s">
        <v>6443</v>
      </c>
      <c r="E1669" s="2" t="s">
        <v>6139</v>
      </c>
      <c r="F1669" s="2" t="s">
        <v>5994</v>
      </c>
      <c r="G1669" s="2" t="s">
        <v>6404</v>
      </c>
      <c r="H1669" s="5" t="s">
        <v>7415</v>
      </c>
    </row>
    <row r="1670" spans="1:8" ht="29" hidden="1" x14ac:dyDescent="0.35">
      <c r="A1670" s="136" t="s">
        <v>3851</v>
      </c>
      <c r="B1670" s="2"/>
      <c r="C1670" s="2"/>
      <c r="D1670" s="2" t="s">
        <v>6443</v>
      </c>
      <c r="E1670" s="2" t="s">
        <v>6139</v>
      </c>
      <c r="F1670" s="2" t="s">
        <v>6048</v>
      </c>
      <c r="G1670" s="2" t="s">
        <v>6404</v>
      </c>
      <c r="H1670" s="5" t="s">
        <v>7413</v>
      </c>
    </row>
    <row r="1671" spans="1:8" ht="43.5" hidden="1" x14ac:dyDescent="0.35">
      <c r="A1671" s="153" t="s">
        <v>3533</v>
      </c>
      <c r="B1671" s="100"/>
      <c r="C1671" s="2"/>
      <c r="D1671" s="2" t="s">
        <v>6443</v>
      </c>
      <c r="E1671" s="2" t="s">
        <v>5847</v>
      </c>
      <c r="F1671" s="2" t="s">
        <v>6130</v>
      </c>
      <c r="G1671" s="2" t="s">
        <v>6131</v>
      </c>
      <c r="H1671" s="5" t="s">
        <v>7044</v>
      </c>
    </row>
    <row r="1672" spans="1:8" hidden="1" x14ac:dyDescent="0.35">
      <c r="A1672" s="148" t="s">
        <v>3533</v>
      </c>
      <c r="B1672" s="2"/>
      <c r="C1672" s="2"/>
      <c r="D1672" s="2" t="s">
        <v>6443</v>
      </c>
      <c r="E1672" s="2" t="s">
        <v>5847</v>
      </c>
      <c r="F1672" s="2" t="s">
        <v>6130</v>
      </c>
      <c r="G1672" s="2" t="s">
        <v>6131</v>
      </c>
      <c r="H1672" s="5" t="s">
        <v>344</v>
      </c>
    </row>
    <row r="1673" spans="1:8" hidden="1" x14ac:dyDescent="0.35">
      <c r="A1673" s="153" t="s">
        <v>3533</v>
      </c>
      <c r="B1673" s="2"/>
      <c r="C1673" s="2"/>
      <c r="D1673" s="2" t="s">
        <v>6443</v>
      </c>
      <c r="E1673" s="2" t="s">
        <v>5847</v>
      </c>
      <c r="F1673" s="2" t="s">
        <v>6130</v>
      </c>
      <c r="G1673" s="2" t="s">
        <v>6131</v>
      </c>
      <c r="H1673" s="5" t="s">
        <v>346</v>
      </c>
    </row>
    <row r="1674" spans="1:8" ht="29" hidden="1" x14ac:dyDescent="0.35">
      <c r="A1674" s="148" t="s">
        <v>3533</v>
      </c>
      <c r="B1674" s="2"/>
      <c r="C1674" s="2"/>
      <c r="D1674" s="2" t="s">
        <v>6443</v>
      </c>
      <c r="E1674" s="2" t="s">
        <v>5847</v>
      </c>
      <c r="F1674" s="2" t="s">
        <v>6130</v>
      </c>
      <c r="G1674" s="2" t="s">
        <v>6131</v>
      </c>
      <c r="H1674" s="5" t="s">
        <v>348</v>
      </c>
    </row>
    <row r="1675" spans="1:8" ht="29" hidden="1" x14ac:dyDescent="0.35">
      <c r="A1675" s="153" t="s">
        <v>3533</v>
      </c>
      <c r="B1675" s="2"/>
      <c r="C1675" s="2"/>
      <c r="D1675" s="2" t="s">
        <v>6443</v>
      </c>
      <c r="E1675" s="2" t="s">
        <v>5847</v>
      </c>
      <c r="F1675" s="2" t="s">
        <v>6130</v>
      </c>
      <c r="G1675" s="2" t="s">
        <v>6131</v>
      </c>
      <c r="H1675" s="5" t="s">
        <v>350</v>
      </c>
    </row>
    <row r="1676" spans="1:8" ht="29" hidden="1" x14ac:dyDescent="0.35">
      <c r="A1676" s="135" t="s">
        <v>3308</v>
      </c>
      <c r="B1676" s="2"/>
      <c r="C1676" s="2"/>
      <c r="D1676" s="2" t="s">
        <v>6443</v>
      </c>
      <c r="E1676" s="2" t="s">
        <v>5847</v>
      </c>
      <c r="F1676" s="2" t="s">
        <v>6008</v>
      </c>
      <c r="G1676" s="2" t="s">
        <v>5846</v>
      </c>
      <c r="H1676" s="5" t="s">
        <v>3145</v>
      </c>
    </row>
    <row r="1677" spans="1:8" hidden="1" x14ac:dyDescent="0.35">
      <c r="A1677" s="136" t="s">
        <v>3332</v>
      </c>
      <c r="B1677" s="2"/>
      <c r="C1677" s="2"/>
      <c r="D1677" s="2" t="s">
        <v>6443</v>
      </c>
      <c r="E1677" s="161" t="s">
        <v>5847</v>
      </c>
      <c r="F1677" s="161" t="s">
        <v>5956</v>
      </c>
      <c r="G1677" s="2" t="s">
        <v>5935</v>
      </c>
      <c r="H1677" s="5" t="s">
        <v>2832</v>
      </c>
    </row>
    <row r="1678" spans="1:8" hidden="1" x14ac:dyDescent="0.35">
      <c r="A1678" s="135" t="s">
        <v>3332</v>
      </c>
      <c r="B1678" s="2"/>
      <c r="C1678" s="2"/>
      <c r="D1678" s="2" t="s">
        <v>6443</v>
      </c>
      <c r="E1678" s="2" t="s">
        <v>5847</v>
      </c>
      <c r="F1678" s="2" t="s">
        <v>5954</v>
      </c>
      <c r="G1678" s="2"/>
      <c r="H1678" s="5" t="s">
        <v>2734</v>
      </c>
    </row>
    <row r="1679" spans="1:8" hidden="1" x14ac:dyDescent="0.35">
      <c r="A1679" s="136" t="s">
        <v>3332</v>
      </c>
      <c r="B1679" s="2"/>
      <c r="C1679" s="2"/>
      <c r="D1679" s="2" t="s">
        <v>6443</v>
      </c>
      <c r="E1679" s="161" t="s">
        <v>5847</v>
      </c>
      <c r="F1679" s="161" t="s">
        <v>5848</v>
      </c>
      <c r="G1679" s="2"/>
      <c r="H1679" s="5" t="s">
        <v>178</v>
      </c>
    </row>
    <row r="1680" spans="1:8" hidden="1" x14ac:dyDescent="0.35">
      <c r="A1680" s="135" t="s">
        <v>3332</v>
      </c>
      <c r="B1680" s="2"/>
      <c r="C1680" s="2"/>
      <c r="D1680" s="2" t="s">
        <v>6443</v>
      </c>
      <c r="E1680" s="2" t="s">
        <v>5847</v>
      </c>
      <c r="F1680" s="2" t="s">
        <v>5825</v>
      </c>
      <c r="G1680" s="2" t="s">
        <v>5826</v>
      </c>
      <c r="H1680" s="5" t="s">
        <v>1854</v>
      </c>
    </row>
    <row r="1681" spans="1:8" hidden="1" x14ac:dyDescent="0.35">
      <c r="A1681" s="136" t="s">
        <v>3332</v>
      </c>
      <c r="B1681" s="2"/>
      <c r="C1681" s="2"/>
      <c r="D1681" s="2" t="s">
        <v>6443</v>
      </c>
      <c r="E1681" s="161" t="s">
        <v>5847</v>
      </c>
      <c r="F1681" s="161" t="s">
        <v>5825</v>
      </c>
      <c r="G1681" s="2" t="s">
        <v>5827</v>
      </c>
      <c r="H1681" s="5" t="s">
        <v>1855</v>
      </c>
    </row>
    <row r="1682" spans="1:8" hidden="1" x14ac:dyDescent="0.35">
      <c r="A1682" s="135" t="s">
        <v>3332</v>
      </c>
      <c r="B1682" s="2"/>
      <c r="C1682" s="2"/>
      <c r="D1682" s="2" t="s">
        <v>6443</v>
      </c>
      <c r="E1682" s="2" t="s">
        <v>5847</v>
      </c>
      <c r="F1682" s="2" t="s">
        <v>5825</v>
      </c>
      <c r="G1682" s="2" t="s">
        <v>5826</v>
      </c>
      <c r="H1682" s="5" t="s">
        <v>1856</v>
      </c>
    </row>
    <row r="1683" spans="1:8" hidden="1" x14ac:dyDescent="0.35">
      <c r="A1683" s="135" t="s">
        <v>3332</v>
      </c>
      <c r="B1683" s="2"/>
      <c r="C1683" s="2"/>
      <c r="D1683" s="2" t="s">
        <v>6443</v>
      </c>
      <c r="E1683" s="2" t="s">
        <v>5847</v>
      </c>
      <c r="F1683" s="2" t="s">
        <v>5825</v>
      </c>
      <c r="G1683" s="2" t="s">
        <v>5826</v>
      </c>
      <c r="H1683" s="5" t="s">
        <v>1946</v>
      </c>
    </row>
    <row r="1684" spans="1:8" hidden="1" x14ac:dyDescent="0.35">
      <c r="A1684" s="135" t="s">
        <v>3920</v>
      </c>
      <c r="B1684" s="2"/>
      <c r="C1684" s="2"/>
      <c r="D1684" s="2" t="s">
        <v>6443</v>
      </c>
      <c r="E1684" s="2" t="s">
        <v>5847</v>
      </c>
      <c r="F1684" s="2" t="s">
        <v>6284</v>
      </c>
      <c r="G1684" s="2"/>
      <c r="H1684" s="5" t="s">
        <v>2415</v>
      </c>
    </row>
    <row r="1685" spans="1:8" hidden="1" x14ac:dyDescent="0.35">
      <c r="A1685" s="136" t="s">
        <v>3332</v>
      </c>
      <c r="B1685" s="2"/>
      <c r="C1685" s="2"/>
      <c r="D1685" s="2" t="s">
        <v>6443</v>
      </c>
      <c r="E1685" s="161" t="s">
        <v>5847</v>
      </c>
      <c r="F1685" s="161" t="s">
        <v>5970</v>
      </c>
      <c r="G1685" s="2"/>
      <c r="H1685" s="5" t="s">
        <v>3098</v>
      </c>
    </row>
    <row r="1686" spans="1:8" hidden="1" x14ac:dyDescent="0.35">
      <c r="A1686" s="136" t="s">
        <v>3332</v>
      </c>
      <c r="B1686" s="2"/>
      <c r="C1686" s="2"/>
      <c r="D1686" s="2" t="s">
        <v>6443</v>
      </c>
      <c r="E1686" s="161" t="s">
        <v>5847</v>
      </c>
      <c r="F1686" s="161" t="s">
        <v>5970</v>
      </c>
      <c r="G1686" s="2" t="s">
        <v>5972</v>
      </c>
      <c r="H1686" s="5" t="s">
        <v>2945</v>
      </c>
    </row>
    <row r="1687" spans="1:8" hidden="1" x14ac:dyDescent="0.35">
      <c r="A1687" s="136" t="s">
        <v>3332</v>
      </c>
      <c r="B1687" s="2"/>
      <c r="C1687" s="2"/>
      <c r="D1687" s="2" t="s">
        <v>6443</v>
      </c>
      <c r="E1687" s="161" t="s">
        <v>5847</v>
      </c>
      <c r="F1687" s="161" t="s">
        <v>5866</v>
      </c>
      <c r="G1687" s="2" t="s">
        <v>5846</v>
      </c>
      <c r="H1687" s="5" t="s">
        <v>1923</v>
      </c>
    </row>
    <row r="1688" spans="1:8" hidden="1" x14ac:dyDescent="0.35">
      <c r="A1688" s="136" t="s">
        <v>3851</v>
      </c>
      <c r="B1688" s="2"/>
      <c r="C1688" s="2"/>
      <c r="D1688" s="2" t="s">
        <v>6443</v>
      </c>
      <c r="E1688" s="2" t="s">
        <v>5847</v>
      </c>
      <c r="F1688" s="2" t="s">
        <v>5882</v>
      </c>
      <c r="G1688" s="2" t="s">
        <v>5991</v>
      </c>
      <c r="H1688" s="5" t="s">
        <v>3149</v>
      </c>
    </row>
    <row r="1689" spans="1:8" ht="29" hidden="1" x14ac:dyDescent="0.35">
      <c r="A1689" s="136" t="s">
        <v>3920</v>
      </c>
      <c r="B1689" s="2"/>
      <c r="C1689" s="2"/>
      <c r="D1689" s="2" t="s">
        <v>6443</v>
      </c>
      <c r="E1689" s="2" t="s">
        <v>5847</v>
      </c>
      <c r="F1689" s="2" t="s">
        <v>5882</v>
      </c>
      <c r="G1689" s="2" t="s">
        <v>5994</v>
      </c>
      <c r="H1689" s="5" t="s">
        <v>2793</v>
      </c>
    </row>
    <row r="1690" spans="1:8" hidden="1" x14ac:dyDescent="0.35">
      <c r="A1690" s="136" t="s">
        <v>3332</v>
      </c>
      <c r="B1690" s="2"/>
      <c r="C1690" s="2"/>
      <c r="D1690" s="2" t="s">
        <v>6443</v>
      </c>
      <c r="E1690" s="161" t="s">
        <v>5847</v>
      </c>
      <c r="F1690" s="161" t="s">
        <v>5855</v>
      </c>
      <c r="G1690" s="2"/>
      <c r="H1690" s="5" t="s">
        <v>132</v>
      </c>
    </row>
    <row r="1691" spans="1:8" hidden="1" x14ac:dyDescent="0.35">
      <c r="A1691" s="136" t="s">
        <v>3332</v>
      </c>
      <c r="B1691" s="2"/>
      <c r="C1691" s="2"/>
      <c r="D1691" s="2" t="s">
        <v>6443</v>
      </c>
      <c r="E1691" s="161" t="s">
        <v>5847</v>
      </c>
      <c r="F1691" s="161" t="s">
        <v>5855</v>
      </c>
      <c r="G1691" s="2"/>
      <c r="H1691" s="5" t="s">
        <v>2840</v>
      </c>
    </row>
    <row r="1692" spans="1:8" ht="29" hidden="1" x14ac:dyDescent="0.35">
      <c r="A1692" s="135" t="s">
        <v>3954</v>
      </c>
      <c r="B1692" s="2"/>
      <c r="C1692" s="2"/>
      <c r="D1692" s="2" t="s">
        <v>6443</v>
      </c>
      <c r="E1692" s="2" t="s">
        <v>6290</v>
      </c>
      <c r="F1692" s="2" t="s">
        <v>5874</v>
      </c>
      <c r="G1692" s="2" t="s">
        <v>6602</v>
      </c>
      <c r="H1692" s="5" t="s">
        <v>888</v>
      </c>
    </row>
    <row r="1693" spans="1:8" ht="29" hidden="1" x14ac:dyDescent="0.35">
      <c r="A1693" s="135" t="s">
        <v>3308</v>
      </c>
      <c r="B1693" s="2"/>
      <c r="C1693" s="2"/>
      <c r="D1693" s="2" t="s">
        <v>6443</v>
      </c>
      <c r="E1693" s="2" t="s">
        <v>6290</v>
      </c>
      <c r="F1693" s="2" t="s">
        <v>6444</v>
      </c>
      <c r="G1693" s="2" t="s">
        <v>6445</v>
      </c>
      <c r="H1693" s="5" t="s">
        <v>2548</v>
      </c>
    </row>
    <row r="1694" spans="1:8" ht="29" hidden="1" x14ac:dyDescent="0.35">
      <c r="A1694" s="136" t="s">
        <v>3343</v>
      </c>
      <c r="B1694" s="2"/>
      <c r="C1694" s="2"/>
      <c r="D1694" s="2" t="s">
        <v>6443</v>
      </c>
      <c r="E1694" s="161" t="s">
        <v>5927</v>
      </c>
      <c r="F1694" s="161" t="s">
        <v>5939</v>
      </c>
      <c r="G1694" s="2" t="s">
        <v>5994</v>
      </c>
      <c r="H1694" s="5" t="s">
        <v>2027</v>
      </c>
    </row>
    <row r="1695" spans="1:8" ht="29" hidden="1" x14ac:dyDescent="0.35">
      <c r="A1695" s="135" t="s">
        <v>3895</v>
      </c>
      <c r="B1695" s="2"/>
      <c r="C1695" s="2"/>
      <c r="D1695" s="2" t="s">
        <v>6443</v>
      </c>
      <c r="E1695" s="2" t="s">
        <v>5927</v>
      </c>
      <c r="F1695" s="2" t="s">
        <v>5804</v>
      </c>
      <c r="G1695" s="2" t="s">
        <v>6478</v>
      </c>
      <c r="H1695" s="5" t="s">
        <v>7448</v>
      </c>
    </row>
    <row r="1696" spans="1:8" ht="29" hidden="1" x14ac:dyDescent="0.35">
      <c r="A1696" s="136" t="s">
        <v>3895</v>
      </c>
      <c r="B1696" s="2"/>
      <c r="C1696" s="2"/>
      <c r="D1696" s="2" t="s">
        <v>6443</v>
      </c>
      <c r="E1696" s="2" t="s">
        <v>5927</v>
      </c>
      <c r="F1696" s="2" t="s">
        <v>5804</v>
      </c>
      <c r="G1696" s="2" t="s">
        <v>6030</v>
      </c>
      <c r="H1696" s="5" t="s">
        <v>7449</v>
      </c>
    </row>
    <row r="1697" spans="1:8" ht="29" hidden="1" x14ac:dyDescent="0.35">
      <c r="A1697" s="135" t="s">
        <v>3895</v>
      </c>
      <c r="B1697" s="2"/>
      <c r="C1697" s="2"/>
      <c r="D1697" s="2" t="s">
        <v>6443</v>
      </c>
      <c r="E1697" s="2" t="s">
        <v>5927</v>
      </c>
      <c r="F1697" s="2" t="s">
        <v>5804</v>
      </c>
      <c r="G1697" s="2" t="s">
        <v>6049</v>
      </c>
      <c r="H1697" s="5" t="s">
        <v>7450</v>
      </c>
    </row>
    <row r="1698" spans="1:8" hidden="1" x14ac:dyDescent="0.35">
      <c r="A1698" s="136" t="s">
        <v>3308</v>
      </c>
      <c r="B1698" s="2"/>
      <c r="C1698" s="2"/>
      <c r="D1698" s="2" t="s">
        <v>6443</v>
      </c>
      <c r="E1698" s="2" t="s">
        <v>6006</v>
      </c>
      <c r="F1698" s="2" t="s">
        <v>6435</v>
      </c>
      <c r="G1698" s="2"/>
      <c r="H1698" s="5" t="s">
        <v>1383</v>
      </c>
    </row>
    <row r="1699" spans="1:8" ht="29" hidden="1" x14ac:dyDescent="0.35">
      <c r="A1699" s="135" t="s">
        <v>3803</v>
      </c>
      <c r="B1699" s="2"/>
      <c r="C1699" s="2"/>
      <c r="D1699" s="2" t="s">
        <v>6443</v>
      </c>
      <c r="E1699" s="2" t="s">
        <v>5967</v>
      </c>
      <c r="F1699" s="2" t="s">
        <v>6365</v>
      </c>
      <c r="G1699" s="2" t="s">
        <v>5960</v>
      </c>
      <c r="H1699" s="5" t="s">
        <v>2759</v>
      </c>
    </row>
    <row r="1700" spans="1:8" hidden="1" x14ac:dyDescent="0.35">
      <c r="A1700" s="136" t="s">
        <v>3803</v>
      </c>
      <c r="B1700" s="2"/>
      <c r="C1700" s="2"/>
      <c r="D1700" s="2" t="s">
        <v>6443</v>
      </c>
      <c r="E1700" s="2" t="s">
        <v>5967</v>
      </c>
      <c r="F1700" s="2" t="s">
        <v>5928</v>
      </c>
      <c r="G1700" s="2" t="s">
        <v>6299</v>
      </c>
      <c r="H1700" s="5" t="s">
        <v>2751</v>
      </c>
    </row>
    <row r="1701" spans="1:8" hidden="1" x14ac:dyDescent="0.35">
      <c r="A1701" s="135" t="s">
        <v>3803</v>
      </c>
      <c r="B1701" s="2"/>
      <c r="C1701" s="2"/>
      <c r="D1701" s="2" t="s">
        <v>6443</v>
      </c>
      <c r="E1701" s="2" t="s">
        <v>5967</v>
      </c>
      <c r="F1701" s="2" t="s">
        <v>5928</v>
      </c>
      <c r="G1701" s="2" t="s">
        <v>6301</v>
      </c>
      <c r="H1701" s="5" t="s">
        <v>2356</v>
      </c>
    </row>
    <row r="1702" spans="1:8" hidden="1" x14ac:dyDescent="0.35">
      <c r="A1702" s="136" t="s">
        <v>3803</v>
      </c>
      <c r="B1702" s="2"/>
      <c r="C1702" s="2"/>
      <c r="D1702" s="2" t="s">
        <v>6443</v>
      </c>
      <c r="E1702" s="2" t="s">
        <v>5967</v>
      </c>
      <c r="F1702" s="2" t="s">
        <v>5928</v>
      </c>
      <c r="G1702" s="2" t="s">
        <v>6301</v>
      </c>
      <c r="H1702" s="5" t="s">
        <v>2518</v>
      </c>
    </row>
    <row r="1703" spans="1:8" hidden="1" x14ac:dyDescent="0.35">
      <c r="A1703" s="135" t="s">
        <v>3803</v>
      </c>
      <c r="B1703" s="2"/>
      <c r="C1703" s="2"/>
      <c r="D1703" s="2" t="s">
        <v>6443</v>
      </c>
      <c r="E1703" s="2" t="s">
        <v>5967</v>
      </c>
      <c r="F1703" s="2" t="s">
        <v>5928</v>
      </c>
      <c r="G1703" s="2" t="s">
        <v>5996</v>
      </c>
      <c r="H1703" s="5" t="s">
        <v>2803</v>
      </c>
    </row>
    <row r="1704" spans="1:8" hidden="1" x14ac:dyDescent="0.35">
      <c r="A1704" s="136" t="s">
        <v>3803</v>
      </c>
      <c r="B1704" s="2"/>
      <c r="C1704" s="2"/>
      <c r="D1704" s="2" t="s">
        <v>6443</v>
      </c>
      <c r="E1704" s="2" t="s">
        <v>5967</v>
      </c>
      <c r="F1704" s="2" t="s">
        <v>5928</v>
      </c>
      <c r="G1704" s="2" t="s">
        <v>5995</v>
      </c>
      <c r="H1704" s="5" t="s">
        <v>2804</v>
      </c>
    </row>
    <row r="1705" spans="1:8" hidden="1" x14ac:dyDescent="0.35">
      <c r="A1705" s="135" t="s">
        <v>3803</v>
      </c>
      <c r="B1705" s="2"/>
      <c r="C1705" s="2"/>
      <c r="D1705" s="2" t="s">
        <v>6443</v>
      </c>
      <c r="E1705" s="2" t="s">
        <v>5967</v>
      </c>
      <c r="F1705" s="2" t="s">
        <v>5928</v>
      </c>
      <c r="G1705" s="2" t="s">
        <v>6337</v>
      </c>
      <c r="H1705" s="5" t="s">
        <v>2904</v>
      </c>
    </row>
    <row r="1706" spans="1:8" ht="29" hidden="1" x14ac:dyDescent="0.35">
      <c r="A1706" s="136" t="s">
        <v>3803</v>
      </c>
      <c r="B1706" s="2"/>
      <c r="C1706" s="2"/>
      <c r="D1706" s="2" t="s">
        <v>6443</v>
      </c>
      <c r="E1706" s="2" t="s">
        <v>5967</v>
      </c>
      <c r="F1706" s="2" t="s">
        <v>5928</v>
      </c>
      <c r="G1706" s="2" t="s">
        <v>6344</v>
      </c>
      <c r="H1706" s="5" t="s">
        <v>2348</v>
      </c>
    </row>
    <row r="1707" spans="1:8" ht="29" hidden="1" x14ac:dyDescent="0.35">
      <c r="A1707" s="135" t="s">
        <v>3803</v>
      </c>
      <c r="B1707" s="2"/>
      <c r="C1707" s="2"/>
      <c r="D1707" s="2" t="s">
        <v>6443</v>
      </c>
      <c r="E1707" s="2" t="s">
        <v>5967</v>
      </c>
      <c r="F1707" s="2" t="s">
        <v>5928</v>
      </c>
      <c r="G1707" s="2" t="s">
        <v>6341</v>
      </c>
      <c r="H1707" s="5" t="s">
        <v>2913</v>
      </c>
    </row>
    <row r="1708" spans="1:8" hidden="1" x14ac:dyDescent="0.35">
      <c r="A1708" s="136" t="s">
        <v>3803</v>
      </c>
      <c r="B1708" s="2"/>
      <c r="C1708" s="2"/>
      <c r="D1708" s="2" t="s">
        <v>6443</v>
      </c>
      <c r="E1708" s="2" t="s">
        <v>5967</v>
      </c>
      <c r="F1708" s="2" t="s">
        <v>5928</v>
      </c>
      <c r="G1708" s="2" t="s">
        <v>6341</v>
      </c>
      <c r="H1708" s="5" t="s">
        <v>2832</v>
      </c>
    </row>
    <row r="1709" spans="1:8" ht="58" hidden="1" x14ac:dyDescent="0.35">
      <c r="A1709" s="136" t="s">
        <v>3803</v>
      </c>
      <c r="B1709" s="2"/>
      <c r="C1709" s="2"/>
      <c r="D1709" s="2" t="s">
        <v>6443</v>
      </c>
      <c r="E1709" s="2" t="s">
        <v>5967</v>
      </c>
      <c r="F1709" s="2" t="s">
        <v>5928</v>
      </c>
      <c r="G1709" s="2" t="s">
        <v>6351</v>
      </c>
      <c r="H1709" s="5" t="s">
        <v>2556</v>
      </c>
    </row>
    <row r="1710" spans="1:8" hidden="1" x14ac:dyDescent="0.35">
      <c r="A1710" s="136" t="s">
        <v>3803</v>
      </c>
      <c r="B1710" s="100"/>
      <c r="C1710" s="2"/>
      <c r="D1710" s="2" t="s">
        <v>6443</v>
      </c>
      <c r="E1710" s="2" t="s">
        <v>5967</v>
      </c>
      <c r="F1710" s="2" t="s">
        <v>5928</v>
      </c>
      <c r="G1710" s="2" t="s">
        <v>6363</v>
      </c>
      <c r="H1710" s="5" t="s">
        <v>2677</v>
      </c>
    </row>
    <row r="1711" spans="1:8" hidden="1" x14ac:dyDescent="0.35">
      <c r="A1711" s="136" t="s">
        <v>3803</v>
      </c>
      <c r="B1711" s="100"/>
      <c r="C1711" s="2"/>
      <c r="D1711" s="2" t="s">
        <v>6443</v>
      </c>
      <c r="E1711" s="2" t="s">
        <v>5967</v>
      </c>
      <c r="F1711" s="2" t="s">
        <v>5928</v>
      </c>
      <c r="G1711" s="2" t="s">
        <v>6369</v>
      </c>
      <c r="H1711" s="5" t="s">
        <v>7368</v>
      </c>
    </row>
    <row r="1712" spans="1:8" hidden="1" x14ac:dyDescent="0.35">
      <c r="A1712" s="136" t="s">
        <v>3308</v>
      </c>
      <c r="B1712" s="100"/>
      <c r="C1712" s="2"/>
      <c r="D1712" s="2" t="s">
        <v>6443</v>
      </c>
      <c r="E1712" s="2" t="s">
        <v>5967</v>
      </c>
      <c r="F1712" s="2" t="s">
        <v>5928</v>
      </c>
      <c r="G1712" s="2" t="s">
        <v>6369</v>
      </c>
      <c r="H1712" s="5" t="s">
        <v>7436</v>
      </c>
    </row>
    <row r="1713" spans="1:8" ht="29" hidden="1" x14ac:dyDescent="0.35">
      <c r="A1713" s="136" t="s">
        <v>3803</v>
      </c>
      <c r="B1713" s="100"/>
      <c r="C1713" s="2"/>
      <c r="D1713" s="2" t="s">
        <v>6443</v>
      </c>
      <c r="E1713" s="2" t="s">
        <v>5967</v>
      </c>
      <c r="F1713" s="2" t="s">
        <v>6293</v>
      </c>
      <c r="G1713" s="2" t="s">
        <v>6294</v>
      </c>
      <c r="H1713" s="5" t="s">
        <v>2585</v>
      </c>
    </row>
    <row r="1714" spans="1:8" hidden="1" x14ac:dyDescent="0.35">
      <c r="A1714" s="135" t="s">
        <v>3803</v>
      </c>
      <c r="B1714" s="100"/>
      <c r="C1714" s="2"/>
      <c r="D1714" s="2" t="s">
        <v>6443</v>
      </c>
      <c r="E1714" s="2" t="s">
        <v>5967</v>
      </c>
      <c r="F1714" s="2" t="s">
        <v>6366</v>
      </c>
      <c r="G1714" s="2"/>
      <c r="H1714" s="5" t="s">
        <v>2765</v>
      </c>
    </row>
    <row r="1715" spans="1:8" hidden="1" x14ac:dyDescent="0.35">
      <c r="A1715" s="135" t="s">
        <v>3803</v>
      </c>
      <c r="B1715" s="100"/>
      <c r="C1715" s="2"/>
      <c r="D1715" s="2" t="s">
        <v>6443</v>
      </c>
      <c r="E1715" s="2" t="s">
        <v>5967</v>
      </c>
      <c r="F1715" s="2" t="s">
        <v>5968</v>
      </c>
      <c r="G1715" s="2" t="s">
        <v>5939</v>
      </c>
      <c r="H1715" s="5" t="s">
        <v>1929</v>
      </c>
    </row>
    <row r="1716" spans="1:8" hidden="1" x14ac:dyDescent="0.35">
      <c r="A1716" s="136" t="s">
        <v>3803</v>
      </c>
      <c r="B1716" s="100"/>
      <c r="C1716" s="2"/>
      <c r="D1716" s="2" t="s">
        <v>6443</v>
      </c>
      <c r="E1716" s="2" t="s">
        <v>5967</v>
      </c>
      <c r="F1716" s="2" t="s">
        <v>5968</v>
      </c>
      <c r="G1716" s="2" t="s">
        <v>6335</v>
      </c>
      <c r="H1716" s="5" t="s">
        <v>1930</v>
      </c>
    </row>
    <row r="1717" spans="1:8" ht="29" hidden="1" x14ac:dyDescent="0.35">
      <c r="A1717" s="135" t="s">
        <v>3803</v>
      </c>
      <c r="B1717" s="100"/>
      <c r="C1717" s="2"/>
      <c r="D1717" s="2" t="s">
        <v>6443</v>
      </c>
      <c r="E1717" s="2" t="s">
        <v>5967</v>
      </c>
      <c r="F1717" s="2" t="s">
        <v>5968</v>
      </c>
      <c r="G1717" s="2" t="s">
        <v>5769</v>
      </c>
      <c r="H1717" s="5" t="s">
        <v>1931</v>
      </c>
    </row>
    <row r="1718" spans="1:8" hidden="1" x14ac:dyDescent="0.35">
      <c r="A1718" s="135" t="s">
        <v>3803</v>
      </c>
      <c r="B1718" s="100"/>
      <c r="C1718" s="2"/>
      <c r="D1718" s="2" t="s">
        <v>6443</v>
      </c>
      <c r="E1718" s="2" t="s">
        <v>5967</v>
      </c>
      <c r="F1718" s="2" t="s">
        <v>5968</v>
      </c>
      <c r="G1718" s="2" t="s">
        <v>6030</v>
      </c>
      <c r="H1718" s="5" t="s">
        <v>2888</v>
      </c>
    </row>
    <row r="1719" spans="1:8" ht="29" hidden="1" x14ac:dyDescent="0.35">
      <c r="A1719" s="136" t="s">
        <v>3803</v>
      </c>
      <c r="B1719" s="100"/>
      <c r="C1719" s="2"/>
      <c r="D1719" s="2" t="s">
        <v>6443</v>
      </c>
      <c r="E1719" s="2" t="s">
        <v>5967</v>
      </c>
      <c r="F1719" s="2" t="s">
        <v>6304</v>
      </c>
      <c r="G1719" s="2" t="s">
        <v>6352</v>
      </c>
      <c r="H1719" s="5" t="s">
        <v>2576</v>
      </c>
    </row>
    <row r="1720" spans="1:8" ht="29" hidden="1" x14ac:dyDescent="0.35">
      <c r="A1720" s="136" t="s">
        <v>3803</v>
      </c>
      <c r="B1720" s="100"/>
      <c r="C1720" s="2"/>
      <c r="D1720" s="2" t="s">
        <v>6443</v>
      </c>
      <c r="E1720" s="2" t="s">
        <v>5967</v>
      </c>
      <c r="F1720" s="2" t="s">
        <v>6314</v>
      </c>
      <c r="G1720" s="2" t="s">
        <v>5920</v>
      </c>
      <c r="H1720" s="5" t="s">
        <v>2769</v>
      </c>
    </row>
    <row r="1721" spans="1:8" ht="29" hidden="1" x14ac:dyDescent="0.35">
      <c r="A1721" s="135" t="s">
        <v>3803</v>
      </c>
      <c r="B1721" s="100"/>
      <c r="C1721" s="2"/>
      <c r="D1721" s="2" t="s">
        <v>6443</v>
      </c>
      <c r="E1721" s="2" t="s">
        <v>5967</v>
      </c>
      <c r="F1721" s="2" t="s">
        <v>6314</v>
      </c>
      <c r="G1721" s="2" t="s">
        <v>5920</v>
      </c>
      <c r="H1721" s="5" t="s">
        <v>3045</v>
      </c>
    </row>
    <row r="1722" spans="1:8" ht="43.5" hidden="1" x14ac:dyDescent="0.35">
      <c r="A1722" s="135" t="s">
        <v>3803</v>
      </c>
      <c r="B1722" s="100"/>
      <c r="C1722" s="2"/>
      <c r="D1722" s="2" t="s">
        <v>6443</v>
      </c>
      <c r="E1722" s="2" t="s">
        <v>5967</v>
      </c>
      <c r="F1722" s="2" t="s">
        <v>6314</v>
      </c>
      <c r="G1722" s="2" t="s">
        <v>5920</v>
      </c>
      <c r="H1722" s="5" t="s">
        <v>2772</v>
      </c>
    </row>
    <row r="1723" spans="1:8" hidden="1" x14ac:dyDescent="0.35">
      <c r="A1723" s="135" t="s">
        <v>3308</v>
      </c>
      <c r="B1723" s="2"/>
      <c r="C1723" s="2"/>
      <c r="D1723" s="2" t="s">
        <v>6443</v>
      </c>
      <c r="E1723" s="2" t="s">
        <v>5967</v>
      </c>
      <c r="F1723" s="2" t="s">
        <v>6314</v>
      </c>
      <c r="G1723" s="2" t="s">
        <v>5935</v>
      </c>
      <c r="H1723" s="5" t="s">
        <v>2488</v>
      </c>
    </row>
    <row r="1724" spans="1:8" hidden="1" x14ac:dyDescent="0.35">
      <c r="A1724" s="136" t="s">
        <v>3803</v>
      </c>
      <c r="B1724" s="2"/>
      <c r="C1724" s="2"/>
      <c r="D1724" s="2" t="s">
        <v>6443</v>
      </c>
      <c r="E1724" s="2" t="s">
        <v>5967</v>
      </c>
      <c r="F1724" s="2" t="s">
        <v>6368</v>
      </c>
      <c r="G1724" s="2" t="s">
        <v>6024</v>
      </c>
      <c r="H1724" s="5" t="s">
        <v>2845</v>
      </c>
    </row>
    <row r="1725" spans="1:8" ht="29" hidden="1" x14ac:dyDescent="0.35">
      <c r="A1725" s="135" t="s">
        <v>3803</v>
      </c>
      <c r="B1725" s="2"/>
      <c r="C1725" s="2"/>
      <c r="D1725" s="2" t="s">
        <v>6443</v>
      </c>
      <c r="E1725" s="2" t="s">
        <v>5967</v>
      </c>
      <c r="F1725" s="2" t="s">
        <v>5853</v>
      </c>
      <c r="G1725" s="2" t="s">
        <v>5857</v>
      </c>
      <c r="H1725" s="5" t="s">
        <v>95</v>
      </c>
    </row>
    <row r="1726" spans="1:8" ht="29" hidden="1" x14ac:dyDescent="0.35">
      <c r="A1726" s="135" t="s">
        <v>3803</v>
      </c>
      <c r="B1726" s="2"/>
      <c r="C1726" s="2"/>
      <c r="D1726" s="2" t="s">
        <v>6443</v>
      </c>
      <c r="E1726" s="2" t="s">
        <v>5967</v>
      </c>
      <c r="F1726" s="2" t="s">
        <v>5853</v>
      </c>
      <c r="G1726" s="2" t="s">
        <v>5857</v>
      </c>
      <c r="H1726" s="5" t="s">
        <v>3005</v>
      </c>
    </row>
    <row r="1727" spans="1:8" ht="43.5" hidden="1" x14ac:dyDescent="0.35">
      <c r="A1727" s="136" t="s">
        <v>3803</v>
      </c>
      <c r="B1727" s="2"/>
      <c r="C1727" s="2"/>
      <c r="D1727" s="2" t="s">
        <v>6443</v>
      </c>
      <c r="E1727" s="2" t="s">
        <v>5967</v>
      </c>
      <c r="F1727" s="2" t="s">
        <v>6151</v>
      </c>
      <c r="G1727" s="2" t="s">
        <v>5857</v>
      </c>
      <c r="H1727" s="5" t="s">
        <v>1287</v>
      </c>
    </row>
    <row r="1728" spans="1:8" hidden="1" x14ac:dyDescent="0.35">
      <c r="A1728" s="135" t="s">
        <v>3803</v>
      </c>
      <c r="B1728" s="2"/>
      <c r="C1728" s="2"/>
      <c r="D1728" s="2" t="s">
        <v>6443</v>
      </c>
      <c r="E1728" s="2" t="s">
        <v>5967</v>
      </c>
      <c r="F1728" s="2" t="s">
        <v>5763</v>
      </c>
      <c r="G1728" s="2" t="s">
        <v>5772</v>
      </c>
      <c r="H1728" s="5" t="s">
        <v>679</v>
      </c>
    </row>
    <row r="1729" spans="1:8" ht="29" hidden="1" x14ac:dyDescent="0.35">
      <c r="A1729" s="136" t="s">
        <v>3803</v>
      </c>
      <c r="B1729" s="2"/>
      <c r="C1729" s="2"/>
      <c r="D1729" s="2" t="s">
        <v>6443</v>
      </c>
      <c r="E1729" s="2" t="s">
        <v>5967</v>
      </c>
      <c r="F1729" s="2" t="s">
        <v>5935</v>
      </c>
      <c r="G1729" s="2" t="s">
        <v>6351</v>
      </c>
      <c r="H1729" s="5" t="s">
        <v>2573</v>
      </c>
    </row>
    <row r="1730" spans="1:8" ht="43.5" hidden="1" x14ac:dyDescent="0.35">
      <c r="A1730" s="136" t="s">
        <v>3803</v>
      </c>
      <c r="B1730" s="2"/>
      <c r="C1730" s="2"/>
      <c r="D1730" s="2" t="s">
        <v>6443</v>
      </c>
      <c r="E1730" s="2" t="s">
        <v>5967</v>
      </c>
      <c r="F1730" s="2" t="s">
        <v>5935</v>
      </c>
      <c r="G1730" s="2" t="s">
        <v>5967</v>
      </c>
      <c r="H1730" s="5" t="s">
        <v>2682</v>
      </c>
    </row>
    <row r="1731" spans="1:8" ht="29" hidden="1" x14ac:dyDescent="0.35">
      <c r="A1731" s="136" t="s">
        <v>3803</v>
      </c>
      <c r="B1731" s="2"/>
      <c r="C1731" s="2"/>
      <c r="D1731" s="2" t="s">
        <v>6443</v>
      </c>
      <c r="E1731" s="2" t="s">
        <v>5967</v>
      </c>
      <c r="F1731" s="2" t="s">
        <v>5935</v>
      </c>
      <c r="G1731" s="2" t="s">
        <v>5970</v>
      </c>
      <c r="H1731" s="5" t="s">
        <v>7364</v>
      </c>
    </row>
    <row r="1732" spans="1:8" hidden="1" x14ac:dyDescent="0.35">
      <c r="A1732" s="135" t="s">
        <v>3308</v>
      </c>
      <c r="B1732" s="2"/>
      <c r="C1732" s="2"/>
      <c r="D1732" s="2" t="s">
        <v>6443</v>
      </c>
      <c r="E1732" s="2" t="s">
        <v>5967</v>
      </c>
      <c r="F1732" s="2" t="s">
        <v>5935</v>
      </c>
      <c r="G1732" s="2" t="s">
        <v>5835</v>
      </c>
      <c r="H1732" s="5" t="s">
        <v>2484</v>
      </c>
    </row>
    <row r="1733" spans="1:8" hidden="1" x14ac:dyDescent="0.35">
      <c r="A1733" s="136" t="s">
        <v>3308</v>
      </c>
      <c r="B1733" s="2"/>
      <c r="C1733" s="2"/>
      <c r="D1733" s="2" t="s">
        <v>6443</v>
      </c>
      <c r="E1733" s="2" t="s">
        <v>5967</v>
      </c>
      <c r="F1733" s="2" t="s">
        <v>5935</v>
      </c>
      <c r="G1733" s="2" t="s">
        <v>5835</v>
      </c>
      <c r="H1733" s="5" t="s">
        <v>2485</v>
      </c>
    </row>
    <row r="1734" spans="1:8" ht="29" hidden="1" x14ac:dyDescent="0.35">
      <c r="A1734" s="136" t="s">
        <v>3803</v>
      </c>
      <c r="B1734" s="2"/>
      <c r="C1734" s="2"/>
      <c r="D1734" s="2" t="s">
        <v>6443</v>
      </c>
      <c r="E1734" s="2" t="s">
        <v>5967</v>
      </c>
      <c r="F1734" s="2" t="s">
        <v>6139</v>
      </c>
      <c r="G1734" s="2" t="s">
        <v>6006</v>
      </c>
      <c r="H1734" s="5" t="s">
        <v>7312</v>
      </c>
    </row>
    <row r="1735" spans="1:8" ht="29" hidden="1" x14ac:dyDescent="0.35">
      <c r="A1735" s="135" t="s">
        <v>3803</v>
      </c>
      <c r="B1735" s="2"/>
      <c r="C1735" s="2"/>
      <c r="D1735" s="2" t="s">
        <v>6443</v>
      </c>
      <c r="E1735" s="2" t="s">
        <v>5967</v>
      </c>
      <c r="F1735" s="2" t="s">
        <v>6139</v>
      </c>
      <c r="G1735" s="2" t="s">
        <v>6006</v>
      </c>
      <c r="H1735" s="5" t="s">
        <v>7313</v>
      </c>
    </row>
    <row r="1736" spans="1:8" ht="29" hidden="1" x14ac:dyDescent="0.35">
      <c r="A1736" s="136" t="s">
        <v>3803</v>
      </c>
      <c r="B1736" s="2"/>
      <c r="C1736" s="2"/>
      <c r="D1736" s="2" t="s">
        <v>6443</v>
      </c>
      <c r="E1736" s="2" t="s">
        <v>5967</v>
      </c>
      <c r="F1736" s="2" t="s">
        <v>6139</v>
      </c>
      <c r="G1736" s="2" t="s">
        <v>6006</v>
      </c>
      <c r="H1736" s="5" t="s">
        <v>7314</v>
      </c>
    </row>
    <row r="1737" spans="1:8" ht="29" hidden="1" x14ac:dyDescent="0.35">
      <c r="A1737" s="135" t="s">
        <v>3803</v>
      </c>
      <c r="B1737" s="2"/>
      <c r="C1737" s="2"/>
      <c r="D1737" s="2" t="s">
        <v>6443</v>
      </c>
      <c r="E1737" s="2" t="s">
        <v>5967</v>
      </c>
      <c r="F1737" s="2" t="s">
        <v>6139</v>
      </c>
      <c r="G1737" s="2" t="s">
        <v>6025</v>
      </c>
      <c r="H1737" s="5" t="s">
        <v>7315</v>
      </c>
    </row>
    <row r="1738" spans="1:8" ht="29" hidden="1" x14ac:dyDescent="0.35">
      <c r="A1738" s="136" t="s">
        <v>3803</v>
      </c>
      <c r="B1738" s="2"/>
      <c r="C1738" s="2"/>
      <c r="D1738" s="2" t="s">
        <v>6443</v>
      </c>
      <c r="E1738" s="2" t="s">
        <v>5967</v>
      </c>
      <c r="F1738" s="2" t="s">
        <v>6139</v>
      </c>
      <c r="G1738" s="2" t="s">
        <v>5874</v>
      </c>
      <c r="H1738" s="5" t="s">
        <v>7316</v>
      </c>
    </row>
    <row r="1739" spans="1:8" ht="29" hidden="1" x14ac:dyDescent="0.35">
      <c r="A1739" s="135" t="s">
        <v>3803</v>
      </c>
      <c r="B1739" s="2"/>
      <c r="C1739" s="2"/>
      <c r="D1739" s="2" t="s">
        <v>6443</v>
      </c>
      <c r="E1739" s="2" t="s">
        <v>5967</v>
      </c>
      <c r="F1739" s="2" t="s">
        <v>6139</v>
      </c>
      <c r="G1739" s="2" t="s">
        <v>5994</v>
      </c>
      <c r="H1739" s="5" t="s">
        <v>7317</v>
      </c>
    </row>
    <row r="1740" spans="1:8" ht="29" hidden="1" x14ac:dyDescent="0.35">
      <c r="A1740" s="136" t="s">
        <v>3803</v>
      </c>
      <c r="B1740" s="2"/>
      <c r="C1740" s="2"/>
      <c r="D1740" s="2" t="s">
        <v>6443</v>
      </c>
      <c r="E1740" s="2" t="s">
        <v>5967</v>
      </c>
      <c r="F1740" s="2" t="s">
        <v>6139</v>
      </c>
      <c r="G1740" s="2" t="s">
        <v>6029</v>
      </c>
      <c r="H1740" s="5" t="s">
        <v>7318</v>
      </c>
    </row>
    <row r="1741" spans="1:8" ht="29" hidden="1" x14ac:dyDescent="0.35">
      <c r="A1741" s="135" t="s">
        <v>3803</v>
      </c>
      <c r="B1741" s="2"/>
      <c r="C1741" s="2"/>
      <c r="D1741" s="2" t="s">
        <v>6443</v>
      </c>
      <c r="E1741" s="2" t="s">
        <v>5967</v>
      </c>
      <c r="F1741" s="2" t="s">
        <v>6139</v>
      </c>
      <c r="G1741" s="2" t="s">
        <v>5883</v>
      </c>
      <c r="H1741" s="5" t="s">
        <v>7319</v>
      </c>
    </row>
    <row r="1742" spans="1:8" ht="29" hidden="1" x14ac:dyDescent="0.35">
      <c r="A1742" s="136" t="s">
        <v>3803</v>
      </c>
      <c r="B1742" s="2"/>
      <c r="C1742" s="2"/>
      <c r="D1742" s="2" t="s">
        <v>6443</v>
      </c>
      <c r="E1742" s="2" t="s">
        <v>5967</v>
      </c>
      <c r="F1742" s="2" t="s">
        <v>6139</v>
      </c>
      <c r="G1742" s="2" t="s">
        <v>6286</v>
      </c>
      <c r="H1742" s="5" t="s">
        <v>7320</v>
      </c>
    </row>
    <row r="1743" spans="1:8" ht="29" hidden="1" x14ac:dyDescent="0.35">
      <c r="A1743" s="135" t="s">
        <v>3803</v>
      </c>
      <c r="B1743" s="2"/>
      <c r="C1743" s="2"/>
      <c r="D1743" s="2" t="s">
        <v>6443</v>
      </c>
      <c r="E1743" s="2" t="s">
        <v>5967</v>
      </c>
      <c r="F1743" s="2" t="s">
        <v>6139</v>
      </c>
      <c r="G1743" s="2" t="s">
        <v>6026</v>
      </c>
      <c r="H1743" s="5" t="s">
        <v>7321</v>
      </c>
    </row>
    <row r="1744" spans="1:8" ht="29" hidden="1" x14ac:dyDescent="0.35">
      <c r="A1744" s="136" t="s">
        <v>3803</v>
      </c>
      <c r="B1744" s="2"/>
      <c r="C1744" s="2"/>
      <c r="D1744" s="2" t="s">
        <v>6443</v>
      </c>
      <c r="E1744" s="2" t="s">
        <v>5967</v>
      </c>
      <c r="F1744" s="2" t="s">
        <v>6139</v>
      </c>
      <c r="G1744" s="2" t="s">
        <v>6027</v>
      </c>
      <c r="H1744" s="5" t="s">
        <v>7322</v>
      </c>
    </row>
    <row r="1745" spans="1:8" ht="29" hidden="1" x14ac:dyDescent="0.35">
      <c r="A1745" s="135" t="s">
        <v>3803</v>
      </c>
      <c r="B1745" s="2"/>
      <c r="C1745" s="2"/>
      <c r="D1745" s="2" t="s">
        <v>6443</v>
      </c>
      <c r="E1745" s="2" t="s">
        <v>5967</v>
      </c>
      <c r="F1745" s="2" t="s">
        <v>6139</v>
      </c>
      <c r="G1745" s="2" t="s">
        <v>6028</v>
      </c>
      <c r="H1745" s="5" t="s">
        <v>7323</v>
      </c>
    </row>
    <row r="1746" spans="1:8" ht="29" hidden="1" x14ac:dyDescent="0.35">
      <c r="A1746" s="136" t="s">
        <v>3803</v>
      </c>
      <c r="B1746" s="2"/>
      <c r="C1746" s="2"/>
      <c r="D1746" s="2" t="s">
        <v>6443</v>
      </c>
      <c r="E1746" s="2" t="s">
        <v>5967</v>
      </c>
      <c r="F1746" s="2" t="s">
        <v>6139</v>
      </c>
      <c r="G1746" s="2" t="s">
        <v>6287</v>
      </c>
      <c r="H1746" s="5" t="s">
        <v>7324</v>
      </c>
    </row>
    <row r="1747" spans="1:8" ht="29" hidden="1" x14ac:dyDescent="0.35">
      <c r="A1747" s="135" t="s">
        <v>3803</v>
      </c>
      <c r="B1747" s="2"/>
      <c r="C1747" s="2"/>
      <c r="D1747" s="2" t="s">
        <v>6443</v>
      </c>
      <c r="E1747" s="2" t="s">
        <v>5967</v>
      </c>
      <c r="F1747" s="2" t="s">
        <v>6139</v>
      </c>
      <c r="G1747" s="2" t="s">
        <v>6012</v>
      </c>
      <c r="H1747" s="5" t="s">
        <v>7325</v>
      </c>
    </row>
    <row r="1748" spans="1:8" ht="29" hidden="1" x14ac:dyDescent="0.35">
      <c r="A1748" s="136" t="s">
        <v>3803</v>
      </c>
      <c r="B1748" s="2"/>
      <c r="C1748" s="2"/>
      <c r="D1748" s="2" t="s">
        <v>6443</v>
      </c>
      <c r="E1748" s="2" t="s">
        <v>5967</v>
      </c>
      <c r="F1748" s="2" t="s">
        <v>6139</v>
      </c>
      <c r="G1748" s="2" t="s">
        <v>5991</v>
      </c>
      <c r="H1748" s="5" t="s">
        <v>7326</v>
      </c>
    </row>
    <row r="1749" spans="1:8" ht="29" hidden="1" x14ac:dyDescent="0.35">
      <c r="A1749" s="135" t="s">
        <v>3803</v>
      </c>
      <c r="B1749" s="2"/>
      <c r="C1749" s="2"/>
      <c r="D1749" s="2" t="s">
        <v>6443</v>
      </c>
      <c r="E1749" s="2" t="s">
        <v>5967</v>
      </c>
      <c r="F1749" s="2" t="s">
        <v>6139</v>
      </c>
      <c r="G1749" s="2"/>
      <c r="H1749" s="5" t="s">
        <v>743</v>
      </c>
    </row>
    <row r="1750" spans="1:8" ht="29" hidden="1" x14ac:dyDescent="0.35">
      <c r="A1750" s="136" t="s">
        <v>3803</v>
      </c>
      <c r="B1750" s="2"/>
      <c r="C1750" s="2"/>
      <c r="D1750" s="2" t="s">
        <v>6443</v>
      </c>
      <c r="E1750" s="2" t="s">
        <v>5967</v>
      </c>
      <c r="F1750" s="2" t="s">
        <v>6139</v>
      </c>
      <c r="G1750" s="2" t="s">
        <v>6310</v>
      </c>
      <c r="H1750" s="5" t="s">
        <v>7327</v>
      </c>
    </row>
    <row r="1751" spans="1:8" ht="29" hidden="1" x14ac:dyDescent="0.35">
      <c r="A1751" s="135" t="s">
        <v>3803</v>
      </c>
      <c r="B1751" s="2"/>
      <c r="C1751" s="2"/>
      <c r="D1751" s="2" t="s">
        <v>6443</v>
      </c>
      <c r="E1751" s="2" t="s">
        <v>5967</v>
      </c>
      <c r="F1751" s="2" t="s">
        <v>6139</v>
      </c>
      <c r="G1751" s="2" t="s">
        <v>6311</v>
      </c>
      <c r="H1751" s="5" t="s">
        <v>7328</v>
      </c>
    </row>
    <row r="1752" spans="1:8" ht="29" hidden="1" x14ac:dyDescent="0.35">
      <c r="A1752" s="136" t="s">
        <v>3803</v>
      </c>
      <c r="B1752" s="2"/>
      <c r="C1752" s="2"/>
      <c r="D1752" s="2" t="s">
        <v>6443</v>
      </c>
      <c r="E1752" s="2" t="s">
        <v>5967</v>
      </c>
      <c r="F1752" s="2" t="s">
        <v>6139</v>
      </c>
      <c r="G1752" s="2" t="s">
        <v>6312</v>
      </c>
      <c r="H1752" s="5" t="s">
        <v>7329</v>
      </c>
    </row>
    <row r="1753" spans="1:8" ht="29" hidden="1" x14ac:dyDescent="0.35">
      <c r="A1753" s="135" t="s">
        <v>3803</v>
      </c>
      <c r="B1753" s="16"/>
      <c r="C1753" s="2"/>
      <c r="D1753" s="2" t="s">
        <v>6443</v>
      </c>
      <c r="E1753" s="2" t="s">
        <v>5967</v>
      </c>
      <c r="F1753" s="2" t="s">
        <v>6139</v>
      </c>
      <c r="G1753" s="2" t="s">
        <v>6313</v>
      </c>
      <c r="H1753" s="5" t="s">
        <v>7330</v>
      </c>
    </row>
    <row r="1754" spans="1:8" ht="29" hidden="1" x14ac:dyDescent="0.35">
      <c r="A1754" s="135" t="s">
        <v>3803</v>
      </c>
      <c r="B1754" s="16"/>
      <c r="C1754" s="2"/>
      <c r="D1754" s="2" t="s">
        <v>6443</v>
      </c>
      <c r="E1754" s="2" t="s">
        <v>5967</v>
      </c>
      <c r="F1754" s="2" t="s">
        <v>6139</v>
      </c>
      <c r="G1754" s="2" t="s">
        <v>6006</v>
      </c>
      <c r="H1754" s="5" t="s">
        <v>7334</v>
      </c>
    </row>
    <row r="1755" spans="1:8" ht="29" hidden="1" x14ac:dyDescent="0.35">
      <c r="A1755" s="136" t="s">
        <v>3803</v>
      </c>
      <c r="B1755" s="16"/>
      <c r="C1755" s="2"/>
      <c r="D1755" s="2" t="s">
        <v>6443</v>
      </c>
      <c r="E1755" s="2" t="s">
        <v>5967</v>
      </c>
      <c r="F1755" s="2" t="s">
        <v>6139</v>
      </c>
      <c r="G1755" s="2" t="s">
        <v>6006</v>
      </c>
      <c r="H1755" s="5" t="s">
        <v>7335</v>
      </c>
    </row>
    <row r="1756" spans="1:8" ht="29" hidden="1" x14ac:dyDescent="0.35">
      <c r="A1756" s="135" t="s">
        <v>3803</v>
      </c>
      <c r="B1756" s="16"/>
      <c r="C1756" s="2"/>
      <c r="D1756" s="2" t="s">
        <v>6443</v>
      </c>
      <c r="E1756" s="2" t="s">
        <v>5967</v>
      </c>
      <c r="F1756" s="2" t="s">
        <v>6139</v>
      </c>
      <c r="G1756" s="2" t="s">
        <v>6025</v>
      </c>
      <c r="H1756" s="5" t="s">
        <v>7336</v>
      </c>
    </row>
    <row r="1757" spans="1:8" ht="29" hidden="1" x14ac:dyDescent="0.35">
      <c r="A1757" s="136" t="s">
        <v>3803</v>
      </c>
      <c r="B1757" s="2"/>
      <c r="C1757" s="2"/>
      <c r="D1757" s="2" t="s">
        <v>6443</v>
      </c>
      <c r="E1757" s="2" t="s">
        <v>5967</v>
      </c>
      <c r="F1757" s="2" t="s">
        <v>6139</v>
      </c>
      <c r="G1757" s="2" t="s">
        <v>5874</v>
      </c>
      <c r="H1757" s="5" t="s">
        <v>7337</v>
      </c>
    </row>
    <row r="1758" spans="1:8" ht="29" hidden="1" x14ac:dyDescent="0.35">
      <c r="A1758" s="135" t="s">
        <v>3803</v>
      </c>
      <c r="B1758" s="2"/>
      <c r="C1758" s="2"/>
      <c r="D1758" s="2" t="s">
        <v>6443</v>
      </c>
      <c r="E1758" s="2" t="s">
        <v>5967</v>
      </c>
      <c r="F1758" s="2" t="s">
        <v>6139</v>
      </c>
      <c r="G1758" s="2" t="s">
        <v>5994</v>
      </c>
      <c r="H1758" s="5" t="s">
        <v>7338</v>
      </c>
    </row>
    <row r="1759" spans="1:8" ht="29" hidden="1" x14ac:dyDescent="0.35">
      <c r="A1759" s="136" t="s">
        <v>3803</v>
      </c>
      <c r="B1759" s="2"/>
      <c r="C1759" s="2"/>
      <c r="D1759" s="2" t="s">
        <v>6443</v>
      </c>
      <c r="E1759" s="2" t="s">
        <v>5967</v>
      </c>
      <c r="F1759" s="2" t="s">
        <v>6139</v>
      </c>
      <c r="G1759" s="2" t="s">
        <v>6027</v>
      </c>
      <c r="H1759" s="5" t="s">
        <v>7339</v>
      </c>
    </row>
    <row r="1760" spans="1:8" ht="29" hidden="1" x14ac:dyDescent="0.35">
      <c r="A1760" s="135" t="s">
        <v>3803</v>
      </c>
      <c r="B1760" s="2"/>
      <c r="C1760" s="2"/>
      <c r="D1760" s="2" t="s">
        <v>6443</v>
      </c>
      <c r="E1760" s="2" t="s">
        <v>5967</v>
      </c>
      <c r="F1760" s="2" t="s">
        <v>6139</v>
      </c>
      <c r="G1760" s="2" t="s">
        <v>6028</v>
      </c>
      <c r="H1760" s="5" t="s">
        <v>7340</v>
      </c>
    </row>
    <row r="1761" spans="1:8" ht="29" hidden="1" x14ac:dyDescent="0.35">
      <c r="A1761" s="136" t="s">
        <v>3803</v>
      </c>
      <c r="B1761" s="2"/>
      <c r="C1761" s="2"/>
      <c r="D1761" s="2" t="s">
        <v>6443</v>
      </c>
      <c r="E1761" s="2" t="s">
        <v>5967</v>
      </c>
      <c r="F1761" s="2" t="s">
        <v>6139</v>
      </c>
      <c r="G1761" s="2" t="s">
        <v>6012</v>
      </c>
      <c r="H1761" s="5" t="s">
        <v>7341</v>
      </c>
    </row>
    <row r="1762" spans="1:8" ht="29" hidden="1" x14ac:dyDescent="0.35">
      <c r="A1762" s="136" t="s">
        <v>3803</v>
      </c>
      <c r="B1762" s="2"/>
      <c r="C1762" s="2"/>
      <c r="D1762" s="2" t="s">
        <v>6443</v>
      </c>
      <c r="E1762" s="2" t="s">
        <v>5967</v>
      </c>
      <c r="F1762" s="2" t="s">
        <v>6139</v>
      </c>
      <c r="G1762" s="2" t="s">
        <v>6320</v>
      </c>
      <c r="H1762" s="5" t="s">
        <v>7344</v>
      </c>
    </row>
    <row r="1763" spans="1:8" ht="29" hidden="1" x14ac:dyDescent="0.35">
      <c r="A1763" s="135" t="s">
        <v>3803</v>
      </c>
      <c r="B1763" s="2"/>
      <c r="C1763" s="2"/>
      <c r="D1763" s="2" t="s">
        <v>6443</v>
      </c>
      <c r="E1763" s="2" t="s">
        <v>5967</v>
      </c>
      <c r="F1763" s="2" t="s">
        <v>6139</v>
      </c>
      <c r="G1763" s="2" t="s">
        <v>6321</v>
      </c>
      <c r="H1763" s="5" t="s">
        <v>7345</v>
      </c>
    </row>
    <row r="1764" spans="1:8" ht="29" hidden="1" x14ac:dyDescent="0.35">
      <c r="A1764" s="136" t="s">
        <v>3803</v>
      </c>
      <c r="B1764" s="2"/>
      <c r="C1764" s="2"/>
      <c r="D1764" s="2" t="s">
        <v>6443</v>
      </c>
      <c r="E1764" s="2" t="s">
        <v>5967</v>
      </c>
      <c r="F1764" s="2" t="s">
        <v>6139</v>
      </c>
      <c r="G1764" s="2" t="s">
        <v>6322</v>
      </c>
      <c r="H1764" s="5" t="s">
        <v>7346</v>
      </c>
    </row>
    <row r="1765" spans="1:8" ht="29" hidden="1" x14ac:dyDescent="0.35">
      <c r="A1765" s="135" t="s">
        <v>3803</v>
      </c>
      <c r="B1765" s="2"/>
      <c r="C1765" s="2"/>
      <c r="D1765" s="2" t="s">
        <v>6443</v>
      </c>
      <c r="E1765" s="2" t="s">
        <v>5967</v>
      </c>
      <c r="F1765" s="2" t="s">
        <v>6139</v>
      </c>
      <c r="G1765" s="2" t="s">
        <v>6323</v>
      </c>
      <c r="H1765" s="5" t="s">
        <v>7347</v>
      </c>
    </row>
    <row r="1766" spans="1:8" ht="29" hidden="1" x14ac:dyDescent="0.35">
      <c r="A1766" s="136" t="s">
        <v>3803</v>
      </c>
      <c r="B1766" s="2"/>
      <c r="C1766" s="2"/>
      <c r="D1766" s="2" t="s">
        <v>6443</v>
      </c>
      <c r="E1766" s="2" t="s">
        <v>5967</v>
      </c>
      <c r="F1766" s="2" t="s">
        <v>6139</v>
      </c>
      <c r="G1766" s="2" t="s">
        <v>6324</v>
      </c>
      <c r="H1766" s="5" t="s">
        <v>7348</v>
      </c>
    </row>
    <row r="1767" spans="1:8" ht="29" hidden="1" x14ac:dyDescent="0.35">
      <c r="A1767" s="135" t="s">
        <v>3803</v>
      </c>
      <c r="B1767" s="2"/>
      <c r="C1767" s="2"/>
      <c r="D1767" s="2" t="s">
        <v>6443</v>
      </c>
      <c r="E1767" s="2" t="s">
        <v>5967</v>
      </c>
      <c r="F1767" s="2" t="s">
        <v>6139</v>
      </c>
      <c r="G1767" s="2" t="s">
        <v>6325</v>
      </c>
      <c r="H1767" s="5" t="s">
        <v>7349</v>
      </c>
    </row>
    <row r="1768" spans="1:8" ht="29" hidden="1" x14ac:dyDescent="0.35">
      <c r="A1768" s="136" t="s">
        <v>3803</v>
      </c>
      <c r="B1768" s="2"/>
      <c r="C1768" s="2"/>
      <c r="D1768" s="2" t="s">
        <v>6443</v>
      </c>
      <c r="E1768" s="2" t="s">
        <v>5967</v>
      </c>
      <c r="F1768" s="2" t="s">
        <v>6139</v>
      </c>
      <c r="G1768" s="2" t="s">
        <v>6326</v>
      </c>
      <c r="H1768" s="5" t="s">
        <v>7350</v>
      </c>
    </row>
    <row r="1769" spans="1:8" ht="29" hidden="1" x14ac:dyDescent="0.35">
      <c r="A1769" s="135" t="s">
        <v>3803</v>
      </c>
      <c r="B1769" s="2"/>
      <c r="C1769" s="2"/>
      <c r="D1769" s="2" t="s">
        <v>6443</v>
      </c>
      <c r="E1769" s="2" t="s">
        <v>5967</v>
      </c>
      <c r="F1769" s="2" t="s">
        <v>6139</v>
      </c>
      <c r="G1769" s="2" t="s">
        <v>5931</v>
      </c>
      <c r="H1769" s="5" t="s">
        <v>7351</v>
      </c>
    </row>
    <row r="1770" spans="1:8" ht="29" hidden="1" x14ac:dyDescent="0.35">
      <c r="A1770" s="136" t="s">
        <v>3803</v>
      </c>
      <c r="B1770" s="2"/>
      <c r="C1770" s="2"/>
      <c r="D1770" s="2" t="s">
        <v>6443</v>
      </c>
      <c r="E1770" s="2" t="s">
        <v>5967</v>
      </c>
      <c r="F1770" s="2" t="s">
        <v>6139</v>
      </c>
      <c r="G1770" s="2" t="s">
        <v>6327</v>
      </c>
      <c r="H1770" s="5" t="s">
        <v>7352</v>
      </c>
    </row>
    <row r="1771" spans="1:8" hidden="1" x14ac:dyDescent="0.35">
      <c r="A1771" s="135" t="s">
        <v>3803</v>
      </c>
      <c r="B1771" s="2"/>
      <c r="C1771" s="2"/>
      <c r="D1771" s="2" t="s">
        <v>6443</v>
      </c>
      <c r="E1771" s="2" t="s">
        <v>5967</v>
      </c>
      <c r="F1771" s="2" t="s">
        <v>6139</v>
      </c>
      <c r="G1771" s="2" t="s">
        <v>6328</v>
      </c>
      <c r="H1771" s="5" t="s">
        <v>7353</v>
      </c>
    </row>
    <row r="1772" spans="1:8" ht="29" hidden="1" x14ac:dyDescent="0.35">
      <c r="A1772" s="136" t="s">
        <v>3803</v>
      </c>
      <c r="B1772" s="2"/>
      <c r="C1772" s="2"/>
      <c r="D1772" s="2" t="s">
        <v>6443</v>
      </c>
      <c r="E1772" s="2" t="s">
        <v>5967</v>
      </c>
      <c r="F1772" s="2" t="s">
        <v>6139</v>
      </c>
      <c r="G1772" s="2" t="s">
        <v>6029</v>
      </c>
      <c r="H1772" s="5" t="s">
        <v>7354</v>
      </c>
    </row>
    <row r="1773" spans="1:8" hidden="1" x14ac:dyDescent="0.35">
      <c r="A1773" s="135" t="s">
        <v>3803</v>
      </c>
      <c r="B1773" s="2"/>
      <c r="C1773" s="2"/>
      <c r="D1773" s="2" t="s">
        <v>6443</v>
      </c>
      <c r="E1773" s="2" t="s">
        <v>5967</v>
      </c>
      <c r="F1773" s="2" t="s">
        <v>6139</v>
      </c>
      <c r="G1773" s="2" t="s">
        <v>6129</v>
      </c>
      <c r="H1773" s="5" t="s">
        <v>7355</v>
      </c>
    </row>
    <row r="1774" spans="1:8" ht="29" hidden="1" x14ac:dyDescent="0.35">
      <c r="A1774" s="136" t="s">
        <v>3803</v>
      </c>
      <c r="B1774" s="2"/>
      <c r="C1774" s="2"/>
      <c r="D1774" s="2" t="s">
        <v>6443</v>
      </c>
      <c r="E1774" s="2" t="s">
        <v>5967</v>
      </c>
      <c r="F1774" s="2" t="s">
        <v>6139</v>
      </c>
      <c r="G1774" s="2" t="s">
        <v>5874</v>
      </c>
      <c r="H1774" s="5" t="s">
        <v>7356</v>
      </c>
    </row>
    <row r="1775" spans="1:8" ht="29" hidden="1" x14ac:dyDescent="0.35">
      <c r="A1775" s="135" t="s">
        <v>3803</v>
      </c>
      <c r="B1775" s="2"/>
      <c r="C1775" s="2"/>
      <c r="D1775" s="2" t="s">
        <v>6443</v>
      </c>
      <c r="E1775" s="2" t="s">
        <v>5967</v>
      </c>
      <c r="F1775" s="2" t="s">
        <v>6139</v>
      </c>
      <c r="G1775" s="2" t="s">
        <v>6329</v>
      </c>
      <c r="H1775" s="5" t="s">
        <v>7357</v>
      </c>
    </row>
    <row r="1776" spans="1:8" ht="29" hidden="1" x14ac:dyDescent="0.35">
      <c r="A1776" s="136" t="s">
        <v>3803</v>
      </c>
      <c r="B1776" s="2"/>
      <c r="C1776" s="2"/>
      <c r="D1776" s="2" t="s">
        <v>6443</v>
      </c>
      <c r="E1776" s="2" t="s">
        <v>5967</v>
      </c>
      <c r="F1776" s="2" t="s">
        <v>6139</v>
      </c>
      <c r="G1776" s="2" t="s">
        <v>6191</v>
      </c>
      <c r="H1776" s="5" t="s">
        <v>7358</v>
      </c>
    </row>
    <row r="1777" spans="1:8" ht="29" hidden="1" x14ac:dyDescent="0.35">
      <c r="A1777" s="135" t="s">
        <v>3803</v>
      </c>
      <c r="B1777" s="2"/>
      <c r="C1777" s="2"/>
      <c r="D1777" s="2" t="s">
        <v>6443</v>
      </c>
      <c r="E1777" s="2" t="s">
        <v>5967</v>
      </c>
      <c r="F1777" s="2" t="s">
        <v>6139</v>
      </c>
      <c r="G1777" s="2" t="s">
        <v>6330</v>
      </c>
      <c r="H1777" s="5" t="s">
        <v>7359</v>
      </c>
    </row>
    <row r="1778" spans="1:8" ht="29" hidden="1" x14ac:dyDescent="0.35">
      <c r="A1778" s="136" t="s">
        <v>3803</v>
      </c>
      <c r="B1778" s="2"/>
      <c r="C1778" s="2"/>
      <c r="D1778" s="2" t="s">
        <v>6443</v>
      </c>
      <c r="E1778" s="2" t="s">
        <v>5967</v>
      </c>
      <c r="F1778" s="2" t="s">
        <v>6139</v>
      </c>
      <c r="G1778" s="2" t="s">
        <v>6331</v>
      </c>
      <c r="H1778" s="5" t="s">
        <v>7360</v>
      </c>
    </row>
    <row r="1779" spans="1:8" ht="29" hidden="1" x14ac:dyDescent="0.35">
      <c r="A1779" s="136" t="s">
        <v>3803</v>
      </c>
      <c r="B1779" s="2"/>
      <c r="C1779" s="2"/>
      <c r="D1779" s="2" t="s">
        <v>6443</v>
      </c>
      <c r="E1779" s="2" t="s">
        <v>5967</v>
      </c>
      <c r="F1779" s="2" t="s">
        <v>6139</v>
      </c>
      <c r="G1779" s="2" t="s">
        <v>6336</v>
      </c>
      <c r="H1779" s="5" t="s">
        <v>2241</v>
      </c>
    </row>
    <row r="1780" spans="1:8" ht="29" hidden="1" x14ac:dyDescent="0.35">
      <c r="A1780" s="135" t="s">
        <v>3803</v>
      </c>
      <c r="B1780" s="2"/>
      <c r="C1780" s="2"/>
      <c r="D1780" s="2" t="s">
        <v>6443</v>
      </c>
      <c r="E1780" s="2" t="s">
        <v>5967</v>
      </c>
      <c r="F1780" s="2" t="s">
        <v>6139</v>
      </c>
      <c r="G1780" s="2" t="s">
        <v>6338</v>
      </c>
      <c r="H1780" s="5" t="s">
        <v>2312</v>
      </c>
    </row>
    <row r="1781" spans="1:8" ht="29" hidden="1" x14ac:dyDescent="0.35">
      <c r="A1781" s="136" t="s">
        <v>3803</v>
      </c>
      <c r="B1781" s="2"/>
      <c r="C1781" s="2"/>
      <c r="D1781" s="2" t="s">
        <v>6443</v>
      </c>
      <c r="E1781" s="2" t="s">
        <v>5967</v>
      </c>
      <c r="F1781" s="2" t="s">
        <v>6139</v>
      </c>
      <c r="G1781" s="2" t="s">
        <v>6356</v>
      </c>
      <c r="H1781" s="5" t="s">
        <v>2562</v>
      </c>
    </row>
    <row r="1782" spans="1:8" ht="29" hidden="1" x14ac:dyDescent="0.35">
      <c r="A1782" s="135" t="s">
        <v>3803</v>
      </c>
      <c r="B1782" s="2"/>
      <c r="C1782" s="2"/>
      <c r="D1782" s="2" t="s">
        <v>6443</v>
      </c>
      <c r="E1782" s="2" t="s">
        <v>5967</v>
      </c>
      <c r="F1782" s="2" t="s">
        <v>6139</v>
      </c>
      <c r="G1782" s="2" t="s">
        <v>5849</v>
      </c>
      <c r="H1782" s="5" t="s">
        <v>2575</v>
      </c>
    </row>
    <row r="1783" spans="1:8" ht="29" hidden="1" x14ac:dyDescent="0.35">
      <c r="A1783" s="135" t="s">
        <v>3803</v>
      </c>
      <c r="B1783" s="2"/>
      <c r="C1783" s="2"/>
      <c r="D1783" s="2" t="s">
        <v>6443</v>
      </c>
      <c r="E1783" s="2" t="s">
        <v>5967</v>
      </c>
      <c r="F1783" s="2" t="s">
        <v>6139</v>
      </c>
      <c r="G1783" s="2" t="s">
        <v>6370</v>
      </c>
      <c r="H1783" s="5" t="s">
        <v>3168</v>
      </c>
    </row>
    <row r="1784" spans="1:8" ht="43.5" hidden="1" x14ac:dyDescent="0.35">
      <c r="A1784" s="135" t="s">
        <v>3803</v>
      </c>
      <c r="B1784" s="2"/>
      <c r="C1784" s="2"/>
      <c r="D1784" s="2" t="s">
        <v>6443</v>
      </c>
      <c r="E1784" s="2" t="s">
        <v>5967</v>
      </c>
      <c r="F1784" s="2" t="s">
        <v>6290</v>
      </c>
      <c r="G1784" s="2" t="s">
        <v>6305</v>
      </c>
      <c r="H1784" s="5" t="s">
        <v>514</v>
      </c>
    </row>
    <row r="1785" spans="1:8" hidden="1" x14ac:dyDescent="0.35">
      <c r="A1785" s="136" t="s">
        <v>3803</v>
      </c>
      <c r="B1785" s="2"/>
      <c r="C1785" s="2"/>
      <c r="D1785" s="2" t="s">
        <v>6443</v>
      </c>
      <c r="E1785" s="2" t="s">
        <v>5967</v>
      </c>
      <c r="F1785" s="2" t="s">
        <v>6290</v>
      </c>
      <c r="G1785" s="2" t="s">
        <v>6305</v>
      </c>
      <c r="H1785" s="5" t="s">
        <v>279</v>
      </c>
    </row>
    <row r="1786" spans="1:8" ht="29" hidden="1" x14ac:dyDescent="0.35">
      <c r="A1786" s="135" t="s">
        <v>3803</v>
      </c>
      <c r="B1786" s="2"/>
      <c r="C1786" s="2"/>
      <c r="D1786" s="2" t="s">
        <v>6443</v>
      </c>
      <c r="E1786" s="2" t="s">
        <v>5967</v>
      </c>
      <c r="F1786" s="2" t="s">
        <v>5927</v>
      </c>
      <c r="G1786" s="2" t="s">
        <v>5840</v>
      </c>
      <c r="H1786" s="5" t="s">
        <v>2937</v>
      </c>
    </row>
    <row r="1787" spans="1:8" hidden="1" x14ac:dyDescent="0.35">
      <c r="A1787" s="179" t="s">
        <v>3803</v>
      </c>
      <c r="B1787" s="2"/>
      <c r="C1787" s="2"/>
      <c r="D1787" s="2" t="s">
        <v>6443</v>
      </c>
      <c r="E1787" s="2" t="s">
        <v>5967</v>
      </c>
      <c r="F1787" s="2" t="s">
        <v>5927</v>
      </c>
      <c r="G1787" s="2" t="s">
        <v>5840</v>
      </c>
      <c r="H1787" s="5" t="s">
        <v>2940</v>
      </c>
    </row>
    <row r="1788" spans="1:8" ht="29" hidden="1" x14ac:dyDescent="0.35">
      <c r="A1788" s="179" t="s">
        <v>3803</v>
      </c>
      <c r="B1788" s="16"/>
      <c r="C1788" s="2"/>
      <c r="D1788" s="2" t="s">
        <v>6443</v>
      </c>
      <c r="E1788" s="2" t="s">
        <v>5967</v>
      </c>
      <c r="F1788" s="2" t="s">
        <v>6288</v>
      </c>
      <c r="G1788" s="2" t="s">
        <v>5772</v>
      </c>
      <c r="H1788" s="5" t="s">
        <v>670</v>
      </c>
    </row>
  </sheetData>
  <phoneticPr fontId="10" type="noConversion"/>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1B8D4-987F-4632-B898-35E96A0B6637}">
  <sheetPr codeName="Sheet4"/>
  <dimension ref="A1:AO288"/>
  <sheetViews>
    <sheetView rightToLeft="1" tabSelected="1" workbookViewId="0">
      <pane xSplit="1" ySplit="1" topLeftCell="B88" activePane="bottomRight" state="frozen"/>
      <selection activeCell="A6" sqref="A6"/>
      <selection pane="topRight" activeCell="A6" sqref="A6"/>
      <selection pane="bottomLeft" activeCell="A6" sqref="A6"/>
      <selection pane="bottomRight" activeCell="A90" sqref="A90"/>
    </sheetView>
  </sheetViews>
  <sheetFormatPr defaultColWidth="8.81640625" defaultRowHeight="14.5" x14ac:dyDescent="0.35"/>
  <cols>
    <col min="1" max="1" width="52.81640625" style="2" customWidth="1"/>
    <col min="2" max="2" width="10.7265625" style="2" customWidth="1"/>
    <col min="3" max="4" width="10" style="2" customWidth="1"/>
    <col min="5" max="5" width="11.81640625" style="2" customWidth="1"/>
    <col min="6" max="6" width="12.453125" style="2" bestFit="1" customWidth="1"/>
    <col min="7" max="7" width="10.1796875" style="2" customWidth="1"/>
    <col min="8" max="8" width="8.81640625" style="2" bestFit="1" customWidth="1"/>
    <col min="9" max="9" width="10.1796875" style="1" customWidth="1"/>
    <col min="10" max="10" width="11.81640625" style="1" customWidth="1"/>
    <col min="11" max="16" width="8.81640625" style="1" customWidth="1"/>
    <col min="17" max="18" width="8.81640625" style="30" customWidth="1"/>
    <col min="19" max="35" width="8.81640625" style="1" customWidth="1"/>
    <col min="36" max="36" width="8.81640625" style="2"/>
    <col min="37" max="37" width="11" style="2" customWidth="1"/>
    <col min="38" max="38" width="8.81640625" style="2"/>
    <col min="39" max="39" width="10.54296875" style="2" bestFit="1" customWidth="1"/>
    <col min="40" max="40" width="8.81640625" style="2"/>
    <col min="41" max="41" width="16.08984375" style="2" bestFit="1" customWidth="1"/>
    <col min="42" max="16384" width="8.81640625" style="2"/>
  </cols>
  <sheetData>
    <row r="1" spans="1:41" ht="15" thickBot="1" x14ac:dyDescent="0.4">
      <c r="A1" s="4" t="s">
        <v>0</v>
      </c>
      <c r="B1" s="4">
        <v>2025</v>
      </c>
      <c r="C1" s="4">
        <v>2022</v>
      </c>
      <c r="D1" s="4">
        <v>2021</v>
      </c>
      <c r="E1" s="4">
        <v>2020</v>
      </c>
      <c r="F1" s="9">
        <v>43709</v>
      </c>
      <c r="G1" s="9">
        <v>43556</v>
      </c>
      <c r="H1" s="1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x14ac:dyDescent="0.35">
      <c r="A2" s="6" t="s">
        <v>392</v>
      </c>
      <c r="B2" s="51" t="s">
        <v>400</v>
      </c>
      <c r="C2" s="51" t="s">
        <v>392</v>
      </c>
      <c r="D2" s="51" t="s">
        <v>400</v>
      </c>
      <c r="E2" s="50" t="s">
        <v>393</v>
      </c>
      <c r="F2" s="50" t="s">
        <v>404</v>
      </c>
      <c r="G2" s="50" t="s">
        <v>400</v>
      </c>
      <c r="H2" s="52" t="s">
        <v>392</v>
      </c>
      <c r="I2" s="50" t="s">
        <v>393</v>
      </c>
      <c r="J2" s="3"/>
      <c r="K2" s="50" t="s">
        <v>872</v>
      </c>
      <c r="L2" s="50" t="s">
        <v>1149</v>
      </c>
      <c r="M2" s="50" t="s">
        <v>1207</v>
      </c>
      <c r="N2" s="50" t="s">
        <v>1262</v>
      </c>
      <c r="O2" s="3"/>
      <c r="P2" s="50" t="s">
        <v>1207</v>
      </c>
      <c r="Q2" s="29" t="s">
        <v>1262</v>
      </c>
      <c r="R2" s="29"/>
      <c r="S2" s="3"/>
      <c r="T2" s="3" t="s">
        <v>1262</v>
      </c>
      <c r="U2" s="3" t="s">
        <v>1262</v>
      </c>
      <c r="V2" s="3" t="s">
        <v>1262</v>
      </c>
      <c r="W2" s="3" t="s">
        <v>1262</v>
      </c>
      <c r="X2" s="3" t="s">
        <v>1262</v>
      </c>
      <c r="Y2" s="3" t="s">
        <v>1262</v>
      </c>
      <c r="Z2" s="3" t="s">
        <v>1262</v>
      </c>
      <c r="AA2" s="3" t="s">
        <v>1262</v>
      </c>
      <c r="AB2" s="3" t="s">
        <v>1262</v>
      </c>
      <c r="AC2" s="3" t="s">
        <v>1262</v>
      </c>
      <c r="AD2" s="3" t="s">
        <v>1262</v>
      </c>
      <c r="AE2" s="3" t="s">
        <v>1262</v>
      </c>
      <c r="AF2" s="3" t="s">
        <v>1262</v>
      </c>
      <c r="AG2" s="50" t="s">
        <v>1962</v>
      </c>
      <c r="AH2" s="50" t="s">
        <v>1674</v>
      </c>
      <c r="AI2" s="3" t="s">
        <v>1207</v>
      </c>
      <c r="AK2" s="2">
        <f>COUNTA(C2:AI2)</f>
        <v>29</v>
      </c>
      <c r="AM2" s="2">
        <f>COUNTA(G2:P2,S2:T2)</f>
        <v>9</v>
      </c>
      <c r="AO2" s="42">
        <f>COUNTIF(AM2:AM87,"&gt;=2")</f>
        <v>43</v>
      </c>
    </row>
    <row r="3" spans="1:41" x14ac:dyDescent="0.35">
      <c r="A3" s="6" t="s">
        <v>394</v>
      </c>
      <c r="B3" s="6" t="s">
        <v>395</v>
      </c>
      <c r="C3" s="6" t="s">
        <v>395</v>
      </c>
      <c r="D3" s="6" t="s">
        <v>395</v>
      </c>
      <c r="E3" s="50" t="s">
        <v>395</v>
      </c>
      <c r="F3" s="50" t="s">
        <v>405</v>
      </c>
      <c r="G3" s="3" t="s">
        <v>395</v>
      </c>
      <c r="H3" s="15" t="s">
        <v>395</v>
      </c>
      <c r="I3" s="53" t="s">
        <v>395</v>
      </c>
      <c r="M3" s="54" t="s">
        <v>1005</v>
      </c>
      <c r="N3" s="53" t="s">
        <v>1456</v>
      </c>
      <c r="O3" s="53" t="s">
        <v>1669</v>
      </c>
      <c r="P3" s="53" t="s">
        <v>1406</v>
      </c>
      <c r="R3" s="53" t="s">
        <v>1512</v>
      </c>
      <c r="S3" s="53" t="s">
        <v>2234</v>
      </c>
      <c r="V3" s="53" t="s">
        <v>2511</v>
      </c>
      <c r="AA3" s="53" t="s">
        <v>1263</v>
      </c>
      <c r="AB3" s="53" t="s">
        <v>2728</v>
      </c>
      <c r="AC3" s="53" t="s">
        <v>2214</v>
      </c>
      <c r="AG3" s="53" t="s">
        <v>1092</v>
      </c>
      <c r="AH3" s="1" t="s">
        <v>1486</v>
      </c>
      <c r="AK3" s="2">
        <f>COUNTA(C3:AI3)</f>
        <v>19</v>
      </c>
      <c r="AM3" s="2">
        <f>COUNTA(G3:P3,S3:T3)</f>
        <v>8</v>
      </c>
    </row>
    <row r="4" spans="1:41" x14ac:dyDescent="0.35">
      <c r="A4" s="6" t="s">
        <v>396</v>
      </c>
      <c r="B4" s="6"/>
      <c r="C4" s="6" t="s">
        <v>397</v>
      </c>
      <c r="D4" s="6" t="s">
        <v>397</v>
      </c>
      <c r="E4" s="50" t="s">
        <v>397</v>
      </c>
      <c r="F4" s="50" t="s">
        <v>408</v>
      </c>
      <c r="G4" s="50" t="s">
        <v>397</v>
      </c>
      <c r="H4" s="52" t="s">
        <v>569</v>
      </c>
      <c r="I4" s="53" t="s">
        <v>676</v>
      </c>
      <c r="AK4" s="2">
        <f t="shared" ref="AK4:AK67" si="0">COUNTA(C4:AI4)</f>
        <v>7</v>
      </c>
      <c r="AM4" s="2">
        <f t="shared" ref="AM4:AM67" si="1">COUNTA(G4:P4,S4:T4)</f>
        <v>3</v>
      </c>
    </row>
    <row r="5" spans="1:41" x14ac:dyDescent="0.35">
      <c r="A5" s="5" t="s">
        <v>2786</v>
      </c>
      <c r="B5" s="5"/>
      <c r="C5" s="5"/>
      <c r="D5" s="5"/>
      <c r="E5" s="1"/>
      <c r="F5" s="1"/>
      <c r="G5" s="1"/>
      <c r="H5" s="55" t="s">
        <v>568</v>
      </c>
      <c r="I5" s="53" t="s">
        <v>674</v>
      </c>
      <c r="J5" s="53" t="s">
        <v>837</v>
      </c>
      <c r="K5" s="53" t="s">
        <v>1114</v>
      </c>
      <c r="L5" s="53" t="s">
        <v>1046</v>
      </c>
      <c r="M5" s="53" t="s">
        <v>1003</v>
      </c>
      <c r="N5" s="53" t="s">
        <v>1076</v>
      </c>
      <c r="O5" s="53" t="s">
        <v>1670</v>
      </c>
      <c r="P5" s="53" t="s">
        <v>1402</v>
      </c>
      <c r="R5" s="53" t="s">
        <v>1509</v>
      </c>
      <c r="S5" s="53" t="s">
        <v>2233</v>
      </c>
      <c r="T5" s="53" t="s">
        <v>933</v>
      </c>
      <c r="U5" s="53" t="s">
        <v>2412</v>
      </c>
      <c r="V5" s="53" t="s">
        <v>2512</v>
      </c>
      <c r="W5" s="53" t="s">
        <v>674</v>
      </c>
      <c r="AA5" s="53" t="s">
        <v>1779</v>
      </c>
      <c r="AB5" s="53" t="s">
        <v>2727</v>
      </c>
      <c r="AC5" s="53" t="s">
        <v>2213</v>
      </c>
      <c r="AG5" s="53" t="s">
        <v>1091</v>
      </c>
      <c r="AH5" s="1" t="s">
        <v>1147</v>
      </c>
      <c r="AK5" s="2">
        <f t="shared" si="0"/>
        <v>20</v>
      </c>
      <c r="AM5" s="2">
        <f t="shared" si="1"/>
        <v>11</v>
      </c>
    </row>
    <row r="6" spans="1:41" x14ac:dyDescent="0.35">
      <c r="A6" s="6" t="s">
        <v>398</v>
      </c>
      <c r="B6" s="6"/>
      <c r="C6" s="6" t="s">
        <v>399</v>
      </c>
      <c r="D6" s="6" t="s">
        <v>399</v>
      </c>
      <c r="E6" s="56" t="s">
        <v>399</v>
      </c>
      <c r="F6" s="3" t="s">
        <v>407</v>
      </c>
      <c r="G6" s="50" t="s">
        <v>403</v>
      </c>
      <c r="H6" s="52" t="s">
        <v>559</v>
      </c>
      <c r="I6" s="53" t="s">
        <v>675</v>
      </c>
      <c r="J6" s="53" t="s">
        <v>838</v>
      </c>
      <c r="N6" s="1" t="s">
        <v>1671</v>
      </c>
      <c r="AK6" s="2">
        <f t="shared" si="0"/>
        <v>9</v>
      </c>
      <c r="AM6" s="2">
        <f t="shared" si="1"/>
        <v>5</v>
      </c>
    </row>
    <row r="7" spans="1:41" x14ac:dyDescent="0.35">
      <c r="A7" s="6" t="s">
        <v>839</v>
      </c>
      <c r="B7" s="6"/>
      <c r="C7" s="6"/>
      <c r="D7" s="6"/>
      <c r="E7" s="3"/>
      <c r="F7" s="3"/>
      <c r="G7" s="3"/>
      <c r="H7" s="15"/>
      <c r="J7" s="53" t="s">
        <v>840</v>
      </c>
      <c r="R7" s="53" t="s">
        <v>1098</v>
      </c>
      <c r="S7" s="1" t="s">
        <v>2235</v>
      </c>
      <c r="AK7" s="2">
        <f t="shared" si="0"/>
        <v>3</v>
      </c>
      <c r="AM7" s="2">
        <f t="shared" si="1"/>
        <v>2</v>
      </c>
    </row>
    <row r="8" spans="1:41" x14ac:dyDescent="0.35">
      <c r="A8" s="6" t="s">
        <v>401</v>
      </c>
      <c r="B8" s="6"/>
      <c r="C8" s="51" t="s">
        <v>3292</v>
      </c>
      <c r="D8" s="6"/>
      <c r="E8" s="3"/>
      <c r="F8" s="50" t="s">
        <v>406</v>
      </c>
      <c r="G8" s="57" t="s">
        <v>402</v>
      </c>
      <c r="H8" s="15" t="s">
        <v>402</v>
      </c>
      <c r="I8" s="1" t="s">
        <v>402</v>
      </c>
      <c r="J8" s="54" t="s">
        <v>402</v>
      </c>
      <c r="K8" s="53" t="s">
        <v>1115</v>
      </c>
      <c r="L8" s="1" t="s">
        <v>1206</v>
      </c>
      <c r="AK8" s="2">
        <f t="shared" si="0"/>
        <v>8</v>
      </c>
      <c r="AM8" s="2">
        <f t="shared" si="1"/>
        <v>6</v>
      </c>
    </row>
    <row r="9" spans="1:41" ht="29" x14ac:dyDescent="0.35">
      <c r="A9" s="6" t="s">
        <v>1261</v>
      </c>
      <c r="B9" s="6"/>
      <c r="C9" s="58" t="s">
        <v>3293</v>
      </c>
      <c r="D9" s="6"/>
      <c r="E9" s="3"/>
      <c r="F9" s="3"/>
      <c r="G9" s="3"/>
      <c r="H9" s="15"/>
      <c r="M9" s="1" t="s">
        <v>1009</v>
      </c>
      <c r="AK9" s="2">
        <f t="shared" si="0"/>
        <v>2</v>
      </c>
      <c r="AM9" s="2">
        <f t="shared" si="1"/>
        <v>1</v>
      </c>
    </row>
    <row r="10" spans="1:41" x14ac:dyDescent="0.35">
      <c r="A10" s="6" t="s">
        <v>1446</v>
      </c>
      <c r="B10" s="6" t="s">
        <v>1</v>
      </c>
      <c r="C10" s="6" t="s">
        <v>1</v>
      </c>
      <c r="D10" s="6" t="s">
        <v>1</v>
      </c>
      <c r="E10" s="3" t="s">
        <v>1</v>
      </c>
      <c r="F10" s="3"/>
      <c r="G10" s="3" t="s">
        <v>1</v>
      </c>
      <c r="H10" s="15" t="s">
        <v>1</v>
      </c>
      <c r="I10" s="53" t="s">
        <v>1</v>
      </c>
      <c r="J10" s="53" t="s">
        <v>705</v>
      </c>
      <c r="K10" s="53" t="s">
        <v>1089</v>
      </c>
      <c r="L10" s="53" t="s">
        <v>1197</v>
      </c>
      <c r="M10" s="53" t="s">
        <v>1258</v>
      </c>
      <c r="N10" s="53" t="s">
        <v>363</v>
      </c>
      <c r="O10" s="53" t="s">
        <v>1643</v>
      </c>
      <c r="P10" s="53" t="s">
        <v>1394</v>
      </c>
      <c r="Q10" s="53" t="s">
        <v>968</v>
      </c>
      <c r="R10" s="53" t="s">
        <v>1091</v>
      </c>
      <c r="S10" s="53" t="s">
        <v>2226</v>
      </c>
      <c r="T10" s="53" t="s">
        <v>922</v>
      </c>
      <c r="U10" s="53" t="s">
        <v>2388</v>
      </c>
      <c r="V10" s="53" t="s">
        <v>2501</v>
      </c>
      <c r="W10" s="53" t="s">
        <v>148</v>
      </c>
      <c r="X10" s="54" t="s">
        <v>1059</v>
      </c>
      <c r="Y10" s="53" t="s">
        <v>976</v>
      </c>
      <c r="Z10" s="53" t="s">
        <v>889</v>
      </c>
      <c r="AA10" s="53" t="s">
        <v>133</v>
      </c>
      <c r="AB10" s="53" t="s">
        <v>2722</v>
      </c>
      <c r="AC10" s="54" t="s">
        <v>2208</v>
      </c>
      <c r="AD10" s="53" t="s">
        <v>2020</v>
      </c>
      <c r="AE10" s="53" t="s">
        <v>2952</v>
      </c>
      <c r="AF10" s="53" t="s">
        <v>980</v>
      </c>
      <c r="AG10" s="53" t="s">
        <v>1068</v>
      </c>
      <c r="AH10" s="53" t="s">
        <v>1120</v>
      </c>
      <c r="AI10" s="1" t="s">
        <v>3139</v>
      </c>
      <c r="AK10" s="2">
        <f t="shared" si="0"/>
        <v>32</v>
      </c>
      <c r="AM10" s="2">
        <f t="shared" si="1"/>
        <v>12</v>
      </c>
    </row>
    <row r="11" spans="1:41" x14ac:dyDescent="0.35">
      <c r="A11" s="6" t="s">
        <v>1672</v>
      </c>
      <c r="B11" s="6"/>
      <c r="C11" s="6"/>
      <c r="D11" s="6"/>
      <c r="E11" s="3"/>
      <c r="F11" s="3"/>
      <c r="G11" s="3"/>
      <c r="H11" s="15"/>
      <c r="O11" s="1" t="s">
        <v>1673</v>
      </c>
      <c r="AK11" s="2">
        <f t="shared" si="0"/>
        <v>1</v>
      </c>
      <c r="AM11" s="2">
        <f t="shared" si="1"/>
        <v>1</v>
      </c>
    </row>
    <row r="12" spans="1:41" x14ac:dyDescent="0.35">
      <c r="A12" s="1" t="s">
        <v>2</v>
      </c>
      <c r="B12" s="53" t="s">
        <v>3</v>
      </c>
      <c r="C12" s="53" t="s">
        <v>613</v>
      </c>
      <c r="D12" s="1" t="s">
        <v>3</v>
      </c>
      <c r="E12" s="59" t="s">
        <v>3</v>
      </c>
      <c r="F12" s="1"/>
      <c r="G12" s="1" t="s">
        <v>3</v>
      </c>
      <c r="H12" s="55" t="s">
        <v>3</v>
      </c>
      <c r="I12" s="53" t="s">
        <v>613</v>
      </c>
      <c r="J12" s="1" t="s">
        <v>706</v>
      </c>
      <c r="AK12" s="2">
        <f t="shared" si="0"/>
        <v>7</v>
      </c>
      <c r="AM12" s="2">
        <f t="shared" si="1"/>
        <v>4</v>
      </c>
    </row>
    <row r="13" spans="1:41" x14ac:dyDescent="0.35">
      <c r="A13" s="1" t="s">
        <v>2565</v>
      </c>
      <c r="B13" s="53" t="s">
        <v>4</v>
      </c>
      <c r="C13" s="53" t="s">
        <v>409</v>
      </c>
      <c r="D13" s="1" t="s">
        <v>4</v>
      </c>
      <c r="E13" s="59" t="s">
        <v>4</v>
      </c>
      <c r="F13" s="1"/>
      <c r="G13" s="53" t="s">
        <v>4</v>
      </c>
      <c r="H13" s="16" t="s">
        <v>409</v>
      </c>
      <c r="I13" s="53" t="s">
        <v>409</v>
      </c>
      <c r="J13" s="53" t="s">
        <v>707</v>
      </c>
      <c r="K13" s="53" t="s">
        <v>1113</v>
      </c>
      <c r="L13" s="53" t="s">
        <v>2073</v>
      </c>
      <c r="M13" s="53" t="s">
        <v>1002</v>
      </c>
      <c r="N13" s="54" t="s">
        <v>1455</v>
      </c>
      <c r="O13" s="54" t="s">
        <v>1642</v>
      </c>
      <c r="P13" s="54" t="s">
        <v>1405</v>
      </c>
      <c r="Q13" s="53" t="s">
        <v>1735</v>
      </c>
      <c r="S13" s="53" t="s">
        <v>3231</v>
      </c>
      <c r="T13" s="53" t="s">
        <v>926</v>
      </c>
      <c r="U13" s="54" t="s">
        <v>2389</v>
      </c>
      <c r="V13" s="53" t="s">
        <v>2497</v>
      </c>
      <c r="W13" s="53" t="s">
        <v>60</v>
      </c>
      <c r="X13" s="53" t="s">
        <v>362</v>
      </c>
      <c r="Y13" s="53" t="s">
        <v>1250</v>
      </c>
      <c r="Z13" s="53" t="s">
        <v>878</v>
      </c>
      <c r="AA13" s="53" t="s">
        <v>127</v>
      </c>
      <c r="AB13" s="53" t="s">
        <v>2715</v>
      </c>
      <c r="AC13" s="53" t="s">
        <v>2783</v>
      </c>
      <c r="AD13" s="53" t="s">
        <v>2015</v>
      </c>
      <c r="AE13" s="53" t="s">
        <v>2951</v>
      </c>
      <c r="AF13" s="53" t="s">
        <v>979</v>
      </c>
      <c r="AG13" s="53" t="s">
        <v>367</v>
      </c>
      <c r="AH13" s="53" t="s">
        <v>1462</v>
      </c>
      <c r="AI13" s="1" t="s">
        <v>1514</v>
      </c>
      <c r="AK13" s="2">
        <f t="shared" si="0"/>
        <v>31</v>
      </c>
      <c r="AM13" s="2">
        <f t="shared" si="1"/>
        <v>12</v>
      </c>
    </row>
    <row r="14" spans="1:41" x14ac:dyDescent="0.35">
      <c r="A14" s="1" t="s">
        <v>5</v>
      </c>
      <c r="B14" s="1" t="s">
        <v>6</v>
      </c>
      <c r="C14" s="1" t="s">
        <v>6</v>
      </c>
      <c r="D14" s="1" t="s">
        <v>6</v>
      </c>
      <c r="E14" s="59" t="s">
        <v>6</v>
      </c>
      <c r="F14" s="1"/>
      <c r="G14" s="53" t="s">
        <v>6</v>
      </c>
      <c r="H14" s="55" t="s">
        <v>553</v>
      </c>
      <c r="I14" s="1" t="s">
        <v>150</v>
      </c>
      <c r="AK14" s="2">
        <f t="shared" si="0"/>
        <v>6</v>
      </c>
      <c r="AM14" s="2">
        <f t="shared" si="1"/>
        <v>3</v>
      </c>
    </row>
    <row r="15" spans="1:41" x14ac:dyDescent="0.35">
      <c r="A15" s="5" t="s">
        <v>1647</v>
      </c>
      <c r="B15" s="5"/>
      <c r="C15" s="5"/>
      <c r="D15" s="5"/>
      <c r="E15" s="1"/>
      <c r="F15" s="1"/>
      <c r="G15" s="1"/>
      <c r="H15" s="55" t="s">
        <v>552</v>
      </c>
      <c r="I15" s="53" t="s">
        <v>557</v>
      </c>
      <c r="J15" s="53" t="s">
        <v>827</v>
      </c>
      <c r="K15" s="53" t="s">
        <v>1103</v>
      </c>
      <c r="L15" s="53" t="s">
        <v>1201</v>
      </c>
      <c r="M15" s="53" t="s">
        <v>993</v>
      </c>
      <c r="N15" s="53" t="s">
        <v>366</v>
      </c>
      <c r="O15" s="53" t="s">
        <v>1646</v>
      </c>
      <c r="P15" s="53" t="s">
        <v>1395</v>
      </c>
      <c r="Q15" s="53" t="s">
        <v>1714</v>
      </c>
      <c r="R15" s="53" t="s">
        <v>1505</v>
      </c>
      <c r="S15" s="53" t="s">
        <v>2227</v>
      </c>
      <c r="T15" s="54" t="s">
        <v>921</v>
      </c>
      <c r="U15" s="53" t="s">
        <v>2390</v>
      </c>
      <c r="V15" s="53" t="s">
        <v>2498</v>
      </c>
      <c r="W15" s="53" t="s">
        <v>557</v>
      </c>
      <c r="X15" s="53" t="s">
        <v>363</v>
      </c>
      <c r="Y15" s="53" t="s">
        <v>974</v>
      </c>
      <c r="Z15" s="53" t="s">
        <v>879</v>
      </c>
      <c r="AA15" s="53" t="s">
        <v>283</v>
      </c>
      <c r="AB15" s="53" t="s">
        <v>2721</v>
      </c>
      <c r="AC15" s="53" t="s">
        <v>2785</v>
      </c>
      <c r="AD15" s="53" t="s">
        <v>2016</v>
      </c>
      <c r="AF15" s="53" t="s">
        <v>981</v>
      </c>
      <c r="AG15" s="53" t="s">
        <v>1069</v>
      </c>
      <c r="AH15" s="53" t="s">
        <v>1125</v>
      </c>
      <c r="AI15" s="1" t="s">
        <v>3140</v>
      </c>
      <c r="AK15" s="2">
        <f t="shared" si="0"/>
        <v>27</v>
      </c>
      <c r="AM15" s="2">
        <f t="shared" si="1"/>
        <v>11</v>
      </c>
    </row>
    <row r="16" spans="1:41" x14ac:dyDescent="0.35">
      <c r="A16" s="1" t="s">
        <v>7</v>
      </c>
      <c r="B16" s="53" t="s">
        <v>7894</v>
      </c>
      <c r="C16" s="53" t="s">
        <v>3234</v>
      </c>
      <c r="D16" s="1"/>
      <c r="E16" s="59" t="s">
        <v>8</v>
      </c>
      <c r="F16" s="1"/>
      <c r="G16" s="1" t="s">
        <v>8</v>
      </c>
      <c r="H16" s="16" t="s">
        <v>8</v>
      </c>
      <c r="I16" s="1" t="s">
        <v>8</v>
      </c>
      <c r="J16" s="1" t="s">
        <v>8</v>
      </c>
      <c r="AK16" s="2">
        <f t="shared" si="0"/>
        <v>6</v>
      </c>
      <c r="AM16" s="2">
        <f t="shared" si="1"/>
        <v>4</v>
      </c>
    </row>
    <row r="17" spans="1:39" x14ac:dyDescent="0.35">
      <c r="A17" s="1" t="s">
        <v>538</v>
      </c>
      <c r="B17" s="1"/>
      <c r="C17" s="1"/>
      <c r="D17" s="1"/>
      <c r="E17" s="1"/>
      <c r="F17" s="1"/>
      <c r="G17" s="1"/>
      <c r="H17" s="55" t="s">
        <v>59</v>
      </c>
      <c r="J17" s="53" t="s">
        <v>820</v>
      </c>
      <c r="K17" s="53" t="s">
        <v>1091</v>
      </c>
      <c r="AG17" s="54" t="s">
        <v>1082</v>
      </c>
      <c r="AH17" s="53" t="s">
        <v>1116</v>
      </c>
      <c r="AI17" s="1" t="s">
        <v>1516</v>
      </c>
      <c r="AK17" s="2">
        <f t="shared" si="0"/>
        <v>6</v>
      </c>
      <c r="AM17" s="2">
        <f t="shared" si="1"/>
        <v>3</v>
      </c>
    </row>
    <row r="18" spans="1:39" x14ac:dyDescent="0.35">
      <c r="A18" s="1" t="s">
        <v>2295</v>
      </c>
      <c r="B18" s="1" t="s">
        <v>146</v>
      </c>
      <c r="C18" s="1" t="s">
        <v>146</v>
      </c>
      <c r="D18" s="1" t="s">
        <v>146</v>
      </c>
      <c r="E18" s="54" t="s">
        <v>146</v>
      </c>
      <c r="F18" s="1"/>
      <c r="G18" s="54" t="s">
        <v>296</v>
      </c>
      <c r="H18" s="55" t="s">
        <v>289</v>
      </c>
      <c r="I18" s="53" t="s">
        <v>300</v>
      </c>
      <c r="L18" s="53" t="s">
        <v>1199</v>
      </c>
      <c r="M18" s="54" t="s">
        <v>988</v>
      </c>
      <c r="N18" s="53" t="s">
        <v>1449</v>
      </c>
      <c r="O18" s="53" t="s">
        <v>1644</v>
      </c>
      <c r="P18" s="53" t="s">
        <v>1382</v>
      </c>
      <c r="Q18" s="53" t="s">
        <v>970</v>
      </c>
      <c r="R18" s="53" t="s">
        <v>1079</v>
      </c>
      <c r="S18" s="53" t="s">
        <v>2214</v>
      </c>
      <c r="T18" s="53" t="s">
        <v>918</v>
      </c>
      <c r="U18" s="54" t="s">
        <v>2391</v>
      </c>
      <c r="V18" s="53" t="s">
        <v>2507</v>
      </c>
      <c r="W18" s="53" t="s">
        <v>150</v>
      </c>
      <c r="X18" s="53" t="s">
        <v>900</v>
      </c>
      <c r="Y18" s="53" t="s">
        <v>1180</v>
      </c>
      <c r="Z18" s="53" t="s">
        <v>894</v>
      </c>
      <c r="AA18" s="53" t="s">
        <v>545</v>
      </c>
      <c r="AB18" s="53" t="s">
        <v>2726</v>
      </c>
      <c r="AC18" s="53" t="s">
        <v>2212</v>
      </c>
      <c r="AD18" s="53" t="s">
        <v>2025</v>
      </c>
      <c r="AE18" s="53" t="s">
        <v>2954</v>
      </c>
      <c r="AF18" s="53" t="s">
        <v>993</v>
      </c>
      <c r="AG18" s="54" t="s">
        <v>1084</v>
      </c>
      <c r="AH18" s="53" t="s">
        <v>1118</v>
      </c>
      <c r="AI18" s="1" t="s">
        <v>1517</v>
      </c>
      <c r="AK18" s="2">
        <f t="shared" si="0"/>
        <v>30</v>
      </c>
      <c r="AM18" s="2">
        <f t="shared" si="1"/>
        <v>10</v>
      </c>
    </row>
    <row r="19" spans="1:39" x14ac:dyDescent="0.35">
      <c r="A19" s="1" t="s">
        <v>147</v>
      </c>
      <c r="B19" s="1" t="s">
        <v>148</v>
      </c>
      <c r="C19" s="1" t="s">
        <v>148</v>
      </c>
      <c r="D19" s="1" t="s">
        <v>148</v>
      </c>
      <c r="E19" s="1" t="s">
        <v>148</v>
      </c>
      <c r="F19" s="1"/>
      <c r="G19" s="53" t="s">
        <v>148</v>
      </c>
      <c r="H19" s="55" t="s">
        <v>290</v>
      </c>
      <c r="I19" s="53" t="s">
        <v>148</v>
      </c>
      <c r="J19" s="53" t="s">
        <v>821</v>
      </c>
      <c r="K19" s="53" t="s">
        <v>1092</v>
      </c>
      <c r="L19" s="53" t="s">
        <v>1200</v>
      </c>
      <c r="M19" s="53" t="s">
        <v>990</v>
      </c>
      <c r="N19" s="53" t="s">
        <v>1067</v>
      </c>
      <c r="O19" s="53" t="s">
        <v>1645</v>
      </c>
      <c r="P19" s="53" t="s">
        <v>1385</v>
      </c>
      <c r="Q19" s="53" t="s">
        <v>1713</v>
      </c>
      <c r="R19" s="54" t="s">
        <v>1080</v>
      </c>
      <c r="S19" s="53" t="s">
        <v>2215</v>
      </c>
      <c r="T19" s="53" t="s">
        <v>919</v>
      </c>
      <c r="U19" s="54" t="s">
        <v>2392</v>
      </c>
      <c r="V19" s="53" t="s">
        <v>2508</v>
      </c>
      <c r="W19" s="53" t="s">
        <v>558</v>
      </c>
      <c r="X19" s="53" t="s">
        <v>1068</v>
      </c>
      <c r="Y19" s="53" t="s">
        <v>979</v>
      </c>
      <c r="Z19" s="53" t="s">
        <v>895</v>
      </c>
      <c r="AA19" s="53" t="s">
        <v>547</v>
      </c>
      <c r="AF19" s="53" t="s">
        <v>994</v>
      </c>
      <c r="AG19" s="53" t="s">
        <v>1079</v>
      </c>
      <c r="AH19" s="53" t="s">
        <v>1124</v>
      </c>
      <c r="AI19" s="1" t="s">
        <v>1109</v>
      </c>
      <c r="AK19" s="2">
        <f t="shared" si="0"/>
        <v>28</v>
      </c>
      <c r="AM19" s="2">
        <f t="shared" si="1"/>
        <v>12</v>
      </c>
    </row>
    <row r="20" spans="1:39" x14ac:dyDescent="0.35">
      <c r="A20" s="1" t="s">
        <v>1450</v>
      </c>
      <c r="B20" s="1" t="s">
        <v>296</v>
      </c>
      <c r="C20" s="54" t="s">
        <v>296</v>
      </c>
      <c r="D20" s="1"/>
      <c r="E20" s="59" t="s">
        <v>60</v>
      </c>
      <c r="F20" s="1"/>
      <c r="G20" s="53" t="s">
        <v>60</v>
      </c>
      <c r="H20" s="55" t="s">
        <v>539</v>
      </c>
      <c r="O20" s="54" t="s">
        <v>1641</v>
      </c>
      <c r="P20" s="54" t="s">
        <v>1380</v>
      </c>
      <c r="Q20" s="54" t="s">
        <v>969</v>
      </c>
      <c r="R20" s="54" t="s">
        <v>1078</v>
      </c>
      <c r="S20" s="53" t="s">
        <v>2213</v>
      </c>
      <c r="T20" s="1" t="s">
        <v>917</v>
      </c>
      <c r="AK20" s="2">
        <f t="shared" si="0"/>
        <v>10</v>
      </c>
      <c r="AM20" s="2">
        <f t="shared" si="1"/>
        <v>6</v>
      </c>
    </row>
    <row r="21" spans="1:39" x14ac:dyDescent="0.35">
      <c r="A21" s="1" t="s">
        <v>1259</v>
      </c>
      <c r="B21" s="1"/>
      <c r="C21" s="1"/>
      <c r="D21" s="1"/>
      <c r="E21" s="1"/>
      <c r="F21" s="1"/>
      <c r="G21" s="1"/>
      <c r="H21" s="16"/>
      <c r="M21" s="1" t="s">
        <v>992</v>
      </c>
      <c r="AK21" s="2">
        <f t="shared" si="0"/>
        <v>1</v>
      </c>
      <c r="AM21" s="2">
        <f t="shared" si="1"/>
        <v>1</v>
      </c>
    </row>
    <row r="22" spans="1:39" x14ac:dyDescent="0.35">
      <c r="A22" s="1" t="s">
        <v>805</v>
      </c>
      <c r="B22" s="1"/>
      <c r="C22" s="54" t="s">
        <v>3271</v>
      </c>
      <c r="D22" s="1"/>
      <c r="E22" s="1"/>
      <c r="F22" s="1"/>
      <c r="G22" s="1"/>
      <c r="H22" s="16"/>
      <c r="J22" s="54" t="s">
        <v>770</v>
      </c>
      <c r="K22" s="53" t="s">
        <v>1082</v>
      </c>
      <c r="M22" s="54" t="s">
        <v>984</v>
      </c>
      <c r="N22" s="54" t="s">
        <v>1447</v>
      </c>
      <c r="O22" s="1" t="s">
        <v>1637</v>
      </c>
      <c r="AK22" s="2">
        <f t="shared" si="0"/>
        <v>6</v>
      </c>
      <c r="AM22" s="2">
        <f t="shared" si="1"/>
        <v>5</v>
      </c>
    </row>
    <row r="23" spans="1:39" x14ac:dyDescent="0.35">
      <c r="A23" s="1" t="s">
        <v>806</v>
      </c>
      <c r="B23" s="1"/>
      <c r="C23" s="54" t="s">
        <v>3272</v>
      </c>
      <c r="D23" s="1"/>
      <c r="E23" s="1"/>
      <c r="F23" s="1"/>
      <c r="G23" s="1"/>
      <c r="H23" s="16"/>
      <c r="J23" s="54" t="s">
        <v>809</v>
      </c>
      <c r="K23" s="53" t="s">
        <v>1083</v>
      </c>
      <c r="M23" s="54" t="s">
        <v>985</v>
      </c>
      <c r="N23" s="54" t="s">
        <v>1448</v>
      </c>
      <c r="O23" s="1" t="s">
        <v>1638</v>
      </c>
      <c r="AK23" s="2">
        <f t="shared" si="0"/>
        <v>6</v>
      </c>
      <c r="AM23" s="2">
        <f t="shared" si="1"/>
        <v>5</v>
      </c>
    </row>
    <row r="24" spans="1:39" x14ac:dyDescent="0.35">
      <c r="A24" s="1" t="s">
        <v>807</v>
      </c>
      <c r="B24" s="1"/>
      <c r="C24" s="54" t="s">
        <v>3273</v>
      </c>
      <c r="D24" s="1"/>
      <c r="E24" s="1"/>
      <c r="F24" s="1"/>
      <c r="G24" s="1"/>
      <c r="H24" s="16"/>
      <c r="J24" s="54" t="s">
        <v>810</v>
      </c>
      <c r="K24" s="53" t="s">
        <v>1084</v>
      </c>
      <c r="M24" s="54" t="s">
        <v>986</v>
      </c>
      <c r="N24" s="54" t="s">
        <v>1059</v>
      </c>
      <c r="O24" s="1" t="s">
        <v>1639</v>
      </c>
      <c r="AK24" s="2">
        <f t="shared" si="0"/>
        <v>6</v>
      </c>
      <c r="AM24" s="2">
        <f t="shared" si="1"/>
        <v>5</v>
      </c>
    </row>
    <row r="25" spans="1:39" x14ac:dyDescent="0.35">
      <c r="A25" s="1" t="s">
        <v>808</v>
      </c>
      <c r="B25" s="1"/>
      <c r="C25" s="1"/>
      <c r="D25" s="1"/>
      <c r="E25" s="1"/>
      <c r="F25" s="1"/>
      <c r="G25" s="1"/>
      <c r="H25" s="16"/>
      <c r="J25" s="54" t="s">
        <v>811</v>
      </c>
      <c r="K25" s="53" t="s">
        <v>1085</v>
      </c>
      <c r="M25" s="54" t="s">
        <v>987</v>
      </c>
      <c r="N25" s="54" t="s">
        <v>365</v>
      </c>
      <c r="O25" s="1" t="s">
        <v>1640</v>
      </c>
      <c r="AK25" s="2">
        <f t="shared" si="0"/>
        <v>5</v>
      </c>
      <c r="AM25" s="2">
        <f t="shared" si="1"/>
        <v>5</v>
      </c>
    </row>
    <row r="26" spans="1:39" ht="29" x14ac:dyDescent="0.35">
      <c r="A26" s="5" t="s">
        <v>149</v>
      </c>
      <c r="B26" s="5"/>
      <c r="C26" s="5" t="s">
        <v>150</v>
      </c>
      <c r="D26" s="5" t="s">
        <v>150</v>
      </c>
      <c r="E26" s="59" t="s">
        <v>150</v>
      </c>
      <c r="F26" s="1"/>
      <c r="G26" s="53" t="s">
        <v>150</v>
      </c>
      <c r="H26" s="55" t="s">
        <v>293</v>
      </c>
      <c r="I26" s="1" t="s">
        <v>558</v>
      </c>
      <c r="AK26" s="2">
        <f t="shared" si="0"/>
        <v>6</v>
      </c>
      <c r="AM26" s="2">
        <f t="shared" si="1"/>
        <v>3</v>
      </c>
    </row>
    <row r="27" spans="1:39" ht="29" x14ac:dyDescent="0.35">
      <c r="A27" s="5" t="s">
        <v>152</v>
      </c>
      <c r="B27" s="5" t="s">
        <v>151</v>
      </c>
      <c r="C27" s="5" t="s">
        <v>151</v>
      </c>
      <c r="D27" s="5" t="s">
        <v>151</v>
      </c>
      <c r="E27" s="59" t="s">
        <v>151</v>
      </c>
      <c r="F27" s="1"/>
      <c r="G27" s="53" t="s">
        <v>151</v>
      </c>
      <c r="H27" s="55" t="s">
        <v>148</v>
      </c>
      <c r="J27" s="54" t="s">
        <v>772</v>
      </c>
      <c r="K27" s="53" t="s">
        <v>1106</v>
      </c>
      <c r="L27" s="53" t="s">
        <v>1202</v>
      </c>
      <c r="M27" s="53" t="s">
        <v>996</v>
      </c>
      <c r="N27" s="53" t="s">
        <v>1068</v>
      </c>
      <c r="O27" s="53" t="s">
        <v>1655</v>
      </c>
      <c r="P27" s="53" t="s">
        <v>1400</v>
      </c>
      <c r="Q27" s="53" t="s">
        <v>1720</v>
      </c>
      <c r="R27" s="53" t="s">
        <v>1510</v>
      </c>
      <c r="S27" s="53" t="s">
        <v>2231</v>
      </c>
      <c r="T27" s="1" t="s">
        <v>923</v>
      </c>
      <c r="AK27" s="2">
        <f t="shared" si="0"/>
        <v>16</v>
      </c>
      <c r="AM27" s="2">
        <f t="shared" si="1"/>
        <v>11</v>
      </c>
    </row>
    <row r="28" spans="1:39" x14ac:dyDescent="0.35">
      <c r="A28" s="5" t="s">
        <v>2410</v>
      </c>
      <c r="B28" s="5"/>
      <c r="C28" s="5"/>
      <c r="D28" s="5"/>
      <c r="E28" s="1"/>
      <c r="F28" s="1"/>
      <c r="G28" s="1"/>
      <c r="H28" s="16"/>
      <c r="U28" s="54" t="s">
        <v>2411</v>
      </c>
      <c r="W28" s="1" t="s">
        <v>673</v>
      </c>
      <c r="AK28" s="2">
        <f t="shared" si="0"/>
        <v>2</v>
      </c>
      <c r="AM28" s="2">
        <f t="shared" si="1"/>
        <v>0</v>
      </c>
    </row>
    <row r="29" spans="1:39" x14ac:dyDescent="0.35">
      <c r="A29" s="5" t="s">
        <v>153</v>
      </c>
      <c r="B29" s="5"/>
      <c r="C29" s="5" t="s">
        <v>154</v>
      </c>
      <c r="D29" s="5" t="s">
        <v>154</v>
      </c>
      <c r="E29" s="1" t="s">
        <v>154</v>
      </c>
      <c r="F29" s="1"/>
      <c r="G29" s="53" t="s">
        <v>154</v>
      </c>
      <c r="H29" s="55" t="s">
        <v>60</v>
      </c>
      <c r="I29" s="53" t="s">
        <v>568</v>
      </c>
      <c r="J29" s="53" t="s">
        <v>831</v>
      </c>
      <c r="K29" s="53" t="s">
        <v>1108</v>
      </c>
      <c r="L29" s="53" t="s">
        <v>1043</v>
      </c>
      <c r="M29" s="53" t="s">
        <v>997</v>
      </c>
      <c r="N29" s="53" t="s">
        <v>1072</v>
      </c>
      <c r="O29" s="53" t="s">
        <v>1648</v>
      </c>
      <c r="P29" s="53" t="s">
        <v>1396</v>
      </c>
      <c r="Q29" s="53" t="s">
        <v>1721</v>
      </c>
      <c r="R29" s="53" t="s">
        <v>1092</v>
      </c>
      <c r="S29" s="53" t="s">
        <v>2229</v>
      </c>
      <c r="U29" s="54" t="s">
        <v>2403</v>
      </c>
      <c r="V29" s="53" t="s">
        <v>2499</v>
      </c>
      <c r="W29" s="53" t="s">
        <v>160</v>
      </c>
      <c r="X29" s="53" t="s">
        <v>364</v>
      </c>
      <c r="Y29" s="53" t="s">
        <v>1252</v>
      </c>
      <c r="Z29" s="53" t="s">
        <v>883</v>
      </c>
      <c r="AA29" s="53" t="s">
        <v>285</v>
      </c>
      <c r="AF29" s="1" t="s">
        <v>995</v>
      </c>
      <c r="AK29" s="2">
        <f t="shared" si="0"/>
        <v>24</v>
      </c>
      <c r="AM29" s="2">
        <f t="shared" si="1"/>
        <v>11</v>
      </c>
    </row>
    <row r="30" spans="1:39" x14ac:dyDescent="0.35">
      <c r="A30" s="5" t="s">
        <v>155</v>
      </c>
      <c r="B30" s="5"/>
      <c r="C30" s="5" t="s">
        <v>156</v>
      </c>
      <c r="D30" s="5" t="s">
        <v>156</v>
      </c>
      <c r="E30" s="1" t="s">
        <v>156</v>
      </c>
      <c r="F30" s="1"/>
      <c r="G30" s="53" t="s">
        <v>156</v>
      </c>
      <c r="H30" s="55" t="s">
        <v>557</v>
      </c>
      <c r="I30" s="53" t="s">
        <v>161</v>
      </c>
      <c r="J30" s="53" t="s">
        <v>832</v>
      </c>
      <c r="K30" s="53" t="s">
        <v>1109</v>
      </c>
      <c r="L30" s="53" t="s">
        <v>1204</v>
      </c>
      <c r="M30" s="53" t="s">
        <v>999</v>
      </c>
      <c r="N30" s="53" t="s">
        <v>1453</v>
      </c>
      <c r="O30" s="53" t="s">
        <v>1649</v>
      </c>
      <c r="P30" s="53" t="s">
        <v>1399</v>
      </c>
      <c r="Q30" s="53" t="s">
        <v>1722</v>
      </c>
      <c r="R30" s="53" t="s">
        <v>1503</v>
      </c>
      <c r="S30" s="53" t="s">
        <v>2230</v>
      </c>
      <c r="U30" s="54" t="s">
        <v>2404</v>
      </c>
      <c r="V30" s="53" t="s">
        <v>2500</v>
      </c>
      <c r="W30" s="53" t="s">
        <v>567</v>
      </c>
      <c r="X30" s="53" t="s">
        <v>1447</v>
      </c>
      <c r="Y30" s="53" t="s">
        <v>975</v>
      </c>
      <c r="Z30" s="53" t="s">
        <v>884</v>
      </c>
      <c r="AA30" s="53" t="s">
        <v>287</v>
      </c>
      <c r="AF30" s="53" t="s">
        <v>996</v>
      </c>
      <c r="AG30" s="1" t="s">
        <v>1087</v>
      </c>
      <c r="AK30" s="2">
        <f t="shared" si="0"/>
        <v>25</v>
      </c>
      <c r="AM30" s="2">
        <f t="shared" si="1"/>
        <v>11</v>
      </c>
    </row>
    <row r="31" spans="1:39" x14ac:dyDescent="0.35">
      <c r="A31" s="5" t="s">
        <v>3016</v>
      </c>
      <c r="B31" s="5"/>
      <c r="C31" s="5"/>
      <c r="D31" s="5"/>
      <c r="E31" s="1"/>
      <c r="F31" s="1"/>
      <c r="G31" s="1"/>
      <c r="H31" s="16"/>
      <c r="T31" s="54" t="s">
        <v>925</v>
      </c>
      <c r="AG31" s="54" t="s">
        <v>1081</v>
      </c>
      <c r="AH31" s="53" t="s">
        <v>1141</v>
      </c>
      <c r="AI31" s="1" t="s">
        <v>1090</v>
      </c>
      <c r="AK31" s="2">
        <f t="shared" si="0"/>
        <v>4</v>
      </c>
      <c r="AM31" s="2">
        <f t="shared" si="1"/>
        <v>1</v>
      </c>
    </row>
    <row r="32" spans="1:39" x14ac:dyDescent="0.35">
      <c r="A32" s="5" t="s">
        <v>157</v>
      </c>
      <c r="B32" s="64" t="s">
        <v>566</v>
      </c>
      <c r="C32" s="5" t="s">
        <v>158</v>
      </c>
      <c r="D32" s="5" t="s">
        <v>158</v>
      </c>
      <c r="E32" s="59" t="s">
        <v>158</v>
      </c>
      <c r="F32" s="1"/>
      <c r="G32" s="53" t="s">
        <v>158</v>
      </c>
      <c r="H32" s="55" t="s">
        <v>558</v>
      </c>
      <c r="I32" s="53" t="s">
        <v>403</v>
      </c>
      <c r="J32" s="53" t="s">
        <v>833</v>
      </c>
      <c r="K32" s="53" t="s">
        <v>1111</v>
      </c>
      <c r="L32" s="54" t="s">
        <v>1205</v>
      </c>
      <c r="M32" s="54" t="s">
        <v>983</v>
      </c>
      <c r="O32" s="1" t="s">
        <v>1656</v>
      </c>
      <c r="AK32" s="2">
        <f t="shared" si="0"/>
        <v>11</v>
      </c>
      <c r="AM32" s="2">
        <f t="shared" si="1"/>
        <v>8</v>
      </c>
    </row>
    <row r="33" spans="1:39" x14ac:dyDescent="0.35">
      <c r="A33" s="5" t="s">
        <v>159</v>
      </c>
      <c r="B33" s="64" t="s">
        <v>7895</v>
      </c>
      <c r="C33" s="5" t="s">
        <v>160</v>
      </c>
      <c r="D33" s="5" t="s">
        <v>160</v>
      </c>
      <c r="E33" s="59" t="s">
        <v>160</v>
      </c>
      <c r="F33" s="1"/>
      <c r="G33" s="53" t="s">
        <v>160</v>
      </c>
      <c r="H33" s="55" t="s">
        <v>151</v>
      </c>
      <c r="I33" s="54" t="s">
        <v>673</v>
      </c>
      <c r="J33" s="53" t="s">
        <v>834</v>
      </c>
      <c r="K33" s="53" t="s">
        <v>1112</v>
      </c>
      <c r="L33" s="53" t="s">
        <v>1045</v>
      </c>
      <c r="M33" s="53" t="s">
        <v>982</v>
      </c>
      <c r="N33" s="1" t="s">
        <v>1074</v>
      </c>
      <c r="AK33" s="2">
        <f t="shared" si="0"/>
        <v>11</v>
      </c>
      <c r="AM33" s="2">
        <f t="shared" si="1"/>
        <v>8</v>
      </c>
    </row>
    <row r="34" spans="1:39" x14ac:dyDescent="0.35">
      <c r="A34" s="5" t="s">
        <v>292</v>
      </c>
      <c r="B34" s="5"/>
      <c r="C34" s="5"/>
      <c r="D34" s="5"/>
      <c r="E34" s="1"/>
      <c r="F34" s="1"/>
      <c r="G34" s="54" t="s">
        <v>293</v>
      </c>
      <c r="H34" s="55" t="s">
        <v>127</v>
      </c>
      <c r="I34" s="53" t="s">
        <v>551</v>
      </c>
      <c r="P34" s="54" t="s">
        <v>1384</v>
      </c>
      <c r="Q34" s="53" t="s">
        <v>937</v>
      </c>
      <c r="R34" s="53" t="s">
        <v>1059</v>
      </c>
      <c r="S34" s="53" t="s">
        <v>2182</v>
      </c>
      <c r="U34" s="54" t="s">
        <v>2395</v>
      </c>
      <c r="V34" s="53" t="s">
        <v>2504</v>
      </c>
      <c r="W34" s="53" t="s">
        <v>304</v>
      </c>
      <c r="AA34" s="53" t="s">
        <v>660</v>
      </c>
      <c r="AE34" s="54" t="s">
        <v>2953</v>
      </c>
      <c r="AF34" s="53" t="s">
        <v>998</v>
      </c>
      <c r="AG34" s="54" t="s">
        <v>1073</v>
      </c>
      <c r="AH34" s="53" t="s">
        <v>1121</v>
      </c>
      <c r="AI34" s="54" t="s">
        <v>1107</v>
      </c>
      <c r="AK34" s="2">
        <f t="shared" si="0"/>
        <v>16</v>
      </c>
      <c r="AM34" s="2">
        <f t="shared" si="1"/>
        <v>5</v>
      </c>
    </row>
    <row r="35" spans="1:39" x14ac:dyDescent="0.35">
      <c r="A35" s="5" t="s">
        <v>294</v>
      </c>
      <c r="B35" s="5" t="s">
        <v>298</v>
      </c>
      <c r="C35" s="5" t="s">
        <v>295</v>
      </c>
      <c r="D35" s="5"/>
      <c r="E35" s="1"/>
      <c r="F35" s="1"/>
      <c r="G35" s="54" t="s">
        <v>295</v>
      </c>
      <c r="H35" s="55" t="s">
        <v>287</v>
      </c>
      <c r="I35" s="53" t="s">
        <v>298</v>
      </c>
      <c r="J35" s="53" t="s">
        <v>819</v>
      </c>
      <c r="K35" s="53" t="s">
        <v>1090</v>
      </c>
      <c r="L35" s="53" t="s">
        <v>1198</v>
      </c>
      <c r="M35" s="53" t="s">
        <v>981</v>
      </c>
      <c r="N35" s="54" t="s">
        <v>364</v>
      </c>
      <c r="O35" s="53" t="s">
        <v>1651</v>
      </c>
      <c r="P35" s="53" t="s">
        <v>1379</v>
      </c>
      <c r="Q35" s="53" t="s">
        <v>1949</v>
      </c>
      <c r="R35" s="53" t="s">
        <v>1085</v>
      </c>
      <c r="S35" s="53" t="s">
        <v>2212</v>
      </c>
      <c r="T35" s="53" t="s">
        <v>916</v>
      </c>
      <c r="U35" s="53" t="s">
        <v>2396</v>
      </c>
      <c r="V35" s="53" t="s">
        <v>2505</v>
      </c>
      <c r="W35" s="53" t="s">
        <v>566</v>
      </c>
      <c r="X35" s="53" t="s">
        <v>1449</v>
      </c>
      <c r="Y35" s="53" t="s">
        <v>977</v>
      </c>
      <c r="Z35" s="53" t="s">
        <v>891</v>
      </c>
      <c r="AA35" s="53" t="s">
        <v>539</v>
      </c>
      <c r="AB35" s="53" t="s">
        <v>2724</v>
      </c>
      <c r="AC35" s="53" t="s">
        <v>2210</v>
      </c>
      <c r="AD35" s="53" t="s">
        <v>2023</v>
      </c>
      <c r="AF35" s="53" t="s">
        <v>992</v>
      </c>
      <c r="AG35" s="53" t="s">
        <v>363</v>
      </c>
      <c r="AH35" s="53" t="s">
        <v>1068</v>
      </c>
      <c r="AI35" s="53" t="s">
        <v>1080</v>
      </c>
      <c r="AK35" s="2">
        <f t="shared" si="0"/>
        <v>29</v>
      </c>
      <c r="AM35" s="2">
        <f t="shared" si="1"/>
        <v>12</v>
      </c>
    </row>
    <row r="36" spans="1:39" x14ac:dyDescent="0.35">
      <c r="A36" s="5" t="s">
        <v>2397</v>
      </c>
      <c r="B36" s="5"/>
      <c r="C36" s="5"/>
      <c r="D36" s="5"/>
      <c r="E36" s="1"/>
      <c r="F36" s="1"/>
      <c r="G36" s="1"/>
      <c r="H36" s="16"/>
      <c r="U36" s="54" t="s">
        <v>2399</v>
      </c>
      <c r="AI36" s="1" t="s">
        <v>1100</v>
      </c>
      <c r="AK36" s="2">
        <f t="shared" si="0"/>
        <v>2</v>
      </c>
      <c r="AM36" s="2">
        <f t="shared" si="1"/>
        <v>0</v>
      </c>
    </row>
    <row r="37" spans="1:39" x14ac:dyDescent="0.35">
      <c r="A37" s="5" t="s">
        <v>2398</v>
      </c>
      <c r="B37" s="5"/>
      <c r="C37" s="5"/>
      <c r="D37" s="5"/>
      <c r="E37" s="1"/>
      <c r="F37" s="1"/>
      <c r="G37" s="1"/>
      <c r="H37" s="16"/>
      <c r="U37" s="54" t="s">
        <v>2400</v>
      </c>
      <c r="AI37" s="1" t="s">
        <v>1513</v>
      </c>
      <c r="AK37" s="2">
        <f t="shared" si="0"/>
        <v>2</v>
      </c>
      <c r="AM37" s="2">
        <f t="shared" si="1"/>
        <v>0</v>
      </c>
    </row>
    <row r="38" spans="1:39" x14ac:dyDescent="0.35">
      <c r="A38" s="5" t="s">
        <v>2401</v>
      </c>
      <c r="B38" s="5"/>
      <c r="C38" s="5"/>
      <c r="D38" s="5"/>
      <c r="E38" s="1"/>
      <c r="F38" s="1"/>
      <c r="G38" s="1"/>
      <c r="H38" s="16"/>
      <c r="U38" s="54" t="s">
        <v>2402</v>
      </c>
      <c r="AH38" s="1" t="s">
        <v>367</v>
      </c>
      <c r="AK38" s="2">
        <f t="shared" si="0"/>
        <v>2</v>
      </c>
      <c r="AM38" s="2">
        <f t="shared" si="1"/>
        <v>0</v>
      </c>
    </row>
    <row r="39" spans="1:39" x14ac:dyDescent="0.35">
      <c r="A39" s="5" t="s">
        <v>297</v>
      </c>
      <c r="B39" s="5"/>
      <c r="C39" s="5"/>
      <c r="D39" s="5"/>
      <c r="E39" s="1"/>
      <c r="F39" s="1"/>
      <c r="G39" s="54" t="s">
        <v>298</v>
      </c>
      <c r="H39" s="55" t="s">
        <v>133</v>
      </c>
      <c r="J39" s="53" t="s">
        <v>823</v>
      </c>
      <c r="K39" s="54" t="s">
        <v>1101</v>
      </c>
      <c r="AG39" s="54" t="s">
        <v>1083</v>
      </c>
      <c r="AH39" s="53" t="s">
        <v>2868</v>
      </c>
      <c r="AI39" s="1" t="s">
        <v>1515</v>
      </c>
      <c r="AK39" s="2">
        <f t="shared" si="0"/>
        <v>7</v>
      </c>
      <c r="AM39" s="2">
        <f t="shared" si="1"/>
        <v>4</v>
      </c>
    </row>
    <row r="40" spans="1:39" x14ac:dyDescent="0.35">
      <c r="A40" s="5" t="s">
        <v>299</v>
      </c>
      <c r="B40" s="5"/>
      <c r="C40" s="5"/>
      <c r="D40" s="5"/>
      <c r="E40" s="1"/>
      <c r="F40" s="1"/>
      <c r="G40" s="54" t="s">
        <v>300</v>
      </c>
      <c r="H40" s="16"/>
      <c r="J40" s="53" t="s">
        <v>824</v>
      </c>
      <c r="K40" s="54" t="s">
        <v>1102</v>
      </c>
      <c r="AG40" s="54" t="s">
        <v>1078</v>
      </c>
      <c r="AH40" s="53" t="s">
        <v>1119</v>
      </c>
      <c r="AI40" s="1" t="s">
        <v>1104</v>
      </c>
      <c r="AK40" s="2">
        <f t="shared" si="0"/>
        <v>6</v>
      </c>
      <c r="AM40" s="2">
        <f t="shared" si="1"/>
        <v>3</v>
      </c>
    </row>
    <row r="41" spans="1:39" x14ac:dyDescent="0.35">
      <c r="A41" s="5" t="s">
        <v>1451</v>
      </c>
      <c r="B41" s="5"/>
      <c r="C41" s="5"/>
      <c r="D41" s="5"/>
      <c r="E41" s="1"/>
      <c r="F41" s="1"/>
      <c r="G41" s="1"/>
      <c r="H41" s="16"/>
      <c r="N41" s="54" t="s">
        <v>1452</v>
      </c>
      <c r="O41" s="53" t="s">
        <v>1652</v>
      </c>
      <c r="Q41" s="53" t="s">
        <v>1726</v>
      </c>
      <c r="T41" s="1" t="s">
        <v>927</v>
      </c>
      <c r="AK41" s="2">
        <f t="shared" si="0"/>
        <v>4</v>
      </c>
      <c r="AM41" s="2">
        <f t="shared" si="1"/>
        <v>3</v>
      </c>
    </row>
    <row r="42" spans="1:39" x14ac:dyDescent="0.35">
      <c r="A42" s="5" t="s">
        <v>554</v>
      </c>
      <c r="B42" s="5"/>
      <c r="C42" s="5"/>
      <c r="D42" s="5"/>
      <c r="E42" s="1"/>
      <c r="F42" s="1"/>
      <c r="G42" s="1"/>
      <c r="H42" s="60" t="s">
        <v>295</v>
      </c>
      <c r="I42" s="53" t="s">
        <v>151</v>
      </c>
      <c r="N42" s="54" t="s">
        <v>1069</v>
      </c>
      <c r="O42" s="53" t="s">
        <v>1653</v>
      </c>
      <c r="P42" s="54" t="s">
        <v>1401</v>
      </c>
      <c r="Q42" s="53" t="s">
        <v>1727</v>
      </c>
      <c r="R42" s="53" t="s">
        <v>1094</v>
      </c>
      <c r="S42" s="53" t="s">
        <v>2232</v>
      </c>
      <c r="T42" s="53" t="s">
        <v>928</v>
      </c>
      <c r="U42" s="54" t="s">
        <v>2393</v>
      </c>
      <c r="V42" s="53" t="s">
        <v>2506</v>
      </c>
      <c r="W42" s="53" t="s">
        <v>151</v>
      </c>
      <c r="X42" s="54" t="s">
        <v>1067</v>
      </c>
      <c r="Y42" s="53" t="s">
        <v>1256</v>
      </c>
      <c r="Z42" s="53" t="s">
        <v>892</v>
      </c>
      <c r="AA42" s="53" t="s">
        <v>541</v>
      </c>
      <c r="AF42" s="1" t="s">
        <v>984</v>
      </c>
      <c r="AK42" s="2">
        <f t="shared" si="0"/>
        <v>17</v>
      </c>
      <c r="AM42" s="2">
        <f t="shared" si="1"/>
        <v>7</v>
      </c>
    </row>
    <row r="43" spans="1:39" x14ac:dyDescent="0.35">
      <c r="A43" s="5" t="s">
        <v>2566</v>
      </c>
      <c r="B43" s="5"/>
      <c r="C43" s="5"/>
      <c r="D43" s="5"/>
      <c r="E43" s="1"/>
      <c r="F43" s="1"/>
      <c r="G43" s="1"/>
      <c r="H43" s="16"/>
      <c r="W43" s="54" t="s">
        <v>154</v>
      </c>
      <c r="X43" s="54" t="s">
        <v>366</v>
      </c>
      <c r="Y43" s="53" t="s">
        <v>978</v>
      </c>
      <c r="Z43" s="53" t="s">
        <v>893</v>
      </c>
      <c r="AA43" s="1" t="s">
        <v>543</v>
      </c>
      <c r="AK43" s="2">
        <f t="shared" si="0"/>
        <v>5</v>
      </c>
      <c r="AM43" s="2">
        <f t="shared" si="1"/>
        <v>0</v>
      </c>
    </row>
    <row r="44" spans="1:39" x14ac:dyDescent="0.35">
      <c r="A44" s="5" t="s">
        <v>3017</v>
      </c>
      <c r="B44" s="5"/>
      <c r="C44" s="5"/>
      <c r="D44" s="5"/>
      <c r="E44" s="1"/>
      <c r="F44" s="1"/>
      <c r="G44" s="1"/>
      <c r="H44" s="16"/>
      <c r="AG44" s="54" t="s">
        <v>1089</v>
      </c>
      <c r="AH44" s="53" t="s">
        <v>1122</v>
      </c>
      <c r="AI44" s="1" t="s">
        <v>1108</v>
      </c>
      <c r="AK44" s="2">
        <f t="shared" si="0"/>
        <v>3</v>
      </c>
      <c r="AM44" s="2">
        <f t="shared" si="1"/>
        <v>0</v>
      </c>
    </row>
    <row r="45" spans="1:39" x14ac:dyDescent="0.35">
      <c r="A45" s="5" t="s">
        <v>3018</v>
      </c>
      <c r="B45" s="5"/>
      <c r="C45" s="5"/>
      <c r="D45" s="5"/>
      <c r="E45" s="1"/>
      <c r="F45" s="1"/>
      <c r="G45" s="1"/>
      <c r="H45" s="16"/>
      <c r="AG45" s="54" t="s">
        <v>2223</v>
      </c>
      <c r="AH45" s="53" t="s">
        <v>1127</v>
      </c>
      <c r="AI45" s="1" t="s">
        <v>1111</v>
      </c>
      <c r="AK45" s="2">
        <f t="shared" si="0"/>
        <v>3</v>
      </c>
      <c r="AM45" s="2">
        <f t="shared" si="1"/>
        <v>0</v>
      </c>
    </row>
    <row r="46" spans="1:39" x14ac:dyDescent="0.35">
      <c r="A46" s="5" t="s">
        <v>555</v>
      </c>
      <c r="B46" s="5"/>
      <c r="C46" s="5"/>
      <c r="D46" s="5"/>
      <c r="E46" s="1"/>
      <c r="F46" s="1"/>
      <c r="G46" s="1"/>
      <c r="H46" s="60" t="s">
        <v>296</v>
      </c>
      <c r="I46" s="1" t="s">
        <v>154</v>
      </c>
      <c r="AK46" s="2">
        <f t="shared" si="0"/>
        <v>2</v>
      </c>
      <c r="AM46" s="2">
        <f t="shared" si="1"/>
        <v>2</v>
      </c>
    </row>
    <row r="47" spans="1:39" x14ac:dyDescent="0.35">
      <c r="A47" s="5" t="s">
        <v>301</v>
      </c>
      <c r="B47" s="5"/>
      <c r="C47" s="1" t="s">
        <v>302</v>
      </c>
      <c r="D47" s="5"/>
      <c r="E47" s="1"/>
      <c r="F47" s="1"/>
      <c r="G47" s="53" t="s">
        <v>302</v>
      </c>
      <c r="H47" s="55" t="s">
        <v>298</v>
      </c>
      <c r="I47" s="53" t="s">
        <v>156</v>
      </c>
      <c r="J47" s="53" t="s">
        <v>828</v>
      </c>
      <c r="K47" s="53" t="s">
        <v>1105</v>
      </c>
      <c r="AB47" s="54" t="s">
        <v>2725</v>
      </c>
      <c r="AC47" s="53" t="s">
        <v>2211</v>
      </c>
      <c r="AD47" s="53" t="s">
        <v>2024</v>
      </c>
      <c r="AF47" s="53" t="s">
        <v>983</v>
      </c>
      <c r="AH47" s="1" t="s">
        <v>1138</v>
      </c>
      <c r="AK47" s="2">
        <f t="shared" si="0"/>
        <v>11</v>
      </c>
      <c r="AM47" s="2">
        <f t="shared" si="1"/>
        <v>5</v>
      </c>
    </row>
    <row r="48" spans="1:39" x14ac:dyDescent="0.35">
      <c r="A48" s="5" t="s">
        <v>556</v>
      </c>
      <c r="B48" s="5"/>
      <c r="C48" s="5"/>
      <c r="D48" s="5"/>
      <c r="E48" s="1"/>
      <c r="F48" s="1"/>
      <c r="G48" s="1"/>
      <c r="H48" s="60" t="s">
        <v>300</v>
      </c>
      <c r="I48" s="1" t="s">
        <v>304</v>
      </c>
      <c r="AK48" s="2">
        <f t="shared" si="0"/>
        <v>2</v>
      </c>
      <c r="AM48" s="2">
        <f t="shared" si="1"/>
        <v>2</v>
      </c>
    </row>
    <row r="49" spans="1:39" x14ac:dyDescent="0.35">
      <c r="A49" s="5" t="s">
        <v>829</v>
      </c>
      <c r="B49" s="5"/>
      <c r="C49" s="5"/>
      <c r="D49" s="5"/>
      <c r="E49" s="1"/>
      <c r="F49" s="1"/>
      <c r="G49" s="1"/>
      <c r="H49" s="16"/>
      <c r="J49" s="54" t="s">
        <v>830</v>
      </c>
      <c r="K49" s="62" t="s">
        <v>1107</v>
      </c>
      <c r="L49" s="53" t="s">
        <v>1203</v>
      </c>
      <c r="N49" s="1" t="s">
        <v>1070</v>
      </c>
      <c r="AK49" s="2">
        <f t="shared" si="0"/>
        <v>4</v>
      </c>
      <c r="AM49" s="2">
        <f t="shared" si="1"/>
        <v>4</v>
      </c>
    </row>
    <row r="50" spans="1:39" x14ac:dyDescent="0.35">
      <c r="A50" s="5" t="s">
        <v>303</v>
      </c>
      <c r="B50" s="5"/>
      <c r="C50" s="5"/>
      <c r="D50" s="5"/>
      <c r="E50" s="1"/>
      <c r="F50" s="1"/>
      <c r="G50" s="54" t="s">
        <v>304</v>
      </c>
      <c r="H50" s="55" t="s">
        <v>150</v>
      </c>
      <c r="I50" s="53" t="s">
        <v>559</v>
      </c>
      <c r="J50" s="53" t="s">
        <v>822</v>
      </c>
      <c r="K50" s="53" t="s">
        <v>1110</v>
      </c>
      <c r="L50" s="53" t="s">
        <v>1044</v>
      </c>
      <c r="N50" s="53" t="s">
        <v>1454</v>
      </c>
      <c r="O50" s="53" t="s">
        <v>1654</v>
      </c>
      <c r="Q50" s="53" t="s">
        <v>1725</v>
      </c>
      <c r="R50" s="54" t="s">
        <v>1506</v>
      </c>
      <c r="S50" s="53" t="s">
        <v>2228</v>
      </c>
      <c r="T50" s="54" t="s">
        <v>924</v>
      </c>
      <c r="U50" s="53" t="s">
        <v>2394</v>
      </c>
      <c r="V50" s="53" t="s">
        <v>2503</v>
      </c>
      <c r="W50" s="53" t="s">
        <v>156</v>
      </c>
      <c r="AA50" s="53" t="s">
        <v>290</v>
      </c>
      <c r="AG50" s="54" t="s">
        <v>1447</v>
      </c>
      <c r="AH50" s="53" t="s">
        <v>1077</v>
      </c>
      <c r="AI50" s="1" t="s">
        <v>1505</v>
      </c>
      <c r="AK50" s="2">
        <f t="shared" si="0"/>
        <v>19</v>
      </c>
      <c r="AM50" s="2">
        <f t="shared" si="1"/>
        <v>10</v>
      </c>
    </row>
    <row r="51" spans="1:39" x14ac:dyDescent="0.35">
      <c r="A51" s="5" t="s">
        <v>534</v>
      </c>
      <c r="B51" s="5"/>
      <c r="C51" s="5"/>
      <c r="D51" s="5"/>
      <c r="E51" s="1"/>
      <c r="F51" s="1"/>
      <c r="G51" s="1"/>
      <c r="H51" s="60" t="s">
        <v>283</v>
      </c>
      <c r="I51" s="1" t="s">
        <v>552</v>
      </c>
      <c r="AK51" s="2">
        <f t="shared" si="0"/>
        <v>2</v>
      </c>
      <c r="AM51" s="2">
        <f t="shared" si="1"/>
        <v>2</v>
      </c>
    </row>
    <row r="52" spans="1:39" x14ac:dyDescent="0.35">
      <c r="A52" s="5" t="s">
        <v>535</v>
      </c>
      <c r="B52" s="5"/>
      <c r="C52" s="5"/>
      <c r="D52" s="5"/>
      <c r="E52" s="1"/>
      <c r="F52" s="1"/>
      <c r="G52" s="1"/>
      <c r="H52" s="55" t="s">
        <v>536</v>
      </c>
      <c r="AG52" s="1" t="s">
        <v>1086</v>
      </c>
      <c r="AK52" s="2">
        <f t="shared" si="0"/>
        <v>2</v>
      </c>
      <c r="AM52" s="2">
        <f t="shared" si="1"/>
        <v>1</v>
      </c>
    </row>
    <row r="53" spans="1:39" x14ac:dyDescent="0.35">
      <c r="A53" s="5" t="s">
        <v>1950</v>
      </c>
      <c r="B53" s="5"/>
      <c r="C53" s="5"/>
      <c r="D53" s="5"/>
      <c r="E53" s="1"/>
      <c r="F53" s="1"/>
      <c r="G53" s="1"/>
      <c r="H53" s="16"/>
      <c r="Q53" s="30" t="s">
        <v>1715</v>
      </c>
      <c r="AK53" s="2">
        <f t="shared" si="0"/>
        <v>1</v>
      </c>
      <c r="AM53" s="2">
        <f t="shared" si="1"/>
        <v>0</v>
      </c>
    </row>
    <row r="54" spans="1:39" x14ac:dyDescent="0.35">
      <c r="A54" s="5" t="s">
        <v>1951</v>
      </c>
      <c r="B54" s="5"/>
      <c r="C54" s="5"/>
      <c r="D54" s="5"/>
      <c r="E54" s="1"/>
      <c r="F54" s="1"/>
      <c r="G54" s="1"/>
      <c r="H54" s="16"/>
      <c r="Q54" s="30" t="s">
        <v>1718</v>
      </c>
      <c r="AK54" s="2">
        <f t="shared" si="0"/>
        <v>1</v>
      </c>
      <c r="AM54" s="2">
        <f t="shared" si="1"/>
        <v>0</v>
      </c>
    </row>
    <row r="55" spans="1:39" x14ac:dyDescent="0.35">
      <c r="A55" s="5" t="s">
        <v>1952</v>
      </c>
      <c r="B55" s="5"/>
      <c r="C55" s="5"/>
      <c r="D55" s="5"/>
      <c r="E55" s="1"/>
      <c r="F55" s="1"/>
      <c r="G55" s="1"/>
      <c r="H55" s="16"/>
      <c r="Q55" s="30" t="s">
        <v>1719</v>
      </c>
      <c r="AK55" s="2">
        <f t="shared" si="0"/>
        <v>1</v>
      </c>
      <c r="AM55" s="2">
        <f t="shared" si="1"/>
        <v>0</v>
      </c>
    </row>
    <row r="56" spans="1:39" x14ac:dyDescent="0.35">
      <c r="A56" s="5" t="s">
        <v>537</v>
      </c>
      <c r="B56" s="5"/>
      <c r="C56" s="5"/>
      <c r="D56" s="5"/>
      <c r="E56" s="1"/>
      <c r="F56" s="1"/>
      <c r="G56" s="1"/>
      <c r="H56" s="60" t="s">
        <v>285</v>
      </c>
      <c r="I56" s="1" t="s">
        <v>553</v>
      </c>
      <c r="AK56" s="2">
        <f t="shared" si="0"/>
        <v>2</v>
      </c>
      <c r="AM56" s="2">
        <f t="shared" si="1"/>
        <v>2</v>
      </c>
    </row>
    <row r="57" spans="1:39" ht="29" x14ac:dyDescent="0.35">
      <c r="A57" s="5" t="s">
        <v>671</v>
      </c>
      <c r="B57" s="5"/>
      <c r="C57" s="5"/>
      <c r="D57" s="5"/>
      <c r="E57" s="1"/>
      <c r="F57" s="1"/>
      <c r="G57" s="1"/>
      <c r="H57" s="16"/>
      <c r="I57" s="1" t="s">
        <v>566</v>
      </c>
      <c r="AK57" s="2">
        <f t="shared" si="0"/>
        <v>1</v>
      </c>
      <c r="AM57" s="2">
        <f t="shared" si="1"/>
        <v>1</v>
      </c>
    </row>
    <row r="58" spans="1:39" ht="29" x14ac:dyDescent="0.35">
      <c r="A58" s="5" t="s">
        <v>672</v>
      </c>
      <c r="B58" s="5"/>
      <c r="C58" s="5"/>
      <c r="D58" s="5"/>
      <c r="E58" s="1"/>
      <c r="F58" s="1"/>
      <c r="G58" s="1"/>
      <c r="H58" s="16"/>
      <c r="I58" s="54" t="s">
        <v>160</v>
      </c>
      <c r="V58" s="54" t="s">
        <v>2502</v>
      </c>
      <c r="X58" s="53" t="s">
        <v>365</v>
      </c>
      <c r="Y58" s="53" t="s">
        <v>1988</v>
      </c>
      <c r="Z58" s="53" t="s">
        <v>890</v>
      </c>
      <c r="AA58" s="53" t="s">
        <v>289</v>
      </c>
      <c r="AF58" s="53" t="s">
        <v>990</v>
      </c>
      <c r="AG58" s="53" t="s">
        <v>1076</v>
      </c>
      <c r="AH58" s="53" t="s">
        <v>1143</v>
      </c>
      <c r="AI58" s="1" t="s">
        <v>1098</v>
      </c>
      <c r="AK58" s="2">
        <f t="shared" si="0"/>
        <v>10</v>
      </c>
      <c r="AM58" s="2">
        <f t="shared" si="1"/>
        <v>1</v>
      </c>
    </row>
    <row r="59" spans="1:39" x14ac:dyDescent="0.35">
      <c r="A59" s="5" t="s">
        <v>1787</v>
      </c>
      <c r="B59" s="5"/>
      <c r="C59" s="5"/>
      <c r="D59" s="5"/>
      <c r="E59" s="1"/>
      <c r="F59" s="1"/>
      <c r="G59" s="1"/>
      <c r="H59" s="16"/>
      <c r="I59" s="1" t="s">
        <v>567</v>
      </c>
      <c r="AK59" s="2">
        <f t="shared" si="0"/>
        <v>1</v>
      </c>
      <c r="AM59" s="2">
        <f t="shared" si="1"/>
        <v>1</v>
      </c>
    </row>
    <row r="60" spans="1:39" x14ac:dyDescent="0.35">
      <c r="A60" s="5" t="s">
        <v>2578</v>
      </c>
      <c r="B60" s="5"/>
      <c r="C60" s="5"/>
      <c r="D60" s="5"/>
      <c r="E60" s="1"/>
      <c r="F60" s="1"/>
      <c r="G60" s="1"/>
      <c r="H60" s="16"/>
      <c r="X60" s="53" t="s">
        <v>1448</v>
      </c>
      <c r="Y60" s="53" t="s">
        <v>1179</v>
      </c>
      <c r="Z60" s="53" t="s">
        <v>886</v>
      </c>
      <c r="AA60" s="53" t="s">
        <v>59</v>
      </c>
      <c r="AB60" s="53" t="s">
        <v>2723</v>
      </c>
      <c r="AC60" s="53" t="s">
        <v>2209</v>
      </c>
      <c r="AD60" s="53" t="s">
        <v>2022</v>
      </c>
      <c r="AF60" s="1" t="s">
        <v>989</v>
      </c>
      <c r="AK60" s="2">
        <f t="shared" si="0"/>
        <v>8</v>
      </c>
      <c r="AM60" s="2">
        <f t="shared" si="1"/>
        <v>0</v>
      </c>
    </row>
    <row r="61" spans="1:39" x14ac:dyDescent="0.35">
      <c r="A61" s="5" t="s">
        <v>825</v>
      </c>
      <c r="B61" s="5"/>
      <c r="C61" s="5"/>
      <c r="D61" s="5"/>
      <c r="E61" s="1"/>
      <c r="F61" s="1"/>
      <c r="G61" s="1"/>
      <c r="H61" s="16"/>
      <c r="J61" s="54" t="s">
        <v>826</v>
      </c>
      <c r="K61" s="53" t="s">
        <v>1104</v>
      </c>
      <c r="L61" s="53" t="s">
        <v>1038</v>
      </c>
      <c r="M61" s="53" t="s">
        <v>995</v>
      </c>
      <c r="N61" s="1" t="s">
        <v>367</v>
      </c>
      <c r="AK61" s="2">
        <f t="shared" si="0"/>
        <v>5</v>
      </c>
      <c r="AM61" s="2">
        <f t="shared" si="1"/>
        <v>5</v>
      </c>
    </row>
    <row r="62" spans="1:39" x14ac:dyDescent="0.35">
      <c r="A62" s="5" t="s">
        <v>835</v>
      </c>
      <c r="B62" s="5"/>
      <c r="C62" s="5"/>
      <c r="D62" s="5"/>
      <c r="E62" s="1"/>
      <c r="F62" s="1"/>
      <c r="G62" s="1"/>
      <c r="H62" s="16"/>
      <c r="J62" s="1" t="s">
        <v>836</v>
      </c>
      <c r="AK62" s="2">
        <f t="shared" si="0"/>
        <v>1</v>
      </c>
      <c r="AM62" s="2">
        <f t="shared" si="1"/>
        <v>1</v>
      </c>
    </row>
    <row r="63" spans="1:39" x14ac:dyDescent="0.35">
      <c r="A63" s="5" t="s">
        <v>1093</v>
      </c>
      <c r="B63" s="5"/>
      <c r="C63" s="5"/>
      <c r="D63" s="5"/>
      <c r="E63" s="1"/>
      <c r="F63" s="1"/>
      <c r="G63" s="1"/>
      <c r="H63" s="16"/>
      <c r="K63" s="1" t="s">
        <v>1094</v>
      </c>
      <c r="AK63" s="2">
        <f t="shared" si="0"/>
        <v>1</v>
      </c>
      <c r="AM63" s="2">
        <f t="shared" si="1"/>
        <v>1</v>
      </c>
    </row>
    <row r="64" spans="1:39" x14ac:dyDescent="0.35">
      <c r="A64" s="5" t="s">
        <v>1095</v>
      </c>
      <c r="B64" s="5"/>
      <c r="C64" s="5"/>
      <c r="D64" s="5"/>
      <c r="E64" s="1"/>
      <c r="F64" s="1"/>
      <c r="G64" s="1"/>
      <c r="H64" s="16"/>
      <c r="K64" s="1" t="s">
        <v>1096</v>
      </c>
      <c r="AK64" s="2">
        <f t="shared" si="0"/>
        <v>1</v>
      </c>
      <c r="AM64" s="2">
        <f t="shared" si="1"/>
        <v>1</v>
      </c>
    </row>
    <row r="65" spans="1:39" x14ac:dyDescent="0.35">
      <c r="A65" s="5" t="s">
        <v>1097</v>
      </c>
      <c r="B65" s="5"/>
      <c r="C65" s="5"/>
      <c r="D65" s="5"/>
      <c r="E65" s="1"/>
      <c r="F65" s="1"/>
      <c r="G65" s="1"/>
      <c r="H65" s="16"/>
      <c r="K65" s="1" t="s">
        <v>1098</v>
      </c>
      <c r="AK65" s="2">
        <f t="shared" si="0"/>
        <v>1</v>
      </c>
      <c r="AM65" s="2">
        <f t="shared" si="1"/>
        <v>1</v>
      </c>
    </row>
    <row r="66" spans="1:39" x14ac:dyDescent="0.35">
      <c r="A66" s="5" t="s">
        <v>1778</v>
      </c>
      <c r="B66" s="5"/>
      <c r="C66" s="5"/>
      <c r="D66" s="5"/>
      <c r="E66" s="1"/>
      <c r="F66" s="1"/>
      <c r="G66" s="1"/>
      <c r="H66" s="16"/>
      <c r="P66" s="54" t="s">
        <v>1392</v>
      </c>
      <c r="Q66" s="53" t="s">
        <v>956</v>
      </c>
      <c r="R66" s="53" t="s">
        <v>1089</v>
      </c>
      <c r="S66" s="53" t="s">
        <v>2221</v>
      </c>
      <c r="AI66" s="1" t="s">
        <v>1096</v>
      </c>
      <c r="AK66" s="2">
        <f t="shared" si="0"/>
        <v>5</v>
      </c>
      <c r="AM66" s="2">
        <f t="shared" si="1"/>
        <v>2</v>
      </c>
    </row>
    <row r="67" spans="1:39" x14ac:dyDescent="0.35">
      <c r="A67" s="5" t="s">
        <v>1939</v>
      </c>
      <c r="B67" s="5"/>
      <c r="C67" s="5"/>
      <c r="D67" s="5"/>
      <c r="E67" s="1"/>
      <c r="F67" s="1"/>
      <c r="G67" s="1"/>
      <c r="H67" s="16"/>
      <c r="Q67" s="54" t="s">
        <v>957</v>
      </c>
      <c r="R67" s="53" t="s">
        <v>2223</v>
      </c>
      <c r="S67" s="1" t="s">
        <v>2222</v>
      </c>
      <c r="AK67" s="2">
        <f t="shared" si="0"/>
        <v>3</v>
      </c>
      <c r="AM67" s="2">
        <f t="shared" si="1"/>
        <v>1</v>
      </c>
    </row>
    <row r="68" spans="1:39" x14ac:dyDescent="0.35">
      <c r="A68" s="5" t="s">
        <v>1940</v>
      </c>
      <c r="B68" s="5"/>
      <c r="C68" s="5"/>
      <c r="D68" s="5"/>
      <c r="E68" s="1"/>
      <c r="F68" s="1"/>
      <c r="G68" s="1"/>
      <c r="H68" s="16"/>
      <c r="Q68" s="30" t="s">
        <v>958</v>
      </c>
      <c r="AK68" s="2">
        <f t="shared" ref="AK68:AK87" si="2">COUNTA(C68:AI68)</f>
        <v>1</v>
      </c>
      <c r="AM68" s="2">
        <f t="shared" ref="AM68:AM87" si="3">COUNTA(G68:P68,S68:T68)</f>
        <v>0</v>
      </c>
    </row>
    <row r="69" spans="1:39" x14ac:dyDescent="0.35">
      <c r="A69" s="5" t="s">
        <v>1941</v>
      </c>
      <c r="B69" s="5"/>
      <c r="C69" s="5"/>
      <c r="D69" s="5"/>
      <c r="E69" s="1"/>
      <c r="F69" s="1"/>
      <c r="G69" s="1"/>
      <c r="H69" s="16"/>
      <c r="Q69" s="30" t="s">
        <v>959</v>
      </c>
      <c r="AK69" s="2">
        <f t="shared" si="2"/>
        <v>1</v>
      </c>
      <c r="AM69" s="2">
        <f t="shared" si="3"/>
        <v>0</v>
      </c>
    </row>
    <row r="70" spans="1:39" x14ac:dyDescent="0.35">
      <c r="A70" s="5" t="s">
        <v>1942</v>
      </c>
      <c r="B70" s="5"/>
      <c r="C70" s="5"/>
      <c r="D70" s="5"/>
      <c r="E70" s="1"/>
      <c r="F70" s="1"/>
      <c r="G70" s="1"/>
      <c r="H70" s="16"/>
      <c r="Q70" s="30" t="s">
        <v>960</v>
      </c>
      <c r="AK70" s="2">
        <f t="shared" si="2"/>
        <v>1</v>
      </c>
      <c r="AM70" s="2">
        <f t="shared" si="3"/>
        <v>0</v>
      </c>
    </row>
    <row r="71" spans="1:39" x14ac:dyDescent="0.35">
      <c r="A71" s="1" t="s">
        <v>1943</v>
      </c>
      <c r="B71" s="1"/>
      <c r="C71" s="1"/>
      <c r="D71" s="1"/>
      <c r="E71" s="1"/>
      <c r="F71" s="1"/>
      <c r="G71" s="1"/>
      <c r="H71" s="16"/>
      <c r="Q71" s="30" t="s">
        <v>961</v>
      </c>
      <c r="AK71" s="2">
        <f t="shared" si="2"/>
        <v>1</v>
      </c>
      <c r="AM71" s="2">
        <f t="shared" si="3"/>
        <v>0</v>
      </c>
    </row>
    <row r="72" spans="1:39" x14ac:dyDescent="0.35">
      <c r="A72" s="1" t="s">
        <v>1944</v>
      </c>
      <c r="B72" s="1"/>
      <c r="C72" s="1"/>
      <c r="D72" s="1"/>
      <c r="E72" s="1"/>
      <c r="F72" s="1"/>
      <c r="G72" s="1"/>
      <c r="H72" s="16"/>
      <c r="Q72" s="30" t="s">
        <v>963</v>
      </c>
      <c r="AK72" s="2">
        <f t="shared" si="2"/>
        <v>1</v>
      </c>
      <c r="AM72" s="2">
        <f t="shared" si="3"/>
        <v>0</v>
      </c>
    </row>
    <row r="73" spans="1:39" x14ac:dyDescent="0.35">
      <c r="A73" s="1" t="s">
        <v>2974</v>
      </c>
      <c r="B73" s="1"/>
      <c r="C73" s="1"/>
      <c r="D73" s="1"/>
      <c r="E73" s="1"/>
      <c r="F73" s="1"/>
      <c r="G73" s="1"/>
      <c r="H73" s="16"/>
      <c r="AF73" s="1" t="s">
        <v>1258</v>
      </c>
      <c r="AK73" s="2">
        <f t="shared" si="2"/>
        <v>1</v>
      </c>
      <c r="AM73" s="2">
        <f t="shared" si="3"/>
        <v>0</v>
      </c>
    </row>
    <row r="74" spans="1:39" x14ac:dyDescent="0.35">
      <c r="A74" s="1" t="s">
        <v>2975</v>
      </c>
      <c r="B74" s="1"/>
      <c r="C74" s="1"/>
      <c r="D74" s="1"/>
      <c r="E74" s="1"/>
      <c r="F74" s="1"/>
      <c r="G74" s="1"/>
      <c r="H74" s="16"/>
      <c r="AF74" s="54" t="s">
        <v>982</v>
      </c>
      <c r="AG74" s="53" t="s">
        <v>1070</v>
      </c>
      <c r="AH74" s="53" t="s">
        <v>1128</v>
      </c>
      <c r="AI74" s="1" t="s">
        <v>1112</v>
      </c>
      <c r="AK74" s="2">
        <f t="shared" si="2"/>
        <v>4</v>
      </c>
      <c r="AM74" s="2">
        <f t="shared" si="3"/>
        <v>0</v>
      </c>
    </row>
    <row r="75" spans="1:39" x14ac:dyDescent="0.35">
      <c r="A75" s="1" t="s">
        <v>3014</v>
      </c>
      <c r="B75" s="1"/>
      <c r="C75" s="1"/>
      <c r="D75" s="1"/>
      <c r="E75" s="1"/>
      <c r="F75" s="1"/>
      <c r="G75" s="1"/>
      <c r="H75" s="16"/>
      <c r="AG75" s="54" t="s">
        <v>1072</v>
      </c>
      <c r="AH75" s="53" t="s">
        <v>1134</v>
      </c>
      <c r="AI75" s="1" t="s">
        <v>1114</v>
      </c>
      <c r="AK75" s="2">
        <f t="shared" si="2"/>
        <v>3</v>
      </c>
      <c r="AM75" s="2">
        <f t="shared" si="3"/>
        <v>0</v>
      </c>
    </row>
    <row r="76" spans="1:39" x14ac:dyDescent="0.35">
      <c r="A76" s="1" t="s">
        <v>2976</v>
      </c>
      <c r="B76" s="1"/>
      <c r="C76" s="1"/>
      <c r="D76" s="1"/>
      <c r="E76" s="1"/>
      <c r="F76" s="1"/>
      <c r="G76" s="1"/>
      <c r="H76" s="16"/>
      <c r="AF76" s="54" t="s">
        <v>985</v>
      </c>
      <c r="AG76" s="1" t="s">
        <v>1454</v>
      </c>
      <c r="AK76" s="2">
        <f t="shared" si="2"/>
        <v>2</v>
      </c>
      <c r="AM76" s="2">
        <f t="shared" si="3"/>
        <v>0</v>
      </c>
    </row>
    <row r="77" spans="1:39" x14ac:dyDescent="0.35">
      <c r="A77" s="1" t="s">
        <v>2977</v>
      </c>
      <c r="B77" s="1"/>
      <c r="C77" s="1"/>
      <c r="D77" s="1"/>
      <c r="E77" s="1"/>
      <c r="F77" s="1"/>
      <c r="G77" s="1"/>
      <c r="H77" s="16"/>
      <c r="AF77" s="54" t="s">
        <v>986</v>
      </c>
      <c r="AG77" s="1" t="s">
        <v>1073</v>
      </c>
      <c r="AK77" s="2">
        <f t="shared" si="2"/>
        <v>2</v>
      </c>
      <c r="AM77" s="2">
        <f t="shared" si="3"/>
        <v>0</v>
      </c>
    </row>
    <row r="78" spans="1:39" x14ac:dyDescent="0.35">
      <c r="A78" s="1" t="s">
        <v>2978</v>
      </c>
      <c r="B78" s="1"/>
      <c r="C78" s="1"/>
      <c r="D78" s="1"/>
      <c r="E78" s="1"/>
      <c r="F78" s="1"/>
      <c r="G78" s="1"/>
      <c r="H78" s="16"/>
      <c r="AF78" s="1" t="s">
        <v>987</v>
      </c>
      <c r="AK78" s="2">
        <f t="shared" si="2"/>
        <v>1</v>
      </c>
      <c r="AM78" s="2">
        <f t="shared" si="3"/>
        <v>0</v>
      </c>
    </row>
    <row r="79" spans="1:39" x14ac:dyDescent="0.35">
      <c r="A79" s="1" t="s">
        <v>2979</v>
      </c>
      <c r="B79" s="1"/>
      <c r="C79" s="1"/>
      <c r="D79" s="1"/>
      <c r="E79" s="1"/>
      <c r="F79" s="1"/>
      <c r="G79" s="1"/>
      <c r="H79" s="16"/>
      <c r="AF79" s="1" t="s">
        <v>988</v>
      </c>
      <c r="AK79" s="2">
        <f t="shared" si="2"/>
        <v>1</v>
      </c>
      <c r="AM79" s="2">
        <f t="shared" si="3"/>
        <v>0</v>
      </c>
    </row>
    <row r="80" spans="1:39" x14ac:dyDescent="0.35">
      <c r="A80" s="5" t="s">
        <v>1777</v>
      </c>
      <c r="B80" s="5"/>
      <c r="C80" s="5"/>
      <c r="D80" s="5"/>
      <c r="E80" s="1"/>
      <c r="F80" s="1"/>
      <c r="G80" s="1"/>
      <c r="H80" s="1"/>
      <c r="P80" s="54" t="s">
        <v>1390</v>
      </c>
      <c r="R80" s="53" t="s">
        <v>1087</v>
      </c>
      <c r="S80" s="53" t="s">
        <v>2219</v>
      </c>
      <c r="U80" s="53" t="s">
        <v>2144</v>
      </c>
      <c r="W80" s="53" t="s">
        <v>295</v>
      </c>
      <c r="AA80" s="54" t="s">
        <v>532</v>
      </c>
      <c r="AG80" s="53" t="s">
        <v>1448</v>
      </c>
      <c r="AH80" s="53" t="s">
        <v>1083</v>
      </c>
      <c r="AI80" s="1" t="s">
        <v>1506</v>
      </c>
      <c r="AK80" s="2">
        <f t="shared" si="2"/>
        <v>9</v>
      </c>
      <c r="AM80" s="2">
        <f t="shared" si="3"/>
        <v>2</v>
      </c>
    </row>
    <row r="81" spans="1:39" x14ac:dyDescent="0.35">
      <c r="A81" s="1" t="s">
        <v>2980</v>
      </c>
      <c r="B81" s="1"/>
      <c r="C81" s="1"/>
      <c r="D81" s="1"/>
      <c r="E81" s="1"/>
      <c r="F81" s="1"/>
      <c r="G81" s="1"/>
      <c r="H81" s="16"/>
      <c r="AF81" s="1" t="s">
        <v>991</v>
      </c>
      <c r="AK81" s="2">
        <f t="shared" si="2"/>
        <v>1</v>
      </c>
      <c r="AM81" s="2">
        <f t="shared" si="3"/>
        <v>0</v>
      </c>
    </row>
    <row r="82" spans="1:39" x14ac:dyDescent="0.35">
      <c r="A82" s="1" t="s">
        <v>3015</v>
      </c>
      <c r="B82" s="1"/>
      <c r="C82" s="1"/>
      <c r="D82" s="1"/>
      <c r="E82" s="1"/>
      <c r="F82" s="1"/>
      <c r="G82" s="1"/>
      <c r="H82" s="16"/>
      <c r="AG82" s="54" t="s">
        <v>1456</v>
      </c>
      <c r="AH82" s="53" t="s">
        <v>1136</v>
      </c>
      <c r="AI82" s="1" t="s">
        <v>3141</v>
      </c>
      <c r="AK82" s="2">
        <f t="shared" si="2"/>
        <v>3</v>
      </c>
      <c r="AM82" s="2">
        <f t="shared" si="3"/>
        <v>0</v>
      </c>
    </row>
    <row r="83" spans="1:39" x14ac:dyDescent="0.35">
      <c r="A83" s="1" t="s">
        <v>3134</v>
      </c>
      <c r="B83" s="1"/>
      <c r="C83" s="1"/>
      <c r="D83" s="1"/>
      <c r="E83" s="1"/>
      <c r="F83" s="1"/>
      <c r="G83" s="1"/>
      <c r="H83" s="16"/>
      <c r="AI83" s="1" t="s">
        <v>1086</v>
      </c>
      <c r="AK83" s="2">
        <f t="shared" si="2"/>
        <v>1</v>
      </c>
      <c r="AM83" s="2">
        <f t="shared" si="3"/>
        <v>0</v>
      </c>
    </row>
    <row r="84" spans="1:39" x14ac:dyDescent="0.35">
      <c r="A84" s="1" t="s">
        <v>3136</v>
      </c>
      <c r="B84" s="1"/>
      <c r="C84" s="1"/>
      <c r="D84" s="1"/>
      <c r="E84" s="1"/>
      <c r="F84" s="1"/>
      <c r="G84" s="1"/>
      <c r="H84" s="16"/>
      <c r="AI84" s="1" t="s">
        <v>1089</v>
      </c>
      <c r="AK84" s="2">
        <f t="shared" si="2"/>
        <v>1</v>
      </c>
      <c r="AM84" s="2">
        <f t="shared" si="3"/>
        <v>0</v>
      </c>
    </row>
    <row r="85" spans="1:39" x14ac:dyDescent="0.35">
      <c r="A85" s="1" t="s">
        <v>3137</v>
      </c>
      <c r="B85" s="1"/>
      <c r="C85" s="1"/>
      <c r="D85" s="1"/>
      <c r="E85" s="1"/>
      <c r="F85" s="1"/>
      <c r="G85" s="1"/>
      <c r="H85" s="16"/>
      <c r="AI85" s="1" t="s">
        <v>1503</v>
      </c>
      <c r="AK85" s="2">
        <f t="shared" si="2"/>
        <v>1</v>
      </c>
      <c r="AM85" s="2">
        <f t="shared" si="3"/>
        <v>0</v>
      </c>
    </row>
    <row r="86" spans="1:39" x14ac:dyDescent="0.35">
      <c r="A86" s="1" t="s">
        <v>2960</v>
      </c>
      <c r="B86" s="1"/>
      <c r="C86" s="1"/>
      <c r="D86" s="1"/>
      <c r="E86" s="1"/>
      <c r="F86" s="1"/>
      <c r="G86" s="1"/>
      <c r="H86" s="16"/>
      <c r="AF86" s="54" t="s">
        <v>189</v>
      </c>
      <c r="AI86" s="1" t="s">
        <v>1510</v>
      </c>
      <c r="AK86" s="2">
        <f t="shared" si="2"/>
        <v>2</v>
      </c>
      <c r="AM86" s="2">
        <f t="shared" si="3"/>
        <v>0</v>
      </c>
    </row>
    <row r="87" spans="1:39" x14ac:dyDescent="0.35">
      <c r="A87" s="1" t="s">
        <v>3138</v>
      </c>
      <c r="B87" s="1"/>
      <c r="C87" s="1"/>
      <c r="D87" s="1"/>
      <c r="E87" s="1"/>
      <c r="F87" s="1"/>
      <c r="G87" s="1"/>
      <c r="H87" s="16"/>
      <c r="AI87" s="1" t="s">
        <v>1509</v>
      </c>
      <c r="AK87" s="2">
        <f t="shared" si="2"/>
        <v>1</v>
      </c>
      <c r="AM87" s="2">
        <f t="shared" si="3"/>
        <v>0</v>
      </c>
    </row>
    <row r="88" spans="1:39" ht="29" x14ac:dyDescent="0.35">
      <c r="A88" s="5" t="s">
        <v>7941</v>
      </c>
      <c r="B88" s="1" t="s">
        <v>300</v>
      </c>
      <c r="C88" s="1"/>
      <c r="D88" s="1"/>
      <c r="E88" s="1"/>
      <c r="F88" s="1"/>
      <c r="G88" s="1"/>
      <c r="H88" s="16"/>
    </row>
    <row r="89" spans="1:39" x14ac:dyDescent="0.35">
      <c r="A89" s="1" t="s">
        <v>7942</v>
      </c>
      <c r="B89" s="1" t="s">
        <v>7943</v>
      </c>
      <c r="C89" s="1"/>
      <c r="D89" s="1"/>
      <c r="E89" s="1"/>
      <c r="F89" s="1"/>
      <c r="G89" s="1"/>
      <c r="H89" s="16"/>
    </row>
    <row r="90" spans="1:39" x14ac:dyDescent="0.35">
      <c r="A90" s="188"/>
      <c r="B90" s="1"/>
      <c r="C90" s="1"/>
      <c r="D90" s="1"/>
      <c r="E90" s="1"/>
      <c r="F90" s="1"/>
      <c r="G90" s="1"/>
      <c r="H90" s="16"/>
    </row>
    <row r="91" spans="1:39" x14ac:dyDescent="0.35">
      <c r="A91" s="1"/>
      <c r="B91" s="1"/>
      <c r="C91" s="1"/>
      <c r="D91" s="1"/>
      <c r="E91" s="1"/>
      <c r="F91" s="1"/>
      <c r="G91" s="1"/>
      <c r="H91" s="16"/>
    </row>
    <row r="92" spans="1:39" x14ac:dyDescent="0.35">
      <c r="A92" s="1"/>
      <c r="B92" s="1"/>
      <c r="C92" s="1"/>
      <c r="D92" s="1"/>
      <c r="E92" s="1"/>
      <c r="F92" s="1"/>
      <c r="G92" s="1"/>
      <c r="H92" s="16"/>
    </row>
    <row r="93" spans="1:39" x14ac:dyDescent="0.35">
      <c r="A93" s="1"/>
      <c r="B93" s="1"/>
      <c r="C93" s="1"/>
      <c r="D93" s="1"/>
      <c r="E93" s="1"/>
      <c r="F93" s="1"/>
      <c r="G93" s="1"/>
      <c r="H93" s="16"/>
    </row>
    <row r="94" spans="1:39" x14ac:dyDescent="0.35">
      <c r="A94" s="1"/>
      <c r="B94" s="1"/>
      <c r="C94" s="1"/>
      <c r="D94" s="1"/>
      <c r="E94" s="1"/>
      <c r="F94" s="1"/>
      <c r="G94" s="1"/>
      <c r="H94" s="16"/>
    </row>
    <row r="95" spans="1:39" x14ac:dyDescent="0.35">
      <c r="A95" s="1"/>
      <c r="B95" s="1"/>
      <c r="C95" s="1"/>
      <c r="D95" s="1"/>
      <c r="E95" s="1"/>
      <c r="F95" s="1"/>
      <c r="G95" s="1"/>
      <c r="H95" s="16"/>
    </row>
    <row r="96" spans="1:39" x14ac:dyDescent="0.35">
      <c r="A96" s="1"/>
      <c r="B96" s="1"/>
      <c r="C96" s="1"/>
      <c r="D96" s="1"/>
      <c r="E96" s="1"/>
      <c r="F96" s="1"/>
      <c r="G96" s="1"/>
      <c r="H96" s="16"/>
    </row>
    <row r="97" spans="1:8" x14ac:dyDescent="0.35">
      <c r="A97" s="1"/>
      <c r="B97" s="1"/>
      <c r="C97" s="1"/>
      <c r="D97" s="1"/>
      <c r="E97" s="1"/>
      <c r="F97" s="1"/>
      <c r="G97" s="1"/>
      <c r="H97" s="16"/>
    </row>
    <row r="98" spans="1:8" x14ac:dyDescent="0.35">
      <c r="A98" s="1"/>
      <c r="B98" s="1"/>
      <c r="C98" s="1"/>
      <c r="D98" s="1"/>
      <c r="E98" s="1"/>
      <c r="F98" s="1"/>
      <c r="G98" s="1"/>
      <c r="H98" s="16"/>
    </row>
    <row r="99" spans="1:8" x14ac:dyDescent="0.35">
      <c r="A99" s="1"/>
      <c r="B99" s="1"/>
      <c r="C99" s="1"/>
      <c r="D99" s="1"/>
      <c r="E99" s="1"/>
      <c r="F99" s="1"/>
      <c r="G99" s="1"/>
      <c r="H99" s="16"/>
    </row>
    <row r="100" spans="1:8" x14ac:dyDescent="0.35">
      <c r="A100" s="1"/>
      <c r="B100" s="1"/>
      <c r="C100" s="1"/>
      <c r="D100" s="1"/>
      <c r="E100" s="1"/>
      <c r="F100" s="1"/>
      <c r="G100" s="1"/>
      <c r="H100" s="16"/>
    </row>
    <row r="101" spans="1:8" x14ac:dyDescent="0.35">
      <c r="A101" s="1"/>
      <c r="B101" s="1"/>
      <c r="C101" s="1"/>
      <c r="D101" s="1"/>
      <c r="E101" s="1"/>
      <c r="F101" s="1"/>
      <c r="G101" s="1"/>
      <c r="H101" s="16"/>
    </row>
    <row r="102" spans="1:8" x14ac:dyDescent="0.35">
      <c r="A102" s="1"/>
      <c r="B102" s="1"/>
      <c r="C102" s="1"/>
      <c r="D102" s="1"/>
      <c r="E102" s="1"/>
      <c r="F102" s="1"/>
      <c r="G102" s="1"/>
      <c r="H102" s="16"/>
    </row>
    <row r="103" spans="1:8" x14ac:dyDescent="0.35">
      <c r="A103" s="1"/>
      <c r="B103" s="1"/>
      <c r="C103" s="1"/>
      <c r="D103" s="1"/>
      <c r="E103" s="1"/>
      <c r="F103" s="1"/>
      <c r="G103" s="1"/>
      <c r="H103" s="16"/>
    </row>
    <row r="104" spans="1:8" x14ac:dyDescent="0.35">
      <c r="A104" s="1"/>
      <c r="B104" s="1"/>
      <c r="C104" s="1"/>
      <c r="D104" s="1"/>
      <c r="E104" s="1"/>
      <c r="F104" s="1"/>
      <c r="G104" s="1"/>
      <c r="H104" s="16"/>
    </row>
    <row r="105" spans="1:8" x14ac:dyDescent="0.35">
      <c r="A105" s="1"/>
      <c r="B105" s="1"/>
      <c r="C105" s="1"/>
      <c r="D105" s="1"/>
      <c r="E105" s="1"/>
      <c r="F105" s="1"/>
      <c r="G105" s="1"/>
      <c r="H105" s="16"/>
    </row>
    <row r="106" spans="1:8" x14ac:dyDescent="0.35">
      <c r="A106" s="1"/>
      <c r="B106" s="1"/>
      <c r="C106" s="1"/>
      <c r="D106" s="1"/>
      <c r="E106" s="1"/>
      <c r="F106" s="1"/>
      <c r="G106" s="1"/>
      <c r="H106" s="16"/>
    </row>
    <row r="107" spans="1:8" x14ac:dyDescent="0.35">
      <c r="A107" s="1"/>
      <c r="B107" s="1"/>
      <c r="C107" s="1"/>
      <c r="D107" s="1"/>
      <c r="E107" s="1"/>
      <c r="F107" s="1"/>
      <c r="G107" s="1"/>
      <c r="H107" s="16"/>
    </row>
    <row r="108" spans="1:8" x14ac:dyDescent="0.35">
      <c r="A108" s="1"/>
      <c r="B108" s="1"/>
      <c r="C108" s="1"/>
      <c r="D108" s="1"/>
      <c r="E108" s="1"/>
      <c r="F108" s="1"/>
      <c r="G108" s="1"/>
      <c r="H108" s="16"/>
    </row>
    <row r="109" spans="1:8" x14ac:dyDescent="0.35">
      <c r="A109" s="1"/>
      <c r="B109" s="1"/>
      <c r="C109" s="1"/>
      <c r="D109" s="1"/>
      <c r="E109" s="1"/>
      <c r="F109" s="1"/>
      <c r="G109" s="1"/>
      <c r="H109" s="16"/>
    </row>
    <row r="110" spans="1:8" x14ac:dyDescent="0.35">
      <c r="A110" s="1"/>
      <c r="B110" s="1"/>
      <c r="C110" s="1"/>
      <c r="D110" s="1"/>
      <c r="E110" s="1"/>
      <c r="F110" s="1"/>
      <c r="G110" s="1"/>
      <c r="H110" s="16"/>
    </row>
    <row r="111" spans="1:8" x14ac:dyDescent="0.35">
      <c r="A111" s="1"/>
      <c r="B111" s="1"/>
      <c r="C111" s="1"/>
      <c r="D111" s="1"/>
      <c r="E111" s="1"/>
      <c r="F111" s="1"/>
      <c r="G111" s="1"/>
      <c r="H111" s="16"/>
    </row>
    <row r="112" spans="1:8" x14ac:dyDescent="0.35">
      <c r="A112" s="1"/>
      <c r="B112" s="1"/>
      <c r="C112" s="1"/>
      <c r="D112" s="1"/>
      <c r="E112" s="1"/>
      <c r="F112" s="1"/>
      <c r="G112" s="1"/>
      <c r="H112" s="16"/>
    </row>
    <row r="113" spans="1:8" x14ac:dyDescent="0.35">
      <c r="A113" s="1"/>
      <c r="B113" s="1"/>
      <c r="C113" s="1"/>
      <c r="D113" s="1"/>
      <c r="E113" s="1"/>
      <c r="F113" s="1"/>
      <c r="G113" s="1"/>
      <c r="H113" s="16"/>
    </row>
    <row r="114" spans="1:8" x14ac:dyDescent="0.35">
      <c r="A114" s="1"/>
      <c r="B114" s="1"/>
      <c r="C114" s="1"/>
      <c r="D114" s="1"/>
      <c r="E114" s="1"/>
      <c r="F114" s="1"/>
      <c r="G114" s="1"/>
      <c r="H114" s="16"/>
    </row>
    <row r="115" spans="1:8" x14ac:dyDescent="0.35">
      <c r="A115" s="1"/>
      <c r="B115" s="1"/>
      <c r="C115" s="1"/>
      <c r="D115" s="1"/>
      <c r="E115" s="1"/>
      <c r="F115" s="1"/>
      <c r="G115" s="1"/>
      <c r="H115" s="16"/>
    </row>
    <row r="116" spans="1:8" x14ac:dyDescent="0.35">
      <c r="A116" s="1"/>
      <c r="B116" s="1"/>
      <c r="C116" s="1"/>
      <c r="D116" s="1"/>
      <c r="E116" s="1"/>
      <c r="F116" s="1"/>
      <c r="G116" s="1"/>
      <c r="H116" s="16"/>
    </row>
    <row r="117" spans="1:8" x14ac:dyDescent="0.35">
      <c r="A117" s="1"/>
      <c r="B117" s="1"/>
      <c r="C117" s="1"/>
      <c r="D117" s="1"/>
      <c r="E117" s="1"/>
      <c r="F117" s="1"/>
      <c r="G117" s="1"/>
      <c r="H117" s="16"/>
    </row>
    <row r="118" spans="1:8" x14ac:dyDescent="0.35">
      <c r="A118" s="1"/>
      <c r="B118" s="1"/>
      <c r="C118" s="1"/>
      <c r="D118" s="1"/>
      <c r="E118" s="1"/>
      <c r="F118" s="1"/>
      <c r="G118" s="1"/>
      <c r="H118" s="16"/>
    </row>
    <row r="119" spans="1:8" x14ac:dyDescent="0.35">
      <c r="A119" s="1"/>
      <c r="B119" s="1"/>
      <c r="C119" s="1"/>
      <c r="D119" s="1"/>
      <c r="E119" s="1"/>
      <c r="F119" s="1"/>
      <c r="G119" s="1"/>
      <c r="H119" s="16"/>
    </row>
    <row r="120" spans="1:8" x14ac:dyDescent="0.35">
      <c r="A120" s="1"/>
      <c r="B120" s="1"/>
      <c r="C120" s="1"/>
      <c r="D120" s="1"/>
      <c r="E120" s="1"/>
      <c r="F120" s="1"/>
      <c r="G120" s="1"/>
      <c r="H120" s="16"/>
    </row>
    <row r="121" spans="1:8" x14ac:dyDescent="0.35">
      <c r="A121" s="1"/>
      <c r="B121" s="1"/>
      <c r="C121" s="1"/>
      <c r="D121" s="1"/>
      <c r="E121" s="1"/>
      <c r="F121" s="1"/>
      <c r="G121" s="1"/>
      <c r="H121" s="16"/>
    </row>
    <row r="122" spans="1:8" x14ac:dyDescent="0.35">
      <c r="A122" s="1"/>
      <c r="B122" s="1"/>
      <c r="C122" s="1"/>
      <c r="D122" s="1"/>
      <c r="E122" s="1"/>
      <c r="F122" s="1"/>
      <c r="G122" s="1"/>
      <c r="H122" s="16"/>
    </row>
    <row r="123" spans="1:8" x14ac:dyDescent="0.35">
      <c r="A123" s="1"/>
      <c r="B123" s="1"/>
      <c r="C123" s="1"/>
      <c r="D123" s="1"/>
      <c r="E123" s="1"/>
      <c r="F123" s="1"/>
      <c r="G123" s="1"/>
      <c r="H123" s="16"/>
    </row>
    <row r="124" spans="1:8" x14ac:dyDescent="0.35">
      <c r="A124" s="1"/>
      <c r="B124" s="1"/>
      <c r="C124" s="1"/>
      <c r="D124" s="1"/>
      <c r="E124" s="1"/>
      <c r="F124" s="1"/>
      <c r="G124" s="1"/>
      <c r="H124" s="16"/>
    </row>
    <row r="125" spans="1:8" x14ac:dyDescent="0.35">
      <c r="A125" s="1"/>
      <c r="B125" s="1"/>
      <c r="C125" s="1"/>
      <c r="D125" s="1"/>
      <c r="E125" s="1"/>
      <c r="F125" s="1"/>
      <c r="G125" s="1"/>
      <c r="H125" s="16"/>
    </row>
    <row r="126" spans="1:8" x14ac:dyDescent="0.35">
      <c r="A126" s="1"/>
      <c r="B126" s="1"/>
      <c r="C126" s="1"/>
      <c r="D126" s="1"/>
      <c r="E126" s="1"/>
      <c r="F126" s="1"/>
      <c r="G126" s="1"/>
      <c r="H126" s="16"/>
    </row>
    <row r="127" spans="1:8" x14ac:dyDescent="0.35">
      <c r="A127" s="1"/>
      <c r="B127" s="1"/>
      <c r="C127" s="1"/>
      <c r="D127" s="1"/>
      <c r="E127" s="1"/>
      <c r="F127" s="1"/>
      <c r="G127" s="1"/>
      <c r="H127" s="16"/>
    </row>
    <row r="128" spans="1:8" x14ac:dyDescent="0.35">
      <c r="A128" s="1"/>
      <c r="B128" s="1"/>
      <c r="C128" s="1"/>
      <c r="D128" s="1"/>
      <c r="E128" s="1"/>
      <c r="F128" s="1"/>
      <c r="G128" s="1"/>
      <c r="H128" s="16"/>
    </row>
    <row r="129" spans="1:8" x14ac:dyDescent="0.35">
      <c r="A129" s="1"/>
      <c r="B129" s="1"/>
      <c r="C129" s="1"/>
      <c r="D129" s="1"/>
      <c r="E129" s="1"/>
      <c r="F129" s="1"/>
      <c r="G129" s="1"/>
      <c r="H129" s="16"/>
    </row>
    <row r="130" spans="1:8" x14ac:dyDescent="0.35">
      <c r="A130" s="1"/>
      <c r="B130" s="1"/>
      <c r="C130" s="1"/>
      <c r="D130" s="1"/>
      <c r="E130" s="1"/>
      <c r="F130" s="1"/>
      <c r="G130" s="1"/>
      <c r="H130" s="16"/>
    </row>
    <row r="131" spans="1:8" x14ac:dyDescent="0.35">
      <c r="A131" s="1"/>
      <c r="B131" s="1"/>
      <c r="C131" s="1"/>
      <c r="D131" s="1"/>
      <c r="E131" s="1"/>
      <c r="F131" s="1"/>
      <c r="G131" s="1"/>
      <c r="H131" s="16"/>
    </row>
    <row r="132" spans="1:8" x14ac:dyDescent="0.35">
      <c r="A132" s="1"/>
      <c r="B132" s="1"/>
      <c r="C132" s="1"/>
      <c r="D132" s="1"/>
      <c r="E132" s="1"/>
      <c r="F132" s="1"/>
      <c r="G132" s="1"/>
      <c r="H132" s="16"/>
    </row>
    <row r="133" spans="1:8" x14ac:dyDescent="0.35">
      <c r="A133" s="1"/>
      <c r="B133" s="1"/>
      <c r="C133" s="1"/>
      <c r="D133" s="1"/>
      <c r="E133" s="1"/>
      <c r="F133" s="1"/>
      <c r="G133" s="1"/>
      <c r="H133" s="16"/>
    </row>
    <row r="134" spans="1:8" x14ac:dyDescent="0.35">
      <c r="A134" s="1"/>
      <c r="B134" s="1"/>
      <c r="C134" s="1"/>
      <c r="D134" s="1"/>
      <c r="E134" s="1"/>
      <c r="F134" s="1"/>
      <c r="G134" s="1"/>
      <c r="H134" s="16"/>
    </row>
    <row r="135" spans="1:8" x14ac:dyDescent="0.35">
      <c r="A135" s="1"/>
      <c r="B135" s="1"/>
      <c r="C135" s="1"/>
      <c r="D135" s="1"/>
      <c r="E135" s="1"/>
      <c r="F135" s="1"/>
      <c r="G135" s="1"/>
      <c r="H135" s="16"/>
    </row>
    <row r="136" spans="1:8" x14ac:dyDescent="0.35">
      <c r="A136" s="1"/>
      <c r="B136" s="1"/>
      <c r="C136" s="1"/>
      <c r="D136" s="1"/>
      <c r="E136" s="1"/>
      <c r="F136" s="1"/>
      <c r="G136" s="1"/>
      <c r="H136" s="16"/>
    </row>
    <row r="137" spans="1:8" x14ac:dyDescent="0.35">
      <c r="A137" s="1"/>
      <c r="B137" s="1"/>
      <c r="C137" s="1"/>
      <c r="D137" s="1"/>
      <c r="E137" s="1"/>
      <c r="F137" s="1"/>
      <c r="G137" s="1"/>
      <c r="H137" s="16"/>
    </row>
    <row r="138" spans="1:8" x14ac:dyDescent="0.35">
      <c r="A138" s="1"/>
      <c r="B138" s="1"/>
      <c r="C138" s="1"/>
      <c r="D138" s="1"/>
      <c r="E138" s="1"/>
      <c r="F138" s="1"/>
      <c r="G138" s="1"/>
      <c r="H138" s="16"/>
    </row>
    <row r="139" spans="1:8" x14ac:dyDescent="0.35">
      <c r="A139" s="1"/>
      <c r="B139" s="1"/>
      <c r="C139" s="1"/>
      <c r="D139" s="1"/>
      <c r="E139" s="1"/>
      <c r="F139" s="1"/>
      <c r="G139" s="1"/>
      <c r="H139" s="16"/>
    </row>
    <row r="140" spans="1:8" x14ac:dyDescent="0.35">
      <c r="A140" s="1"/>
      <c r="B140" s="1"/>
      <c r="C140" s="1"/>
      <c r="D140" s="1"/>
      <c r="E140" s="1"/>
      <c r="F140" s="1"/>
      <c r="G140" s="1"/>
      <c r="H140" s="16"/>
    </row>
    <row r="141" spans="1:8" x14ac:dyDescent="0.35">
      <c r="A141" s="1"/>
      <c r="B141" s="1"/>
      <c r="C141" s="1"/>
      <c r="D141" s="1"/>
      <c r="E141" s="1"/>
      <c r="F141" s="1"/>
      <c r="G141" s="1"/>
      <c r="H141" s="16"/>
    </row>
    <row r="142" spans="1:8" x14ac:dyDescent="0.35">
      <c r="A142" s="1"/>
      <c r="B142" s="1"/>
      <c r="C142" s="1"/>
      <c r="D142" s="1"/>
      <c r="E142" s="1"/>
      <c r="F142" s="1"/>
      <c r="G142" s="1"/>
      <c r="H142" s="16"/>
    </row>
    <row r="143" spans="1:8" x14ac:dyDescent="0.35">
      <c r="A143" s="1"/>
      <c r="B143" s="1"/>
      <c r="C143" s="1"/>
      <c r="D143" s="1"/>
      <c r="E143" s="1"/>
      <c r="F143" s="1"/>
      <c r="G143" s="1"/>
      <c r="H143" s="16"/>
    </row>
    <row r="144" spans="1:8" x14ac:dyDescent="0.35">
      <c r="A144" s="1"/>
      <c r="B144" s="1"/>
      <c r="C144" s="1"/>
      <c r="D144" s="1"/>
      <c r="E144" s="1"/>
      <c r="F144" s="1"/>
      <c r="G144" s="1"/>
      <c r="H144" s="16"/>
    </row>
    <row r="145" spans="1:8" x14ac:dyDescent="0.35">
      <c r="A145" s="1"/>
      <c r="B145" s="1"/>
      <c r="C145" s="1"/>
      <c r="D145" s="1"/>
      <c r="E145" s="1"/>
      <c r="F145" s="1"/>
      <c r="G145" s="1"/>
      <c r="H145" s="16"/>
    </row>
    <row r="146" spans="1:8" x14ac:dyDescent="0.35">
      <c r="A146" s="1"/>
      <c r="B146" s="1"/>
      <c r="C146" s="1"/>
      <c r="D146" s="1"/>
      <c r="E146" s="1"/>
      <c r="F146" s="1"/>
      <c r="G146" s="1"/>
      <c r="H146" s="16"/>
    </row>
    <row r="147" spans="1:8" x14ac:dyDescent="0.35">
      <c r="A147" s="1"/>
      <c r="B147" s="1"/>
      <c r="C147" s="1"/>
      <c r="D147" s="1"/>
      <c r="E147" s="1"/>
      <c r="F147" s="1"/>
      <c r="G147" s="1"/>
      <c r="H147" s="16"/>
    </row>
    <row r="148" spans="1:8" x14ac:dyDescent="0.35">
      <c r="A148" s="1"/>
      <c r="B148" s="1"/>
      <c r="C148" s="1"/>
      <c r="D148" s="1"/>
      <c r="E148" s="1"/>
      <c r="F148" s="1"/>
      <c r="G148" s="1"/>
      <c r="H148" s="16"/>
    </row>
    <row r="149" spans="1:8" x14ac:dyDescent="0.35">
      <c r="A149" s="1"/>
      <c r="B149" s="1"/>
      <c r="C149" s="1"/>
      <c r="D149" s="1"/>
      <c r="E149" s="1"/>
      <c r="F149" s="1"/>
      <c r="G149" s="1"/>
      <c r="H149" s="16"/>
    </row>
    <row r="150" spans="1:8" x14ac:dyDescent="0.35">
      <c r="A150" s="1"/>
      <c r="B150" s="1"/>
      <c r="C150" s="1"/>
      <c r="D150" s="1"/>
      <c r="E150" s="1"/>
      <c r="F150" s="1"/>
      <c r="G150" s="1"/>
      <c r="H150" s="16"/>
    </row>
    <row r="151" spans="1:8" x14ac:dyDescent="0.35">
      <c r="A151" s="1"/>
      <c r="B151" s="1"/>
      <c r="C151" s="1"/>
      <c r="D151" s="1"/>
      <c r="E151" s="1"/>
      <c r="F151" s="1"/>
      <c r="G151" s="1"/>
      <c r="H151" s="16"/>
    </row>
    <row r="152" spans="1:8" x14ac:dyDescent="0.35">
      <c r="A152" s="1"/>
      <c r="B152" s="1"/>
      <c r="C152" s="1"/>
      <c r="D152" s="1"/>
      <c r="E152" s="1"/>
      <c r="F152" s="1"/>
      <c r="G152" s="1"/>
      <c r="H152" s="16"/>
    </row>
    <row r="153" spans="1:8" x14ac:dyDescent="0.35">
      <c r="A153" s="1"/>
      <c r="B153" s="1"/>
      <c r="C153" s="1"/>
      <c r="D153" s="1"/>
      <c r="E153" s="1"/>
      <c r="F153" s="1"/>
      <c r="G153" s="1"/>
      <c r="H153" s="16"/>
    </row>
    <row r="154" spans="1:8" x14ac:dyDescent="0.35">
      <c r="A154" s="1"/>
      <c r="B154" s="1"/>
      <c r="C154" s="1"/>
      <c r="D154" s="1"/>
      <c r="E154" s="1"/>
      <c r="F154" s="1"/>
      <c r="G154" s="1"/>
      <c r="H154" s="16"/>
    </row>
    <row r="155" spans="1:8" x14ac:dyDescent="0.35">
      <c r="A155" s="1"/>
      <c r="B155" s="1"/>
      <c r="C155" s="1"/>
      <c r="D155" s="1"/>
      <c r="E155" s="1"/>
      <c r="F155" s="1"/>
      <c r="G155" s="1"/>
      <c r="H155" s="16"/>
    </row>
    <row r="156" spans="1:8" x14ac:dyDescent="0.35">
      <c r="A156" s="1"/>
      <c r="B156" s="1"/>
      <c r="C156" s="1"/>
      <c r="D156" s="1"/>
      <c r="E156" s="1"/>
      <c r="F156" s="1"/>
      <c r="G156" s="1"/>
      <c r="H156" s="16"/>
    </row>
    <row r="157" spans="1:8" x14ac:dyDescent="0.35">
      <c r="A157" s="1"/>
      <c r="B157" s="1"/>
      <c r="C157" s="1"/>
      <c r="D157" s="1"/>
      <c r="E157" s="1"/>
      <c r="F157" s="1"/>
      <c r="G157" s="1"/>
      <c r="H157" s="16"/>
    </row>
    <row r="158" spans="1:8" x14ac:dyDescent="0.35">
      <c r="A158" s="1"/>
      <c r="B158" s="1"/>
      <c r="C158" s="1"/>
      <c r="D158" s="1"/>
      <c r="E158" s="1"/>
      <c r="F158" s="1"/>
      <c r="G158" s="1"/>
      <c r="H158" s="16"/>
    </row>
    <row r="159" spans="1:8" x14ac:dyDescent="0.35">
      <c r="A159" s="1"/>
      <c r="B159" s="1"/>
      <c r="C159" s="1"/>
      <c r="D159" s="1"/>
      <c r="E159" s="1"/>
      <c r="F159" s="1"/>
      <c r="G159" s="1"/>
      <c r="H159" s="16"/>
    </row>
    <row r="160" spans="1:8" x14ac:dyDescent="0.35">
      <c r="A160" s="1"/>
      <c r="B160" s="1"/>
      <c r="C160" s="1"/>
      <c r="D160" s="1"/>
      <c r="E160" s="1"/>
      <c r="F160" s="1"/>
      <c r="G160" s="1"/>
      <c r="H160" s="16"/>
    </row>
    <row r="161" spans="1:8" x14ac:dyDescent="0.35">
      <c r="A161" s="1"/>
      <c r="B161" s="1"/>
      <c r="C161" s="1"/>
      <c r="D161" s="1"/>
      <c r="E161" s="1"/>
      <c r="F161" s="1"/>
      <c r="G161" s="1"/>
      <c r="H161" s="16"/>
    </row>
    <row r="162" spans="1:8" x14ac:dyDescent="0.35">
      <c r="A162" s="1"/>
      <c r="B162" s="1"/>
      <c r="C162" s="1"/>
      <c r="D162" s="1"/>
      <c r="E162" s="1"/>
      <c r="F162" s="1"/>
      <c r="G162" s="1"/>
      <c r="H162" s="16"/>
    </row>
    <row r="163" spans="1:8" x14ac:dyDescent="0.35">
      <c r="A163" s="1"/>
      <c r="B163" s="1"/>
      <c r="C163" s="1"/>
      <c r="D163" s="1"/>
      <c r="E163" s="1"/>
      <c r="F163" s="1"/>
      <c r="G163" s="1"/>
      <c r="H163" s="16"/>
    </row>
    <row r="164" spans="1:8" x14ac:dyDescent="0.35">
      <c r="A164" s="1"/>
      <c r="B164" s="1"/>
      <c r="C164" s="1"/>
      <c r="D164" s="1"/>
      <c r="E164" s="1"/>
      <c r="F164" s="1"/>
      <c r="G164" s="1"/>
      <c r="H164" s="16"/>
    </row>
    <row r="165" spans="1:8" x14ac:dyDescent="0.35">
      <c r="A165" s="1"/>
      <c r="B165" s="1"/>
      <c r="C165" s="1"/>
      <c r="D165" s="1"/>
      <c r="E165" s="1"/>
      <c r="F165" s="1"/>
      <c r="G165" s="1"/>
      <c r="H165" s="16"/>
    </row>
    <row r="166" spans="1:8" x14ac:dyDescent="0.35">
      <c r="A166" s="1"/>
      <c r="B166" s="1"/>
      <c r="C166" s="1"/>
      <c r="D166" s="1"/>
      <c r="E166" s="1"/>
      <c r="F166" s="1"/>
      <c r="G166" s="1"/>
      <c r="H166" s="16"/>
    </row>
    <row r="167" spans="1:8" x14ac:dyDescent="0.35">
      <c r="A167" s="1"/>
      <c r="B167" s="1"/>
      <c r="C167" s="1"/>
      <c r="D167" s="1"/>
      <c r="E167" s="1"/>
      <c r="F167" s="1"/>
      <c r="G167" s="1"/>
      <c r="H167" s="16"/>
    </row>
    <row r="168" spans="1:8" x14ac:dyDescent="0.35">
      <c r="A168" s="1"/>
      <c r="B168" s="1"/>
      <c r="C168" s="1"/>
      <c r="D168" s="1"/>
      <c r="E168" s="1"/>
      <c r="F168" s="1"/>
      <c r="G168" s="1"/>
      <c r="H168" s="16"/>
    </row>
    <row r="169" spans="1:8" x14ac:dyDescent="0.35">
      <c r="A169" s="1"/>
      <c r="B169" s="1"/>
      <c r="C169" s="1"/>
      <c r="D169" s="1"/>
      <c r="E169" s="1"/>
      <c r="F169" s="1"/>
      <c r="G169" s="1"/>
      <c r="H169" s="16"/>
    </row>
    <row r="170" spans="1:8" x14ac:dyDescent="0.35">
      <c r="A170" s="1"/>
      <c r="B170" s="1"/>
      <c r="C170" s="1"/>
      <c r="D170" s="1"/>
      <c r="E170" s="1"/>
      <c r="F170" s="1"/>
      <c r="G170" s="1"/>
      <c r="H170" s="16"/>
    </row>
    <row r="171" spans="1:8" x14ac:dyDescent="0.35">
      <c r="A171" s="1"/>
      <c r="B171" s="1"/>
      <c r="C171" s="1"/>
      <c r="D171" s="1"/>
      <c r="E171" s="1"/>
      <c r="F171" s="1"/>
      <c r="G171" s="1"/>
      <c r="H171" s="16"/>
    </row>
    <row r="172" spans="1:8" x14ac:dyDescent="0.35">
      <c r="A172" s="1"/>
      <c r="B172" s="1"/>
      <c r="C172" s="1"/>
      <c r="D172" s="1"/>
      <c r="E172" s="1"/>
      <c r="F172" s="1"/>
      <c r="G172" s="1"/>
      <c r="H172" s="16"/>
    </row>
    <row r="173" spans="1:8" x14ac:dyDescent="0.35">
      <c r="A173" s="1"/>
      <c r="B173" s="1"/>
      <c r="C173" s="1"/>
      <c r="D173" s="1"/>
      <c r="E173" s="1"/>
      <c r="F173" s="1"/>
      <c r="G173" s="1"/>
      <c r="H173" s="16"/>
    </row>
    <row r="174" spans="1:8" x14ac:dyDescent="0.35">
      <c r="A174" s="1"/>
      <c r="B174" s="1"/>
      <c r="C174" s="1"/>
      <c r="D174" s="1"/>
      <c r="E174" s="1"/>
      <c r="F174" s="1"/>
      <c r="G174" s="1"/>
      <c r="H174" s="16"/>
    </row>
    <row r="175" spans="1:8" x14ac:dyDescent="0.35">
      <c r="A175" s="1"/>
      <c r="B175" s="1"/>
      <c r="C175" s="1"/>
      <c r="D175" s="1"/>
      <c r="E175" s="1"/>
      <c r="F175" s="1"/>
      <c r="G175" s="1"/>
      <c r="H175" s="16"/>
    </row>
    <row r="176" spans="1:8" x14ac:dyDescent="0.35">
      <c r="A176" s="1"/>
      <c r="B176" s="1"/>
      <c r="C176" s="1"/>
      <c r="D176" s="1"/>
      <c r="E176" s="1"/>
      <c r="F176" s="1"/>
      <c r="G176" s="1"/>
      <c r="H176" s="16"/>
    </row>
    <row r="177" spans="1:8" x14ac:dyDescent="0.35">
      <c r="A177" s="1"/>
      <c r="B177" s="1"/>
      <c r="C177" s="1"/>
      <c r="D177" s="1"/>
      <c r="E177" s="1"/>
      <c r="F177" s="1"/>
      <c r="G177" s="1"/>
      <c r="H177" s="16"/>
    </row>
    <row r="178" spans="1:8" x14ac:dyDescent="0.35">
      <c r="A178" s="1"/>
      <c r="B178" s="1"/>
      <c r="C178" s="1"/>
      <c r="D178" s="1"/>
      <c r="E178" s="1"/>
      <c r="F178" s="1"/>
      <c r="G178" s="1"/>
      <c r="H178" s="16"/>
    </row>
    <row r="179" spans="1:8" x14ac:dyDescent="0.35">
      <c r="A179" s="1"/>
      <c r="B179" s="1"/>
      <c r="C179" s="1"/>
      <c r="D179" s="1"/>
      <c r="E179" s="1"/>
      <c r="F179" s="1"/>
      <c r="G179" s="1"/>
      <c r="H179" s="16"/>
    </row>
    <row r="180" spans="1:8" x14ac:dyDescent="0.35">
      <c r="A180" s="1"/>
      <c r="B180" s="1"/>
      <c r="C180" s="1"/>
      <c r="D180" s="1"/>
      <c r="E180" s="1"/>
      <c r="F180" s="1"/>
      <c r="G180" s="1"/>
      <c r="H180" s="16"/>
    </row>
    <row r="181" spans="1:8" x14ac:dyDescent="0.35">
      <c r="A181" s="1"/>
      <c r="B181" s="1"/>
      <c r="C181" s="1"/>
      <c r="D181" s="1"/>
      <c r="E181" s="1"/>
      <c r="F181" s="1"/>
      <c r="G181" s="1"/>
      <c r="H181" s="16"/>
    </row>
    <row r="182" spans="1:8" x14ac:dyDescent="0.35">
      <c r="A182" s="1"/>
      <c r="B182" s="1"/>
      <c r="C182" s="1"/>
      <c r="D182" s="1"/>
      <c r="E182" s="1"/>
      <c r="F182" s="1"/>
      <c r="G182" s="1"/>
      <c r="H182" s="16"/>
    </row>
    <row r="183" spans="1:8" x14ac:dyDescent="0.35">
      <c r="A183" s="1"/>
      <c r="B183" s="1"/>
      <c r="C183" s="1"/>
      <c r="D183" s="1"/>
      <c r="E183" s="1"/>
      <c r="F183" s="1"/>
      <c r="G183" s="1"/>
      <c r="H183" s="16"/>
    </row>
    <row r="184" spans="1:8" x14ac:dyDescent="0.35">
      <c r="A184" s="1"/>
      <c r="B184" s="1"/>
      <c r="C184" s="1"/>
      <c r="D184" s="1"/>
      <c r="E184" s="1"/>
      <c r="F184" s="1"/>
      <c r="G184" s="1"/>
      <c r="H184" s="16"/>
    </row>
    <row r="185" spans="1:8" x14ac:dyDescent="0.35">
      <c r="A185" s="1"/>
      <c r="B185" s="1"/>
      <c r="C185" s="1"/>
      <c r="D185" s="1"/>
      <c r="E185" s="1"/>
      <c r="F185" s="1"/>
      <c r="G185" s="1"/>
      <c r="H185" s="16"/>
    </row>
    <row r="186" spans="1:8" x14ac:dyDescent="0.35">
      <c r="A186" s="1"/>
      <c r="B186" s="1"/>
      <c r="C186" s="1"/>
      <c r="D186" s="1"/>
      <c r="E186" s="1"/>
      <c r="F186" s="1"/>
      <c r="G186" s="1"/>
      <c r="H186" s="16"/>
    </row>
    <row r="187" spans="1:8" x14ac:dyDescent="0.35">
      <c r="A187" s="1"/>
      <c r="B187" s="1"/>
      <c r="C187" s="1"/>
      <c r="D187" s="1"/>
      <c r="E187" s="1"/>
      <c r="F187" s="1"/>
      <c r="G187" s="1"/>
      <c r="H187" s="16"/>
    </row>
    <row r="188" spans="1:8" x14ac:dyDescent="0.35">
      <c r="A188" s="1"/>
      <c r="B188" s="1"/>
      <c r="C188" s="1"/>
      <c r="D188" s="1"/>
      <c r="E188" s="1"/>
      <c r="F188" s="1"/>
      <c r="G188" s="1"/>
      <c r="H188" s="16"/>
    </row>
    <row r="189" spans="1:8" x14ac:dyDescent="0.35">
      <c r="A189" s="1"/>
      <c r="B189" s="1"/>
      <c r="C189" s="1"/>
      <c r="D189" s="1"/>
      <c r="E189" s="1"/>
      <c r="F189" s="1"/>
      <c r="G189" s="1"/>
      <c r="H189" s="16"/>
    </row>
    <row r="190" spans="1:8" x14ac:dyDescent="0.35">
      <c r="A190" s="1"/>
      <c r="B190" s="1"/>
      <c r="C190" s="1"/>
      <c r="D190" s="1"/>
      <c r="E190" s="1"/>
      <c r="F190" s="1"/>
      <c r="G190" s="1"/>
      <c r="H190" s="16"/>
    </row>
    <row r="191" spans="1:8" x14ac:dyDescent="0.35">
      <c r="A191" s="1"/>
      <c r="B191" s="1"/>
      <c r="C191" s="1"/>
      <c r="D191" s="1"/>
      <c r="E191" s="1"/>
      <c r="F191" s="1"/>
      <c r="G191" s="1"/>
      <c r="H191" s="16"/>
    </row>
    <row r="192" spans="1:8" x14ac:dyDescent="0.35">
      <c r="A192" s="1"/>
      <c r="B192" s="1"/>
      <c r="C192" s="1"/>
      <c r="D192" s="1"/>
      <c r="E192" s="1"/>
      <c r="F192" s="1"/>
      <c r="G192" s="1"/>
      <c r="H192" s="16"/>
    </row>
    <row r="193" spans="1:8" x14ac:dyDescent="0.35">
      <c r="A193" s="1"/>
      <c r="B193" s="1"/>
      <c r="C193" s="1"/>
      <c r="D193" s="1"/>
      <c r="E193" s="1"/>
      <c r="F193" s="1"/>
      <c r="G193" s="1"/>
      <c r="H193" s="16"/>
    </row>
    <row r="194" spans="1:8" x14ac:dyDescent="0.35">
      <c r="A194" s="1"/>
      <c r="B194" s="1"/>
      <c r="C194" s="1"/>
      <c r="D194" s="1"/>
      <c r="E194" s="1"/>
      <c r="F194" s="1"/>
      <c r="G194" s="1"/>
      <c r="H194" s="16"/>
    </row>
    <row r="195" spans="1:8" x14ac:dyDescent="0.35">
      <c r="A195" s="1"/>
      <c r="B195" s="1"/>
      <c r="C195" s="1"/>
      <c r="D195" s="1"/>
      <c r="E195" s="1"/>
      <c r="F195" s="1"/>
      <c r="G195" s="1"/>
      <c r="H195" s="16"/>
    </row>
    <row r="196" spans="1:8" x14ac:dyDescent="0.35">
      <c r="A196" s="1"/>
      <c r="B196" s="1"/>
      <c r="C196" s="1"/>
      <c r="D196" s="1"/>
      <c r="E196" s="1"/>
      <c r="F196" s="1"/>
      <c r="G196" s="1"/>
      <c r="H196" s="16"/>
    </row>
    <row r="197" spans="1:8" x14ac:dyDescent="0.35">
      <c r="A197" s="1"/>
      <c r="B197" s="1"/>
      <c r="C197" s="1"/>
      <c r="D197" s="1"/>
      <c r="E197" s="1"/>
      <c r="F197" s="1"/>
      <c r="G197" s="1"/>
      <c r="H197" s="16"/>
    </row>
    <row r="198" spans="1:8" x14ac:dyDescent="0.35">
      <c r="A198" s="1"/>
      <c r="B198" s="1"/>
      <c r="C198" s="1"/>
      <c r="D198" s="1"/>
      <c r="E198" s="1"/>
      <c r="F198" s="1"/>
      <c r="G198" s="1"/>
      <c r="H198" s="16"/>
    </row>
    <row r="199" spans="1:8" x14ac:dyDescent="0.35">
      <c r="A199" s="1"/>
      <c r="B199" s="1"/>
      <c r="C199" s="1"/>
      <c r="D199" s="1"/>
      <c r="E199" s="1"/>
      <c r="F199" s="1"/>
      <c r="G199" s="1"/>
      <c r="H199" s="16"/>
    </row>
    <row r="200" spans="1:8" x14ac:dyDescent="0.35">
      <c r="A200" s="1"/>
      <c r="B200" s="1"/>
      <c r="C200" s="1"/>
      <c r="D200" s="1"/>
      <c r="E200" s="1"/>
      <c r="F200" s="1"/>
      <c r="G200" s="1"/>
      <c r="H200" s="16"/>
    </row>
    <row r="201" spans="1:8" x14ac:dyDescent="0.35">
      <c r="A201" s="1"/>
      <c r="B201" s="1"/>
      <c r="C201" s="1"/>
      <c r="D201" s="1"/>
      <c r="E201" s="1"/>
      <c r="F201" s="1"/>
      <c r="G201" s="1"/>
      <c r="H201" s="16"/>
    </row>
    <row r="202" spans="1:8" x14ac:dyDescent="0.35">
      <c r="A202" s="1"/>
      <c r="B202" s="1"/>
      <c r="C202" s="1"/>
      <c r="D202" s="1"/>
      <c r="E202" s="1"/>
      <c r="F202" s="1"/>
      <c r="G202" s="1"/>
      <c r="H202" s="16"/>
    </row>
    <row r="203" spans="1:8" x14ac:dyDescent="0.35">
      <c r="A203" s="1"/>
      <c r="B203" s="1"/>
      <c r="C203" s="1"/>
      <c r="D203" s="1"/>
      <c r="E203" s="1"/>
      <c r="F203" s="1"/>
      <c r="G203" s="1"/>
      <c r="H203" s="16"/>
    </row>
    <row r="204" spans="1:8" x14ac:dyDescent="0.35">
      <c r="A204" s="1"/>
      <c r="B204" s="1"/>
      <c r="C204" s="1"/>
      <c r="D204" s="1"/>
      <c r="E204" s="1"/>
      <c r="F204" s="1"/>
      <c r="G204" s="1"/>
      <c r="H204" s="16"/>
    </row>
    <row r="205" spans="1:8" x14ac:dyDescent="0.35">
      <c r="A205" s="1"/>
      <c r="B205" s="1"/>
      <c r="C205" s="1"/>
      <c r="D205" s="1"/>
      <c r="E205" s="1"/>
      <c r="F205" s="1"/>
      <c r="G205" s="1"/>
      <c r="H205" s="16"/>
    </row>
    <row r="206" spans="1:8" x14ac:dyDescent="0.35">
      <c r="A206" s="1"/>
      <c r="B206" s="1"/>
      <c r="C206" s="1"/>
      <c r="D206" s="1"/>
      <c r="E206" s="1"/>
      <c r="F206" s="1"/>
      <c r="G206" s="1"/>
      <c r="H206" s="16"/>
    </row>
    <row r="207" spans="1:8" x14ac:dyDescent="0.35">
      <c r="A207" s="1"/>
      <c r="B207" s="1"/>
      <c r="C207" s="1"/>
      <c r="D207" s="1"/>
      <c r="E207" s="1"/>
      <c r="F207" s="1"/>
      <c r="G207" s="1"/>
      <c r="H207" s="16"/>
    </row>
    <row r="208" spans="1:8" x14ac:dyDescent="0.35">
      <c r="A208" s="1"/>
      <c r="B208" s="1"/>
      <c r="C208" s="1"/>
      <c r="D208" s="1"/>
      <c r="E208" s="1"/>
      <c r="F208" s="1"/>
      <c r="G208" s="1"/>
      <c r="H208" s="16"/>
    </row>
    <row r="209" spans="1:8" x14ac:dyDescent="0.35">
      <c r="A209" s="1"/>
      <c r="B209" s="1"/>
      <c r="C209" s="1"/>
      <c r="D209" s="1"/>
      <c r="E209" s="1"/>
      <c r="F209" s="1"/>
      <c r="G209" s="1"/>
      <c r="H209" s="16"/>
    </row>
    <row r="210" spans="1:8" x14ac:dyDescent="0.35">
      <c r="A210" s="1"/>
      <c r="B210" s="1"/>
      <c r="C210" s="1"/>
      <c r="D210" s="1"/>
      <c r="E210" s="1"/>
      <c r="F210" s="1"/>
      <c r="G210" s="1"/>
      <c r="H210" s="16"/>
    </row>
    <row r="211" spans="1:8" x14ac:dyDescent="0.35">
      <c r="A211" s="1"/>
      <c r="B211" s="1"/>
      <c r="C211" s="1"/>
      <c r="D211" s="1"/>
      <c r="E211" s="1"/>
      <c r="F211" s="1"/>
      <c r="G211" s="1"/>
      <c r="H211" s="16"/>
    </row>
    <row r="212" spans="1:8" x14ac:dyDescent="0.35">
      <c r="A212" s="1"/>
      <c r="B212" s="1"/>
      <c r="C212" s="1"/>
      <c r="D212" s="1"/>
      <c r="E212" s="1"/>
      <c r="F212" s="1"/>
      <c r="G212" s="1"/>
      <c r="H212" s="16"/>
    </row>
    <row r="213" spans="1:8" x14ac:dyDescent="0.35">
      <c r="A213" s="1"/>
      <c r="B213" s="1"/>
      <c r="C213" s="1"/>
      <c r="D213" s="1"/>
      <c r="E213" s="1"/>
      <c r="F213" s="1"/>
      <c r="G213" s="1"/>
      <c r="H213" s="16"/>
    </row>
    <row r="214" spans="1:8" x14ac:dyDescent="0.35">
      <c r="A214" s="1"/>
      <c r="B214" s="1"/>
      <c r="C214" s="1"/>
      <c r="D214" s="1"/>
      <c r="E214" s="1"/>
      <c r="F214" s="1"/>
      <c r="G214" s="1"/>
      <c r="H214" s="16"/>
    </row>
    <row r="215" spans="1:8" x14ac:dyDescent="0.35">
      <c r="A215" s="1"/>
      <c r="B215" s="1"/>
      <c r="C215" s="1"/>
      <c r="D215" s="1"/>
      <c r="E215" s="1"/>
      <c r="F215" s="1"/>
      <c r="G215" s="1"/>
      <c r="H215" s="16"/>
    </row>
    <row r="216" spans="1:8" x14ac:dyDescent="0.35">
      <c r="A216" s="1"/>
      <c r="B216" s="1"/>
      <c r="C216" s="1"/>
      <c r="D216" s="1"/>
      <c r="E216" s="1"/>
      <c r="F216" s="1"/>
      <c r="G216" s="1"/>
      <c r="H216" s="16"/>
    </row>
    <row r="217" spans="1:8" x14ac:dyDescent="0.35">
      <c r="A217" s="1"/>
      <c r="B217" s="1"/>
      <c r="C217" s="1"/>
      <c r="D217" s="1"/>
      <c r="E217" s="1"/>
      <c r="F217" s="1"/>
      <c r="G217" s="1"/>
      <c r="H217" s="16"/>
    </row>
    <row r="218" spans="1:8" x14ac:dyDescent="0.35">
      <c r="A218" s="1"/>
      <c r="B218" s="1"/>
      <c r="C218" s="1"/>
      <c r="D218" s="1"/>
      <c r="E218" s="1"/>
      <c r="F218" s="1"/>
      <c r="G218" s="1"/>
      <c r="H218" s="16"/>
    </row>
    <row r="219" spans="1:8" x14ac:dyDescent="0.35">
      <c r="A219" s="1"/>
      <c r="B219" s="1"/>
      <c r="C219" s="1"/>
      <c r="D219" s="1"/>
      <c r="E219" s="1"/>
      <c r="F219" s="1"/>
      <c r="G219" s="1"/>
      <c r="H219" s="16"/>
    </row>
    <row r="220" spans="1:8" x14ac:dyDescent="0.35">
      <c r="A220" s="1"/>
      <c r="B220" s="1"/>
      <c r="C220" s="1"/>
      <c r="D220" s="1"/>
      <c r="E220" s="1"/>
      <c r="F220" s="1"/>
      <c r="G220" s="1"/>
      <c r="H220" s="16"/>
    </row>
    <row r="221" spans="1:8" x14ac:dyDescent="0.35">
      <c r="A221" s="1"/>
      <c r="B221" s="1"/>
      <c r="C221" s="1"/>
      <c r="D221" s="1"/>
      <c r="E221" s="1"/>
      <c r="F221" s="1"/>
      <c r="G221" s="1"/>
      <c r="H221" s="16"/>
    </row>
    <row r="222" spans="1:8" x14ac:dyDescent="0.35">
      <c r="A222" s="1"/>
      <c r="B222" s="1"/>
      <c r="C222" s="1"/>
      <c r="D222" s="1"/>
      <c r="E222" s="1"/>
      <c r="F222" s="1"/>
      <c r="G222" s="1"/>
      <c r="H222" s="16"/>
    </row>
    <row r="223" spans="1:8" x14ac:dyDescent="0.35">
      <c r="A223" s="1"/>
      <c r="B223" s="1"/>
      <c r="C223" s="1"/>
      <c r="D223" s="1"/>
      <c r="E223" s="1"/>
      <c r="F223" s="1"/>
      <c r="G223" s="1"/>
      <c r="H223" s="16"/>
    </row>
    <row r="224" spans="1:8" x14ac:dyDescent="0.35">
      <c r="A224" s="1"/>
      <c r="B224" s="1"/>
      <c r="C224" s="1"/>
      <c r="D224" s="1"/>
      <c r="E224" s="1"/>
      <c r="F224" s="1"/>
      <c r="G224" s="1"/>
      <c r="H224" s="16"/>
    </row>
    <row r="225" spans="1:8" x14ac:dyDescent="0.35">
      <c r="A225" s="1"/>
      <c r="B225" s="1"/>
      <c r="C225" s="1"/>
      <c r="D225" s="1"/>
      <c r="E225" s="1"/>
      <c r="F225" s="1"/>
      <c r="G225" s="1"/>
      <c r="H225" s="16"/>
    </row>
    <row r="226" spans="1:8" x14ac:dyDescent="0.35">
      <c r="A226" s="1"/>
      <c r="B226" s="1"/>
      <c r="C226" s="1"/>
      <c r="D226" s="1"/>
      <c r="E226" s="1"/>
      <c r="F226" s="1"/>
      <c r="G226" s="1"/>
      <c r="H226" s="16"/>
    </row>
    <row r="227" spans="1:8" x14ac:dyDescent="0.35">
      <c r="A227" s="1"/>
      <c r="B227" s="1"/>
      <c r="C227" s="1"/>
      <c r="D227" s="1"/>
      <c r="E227" s="1"/>
      <c r="F227" s="1"/>
      <c r="G227" s="1"/>
      <c r="H227" s="16"/>
    </row>
    <row r="228" spans="1:8" x14ac:dyDescent="0.35">
      <c r="A228" s="1"/>
      <c r="B228" s="1"/>
      <c r="C228" s="1"/>
      <c r="D228" s="1"/>
      <c r="E228" s="1"/>
      <c r="F228" s="1"/>
      <c r="G228" s="1"/>
      <c r="H228" s="16"/>
    </row>
    <row r="229" spans="1:8" x14ac:dyDescent="0.35">
      <c r="A229" s="1"/>
      <c r="B229" s="1"/>
      <c r="C229" s="1"/>
      <c r="D229" s="1"/>
      <c r="E229" s="1"/>
      <c r="F229" s="1"/>
      <c r="G229" s="1"/>
      <c r="H229" s="16"/>
    </row>
    <row r="230" spans="1:8" x14ac:dyDescent="0.35">
      <c r="A230" s="1"/>
      <c r="B230" s="1"/>
      <c r="C230" s="1"/>
      <c r="D230" s="1"/>
      <c r="E230" s="1"/>
      <c r="F230" s="1"/>
      <c r="G230" s="1"/>
      <c r="H230" s="16"/>
    </row>
    <row r="231" spans="1:8" x14ac:dyDescent="0.35">
      <c r="A231" s="1"/>
      <c r="B231" s="1"/>
      <c r="C231" s="1"/>
      <c r="D231" s="1"/>
      <c r="E231" s="1"/>
      <c r="F231" s="1"/>
      <c r="G231" s="1"/>
      <c r="H231" s="16"/>
    </row>
    <row r="232" spans="1:8" x14ac:dyDescent="0.35">
      <c r="A232" s="1"/>
      <c r="B232" s="1"/>
      <c r="C232" s="1"/>
      <c r="D232" s="1"/>
      <c r="E232" s="1"/>
      <c r="F232" s="1"/>
      <c r="G232" s="1"/>
      <c r="H232" s="16"/>
    </row>
    <row r="233" spans="1:8" x14ac:dyDescent="0.35">
      <c r="A233" s="1"/>
      <c r="B233" s="1"/>
      <c r="C233" s="1"/>
      <c r="D233" s="1"/>
      <c r="E233" s="1"/>
      <c r="F233" s="1"/>
      <c r="G233" s="1"/>
      <c r="H233" s="16"/>
    </row>
    <row r="234" spans="1:8" x14ac:dyDescent="0.35">
      <c r="A234" s="1"/>
      <c r="B234" s="1"/>
      <c r="C234" s="1"/>
      <c r="D234" s="1"/>
      <c r="E234" s="1"/>
      <c r="F234" s="1"/>
      <c r="G234" s="1"/>
      <c r="H234" s="16"/>
    </row>
    <row r="235" spans="1:8" x14ac:dyDescent="0.35">
      <c r="A235" s="1"/>
      <c r="B235" s="1"/>
      <c r="C235" s="1"/>
      <c r="D235" s="1"/>
      <c r="E235" s="1"/>
      <c r="F235" s="1"/>
      <c r="G235" s="1"/>
      <c r="H235" s="16"/>
    </row>
    <row r="236" spans="1:8" x14ac:dyDescent="0.35">
      <c r="A236" s="1"/>
      <c r="B236" s="1"/>
      <c r="C236" s="1"/>
      <c r="D236" s="1"/>
      <c r="E236" s="1"/>
      <c r="F236" s="1"/>
      <c r="G236" s="1"/>
      <c r="H236" s="16"/>
    </row>
    <row r="237" spans="1:8" x14ac:dyDescent="0.35">
      <c r="A237" s="1"/>
      <c r="B237" s="1"/>
      <c r="C237" s="1"/>
      <c r="D237" s="1"/>
      <c r="E237" s="1"/>
      <c r="F237" s="1"/>
      <c r="G237" s="1"/>
      <c r="H237" s="16"/>
    </row>
    <row r="238" spans="1:8" x14ac:dyDescent="0.35">
      <c r="A238" s="1"/>
      <c r="B238" s="1"/>
      <c r="C238" s="1"/>
      <c r="D238" s="1"/>
      <c r="E238" s="1"/>
      <c r="F238" s="1"/>
      <c r="G238" s="1"/>
      <c r="H238" s="16"/>
    </row>
    <row r="239" spans="1:8" x14ac:dyDescent="0.35">
      <c r="A239" s="1"/>
      <c r="B239" s="1"/>
      <c r="C239" s="1"/>
      <c r="D239" s="1"/>
      <c r="E239" s="1"/>
      <c r="F239" s="1"/>
      <c r="G239" s="1"/>
      <c r="H239" s="16"/>
    </row>
    <row r="240" spans="1:8" x14ac:dyDescent="0.35">
      <c r="A240" s="1"/>
      <c r="B240" s="1"/>
      <c r="C240" s="1"/>
      <c r="D240" s="1"/>
      <c r="E240" s="1"/>
      <c r="F240" s="1"/>
      <c r="G240" s="1"/>
      <c r="H240" s="16"/>
    </row>
    <row r="241" spans="1:8" x14ac:dyDescent="0.35">
      <c r="A241" s="1"/>
      <c r="B241" s="1"/>
      <c r="C241" s="1"/>
      <c r="D241" s="1"/>
      <c r="E241" s="1"/>
      <c r="F241" s="1"/>
      <c r="G241" s="1"/>
      <c r="H241" s="16"/>
    </row>
    <row r="242" spans="1:8" x14ac:dyDescent="0.35">
      <c r="A242" s="1"/>
      <c r="B242" s="1"/>
      <c r="C242" s="1"/>
      <c r="D242" s="1"/>
      <c r="E242" s="1"/>
      <c r="F242" s="1"/>
      <c r="G242" s="1"/>
      <c r="H242" s="16"/>
    </row>
    <row r="243" spans="1:8" x14ac:dyDescent="0.35">
      <c r="A243" s="1"/>
      <c r="B243" s="1"/>
      <c r="C243" s="1"/>
      <c r="D243" s="1"/>
      <c r="E243" s="1"/>
      <c r="F243" s="1"/>
      <c r="G243" s="1"/>
      <c r="H243" s="16"/>
    </row>
    <row r="244" spans="1:8" x14ac:dyDescent="0.35">
      <c r="A244" s="1"/>
      <c r="B244" s="1"/>
      <c r="C244" s="1"/>
      <c r="D244" s="1"/>
      <c r="E244" s="1"/>
      <c r="F244" s="1"/>
      <c r="G244" s="1"/>
      <c r="H244" s="16"/>
    </row>
    <row r="245" spans="1:8" x14ac:dyDescent="0.35">
      <c r="A245" s="1"/>
      <c r="B245" s="1"/>
      <c r="C245" s="1"/>
      <c r="D245" s="1"/>
      <c r="E245" s="1"/>
      <c r="F245" s="1"/>
      <c r="G245" s="1"/>
      <c r="H245" s="16"/>
    </row>
    <row r="246" spans="1:8" x14ac:dyDescent="0.35">
      <c r="A246" s="1"/>
      <c r="B246" s="1"/>
      <c r="C246" s="1"/>
      <c r="D246" s="1"/>
      <c r="E246" s="1"/>
      <c r="F246" s="1"/>
      <c r="G246" s="1"/>
      <c r="H246" s="16"/>
    </row>
    <row r="247" spans="1:8" x14ac:dyDescent="0.35">
      <c r="A247" s="1"/>
      <c r="B247" s="1"/>
      <c r="C247" s="1"/>
      <c r="D247" s="1"/>
      <c r="E247" s="1"/>
      <c r="F247" s="1"/>
      <c r="G247" s="1"/>
      <c r="H247" s="16"/>
    </row>
    <row r="248" spans="1:8" x14ac:dyDescent="0.35">
      <c r="A248" s="1"/>
      <c r="B248" s="1"/>
      <c r="C248" s="1"/>
      <c r="D248" s="1"/>
      <c r="E248" s="1"/>
      <c r="F248" s="1"/>
      <c r="G248" s="1"/>
      <c r="H248" s="16"/>
    </row>
    <row r="249" spans="1:8" x14ac:dyDescent="0.35">
      <c r="A249" s="1"/>
      <c r="B249" s="1"/>
      <c r="C249" s="1"/>
      <c r="D249" s="1"/>
      <c r="E249" s="1"/>
      <c r="F249" s="1"/>
      <c r="G249" s="1"/>
      <c r="H249" s="16"/>
    </row>
    <row r="250" spans="1:8" x14ac:dyDescent="0.35">
      <c r="A250" s="1"/>
      <c r="B250" s="1"/>
      <c r="C250" s="1"/>
      <c r="D250" s="1"/>
      <c r="E250" s="1"/>
      <c r="F250" s="1"/>
      <c r="G250" s="1"/>
      <c r="H250" s="16"/>
    </row>
    <row r="251" spans="1:8" x14ac:dyDescent="0.35">
      <c r="A251" s="1"/>
      <c r="B251" s="1"/>
      <c r="C251" s="1"/>
      <c r="D251" s="1"/>
      <c r="E251" s="1"/>
      <c r="F251" s="1"/>
      <c r="G251" s="1"/>
      <c r="H251" s="16"/>
    </row>
    <row r="252" spans="1:8" x14ac:dyDescent="0.35">
      <c r="A252" s="1"/>
      <c r="B252" s="1"/>
      <c r="C252" s="1"/>
      <c r="D252" s="1"/>
      <c r="E252" s="1"/>
      <c r="F252" s="1"/>
      <c r="G252" s="1"/>
      <c r="H252" s="16"/>
    </row>
    <row r="253" spans="1:8" x14ac:dyDescent="0.35">
      <c r="A253" s="1"/>
      <c r="B253" s="1"/>
      <c r="C253" s="1"/>
      <c r="D253" s="1"/>
      <c r="E253" s="1"/>
      <c r="F253" s="1"/>
      <c r="G253" s="1"/>
      <c r="H253" s="16"/>
    </row>
    <row r="254" spans="1:8" x14ac:dyDescent="0.35">
      <c r="A254" s="1"/>
      <c r="B254" s="1"/>
      <c r="C254" s="1"/>
      <c r="D254" s="1"/>
      <c r="E254" s="1"/>
      <c r="F254" s="1"/>
      <c r="G254" s="1"/>
      <c r="H254" s="16"/>
    </row>
    <row r="255" spans="1:8" x14ac:dyDescent="0.35">
      <c r="A255" s="1"/>
      <c r="B255" s="1"/>
      <c r="C255" s="1"/>
      <c r="D255" s="1"/>
      <c r="E255" s="1"/>
      <c r="F255" s="1"/>
      <c r="G255" s="1"/>
      <c r="H255" s="16"/>
    </row>
    <row r="256" spans="1:8" x14ac:dyDescent="0.35">
      <c r="A256" s="1"/>
      <c r="B256" s="1"/>
      <c r="C256" s="1"/>
      <c r="D256" s="1"/>
      <c r="E256" s="1"/>
      <c r="F256" s="1"/>
      <c r="G256" s="1"/>
      <c r="H256" s="16"/>
    </row>
    <row r="257" spans="1:8" x14ac:dyDescent="0.35">
      <c r="A257" s="1"/>
      <c r="B257" s="1"/>
      <c r="C257" s="1"/>
      <c r="D257" s="1"/>
      <c r="E257" s="1"/>
      <c r="F257" s="1"/>
      <c r="G257" s="1"/>
      <c r="H257" s="16"/>
    </row>
    <row r="258" spans="1:8" x14ac:dyDescent="0.35">
      <c r="A258" s="1"/>
      <c r="B258" s="1"/>
      <c r="C258" s="1"/>
      <c r="D258" s="1"/>
      <c r="E258" s="1"/>
      <c r="F258" s="1"/>
      <c r="G258" s="1"/>
      <c r="H258" s="16"/>
    </row>
    <row r="259" spans="1:8" x14ac:dyDescent="0.35">
      <c r="A259" s="1"/>
      <c r="B259" s="1"/>
      <c r="C259" s="1"/>
      <c r="D259" s="1"/>
      <c r="E259" s="1"/>
      <c r="F259" s="1"/>
      <c r="G259" s="1"/>
      <c r="H259" s="16"/>
    </row>
    <row r="260" spans="1:8" x14ac:dyDescent="0.35">
      <c r="A260" s="1"/>
      <c r="B260" s="1"/>
      <c r="C260" s="1"/>
      <c r="D260" s="1"/>
      <c r="E260" s="1"/>
      <c r="F260" s="1"/>
      <c r="G260" s="1"/>
      <c r="H260" s="16"/>
    </row>
    <row r="261" spans="1:8" x14ac:dyDescent="0.35">
      <c r="A261" s="1"/>
      <c r="B261" s="1"/>
      <c r="C261" s="1"/>
      <c r="D261" s="1"/>
      <c r="E261" s="1"/>
      <c r="F261" s="1"/>
      <c r="G261" s="1"/>
      <c r="H261" s="16"/>
    </row>
    <row r="262" spans="1:8" x14ac:dyDescent="0.35">
      <c r="A262" s="1"/>
      <c r="B262" s="1"/>
      <c r="C262" s="1"/>
      <c r="D262" s="1"/>
      <c r="E262" s="1"/>
      <c r="F262" s="1"/>
      <c r="G262" s="1"/>
      <c r="H262" s="16"/>
    </row>
    <row r="263" spans="1:8" x14ac:dyDescent="0.35">
      <c r="A263" s="1"/>
      <c r="B263" s="1"/>
      <c r="C263" s="1"/>
      <c r="D263" s="1"/>
      <c r="E263" s="1"/>
      <c r="F263" s="1"/>
      <c r="G263" s="1"/>
      <c r="H263" s="16"/>
    </row>
    <row r="264" spans="1:8" x14ac:dyDescent="0.35">
      <c r="A264" s="1"/>
      <c r="B264" s="1"/>
      <c r="C264" s="1"/>
      <c r="D264" s="1"/>
      <c r="E264" s="1"/>
      <c r="F264" s="1"/>
      <c r="G264" s="1"/>
      <c r="H264" s="16"/>
    </row>
    <row r="265" spans="1:8" x14ac:dyDescent="0.35">
      <c r="A265" s="1"/>
      <c r="B265" s="1"/>
      <c r="C265" s="1"/>
      <c r="D265" s="1"/>
      <c r="E265" s="1"/>
      <c r="F265" s="1"/>
      <c r="G265" s="1"/>
      <c r="H265" s="16"/>
    </row>
    <row r="266" spans="1:8" x14ac:dyDescent="0.35">
      <c r="A266" s="1"/>
      <c r="B266" s="1"/>
      <c r="C266" s="1"/>
      <c r="D266" s="1"/>
      <c r="E266" s="1"/>
      <c r="F266" s="1"/>
      <c r="G266" s="1"/>
      <c r="H266" s="16"/>
    </row>
    <row r="267" spans="1:8" x14ac:dyDescent="0.35">
      <c r="A267" s="1"/>
      <c r="B267" s="1"/>
      <c r="C267" s="1"/>
      <c r="D267" s="1"/>
      <c r="E267" s="1"/>
      <c r="F267" s="1"/>
      <c r="G267" s="1"/>
      <c r="H267" s="16"/>
    </row>
    <row r="268" spans="1:8" x14ac:dyDescent="0.35">
      <c r="A268" s="1"/>
      <c r="B268" s="1"/>
      <c r="C268" s="1"/>
      <c r="D268" s="1"/>
      <c r="E268" s="1"/>
      <c r="F268" s="1"/>
      <c r="G268" s="1"/>
      <c r="H268" s="16"/>
    </row>
    <row r="269" spans="1:8" x14ac:dyDescent="0.35">
      <c r="A269" s="1"/>
      <c r="B269" s="1"/>
      <c r="C269" s="1"/>
      <c r="D269" s="1"/>
      <c r="E269" s="1"/>
      <c r="F269" s="1"/>
      <c r="G269" s="1"/>
      <c r="H269" s="16"/>
    </row>
    <row r="270" spans="1:8" x14ac:dyDescent="0.35">
      <c r="A270" s="1"/>
      <c r="B270" s="1"/>
      <c r="C270" s="1"/>
      <c r="D270" s="1"/>
      <c r="E270" s="1"/>
      <c r="F270" s="1"/>
      <c r="G270" s="1"/>
      <c r="H270" s="16"/>
    </row>
    <row r="271" spans="1:8" x14ac:dyDescent="0.35">
      <c r="A271" s="1"/>
      <c r="B271" s="1"/>
      <c r="C271" s="1"/>
      <c r="D271" s="1"/>
      <c r="E271" s="1"/>
      <c r="F271" s="1"/>
      <c r="G271" s="1"/>
      <c r="H271" s="16"/>
    </row>
    <row r="272" spans="1:8" x14ac:dyDescent="0.35">
      <c r="A272" s="1"/>
      <c r="B272" s="1"/>
      <c r="C272" s="1"/>
      <c r="D272" s="1"/>
      <c r="E272" s="1"/>
      <c r="F272" s="1"/>
      <c r="G272" s="1"/>
      <c r="H272" s="16"/>
    </row>
    <row r="273" spans="1:8" x14ac:dyDescent="0.35">
      <c r="A273" s="1"/>
      <c r="B273" s="1"/>
      <c r="C273" s="1"/>
      <c r="D273" s="1"/>
      <c r="E273" s="1"/>
      <c r="F273" s="1"/>
      <c r="G273" s="1"/>
      <c r="H273" s="16"/>
    </row>
    <row r="274" spans="1:8" x14ac:dyDescent="0.35">
      <c r="A274" s="1"/>
      <c r="B274" s="1"/>
      <c r="C274" s="1"/>
      <c r="D274" s="1"/>
      <c r="E274" s="1"/>
      <c r="F274" s="1"/>
      <c r="G274" s="1"/>
      <c r="H274" s="16"/>
    </row>
    <row r="275" spans="1:8" x14ac:dyDescent="0.35">
      <c r="A275" s="1"/>
      <c r="B275" s="1"/>
      <c r="C275" s="1"/>
      <c r="D275" s="1"/>
      <c r="E275" s="1"/>
      <c r="F275" s="1"/>
      <c r="G275" s="1"/>
      <c r="H275" s="16"/>
    </row>
    <row r="276" spans="1:8" x14ac:dyDescent="0.35">
      <c r="A276" s="1"/>
      <c r="B276" s="1"/>
      <c r="C276" s="1"/>
      <c r="D276" s="1"/>
      <c r="E276" s="1"/>
      <c r="F276" s="1"/>
      <c r="G276" s="1"/>
      <c r="H276" s="16"/>
    </row>
    <row r="277" spans="1:8" x14ac:dyDescent="0.35">
      <c r="A277" s="1"/>
      <c r="B277" s="1"/>
      <c r="C277" s="1"/>
      <c r="D277" s="1"/>
      <c r="E277" s="1"/>
      <c r="F277" s="1"/>
      <c r="G277" s="1"/>
      <c r="H277" s="16"/>
    </row>
    <row r="278" spans="1:8" x14ac:dyDescent="0.35">
      <c r="A278" s="1"/>
      <c r="B278" s="1"/>
      <c r="C278" s="1"/>
      <c r="D278" s="1"/>
      <c r="E278" s="1"/>
      <c r="F278" s="1"/>
      <c r="G278" s="1"/>
      <c r="H278" s="16"/>
    </row>
    <row r="279" spans="1:8" x14ac:dyDescent="0.35">
      <c r="A279" s="1"/>
      <c r="B279" s="1"/>
      <c r="C279" s="1"/>
      <c r="D279" s="1"/>
      <c r="E279" s="1"/>
      <c r="F279" s="1"/>
      <c r="G279" s="1"/>
      <c r="H279" s="16"/>
    </row>
    <row r="280" spans="1:8" x14ac:dyDescent="0.35">
      <c r="A280" s="1"/>
      <c r="B280" s="1"/>
      <c r="C280" s="1"/>
      <c r="D280" s="1"/>
      <c r="E280" s="1"/>
      <c r="F280" s="1"/>
      <c r="G280" s="1"/>
      <c r="H280" s="16"/>
    </row>
    <row r="281" spans="1:8" x14ac:dyDescent="0.35">
      <c r="A281" s="1"/>
      <c r="B281" s="1"/>
      <c r="C281" s="1"/>
      <c r="D281" s="1"/>
      <c r="E281" s="1"/>
      <c r="F281" s="1"/>
      <c r="G281" s="1"/>
      <c r="H281" s="16"/>
    </row>
    <row r="282" spans="1:8" x14ac:dyDescent="0.35">
      <c r="A282" s="1"/>
      <c r="B282" s="1"/>
      <c r="C282" s="1"/>
      <c r="D282" s="1"/>
      <c r="E282" s="1"/>
      <c r="F282" s="1"/>
      <c r="G282" s="1"/>
      <c r="H282" s="16"/>
    </row>
    <row r="283" spans="1:8" x14ac:dyDescent="0.35">
      <c r="A283" s="1"/>
      <c r="B283" s="1"/>
      <c r="C283" s="1"/>
      <c r="D283" s="1"/>
      <c r="E283" s="1"/>
      <c r="F283" s="1"/>
      <c r="G283" s="1"/>
      <c r="H283" s="16"/>
    </row>
    <row r="284" spans="1:8" x14ac:dyDescent="0.35">
      <c r="A284" s="1"/>
      <c r="B284" s="1"/>
      <c r="C284" s="1"/>
      <c r="D284" s="1"/>
      <c r="E284" s="1"/>
      <c r="F284" s="1"/>
      <c r="G284" s="1"/>
      <c r="H284" s="16"/>
    </row>
    <row r="285" spans="1:8" x14ac:dyDescent="0.35">
      <c r="A285" s="1"/>
      <c r="B285" s="1"/>
      <c r="C285" s="1"/>
      <c r="D285" s="1"/>
      <c r="E285" s="1"/>
      <c r="F285" s="1"/>
      <c r="G285" s="1"/>
      <c r="H285" s="16"/>
    </row>
    <row r="286" spans="1:8" x14ac:dyDescent="0.35">
      <c r="A286" s="1"/>
      <c r="B286" s="1"/>
      <c r="C286" s="1"/>
      <c r="D286" s="1"/>
      <c r="E286" s="1"/>
      <c r="F286" s="1"/>
      <c r="G286" s="1"/>
      <c r="H286" s="16"/>
    </row>
    <row r="287" spans="1:8" x14ac:dyDescent="0.35">
      <c r="A287" s="1"/>
      <c r="B287" s="1"/>
      <c r="C287" s="1"/>
      <c r="D287" s="1"/>
      <c r="E287" s="1"/>
      <c r="F287" s="1"/>
      <c r="G287" s="1"/>
      <c r="H287" s="16"/>
    </row>
    <row r="288" spans="1:8" x14ac:dyDescent="0.35">
      <c r="A288" s="1"/>
      <c r="B288" s="1"/>
      <c r="C288" s="1"/>
      <c r="D288" s="1"/>
      <c r="E288" s="1"/>
      <c r="F288" s="1"/>
      <c r="G288" s="1"/>
      <c r="H288" s="16"/>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D879-99F5-4586-8D4F-E54338A97FBC}">
  <sheetPr codeName="Sheet5"/>
  <dimension ref="A1:AO287"/>
  <sheetViews>
    <sheetView rightToLeft="1" workbookViewId="0">
      <pane xSplit="1" ySplit="1" topLeftCell="B13" activePane="bottomRight" state="frozen"/>
      <selection activeCell="A6" sqref="A6"/>
      <selection pane="topRight" activeCell="A6" sqref="A6"/>
      <selection pane="bottomLeft" activeCell="A6" sqref="A6"/>
      <selection pane="bottomRight" activeCell="A18" sqref="A18"/>
    </sheetView>
  </sheetViews>
  <sheetFormatPr defaultColWidth="8.81640625" defaultRowHeight="14.5" x14ac:dyDescent="0.35"/>
  <cols>
    <col min="1" max="1" width="60.81640625" style="8" customWidth="1"/>
    <col min="2" max="2" width="10.6328125" style="8" customWidth="1"/>
    <col min="3" max="3" width="10" style="2" customWidth="1"/>
    <col min="4" max="4" width="9.81640625" style="8" customWidth="1"/>
    <col min="5" max="5" width="11.81640625" style="2" customWidth="1"/>
    <col min="6" max="6" width="8.81640625" style="2"/>
    <col min="7" max="7" width="7.81640625" style="2" bestFit="1" customWidth="1"/>
    <col min="8" max="8" width="9.1796875" style="2" bestFit="1" customWidth="1"/>
    <col min="9" max="16" width="8.81640625" style="1" customWidth="1"/>
    <col min="17" max="18" width="8.81640625" style="30" customWidth="1"/>
    <col min="19" max="35" width="8.81640625" style="1" customWidth="1"/>
    <col min="36" max="36" width="8.81640625" style="2"/>
    <col min="37" max="37" width="9.81640625" style="2" bestFit="1" customWidth="1"/>
    <col min="38" max="38" width="8.81640625" style="2"/>
    <col min="39" max="39" width="10.54296875" style="2" bestFit="1" customWidth="1"/>
    <col min="40" max="40" width="8.81640625" style="2"/>
    <col min="41" max="41" width="17" style="2" bestFit="1" customWidth="1"/>
    <col min="42" max="16384" width="8.81640625" style="2"/>
  </cols>
  <sheetData>
    <row r="1" spans="1:41" ht="15" thickBot="1" x14ac:dyDescent="0.4">
      <c r="A1" s="7" t="s">
        <v>0</v>
      </c>
      <c r="B1" s="4">
        <v>2025</v>
      </c>
      <c r="C1" s="4">
        <v>2022</v>
      </c>
      <c r="D1" s="7">
        <v>2021</v>
      </c>
      <c r="E1" s="4">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x14ac:dyDescent="0.35">
      <c r="A2" s="6" t="s">
        <v>18</v>
      </c>
      <c r="B2" s="6"/>
      <c r="C2" s="6" t="s">
        <v>9</v>
      </c>
      <c r="D2" s="6" t="s">
        <v>9</v>
      </c>
      <c r="E2" s="57" t="s">
        <v>9</v>
      </c>
      <c r="F2" s="3"/>
      <c r="G2" s="3" t="s">
        <v>9</v>
      </c>
      <c r="H2" s="3" t="s">
        <v>9</v>
      </c>
      <c r="I2" s="3" t="s">
        <v>9</v>
      </c>
      <c r="J2" s="50" t="s">
        <v>9</v>
      </c>
      <c r="K2" s="3" t="s">
        <v>873</v>
      </c>
      <c r="L2" s="3" t="s">
        <v>873</v>
      </c>
      <c r="M2" s="56" t="s">
        <v>873</v>
      </c>
      <c r="N2" s="56" t="s">
        <v>1263</v>
      </c>
      <c r="O2" s="50" t="s">
        <v>1054</v>
      </c>
      <c r="P2" s="50" t="s">
        <v>1674</v>
      </c>
      <c r="Q2" s="29"/>
      <c r="R2" s="50" t="s">
        <v>1962</v>
      </c>
      <c r="S2" s="50" t="s">
        <v>1963</v>
      </c>
      <c r="T2" s="50" t="s">
        <v>1779</v>
      </c>
      <c r="U2" s="50" t="s">
        <v>1962</v>
      </c>
      <c r="V2" s="50" t="s">
        <v>1674</v>
      </c>
      <c r="W2" s="50" t="s">
        <v>1779</v>
      </c>
      <c r="X2" s="3"/>
      <c r="Y2" s="3"/>
      <c r="Z2" s="3"/>
      <c r="AA2" s="3" t="s">
        <v>1264</v>
      </c>
      <c r="AB2" s="3"/>
      <c r="AC2" s="3"/>
      <c r="AD2" s="3"/>
      <c r="AE2" s="3"/>
      <c r="AF2" s="3"/>
      <c r="AG2" s="3"/>
      <c r="AH2" s="3"/>
      <c r="AI2" s="3"/>
      <c r="AK2" s="2">
        <f>COUNTA(C2:AI2)</f>
        <v>20</v>
      </c>
      <c r="AM2" s="2">
        <f>COUNTA(G2:P2,S2:T2)</f>
        <v>12</v>
      </c>
      <c r="AO2" s="42">
        <f>COUNTIF(AM2:AM150,"&gt;=2")</f>
        <v>14</v>
      </c>
    </row>
    <row r="3" spans="1:41" x14ac:dyDescent="0.35">
      <c r="A3" s="5" t="s">
        <v>178</v>
      </c>
      <c r="B3" s="6"/>
      <c r="C3" s="6"/>
      <c r="D3" s="5"/>
      <c r="E3" s="1"/>
      <c r="F3" s="1"/>
      <c r="G3" s="59" t="s">
        <v>179</v>
      </c>
      <c r="H3" s="1" t="s">
        <v>179</v>
      </c>
      <c r="I3" s="1" t="s">
        <v>179</v>
      </c>
      <c r="J3" s="53" t="s">
        <v>179</v>
      </c>
      <c r="K3" s="1" t="s">
        <v>874</v>
      </c>
      <c r="L3" s="1" t="s">
        <v>874</v>
      </c>
      <c r="M3" s="54" t="s">
        <v>874</v>
      </c>
      <c r="N3" s="54" t="s">
        <v>1264</v>
      </c>
      <c r="O3" s="53" t="s">
        <v>1436</v>
      </c>
      <c r="P3" s="53" t="s">
        <v>1675</v>
      </c>
      <c r="R3" s="53" t="s">
        <v>1964</v>
      </c>
      <c r="S3" s="53" t="s">
        <v>1965</v>
      </c>
      <c r="T3" s="53" t="s">
        <v>1263</v>
      </c>
      <c r="U3" s="53" t="s">
        <v>1964</v>
      </c>
      <c r="V3" s="53" t="s">
        <v>1675</v>
      </c>
      <c r="W3" s="53" t="s">
        <v>1263</v>
      </c>
      <c r="AA3" s="53" t="s">
        <v>8</v>
      </c>
      <c r="AI3" s="1" t="s">
        <v>956</v>
      </c>
      <c r="AK3" s="2">
        <f>COUNTA(C3:AI3)</f>
        <v>18</v>
      </c>
      <c r="AM3" s="2">
        <f t="shared" ref="AM3:AM65" si="0">COUNTA(G3:P3,S3:T3)</f>
        <v>12</v>
      </c>
    </row>
    <row r="4" spans="1:41" x14ac:dyDescent="0.35">
      <c r="A4" s="5" t="s">
        <v>19</v>
      </c>
      <c r="B4" s="51" t="s">
        <v>410</v>
      </c>
      <c r="C4" s="58" t="s">
        <v>3235</v>
      </c>
      <c r="D4" s="64" t="s">
        <v>3142</v>
      </c>
      <c r="E4" s="54" t="s">
        <v>20</v>
      </c>
      <c r="F4" s="63" t="s">
        <v>361</v>
      </c>
      <c r="G4" s="54" t="s">
        <v>20</v>
      </c>
      <c r="H4" s="1" t="s">
        <v>410</v>
      </c>
      <c r="I4" s="1" t="s">
        <v>410</v>
      </c>
      <c r="J4" s="53" t="s">
        <v>410</v>
      </c>
      <c r="K4" s="1" t="s">
        <v>875</v>
      </c>
      <c r="L4" s="1" t="s">
        <v>875</v>
      </c>
      <c r="M4" s="53" t="s">
        <v>875</v>
      </c>
      <c r="N4" s="53" t="s">
        <v>8</v>
      </c>
      <c r="O4" s="53" t="s">
        <v>1437</v>
      </c>
      <c r="P4" s="53" t="s">
        <v>874</v>
      </c>
      <c r="Q4" s="53" t="s">
        <v>1169</v>
      </c>
      <c r="R4" s="53" t="s">
        <v>1244</v>
      </c>
      <c r="S4" s="53" t="s">
        <v>1970</v>
      </c>
      <c r="T4" s="54" t="s">
        <v>1264</v>
      </c>
      <c r="U4" s="53" t="s">
        <v>971</v>
      </c>
      <c r="V4" s="53" t="s">
        <v>1676</v>
      </c>
      <c r="W4" s="53" t="s">
        <v>1264</v>
      </c>
      <c r="Y4" s="53" t="s">
        <v>1962</v>
      </c>
      <c r="Z4" s="53" t="s">
        <v>1674</v>
      </c>
      <c r="AA4" s="54" t="s">
        <v>9</v>
      </c>
      <c r="AC4" s="54" t="s">
        <v>2730</v>
      </c>
      <c r="AD4" s="53" t="s">
        <v>2002</v>
      </c>
      <c r="AE4" s="53" t="s">
        <v>1086</v>
      </c>
      <c r="AF4" s="53" t="s">
        <v>34</v>
      </c>
      <c r="AH4" s="54" t="s">
        <v>979</v>
      </c>
      <c r="AI4" s="1" t="s">
        <v>984</v>
      </c>
      <c r="AK4" s="2">
        <f>COUNTA(C4:AI4)</f>
        <v>30</v>
      </c>
      <c r="AM4" s="2">
        <f t="shared" si="0"/>
        <v>12</v>
      </c>
    </row>
    <row r="5" spans="1:41" x14ac:dyDescent="0.35">
      <c r="A5" s="5" t="s">
        <v>2731</v>
      </c>
      <c r="B5" s="5"/>
      <c r="C5" s="65" t="s">
        <v>3236</v>
      </c>
      <c r="D5" s="5"/>
      <c r="E5" s="1"/>
      <c r="F5" s="12"/>
      <c r="G5" s="1"/>
      <c r="H5" s="1"/>
      <c r="AC5" s="54" t="s">
        <v>2732</v>
      </c>
      <c r="AD5" s="53" t="s">
        <v>1983</v>
      </c>
      <c r="AE5" s="53" t="s">
        <v>1087</v>
      </c>
      <c r="AF5" s="53" t="s">
        <v>36</v>
      </c>
      <c r="AH5" s="54" t="s">
        <v>1258</v>
      </c>
      <c r="AI5" s="1" t="s">
        <v>985</v>
      </c>
      <c r="AK5" s="2">
        <f t="shared" ref="AK5:AK68" si="1">COUNTA(C5:AI5)</f>
        <v>7</v>
      </c>
      <c r="AM5" s="2">
        <f t="shared" si="0"/>
        <v>0</v>
      </c>
    </row>
    <row r="6" spans="1:41" x14ac:dyDescent="0.35">
      <c r="A6" s="5" t="s">
        <v>3024</v>
      </c>
      <c r="B6" s="6"/>
      <c r="C6" s="58" t="s">
        <v>3237</v>
      </c>
      <c r="D6" s="5"/>
      <c r="E6" s="1"/>
      <c r="F6" s="12"/>
      <c r="G6" s="1"/>
      <c r="H6" s="1"/>
      <c r="AH6" s="54" t="s">
        <v>980</v>
      </c>
      <c r="AI6" s="1" t="s">
        <v>986</v>
      </c>
      <c r="AK6" s="2">
        <f t="shared" si="1"/>
        <v>3</v>
      </c>
      <c r="AM6" s="2">
        <f t="shared" si="0"/>
        <v>0</v>
      </c>
    </row>
    <row r="7" spans="1:41" x14ac:dyDescent="0.35">
      <c r="A7" s="5" t="s">
        <v>2860</v>
      </c>
      <c r="B7" s="6"/>
      <c r="C7" s="6"/>
      <c r="D7" s="5"/>
      <c r="E7" s="1"/>
      <c r="F7" s="12"/>
      <c r="G7" s="1"/>
      <c r="H7" s="1"/>
      <c r="AE7" s="54" t="s">
        <v>1088</v>
      </c>
      <c r="AF7" s="1" t="s">
        <v>37</v>
      </c>
      <c r="AK7" s="2">
        <f t="shared" si="1"/>
        <v>2</v>
      </c>
      <c r="AM7" s="2">
        <f t="shared" si="0"/>
        <v>0</v>
      </c>
    </row>
    <row r="8" spans="1:41" x14ac:dyDescent="0.35">
      <c r="A8" s="5" t="s">
        <v>1265</v>
      </c>
      <c r="B8" s="6"/>
      <c r="C8" s="6"/>
      <c r="D8" s="5"/>
      <c r="E8" s="1"/>
      <c r="F8" s="12"/>
      <c r="G8" s="1"/>
      <c r="H8" s="1"/>
      <c r="N8" s="54" t="s">
        <v>9</v>
      </c>
      <c r="O8" s="54" t="s">
        <v>1439</v>
      </c>
      <c r="U8" s="54" t="s">
        <v>1966</v>
      </c>
      <c r="AK8" s="2">
        <f t="shared" si="1"/>
        <v>3</v>
      </c>
      <c r="AM8" s="2">
        <f t="shared" si="0"/>
        <v>2</v>
      </c>
    </row>
    <row r="9" spans="1:41" x14ac:dyDescent="0.35">
      <c r="A9" s="5" t="s">
        <v>1489</v>
      </c>
      <c r="B9" s="6"/>
      <c r="C9" s="6"/>
      <c r="D9" s="5"/>
      <c r="E9" s="1"/>
      <c r="F9" s="12"/>
      <c r="G9" s="1"/>
      <c r="H9" s="1"/>
      <c r="O9" s="53" t="s">
        <v>1440</v>
      </c>
      <c r="P9" s="53" t="s">
        <v>875</v>
      </c>
      <c r="R9" s="53" t="s">
        <v>1247</v>
      </c>
      <c r="S9" s="53" t="s">
        <v>1971</v>
      </c>
      <c r="T9" s="1" t="s">
        <v>9</v>
      </c>
      <c r="W9" s="53" t="s">
        <v>9</v>
      </c>
      <c r="AA9" s="1" t="s">
        <v>181</v>
      </c>
      <c r="AK9" s="2">
        <f t="shared" si="1"/>
        <v>7</v>
      </c>
      <c r="AM9" s="2">
        <f t="shared" si="0"/>
        <v>4</v>
      </c>
    </row>
    <row r="10" spans="1:41" x14ac:dyDescent="0.35">
      <c r="A10" s="5" t="s">
        <v>1457</v>
      </c>
      <c r="B10" s="6"/>
      <c r="C10" s="6"/>
      <c r="D10" s="5"/>
      <c r="E10" s="1"/>
      <c r="F10" s="12"/>
      <c r="G10" s="1"/>
      <c r="H10" s="1"/>
      <c r="N10" s="1" t="s">
        <v>1458</v>
      </c>
      <c r="AK10" s="2">
        <f t="shared" si="1"/>
        <v>1</v>
      </c>
      <c r="AM10" s="2">
        <f t="shared" si="0"/>
        <v>1</v>
      </c>
    </row>
    <row r="11" spans="1:41" ht="29" x14ac:dyDescent="0.35">
      <c r="A11" s="5" t="s">
        <v>2244</v>
      </c>
      <c r="B11" s="6"/>
      <c r="C11" s="6"/>
      <c r="D11" s="5"/>
      <c r="E11" s="1"/>
      <c r="F11" s="12"/>
      <c r="G11" s="1"/>
      <c r="H11" s="1"/>
      <c r="T11" s="1" t="s">
        <v>44</v>
      </c>
      <c r="AK11" s="2">
        <f t="shared" si="1"/>
        <v>1</v>
      </c>
      <c r="AM11" s="2">
        <f t="shared" si="0"/>
        <v>1</v>
      </c>
    </row>
    <row r="12" spans="1:41" x14ac:dyDescent="0.35">
      <c r="A12" s="5" t="s">
        <v>109</v>
      </c>
      <c r="B12" s="5"/>
      <c r="C12" s="1"/>
      <c r="D12" s="5"/>
      <c r="E12" s="1"/>
      <c r="F12" s="1"/>
      <c r="G12" s="1"/>
      <c r="H12" s="1"/>
      <c r="AK12" s="2">
        <f t="shared" si="1"/>
        <v>0</v>
      </c>
      <c r="AM12" s="2">
        <f t="shared" si="0"/>
        <v>0</v>
      </c>
    </row>
    <row r="13" spans="1:41" x14ac:dyDescent="0.35">
      <c r="A13" s="5" t="s">
        <v>132</v>
      </c>
      <c r="B13" s="5"/>
      <c r="C13" s="1" t="s">
        <v>133</v>
      </c>
      <c r="D13" s="36" t="s">
        <v>133</v>
      </c>
      <c r="E13" s="59" t="s">
        <v>133</v>
      </c>
      <c r="F13" s="1"/>
      <c r="G13" s="10" t="s">
        <v>133</v>
      </c>
      <c r="H13" s="1"/>
      <c r="AK13" s="2">
        <f t="shared" si="1"/>
        <v>4</v>
      </c>
      <c r="AM13" s="2">
        <f t="shared" si="0"/>
        <v>1</v>
      </c>
    </row>
    <row r="14" spans="1:41" ht="29" x14ac:dyDescent="0.35">
      <c r="A14" s="5" t="s">
        <v>336</v>
      </c>
      <c r="B14" s="5"/>
      <c r="C14" s="1"/>
      <c r="D14" s="5"/>
      <c r="E14" s="1"/>
      <c r="F14" s="1"/>
      <c r="G14" s="1"/>
      <c r="H14" s="1"/>
      <c r="I14" s="1" t="s">
        <v>702</v>
      </c>
      <c r="AK14" s="2">
        <f t="shared" si="1"/>
        <v>1</v>
      </c>
      <c r="AM14" s="2">
        <f t="shared" si="0"/>
        <v>1</v>
      </c>
    </row>
    <row r="15" spans="1:41" ht="29" x14ac:dyDescent="0.35">
      <c r="A15" s="5" t="s">
        <v>337</v>
      </c>
      <c r="B15" s="5"/>
      <c r="C15" s="1"/>
      <c r="D15" s="5"/>
      <c r="E15" s="1"/>
      <c r="F15" s="1"/>
      <c r="G15" s="1"/>
      <c r="H15" s="1"/>
      <c r="I15" s="1" t="s">
        <v>703</v>
      </c>
      <c r="AK15" s="2">
        <f t="shared" si="1"/>
        <v>1</v>
      </c>
      <c r="AM15" s="2">
        <f t="shared" si="0"/>
        <v>1</v>
      </c>
    </row>
    <row r="16" spans="1:41" x14ac:dyDescent="0.35">
      <c r="A16" s="5" t="s">
        <v>338</v>
      </c>
      <c r="B16" s="5"/>
      <c r="C16" s="1"/>
      <c r="D16" s="5"/>
      <c r="E16" s="1"/>
      <c r="F16" s="1"/>
      <c r="G16" s="1"/>
      <c r="H16" s="1"/>
      <c r="I16" s="1" t="s">
        <v>704</v>
      </c>
      <c r="AK16" s="2">
        <f t="shared" si="1"/>
        <v>1</v>
      </c>
      <c r="AM16" s="2">
        <f t="shared" si="0"/>
        <v>1</v>
      </c>
    </row>
    <row r="17" spans="1:39" ht="29" x14ac:dyDescent="0.35">
      <c r="A17" s="5" t="s">
        <v>423</v>
      </c>
      <c r="B17" s="5" t="s">
        <v>424</v>
      </c>
      <c r="C17" s="44" t="s">
        <v>424</v>
      </c>
      <c r="D17" s="5"/>
      <c r="E17" s="1"/>
      <c r="F17" s="1"/>
      <c r="G17" s="1"/>
      <c r="H17" s="63" t="s">
        <v>424</v>
      </c>
      <c r="I17" s="12" t="s">
        <v>422</v>
      </c>
      <c r="AK17" s="2">
        <f t="shared" si="1"/>
        <v>3</v>
      </c>
      <c r="AM17" s="2">
        <f t="shared" si="0"/>
        <v>2</v>
      </c>
    </row>
    <row r="18" spans="1:39" ht="29" x14ac:dyDescent="0.35">
      <c r="A18" s="5" t="s">
        <v>617</v>
      </c>
      <c r="B18" s="5"/>
      <c r="C18" s="1"/>
      <c r="D18" s="5"/>
      <c r="E18" s="1"/>
      <c r="F18" s="1"/>
      <c r="G18" s="1"/>
      <c r="H18" s="12"/>
      <c r="I18" s="12" t="s">
        <v>437</v>
      </c>
      <c r="AK18" s="2">
        <f t="shared" si="1"/>
        <v>1</v>
      </c>
      <c r="AM18" s="2">
        <f t="shared" si="0"/>
        <v>1</v>
      </c>
    </row>
    <row r="19" spans="1:39" ht="43.5" x14ac:dyDescent="0.35">
      <c r="A19" s="5" t="s">
        <v>529</v>
      </c>
      <c r="B19" s="5"/>
      <c r="C19" s="1"/>
      <c r="D19" s="5"/>
      <c r="E19" s="1"/>
      <c r="F19" s="1"/>
      <c r="G19" s="1"/>
      <c r="H19" s="54" t="s">
        <v>120</v>
      </c>
      <c r="I19" s="1" t="s">
        <v>59</v>
      </c>
      <c r="AK19" s="2">
        <f t="shared" si="1"/>
        <v>2</v>
      </c>
      <c r="AM19" s="2">
        <f t="shared" si="0"/>
        <v>2</v>
      </c>
    </row>
    <row r="20" spans="1:39" x14ac:dyDescent="0.35">
      <c r="A20" s="5" t="s">
        <v>530</v>
      </c>
      <c r="B20" s="5"/>
      <c r="C20" s="1"/>
      <c r="D20" s="5"/>
      <c r="E20" s="1"/>
      <c r="F20" s="1"/>
      <c r="G20" s="1"/>
      <c r="H20" s="54" t="s">
        <v>281</v>
      </c>
      <c r="I20" s="1" t="s">
        <v>133</v>
      </c>
      <c r="AK20" s="2">
        <f t="shared" si="1"/>
        <v>2</v>
      </c>
      <c r="AM20" s="2">
        <f t="shared" si="0"/>
        <v>2</v>
      </c>
    </row>
    <row r="21" spans="1:39" x14ac:dyDescent="0.35">
      <c r="A21" s="5" t="s">
        <v>727</v>
      </c>
      <c r="B21" s="5"/>
      <c r="C21" s="1"/>
      <c r="D21" s="5"/>
      <c r="E21" s="1"/>
      <c r="F21" s="1"/>
      <c r="G21" s="1"/>
      <c r="H21" s="1"/>
      <c r="J21" s="66" t="s">
        <v>230</v>
      </c>
      <c r="K21" s="61" t="s">
        <v>923</v>
      </c>
      <c r="O21" s="53" t="s">
        <v>1575</v>
      </c>
      <c r="P21" s="53" t="s">
        <v>1360</v>
      </c>
      <c r="Q21" s="53" t="s">
        <v>924</v>
      </c>
      <c r="U21" s="53" t="s">
        <v>1015</v>
      </c>
      <c r="W21" s="54" t="s">
        <v>44</v>
      </c>
      <c r="AH21" s="54" t="s">
        <v>877</v>
      </c>
      <c r="AI21" s="1" t="s">
        <v>901</v>
      </c>
      <c r="AK21" s="2">
        <f t="shared" si="1"/>
        <v>9</v>
      </c>
      <c r="AM21" s="2">
        <f t="shared" si="0"/>
        <v>4</v>
      </c>
    </row>
    <row r="22" spans="1:39" x14ac:dyDescent="0.35">
      <c r="A22" s="5" t="s">
        <v>728</v>
      </c>
      <c r="B22" s="5"/>
      <c r="C22" s="1"/>
      <c r="D22" s="5"/>
      <c r="E22" s="1"/>
      <c r="F22" s="1"/>
      <c r="G22" s="1"/>
      <c r="H22" s="1"/>
      <c r="J22" s="66" t="s">
        <v>232</v>
      </c>
      <c r="K22" s="61" t="s">
        <v>924</v>
      </c>
      <c r="O22" s="53" t="s">
        <v>1576</v>
      </c>
      <c r="P22" s="53" t="s">
        <v>1361</v>
      </c>
      <c r="Q22" s="53" t="s">
        <v>925</v>
      </c>
      <c r="U22" s="53" t="s">
        <v>1016</v>
      </c>
      <c r="W22" s="54" t="s">
        <v>33</v>
      </c>
      <c r="AH22" s="54" t="s">
        <v>878</v>
      </c>
      <c r="AI22" s="1" t="s">
        <v>902</v>
      </c>
      <c r="AK22" s="2">
        <f t="shared" si="1"/>
        <v>9</v>
      </c>
      <c r="AM22" s="2">
        <f t="shared" si="0"/>
        <v>4</v>
      </c>
    </row>
    <row r="23" spans="1:39" x14ac:dyDescent="0.35">
      <c r="A23" s="5" t="s">
        <v>729</v>
      </c>
      <c r="B23" s="5"/>
      <c r="C23" s="1"/>
      <c r="D23" s="5"/>
      <c r="E23" s="1"/>
      <c r="F23" s="1"/>
      <c r="G23" s="1"/>
      <c r="H23" s="1"/>
      <c r="J23" s="66" t="s">
        <v>234</v>
      </c>
      <c r="K23" s="61" t="s">
        <v>925</v>
      </c>
      <c r="O23" s="53" t="s">
        <v>1577</v>
      </c>
      <c r="P23" s="53" t="s">
        <v>1362</v>
      </c>
      <c r="Q23" s="53" t="s">
        <v>926</v>
      </c>
      <c r="U23" s="53" t="s">
        <v>1017</v>
      </c>
      <c r="W23" s="54" t="s">
        <v>34</v>
      </c>
      <c r="AH23" s="54" t="s">
        <v>879</v>
      </c>
      <c r="AI23" s="1" t="s">
        <v>904</v>
      </c>
      <c r="AK23" s="2">
        <f t="shared" si="1"/>
        <v>9</v>
      </c>
      <c r="AM23" s="2">
        <f t="shared" si="0"/>
        <v>4</v>
      </c>
    </row>
    <row r="24" spans="1:39" x14ac:dyDescent="0.35">
      <c r="A24" s="5" t="s">
        <v>2900</v>
      </c>
      <c r="B24" s="5"/>
      <c r="C24" s="1"/>
      <c r="D24" s="5"/>
      <c r="E24" s="1"/>
      <c r="F24" s="1"/>
      <c r="G24" s="1"/>
      <c r="H24" s="1"/>
      <c r="J24" s="10"/>
      <c r="K24" s="10"/>
      <c r="AE24" s="1" t="s">
        <v>2901</v>
      </c>
      <c r="AK24" s="2">
        <f t="shared" si="1"/>
        <v>1</v>
      </c>
      <c r="AM24" s="2">
        <f t="shared" si="0"/>
        <v>0</v>
      </c>
    </row>
    <row r="25" spans="1:39" ht="29" x14ac:dyDescent="0.35">
      <c r="A25" s="5" t="s">
        <v>1251</v>
      </c>
      <c r="B25" s="5"/>
      <c r="C25" s="65" t="s">
        <v>3246</v>
      </c>
      <c r="D25" s="5"/>
      <c r="E25" s="1"/>
      <c r="F25" s="1"/>
      <c r="G25" s="1"/>
      <c r="H25" s="1"/>
      <c r="M25" s="54" t="s">
        <v>974</v>
      </c>
      <c r="N25" s="54" t="s">
        <v>1440</v>
      </c>
      <c r="O25" s="1" t="s">
        <v>1611</v>
      </c>
      <c r="AK25" s="2">
        <f t="shared" si="1"/>
        <v>4</v>
      </c>
      <c r="AM25" s="2">
        <f t="shared" si="0"/>
        <v>3</v>
      </c>
    </row>
    <row r="26" spans="1:39" ht="29" x14ac:dyDescent="0.35">
      <c r="A26" s="5" t="s">
        <v>1387</v>
      </c>
      <c r="B26" s="5"/>
      <c r="C26" s="5"/>
      <c r="D26" s="5"/>
      <c r="E26" s="1"/>
      <c r="F26" s="1"/>
      <c r="G26" s="1"/>
      <c r="H26" s="1"/>
      <c r="N26" s="54" t="s">
        <v>1388</v>
      </c>
      <c r="O26" s="53" t="s">
        <v>1557</v>
      </c>
      <c r="P26" s="53" t="s">
        <v>946</v>
      </c>
      <c r="U26" s="54" t="s">
        <v>1013</v>
      </c>
      <c r="AH26" s="54" t="s">
        <v>976</v>
      </c>
      <c r="AI26" s="1" t="s">
        <v>1252</v>
      </c>
      <c r="AK26" s="2">
        <f t="shared" si="1"/>
        <v>6</v>
      </c>
      <c r="AM26" s="2">
        <f t="shared" si="0"/>
        <v>3</v>
      </c>
    </row>
    <row r="27" spans="1:39" ht="29" x14ac:dyDescent="0.35">
      <c r="A27" s="5" t="s">
        <v>1504</v>
      </c>
      <c r="B27" s="5"/>
      <c r="C27" s="5"/>
      <c r="D27" s="5"/>
      <c r="E27" s="1"/>
      <c r="F27" s="1"/>
      <c r="G27" s="1"/>
      <c r="H27" s="1"/>
      <c r="O27" s="1" t="s">
        <v>1088</v>
      </c>
      <c r="AK27" s="2">
        <f t="shared" si="1"/>
        <v>1</v>
      </c>
      <c r="AM27" s="2">
        <f t="shared" si="0"/>
        <v>1</v>
      </c>
    </row>
    <row r="28" spans="1:39" ht="58" x14ac:dyDescent="0.35">
      <c r="A28" s="5" t="s">
        <v>1589</v>
      </c>
      <c r="B28" s="5"/>
      <c r="C28" s="5"/>
      <c r="D28" s="5"/>
      <c r="E28" s="1"/>
      <c r="F28" s="1"/>
      <c r="G28" s="1"/>
      <c r="H28" s="1"/>
      <c r="O28" s="54" t="s">
        <v>1590</v>
      </c>
      <c r="P28" s="1" t="s">
        <v>1358</v>
      </c>
      <c r="AK28" s="2">
        <f t="shared" si="1"/>
        <v>2</v>
      </c>
      <c r="AM28" s="2">
        <f t="shared" si="0"/>
        <v>2</v>
      </c>
    </row>
    <row r="29" spans="1:39" x14ac:dyDescent="0.35">
      <c r="A29" s="5" t="s">
        <v>1632</v>
      </c>
      <c r="B29" s="5"/>
      <c r="C29" s="5"/>
      <c r="D29" s="5"/>
      <c r="E29" s="1"/>
      <c r="F29" s="1"/>
      <c r="G29" s="1"/>
      <c r="H29" s="1"/>
      <c r="O29" s="1" t="s">
        <v>1633</v>
      </c>
      <c r="AK29" s="2">
        <f t="shared" si="1"/>
        <v>1</v>
      </c>
      <c r="AM29" s="2">
        <f t="shared" si="0"/>
        <v>1</v>
      </c>
    </row>
    <row r="30" spans="1:39" ht="29" x14ac:dyDescent="0.35">
      <c r="A30" s="5" t="s">
        <v>1763</v>
      </c>
      <c r="B30" s="5"/>
      <c r="C30" s="5"/>
      <c r="D30" s="5"/>
      <c r="E30" s="1"/>
      <c r="F30" s="1"/>
      <c r="G30" s="1"/>
      <c r="H30" s="1"/>
      <c r="P30" s="1" t="s">
        <v>1322</v>
      </c>
      <c r="AK30" s="2">
        <f t="shared" si="1"/>
        <v>1</v>
      </c>
      <c r="AM30" s="2">
        <f t="shared" si="0"/>
        <v>1</v>
      </c>
    </row>
    <row r="31" spans="1:39" x14ac:dyDescent="0.35">
      <c r="A31" s="5" t="s">
        <v>1765</v>
      </c>
      <c r="B31" s="5"/>
      <c r="C31" s="5"/>
      <c r="D31" s="5"/>
      <c r="E31" s="1"/>
      <c r="F31" s="1"/>
      <c r="G31" s="1"/>
      <c r="H31" s="1"/>
      <c r="P31" s="1" t="s">
        <v>1325</v>
      </c>
      <c r="AK31" s="2">
        <f t="shared" si="1"/>
        <v>1</v>
      </c>
      <c r="AM31" s="2">
        <f t="shared" si="0"/>
        <v>1</v>
      </c>
    </row>
    <row r="32" spans="1:39" ht="29" x14ac:dyDescent="0.35">
      <c r="A32" s="5" t="s">
        <v>1769</v>
      </c>
      <c r="B32" s="5"/>
      <c r="C32" s="5"/>
      <c r="D32" s="5"/>
      <c r="E32" s="1"/>
      <c r="F32" s="1"/>
      <c r="G32" s="1"/>
      <c r="H32" s="1"/>
      <c r="P32" s="1" t="s">
        <v>1353</v>
      </c>
      <c r="AK32" s="2">
        <f t="shared" si="1"/>
        <v>1</v>
      </c>
      <c r="AM32" s="2">
        <f t="shared" si="0"/>
        <v>1</v>
      </c>
    </row>
    <row r="33" spans="1:39" ht="29" x14ac:dyDescent="0.35">
      <c r="A33" s="5" t="s">
        <v>1770</v>
      </c>
      <c r="B33" s="5"/>
      <c r="C33" s="5"/>
      <c r="D33" s="5"/>
      <c r="E33" s="1"/>
      <c r="F33" s="1"/>
      <c r="G33" s="1"/>
      <c r="H33" s="1"/>
      <c r="P33" s="1" t="s">
        <v>1356</v>
      </c>
      <c r="AK33" s="2">
        <f t="shared" si="1"/>
        <v>1</v>
      </c>
      <c r="AM33" s="2">
        <f t="shared" si="0"/>
        <v>1</v>
      </c>
    </row>
    <row r="34" spans="1:39" ht="43.5" x14ac:dyDescent="0.35">
      <c r="A34" s="5" t="s">
        <v>1830</v>
      </c>
      <c r="B34" s="5"/>
      <c r="C34" s="5"/>
      <c r="D34" s="5"/>
      <c r="E34" s="1"/>
      <c r="F34" s="1"/>
      <c r="G34" s="1"/>
      <c r="H34" s="1"/>
      <c r="Q34" s="30" t="s">
        <v>490</v>
      </c>
      <c r="AK34" s="2">
        <f t="shared" si="1"/>
        <v>1</v>
      </c>
      <c r="AM34" s="2">
        <f t="shared" si="0"/>
        <v>0</v>
      </c>
    </row>
    <row r="35" spans="1:39" x14ac:dyDescent="0.35">
      <c r="A35" s="5" t="s">
        <v>1831</v>
      </c>
      <c r="B35" s="5"/>
      <c r="C35" s="5"/>
      <c r="D35" s="5"/>
      <c r="E35" s="1"/>
      <c r="F35" s="1"/>
      <c r="G35" s="1"/>
      <c r="H35" s="1"/>
      <c r="Q35" s="30" t="s">
        <v>245</v>
      </c>
      <c r="AK35" s="2">
        <f t="shared" si="1"/>
        <v>1</v>
      </c>
      <c r="AM35" s="2">
        <f t="shared" si="0"/>
        <v>0</v>
      </c>
    </row>
    <row r="36" spans="1:39" ht="29" x14ac:dyDescent="0.35">
      <c r="A36" s="5" t="s">
        <v>1832</v>
      </c>
      <c r="B36" s="5"/>
      <c r="C36" s="5"/>
      <c r="D36" s="5"/>
      <c r="E36" s="1"/>
      <c r="F36" s="1"/>
      <c r="G36" s="1"/>
      <c r="H36" s="1"/>
      <c r="Q36" s="30" t="s">
        <v>247</v>
      </c>
      <c r="AK36" s="2">
        <f t="shared" si="1"/>
        <v>1</v>
      </c>
      <c r="AM36" s="2">
        <f t="shared" si="0"/>
        <v>0</v>
      </c>
    </row>
    <row r="37" spans="1:39" x14ac:dyDescent="0.35">
      <c r="A37" s="5" t="s">
        <v>1833</v>
      </c>
      <c r="B37" s="5"/>
      <c r="C37" s="5"/>
      <c r="D37" s="5"/>
      <c r="E37" s="1"/>
      <c r="F37" s="1"/>
      <c r="G37" s="1"/>
      <c r="H37" s="1"/>
      <c r="Q37" s="30" t="s">
        <v>249</v>
      </c>
      <c r="AK37" s="2">
        <f t="shared" si="1"/>
        <v>1</v>
      </c>
      <c r="AM37" s="2">
        <f t="shared" si="0"/>
        <v>0</v>
      </c>
    </row>
    <row r="38" spans="1:39" ht="29" x14ac:dyDescent="0.35">
      <c r="A38" s="5" t="s">
        <v>1834</v>
      </c>
      <c r="B38" s="5"/>
      <c r="C38" s="5"/>
      <c r="D38" s="5"/>
      <c r="E38" s="1"/>
      <c r="F38" s="1"/>
      <c r="G38" s="1"/>
      <c r="H38" s="1"/>
      <c r="Q38" s="30" t="s">
        <v>251</v>
      </c>
      <c r="AK38" s="2">
        <f t="shared" si="1"/>
        <v>1</v>
      </c>
      <c r="AM38" s="2">
        <f t="shared" si="0"/>
        <v>0</v>
      </c>
    </row>
    <row r="39" spans="1:39" x14ac:dyDescent="0.35">
      <c r="A39" s="5" t="s">
        <v>1835</v>
      </c>
      <c r="B39" s="5"/>
      <c r="C39" s="5"/>
      <c r="D39" s="5"/>
      <c r="E39" s="1"/>
      <c r="F39" s="1"/>
      <c r="G39" s="1"/>
      <c r="H39" s="1"/>
      <c r="Q39" s="54" t="s">
        <v>253</v>
      </c>
      <c r="R39" s="53" t="s">
        <v>982</v>
      </c>
      <c r="S39" s="1" t="s">
        <v>1995</v>
      </c>
      <c r="AK39" s="2">
        <f t="shared" si="1"/>
        <v>3</v>
      </c>
      <c r="AM39" s="2">
        <f t="shared" si="0"/>
        <v>1</v>
      </c>
    </row>
    <row r="40" spans="1:39" x14ac:dyDescent="0.35">
      <c r="A40" s="5" t="s">
        <v>1854</v>
      </c>
      <c r="B40" s="5"/>
      <c r="C40" s="5"/>
      <c r="D40" s="5"/>
      <c r="E40" s="1"/>
      <c r="F40" s="1"/>
      <c r="G40" s="1"/>
      <c r="H40" s="1"/>
      <c r="Q40" s="30" t="s">
        <v>276</v>
      </c>
      <c r="AK40" s="2">
        <f t="shared" si="1"/>
        <v>1</v>
      </c>
      <c r="AM40" s="2">
        <f t="shared" si="0"/>
        <v>0</v>
      </c>
    </row>
    <row r="41" spans="1:39" x14ac:dyDescent="0.35">
      <c r="A41" s="5" t="s">
        <v>1855</v>
      </c>
      <c r="B41" s="5"/>
      <c r="C41" s="5"/>
      <c r="D41" s="5"/>
      <c r="E41" s="1"/>
      <c r="F41" s="1"/>
      <c r="G41" s="1"/>
      <c r="H41" s="1"/>
      <c r="Q41" s="30" t="s">
        <v>278</v>
      </c>
      <c r="AK41" s="2">
        <f t="shared" si="1"/>
        <v>1</v>
      </c>
      <c r="AM41" s="2">
        <f t="shared" si="0"/>
        <v>0</v>
      </c>
    </row>
    <row r="42" spans="1:39" x14ac:dyDescent="0.35">
      <c r="A42" s="5" t="s">
        <v>1856</v>
      </c>
      <c r="B42" s="5"/>
      <c r="C42" s="5"/>
      <c r="D42" s="5"/>
      <c r="E42" s="1"/>
      <c r="F42" s="1"/>
      <c r="G42" s="1"/>
      <c r="H42" s="1"/>
      <c r="Q42" s="30" t="s">
        <v>118</v>
      </c>
      <c r="AK42" s="2">
        <f t="shared" si="1"/>
        <v>1</v>
      </c>
      <c r="AM42" s="2">
        <f t="shared" si="0"/>
        <v>0</v>
      </c>
    </row>
    <row r="43" spans="1:39" ht="43.5" x14ac:dyDescent="0.35">
      <c r="A43" s="5" t="s">
        <v>1869</v>
      </c>
      <c r="B43" s="5"/>
      <c r="C43" s="5"/>
      <c r="D43" s="5"/>
      <c r="E43" s="1"/>
      <c r="F43" s="1"/>
      <c r="G43" s="1"/>
      <c r="H43" s="1"/>
      <c r="Q43" s="30" t="s">
        <v>541</v>
      </c>
      <c r="AK43" s="2">
        <f t="shared" si="1"/>
        <v>1</v>
      </c>
      <c r="AM43" s="2">
        <f t="shared" si="0"/>
        <v>0</v>
      </c>
    </row>
    <row r="44" spans="1:39" x14ac:dyDescent="0.35">
      <c r="A44" s="5" t="s">
        <v>1870</v>
      </c>
      <c r="B44" s="5"/>
      <c r="C44" s="5"/>
      <c r="D44" s="5"/>
      <c r="E44" s="1"/>
      <c r="F44" s="1"/>
      <c r="G44" s="1"/>
      <c r="H44" s="1"/>
      <c r="Q44" s="30" t="s">
        <v>543</v>
      </c>
      <c r="AK44" s="2">
        <f t="shared" si="1"/>
        <v>1</v>
      </c>
      <c r="AM44" s="2">
        <f t="shared" si="0"/>
        <v>0</v>
      </c>
    </row>
    <row r="45" spans="1:39" x14ac:dyDescent="0.35">
      <c r="A45" s="5" t="s">
        <v>1871</v>
      </c>
      <c r="B45" s="5"/>
      <c r="C45" s="5"/>
      <c r="D45" s="5"/>
      <c r="E45" s="1"/>
      <c r="F45" s="1"/>
      <c r="G45" s="1"/>
      <c r="H45" s="1"/>
      <c r="Q45" s="30" t="s">
        <v>545</v>
      </c>
      <c r="AK45" s="2">
        <f t="shared" si="1"/>
        <v>1</v>
      </c>
      <c r="AM45" s="2">
        <f t="shared" si="0"/>
        <v>0</v>
      </c>
    </row>
    <row r="46" spans="1:39" x14ac:dyDescent="0.35">
      <c r="A46" s="5" t="s">
        <v>1872</v>
      </c>
      <c r="B46" s="5"/>
      <c r="C46" s="5"/>
      <c r="D46" s="5"/>
      <c r="E46" s="1"/>
      <c r="F46" s="1"/>
      <c r="G46" s="1"/>
      <c r="H46" s="1"/>
      <c r="Q46" s="30" t="s">
        <v>547</v>
      </c>
      <c r="AK46" s="2">
        <f t="shared" si="1"/>
        <v>1</v>
      </c>
      <c r="AM46" s="2">
        <f t="shared" si="0"/>
        <v>0</v>
      </c>
    </row>
    <row r="47" spans="1:39" x14ac:dyDescent="0.35">
      <c r="A47" s="5" t="s">
        <v>1873</v>
      </c>
      <c r="B47" s="5"/>
      <c r="C47" s="5"/>
      <c r="D47" s="5"/>
      <c r="E47" s="1"/>
      <c r="F47" s="1"/>
      <c r="G47" s="1"/>
      <c r="H47" s="1"/>
      <c r="Q47" s="30" t="s">
        <v>549</v>
      </c>
      <c r="AK47" s="2">
        <f t="shared" si="1"/>
        <v>1</v>
      </c>
      <c r="AM47" s="2">
        <f t="shared" si="0"/>
        <v>0</v>
      </c>
    </row>
    <row r="48" spans="1:39" x14ac:dyDescent="0.35">
      <c r="A48" s="5" t="s">
        <v>1874</v>
      </c>
      <c r="B48" s="5"/>
      <c r="C48" s="5"/>
      <c r="D48" s="5"/>
      <c r="E48" s="1"/>
      <c r="F48" s="1"/>
      <c r="G48" s="1"/>
      <c r="H48" s="1"/>
      <c r="Q48" s="30" t="s">
        <v>551</v>
      </c>
      <c r="AK48" s="2">
        <f t="shared" si="1"/>
        <v>1</v>
      </c>
      <c r="AM48" s="2">
        <f t="shared" si="0"/>
        <v>0</v>
      </c>
    </row>
    <row r="49" spans="1:39" x14ac:dyDescent="0.35">
      <c r="A49" s="5" t="s">
        <v>1875</v>
      </c>
      <c r="B49" s="5"/>
      <c r="C49" s="5"/>
      <c r="D49" s="5"/>
      <c r="E49" s="1"/>
      <c r="F49" s="1"/>
      <c r="G49" s="1"/>
      <c r="H49" s="1"/>
      <c r="Q49" s="30" t="s">
        <v>552</v>
      </c>
      <c r="AK49" s="2">
        <f t="shared" si="1"/>
        <v>1</v>
      </c>
      <c r="AM49" s="2">
        <f t="shared" si="0"/>
        <v>0</v>
      </c>
    </row>
    <row r="50" spans="1:39" x14ac:dyDescent="0.35">
      <c r="A50" s="5" t="s">
        <v>1876</v>
      </c>
      <c r="B50" s="5"/>
      <c r="C50" s="5"/>
      <c r="D50" s="5"/>
      <c r="E50" s="1"/>
      <c r="F50" s="1"/>
      <c r="G50" s="1"/>
      <c r="H50" s="1"/>
      <c r="Q50" s="30" t="s">
        <v>553</v>
      </c>
      <c r="AK50" s="2">
        <f t="shared" si="1"/>
        <v>1</v>
      </c>
      <c r="AM50" s="2">
        <f t="shared" si="0"/>
        <v>0</v>
      </c>
    </row>
    <row r="51" spans="1:39" x14ac:dyDescent="0.35">
      <c r="A51" s="5" t="s">
        <v>1877</v>
      </c>
      <c r="B51" s="5"/>
      <c r="C51" s="5"/>
      <c r="D51" s="5"/>
      <c r="E51" s="1"/>
      <c r="F51" s="1"/>
      <c r="G51" s="1"/>
      <c r="H51" s="1"/>
      <c r="Q51" s="30" t="s">
        <v>293</v>
      </c>
      <c r="AK51" s="2">
        <f t="shared" si="1"/>
        <v>1</v>
      </c>
      <c r="AM51" s="2">
        <f t="shared" si="0"/>
        <v>0</v>
      </c>
    </row>
    <row r="52" spans="1:39" ht="29" x14ac:dyDescent="0.35">
      <c r="A52" s="5" t="s">
        <v>1878</v>
      </c>
      <c r="B52" s="5"/>
      <c r="C52" s="5"/>
      <c r="D52" s="5"/>
      <c r="E52" s="1"/>
      <c r="F52" s="1"/>
      <c r="G52" s="1"/>
      <c r="H52" s="1"/>
      <c r="Q52" s="30" t="s">
        <v>295</v>
      </c>
      <c r="AK52" s="2">
        <f t="shared" si="1"/>
        <v>1</v>
      </c>
      <c r="AM52" s="2">
        <f t="shared" si="0"/>
        <v>0</v>
      </c>
    </row>
    <row r="53" spans="1:39" ht="29" x14ac:dyDescent="0.35">
      <c r="A53" s="5" t="s">
        <v>1879</v>
      </c>
      <c r="B53" s="5"/>
      <c r="C53" s="5"/>
      <c r="D53" s="5"/>
      <c r="E53" s="1"/>
      <c r="F53" s="1"/>
      <c r="G53" s="1"/>
      <c r="H53" s="1"/>
      <c r="Q53" s="30" t="s">
        <v>296</v>
      </c>
      <c r="AK53" s="2">
        <f t="shared" si="1"/>
        <v>1</v>
      </c>
      <c r="AM53" s="2">
        <f t="shared" si="0"/>
        <v>0</v>
      </c>
    </row>
    <row r="54" spans="1:39" ht="29" x14ac:dyDescent="0.35">
      <c r="A54" s="5" t="s">
        <v>1894</v>
      </c>
      <c r="B54" s="5"/>
      <c r="C54" s="5"/>
      <c r="D54" s="5"/>
      <c r="E54" s="1"/>
      <c r="F54" s="1"/>
      <c r="G54" s="1"/>
      <c r="H54" s="1"/>
      <c r="Q54" s="30" t="s">
        <v>891</v>
      </c>
      <c r="AK54" s="2">
        <f t="shared" si="1"/>
        <v>1</v>
      </c>
      <c r="AM54" s="2">
        <f t="shared" si="0"/>
        <v>0</v>
      </c>
    </row>
    <row r="55" spans="1:39" x14ac:dyDescent="0.35">
      <c r="A55" s="5" t="s">
        <v>1895</v>
      </c>
      <c r="B55" s="5"/>
      <c r="C55" s="5"/>
      <c r="D55" s="5"/>
      <c r="E55" s="1"/>
      <c r="F55" s="1"/>
      <c r="G55" s="1"/>
      <c r="H55" s="1"/>
      <c r="Q55" s="30" t="s">
        <v>892</v>
      </c>
      <c r="AK55" s="2">
        <f t="shared" si="1"/>
        <v>1</v>
      </c>
      <c r="AM55" s="2">
        <f t="shared" si="0"/>
        <v>0</v>
      </c>
    </row>
    <row r="56" spans="1:39" x14ac:dyDescent="0.35">
      <c r="A56" s="5" t="s">
        <v>1896</v>
      </c>
      <c r="B56" s="5"/>
      <c r="C56" s="5"/>
      <c r="D56" s="5"/>
      <c r="E56" s="1"/>
      <c r="F56" s="1"/>
      <c r="G56" s="1"/>
      <c r="H56" s="1"/>
      <c r="Q56" s="30" t="s">
        <v>893</v>
      </c>
      <c r="AK56" s="2">
        <f t="shared" si="1"/>
        <v>1</v>
      </c>
      <c r="AM56" s="2">
        <f t="shared" si="0"/>
        <v>0</v>
      </c>
    </row>
    <row r="57" spans="1:39" x14ac:dyDescent="0.35">
      <c r="A57" s="5" t="s">
        <v>1897</v>
      </c>
      <c r="B57" s="5"/>
      <c r="C57" s="5"/>
      <c r="D57" s="5"/>
      <c r="E57" s="1"/>
      <c r="F57" s="1"/>
      <c r="G57" s="1"/>
      <c r="H57" s="1"/>
      <c r="Q57" s="30" t="s">
        <v>894</v>
      </c>
      <c r="AK57" s="2">
        <f t="shared" si="1"/>
        <v>1</v>
      </c>
      <c r="AM57" s="2">
        <f t="shared" si="0"/>
        <v>0</v>
      </c>
    </row>
    <row r="58" spans="1:39" ht="29" x14ac:dyDescent="0.35">
      <c r="A58" s="5" t="s">
        <v>1904</v>
      </c>
      <c r="B58" s="5"/>
      <c r="C58" s="5"/>
      <c r="D58" s="5"/>
      <c r="E58" s="1"/>
      <c r="F58" s="1"/>
      <c r="G58" s="1"/>
      <c r="H58" s="1"/>
      <c r="Q58" s="30" t="s">
        <v>905</v>
      </c>
      <c r="AK58" s="2">
        <f t="shared" si="1"/>
        <v>1</v>
      </c>
      <c r="AM58" s="2">
        <f t="shared" si="0"/>
        <v>0</v>
      </c>
    </row>
    <row r="59" spans="1:39" x14ac:dyDescent="0.35">
      <c r="A59" s="5" t="s">
        <v>1905</v>
      </c>
      <c r="B59" s="5"/>
      <c r="C59" s="5"/>
      <c r="D59" s="5"/>
      <c r="E59" s="1"/>
      <c r="F59" s="1"/>
      <c r="G59" s="1"/>
      <c r="H59" s="1"/>
      <c r="Q59" s="30" t="s">
        <v>882</v>
      </c>
      <c r="AK59" s="2">
        <f t="shared" si="1"/>
        <v>1</v>
      </c>
      <c r="AM59" s="2">
        <f t="shared" si="0"/>
        <v>0</v>
      </c>
    </row>
    <row r="60" spans="1:39" ht="29" x14ac:dyDescent="0.35">
      <c r="A60" s="5" t="s">
        <v>1906</v>
      </c>
      <c r="B60" s="5"/>
      <c r="C60" s="5"/>
      <c r="D60" s="5"/>
      <c r="E60" s="1"/>
      <c r="F60" s="1"/>
      <c r="G60" s="1"/>
      <c r="H60" s="1"/>
      <c r="Q60" s="30" t="s">
        <v>903</v>
      </c>
      <c r="AK60" s="2">
        <f t="shared" si="1"/>
        <v>1</v>
      </c>
      <c r="AM60" s="2">
        <f t="shared" si="0"/>
        <v>0</v>
      </c>
    </row>
    <row r="61" spans="1:39" ht="29" x14ac:dyDescent="0.35">
      <c r="A61" s="5" t="s">
        <v>1908</v>
      </c>
      <c r="B61" s="5"/>
      <c r="C61" s="5"/>
      <c r="D61" s="5"/>
      <c r="E61" s="1"/>
      <c r="F61" s="1"/>
      <c r="G61" s="1"/>
      <c r="H61" s="1"/>
      <c r="Q61" s="30" t="s">
        <v>904</v>
      </c>
      <c r="AK61" s="2">
        <f t="shared" si="1"/>
        <v>1</v>
      </c>
      <c r="AM61" s="2">
        <f t="shared" si="0"/>
        <v>0</v>
      </c>
    </row>
    <row r="62" spans="1:39" x14ac:dyDescent="0.35">
      <c r="A62" s="5" t="s">
        <v>1909</v>
      </c>
      <c r="B62" s="5"/>
      <c r="C62" s="5"/>
      <c r="D62" s="5"/>
      <c r="E62" s="1"/>
      <c r="F62" s="1"/>
      <c r="G62" s="1"/>
      <c r="H62" s="1"/>
      <c r="Q62" s="30" t="s">
        <v>906</v>
      </c>
      <c r="AK62" s="2">
        <f t="shared" si="1"/>
        <v>1</v>
      </c>
      <c r="AM62" s="2">
        <f t="shared" si="0"/>
        <v>0</v>
      </c>
    </row>
    <row r="63" spans="1:39" x14ac:dyDescent="0.35">
      <c r="A63" s="5" t="s">
        <v>1910</v>
      </c>
      <c r="B63" s="5"/>
      <c r="C63" s="5"/>
      <c r="D63" s="5"/>
      <c r="E63" s="1"/>
      <c r="F63" s="1"/>
      <c r="G63" s="1"/>
      <c r="H63" s="1"/>
      <c r="Q63" s="30" t="s">
        <v>907</v>
      </c>
      <c r="AK63" s="2">
        <f t="shared" si="1"/>
        <v>1</v>
      </c>
      <c r="AM63" s="2">
        <f t="shared" si="0"/>
        <v>0</v>
      </c>
    </row>
    <row r="64" spans="1:39" x14ac:dyDescent="0.35">
      <c r="A64" s="5" t="s">
        <v>1911</v>
      </c>
      <c r="B64" s="5"/>
      <c r="C64" s="5"/>
      <c r="D64" s="5"/>
      <c r="E64" s="1"/>
      <c r="F64" s="1"/>
      <c r="G64" s="1"/>
      <c r="H64" s="1"/>
      <c r="Q64" s="30" t="s">
        <v>908</v>
      </c>
      <c r="AK64" s="2">
        <f t="shared" si="1"/>
        <v>1</v>
      </c>
      <c r="AM64" s="2">
        <f t="shared" si="0"/>
        <v>0</v>
      </c>
    </row>
    <row r="65" spans="1:39" ht="43.5" x14ac:dyDescent="0.35">
      <c r="A65" s="5" t="s">
        <v>1912</v>
      </c>
      <c r="B65" s="5"/>
      <c r="C65" s="5"/>
      <c r="D65" s="5"/>
      <c r="E65" s="1"/>
      <c r="F65" s="1"/>
      <c r="G65" s="1"/>
      <c r="H65" s="1"/>
      <c r="Q65" s="30" t="s">
        <v>909</v>
      </c>
      <c r="AK65" s="2">
        <f t="shared" si="1"/>
        <v>1</v>
      </c>
      <c r="AM65" s="2">
        <f t="shared" si="0"/>
        <v>0</v>
      </c>
    </row>
    <row r="66" spans="1:39" x14ac:dyDescent="0.35">
      <c r="A66" s="5" t="s">
        <v>1913</v>
      </c>
      <c r="B66" s="5"/>
      <c r="C66" s="5"/>
      <c r="D66" s="5"/>
      <c r="E66" s="1"/>
      <c r="F66" s="1"/>
      <c r="G66" s="1"/>
      <c r="H66" s="1"/>
      <c r="Q66" s="30" t="s">
        <v>910</v>
      </c>
      <c r="AK66" s="2">
        <f t="shared" si="1"/>
        <v>1</v>
      </c>
      <c r="AM66" s="2">
        <f t="shared" ref="AM66:AM129" si="2">COUNTA(G66:P66,S66:T66)</f>
        <v>0</v>
      </c>
    </row>
    <row r="67" spans="1:39" ht="29" x14ac:dyDescent="0.35">
      <c r="A67" s="5" t="s">
        <v>1914</v>
      </c>
      <c r="B67" s="5"/>
      <c r="C67" s="5"/>
      <c r="D67" s="5"/>
      <c r="E67" s="1"/>
      <c r="F67" s="1"/>
      <c r="G67" s="1"/>
      <c r="H67" s="1"/>
      <c r="Q67" s="30" t="s">
        <v>911</v>
      </c>
      <c r="AK67" s="2">
        <f t="shared" si="1"/>
        <v>1</v>
      </c>
      <c r="AM67" s="2">
        <f t="shared" si="2"/>
        <v>0</v>
      </c>
    </row>
    <row r="68" spans="1:39" x14ac:dyDescent="0.35">
      <c r="A68" s="5" t="s">
        <v>1915</v>
      </c>
      <c r="B68" s="5"/>
      <c r="C68" s="5"/>
      <c r="D68" s="5"/>
      <c r="E68" s="1"/>
      <c r="F68" s="1"/>
      <c r="G68" s="1"/>
      <c r="H68" s="1"/>
      <c r="Q68" s="30" t="s">
        <v>912</v>
      </c>
      <c r="AK68" s="2">
        <f t="shared" si="1"/>
        <v>1</v>
      </c>
      <c r="AM68" s="2">
        <f t="shared" si="2"/>
        <v>0</v>
      </c>
    </row>
    <row r="69" spans="1:39" x14ac:dyDescent="0.35">
      <c r="A69" s="5" t="s">
        <v>1916</v>
      </c>
      <c r="B69" s="5"/>
      <c r="C69" s="5"/>
      <c r="D69" s="5"/>
      <c r="E69" s="1"/>
      <c r="F69" s="1"/>
      <c r="G69" s="1"/>
      <c r="H69" s="1"/>
      <c r="Q69" s="30" t="s">
        <v>914</v>
      </c>
      <c r="AK69" s="2">
        <f t="shared" ref="AK69:AK132" si="3">COUNTA(C69:AI69)</f>
        <v>1</v>
      </c>
      <c r="AM69" s="2">
        <f t="shared" si="2"/>
        <v>0</v>
      </c>
    </row>
    <row r="70" spans="1:39" x14ac:dyDescent="0.35">
      <c r="A70" s="5" t="s">
        <v>1917</v>
      </c>
      <c r="B70" s="5"/>
      <c r="C70" s="1"/>
      <c r="D70" s="5"/>
      <c r="E70" s="1"/>
      <c r="F70" s="1"/>
      <c r="G70" s="1"/>
      <c r="H70" s="1"/>
      <c r="Q70" s="30" t="s">
        <v>915</v>
      </c>
      <c r="AK70" s="2">
        <f t="shared" si="3"/>
        <v>1</v>
      </c>
      <c r="AM70" s="2">
        <f t="shared" si="2"/>
        <v>0</v>
      </c>
    </row>
    <row r="71" spans="1:39" x14ac:dyDescent="0.35">
      <c r="A71" s="5" t="s">
        <v>1923</v>
      </c>
      <c r="B71" s="5"/>
      <c r="C71" s="1"/>
      <c r="D71" s="5"/>
      <c r="E71" s="1"/>
      <c r="F71" s="1"/>
      <c r="G71" s="1"/>
      <c r="H71" s="1"/>
      <c r="Q71" s="30" t="s">
        <v>922</v>
      </c>
      <c r="AK71" s="2">
        <f t="shared" si="3"/>
        <v>1</v>
      </c>
      <c r="AM71" s="2">
        <f t="shared" si="2"/>
        <v>0</v>
      </c>
    </row>
    <row r="72" spans="1:39" ht="29" x14ac:dyDescent="0.35">
      <c r="A72" s="5" t="s">
        <v>1935</v>
      </c>
      <c r="B72" s="5"/>
      <c r="C72" s="1"/>
      <c r="D72" s="5"/>
      <c r="E72" s="1"/>
      <c r="F72" s="1"/>
      <c r="G72" s="1"/>
      <c r="H72" s="1"/>
      <c r="Q72" s="30" t="s">
        <v>952</v>
      </c>
      <c r="AK72" s="2">
        <f t="shared" si="3"/>
        <v>1</v>
      </c>
      <c r="AM72" s="2">
        <f t="shared" si="2"/>
        <v>0</v>
      </c>
    </row>
    <row r="73" spans="1:39" x14ac:dyDescent="0.35">
      <c r="A73" s="5" t="s">
        <v>1936</v>
      </c>
      <c r="B73" s="5"/>
      <c r="C73" s="1"/>
      <c r="D73" s="5"/>
      <c r="E73" s="1"/>
      <c r="F73" s="1"/>
      <c r="G73" s="1"/>
      <c r="H73" s="1"/>
      <c r="Q73" s="30" t="s">
        <v>953</v>
      </c>
      <c r="AK73" s="2">
        <f t="shared" si="3"/>
        <v>1</v>
      </c>
      <c r="AM73" s="2">
        <f t="shared" si="2"/>
        <v>0</v>
      </c>
    </row>
    <row r="74" spans="1:39" ht="29" x14ac:dyDescent="0.35">
      <c r="A74" s="5" t="s">
        <v>1937</v>
      </c>
      <c r="B74" s="5"/>
      <c r="C74" s="1"/>
      <c r="D74" s="5"/>
      <c r="E74" s="1"/>
      <c r="F74" s="1"/>
      <c r="G74" s="1"/>
      <c r="H74" s="1"/>
      <c r="Q74" s="30" t="s">
        <v>954</v>
      </c>
      <c r="AK74" s="2">
        <f t="shared" si="3"/>
        <v>1</v>
      </c>
      <c r="AM74" s="2">
        <f t="shared" si="2"/>
        <v>0</v>
      </c>
    </row>
    <row r="75" spans="1:39" ht="29" x14ac:dyDescent="0.35">
      <c r="A75" s="5" t="s">
        <v>1938</v>
      </c>
      <c r="B75" s="5"/>
      <c r="C75" s="1"/>
      <c r="D75" s="5"/>
      <c r="E75" s="1"/>
      <c r="F75" s="1"/>
      <c r="G75" s="1"/>
      <c r="H75" s="1"/>
      <c r="Q75" s="30" t="s">
        <v>955</v>
      </c>
      <c r="AK75" s="2">
        <f t="shared" si="3"/>
        <v>1</v>
      </c>
      <c r="AM75" s="2">
        <f t="shared" si="2"/>
        <v>0</v>
      </c>
    </row>
    <row r="76" spans="1:39" x14ac:dyDescent="0.35">
      <c r="A76" s="5" t="s">
        <v>1946</v>
      </c>
      <c r="B76" s="5"/>
      <c r="C76" s="1"/>
      <c r="D76" s="5"/>
      <c r="E76" s="1"/>
      <c r="F76" s="1"/>
      <c r="G76" s="1"/>
      <c r="H76" s="1"/>
      <c r="Q76" s="30" t="s">
        <v>965</v>
      </c>
      <c r="AK76" s="2">
        <f t="shared" si="3"/>
        <v>1</v>
      </c>
      <c r="AM76" s="2">
        <f t="shared" si="2"/>
        <v>0</v>
      </c>
    </row>
    <row r="77" spans="1:39" x14ac:dyDescent="0.35">
      <c r="A77" s="5" t="s">
        <v>1947</v>
      </c>
      <c r="B77" s="5"/>
      <c r="C77" s="1"/>
      <c r="D77" s="5"/>
      <c r="E77" s="1"/>
      <c r="F77" s="1"/>
      <c r="G77" s="1"/>
      <c r="H77" s="1"/>
      <c r="Q77" s="30" t="s">
        <v>966</v>
      </c>
      <c r="AK77" s="2">
        <f t="shared" si="3"/>
        <v>1</v>
      </c>
      <c r="AM77" s="2">
        <f t="shared" si="2"/>
        <v>0</v>
      </c>
    </row>
    <row r="78" spans="1:39" x14ac:dyDescent="0.35">
      <c r="A78" s="5" t="s">
        <v>1948</v>
      </c>
      <c r="B78" s="5"/>
      <c r="C78" s="1"/>
      <c r="D78" s="5"/>
      <c r="E78" s="1"/>
      <c r="F78" s="1"/>
      <c r="G78" s="1"/>
      <c r="H78" s="1"/>
      <c r="Q78" s="30" t="s">
        <v>967</v>
      </c>
      <c r="AK78" s="2">
        <f t="shared" si="3"/>
        <v>1</v>
      </c>
      <c r="AM78" s="2">
        <f t="shared" si="2"/>
        <v>0</v>
      </c>
    </row>
    <row r="79" spans="1:39" x14ac:dyDescent="0.35">
      <c r="A79" s="5" t="s">
        <v>1959</v>
      </c>
      <c r="B79" s="5"/>
      <c r="C79" s="5"/>
      <c r="D79" s="5"/>
      <c r="E79" s="1"/>
      <c r="F79" s="1"/>
      <c r="G79" s="1"/>
      <c r="H79" s="1"/>
      <c r="Q79" s="30" t="s">
        <v>1733</v>
      </c>
      <c r="AK79" s="2">
        <f t="shared" si="3"/>
        <v>1</v>
      </c>
      <c r="AM79" s="2">
        <f t="shared" si="2"/>
        <v>0</v>
      </c>
    </row>
    <row r="80" spans="1:39" x14ac:dyDescent="0.35">
      <c r="A80" s="5" t="s">
        <v>1960</v>
      </c>
      <c r="B80" s="5"/>
      <c r="C80" s="1"/>
      <c r="D80" s="5"/>
      <c r="E80" s="1"/>
      <c r="F80" s="1"/>
      <c r="G80" s="1"/>
      <c r="H80" s="1"/>
      <c r="Q80" s="30" t="s">
        <v>1734</v>
      </c>
      <c r="AK80" s="2">
        <f t="shared" si="3"/>
        <v>1</v>
      </c>
      <c r="AM80" s="2">
        <f t="shared" si="2"/>
        <v>0</v>
      </c>
    </row>
    <row r="81" spans="1:39" x14ac:dyDescent="0.35">
      <c r="A81" s="5" t="s">
        <v>1954</v>
      </c>
      <c r="B81" s="5"/>
      <c r="C81" s="1"/>
      <c r="D81" s="5"/>
      <c r="E81" s="1"/>
      <c r="F81" s="1"/>
      <c r="G81" s="1"/>
      <c r="H81" s="1"/>
      <c r="Q81" s="30" t="s">
        <v>1728</v>
      </c>
      <c r="AK81" s="2">
        <f t="shared" si="3"/>
        <v>1</v>
      </c>
      <c r="AM81" s="2">
        <f t="shared" si="2"/>
        <v>0</v>
      </c>
    </row>
    <row r="82" spans="1:39" ht="29" x14ac:dyDescent="0.35">
      <c r="A82" s="5" t="s">
        <v>1956</v>
      </c>
      <c r="B82" s="5"/>
      <c r="C82" s="1"/>
      <c r="D82" s="5"/>
      <c r="E82" s="1"/>
      <c r="F82" s="1"/>
      <c r="G82" s="1"/>
      <c r="H82" s="1"/>
      <c r="Q82" s="30" t="s">
        <v>1730</v>
      </c>
      <c r="AK82" s="2">
        <f t="shared" si="3"/>
        <v>1</v>
      </c>
      <c r="AM82" s="2">
        <f t="shared" si="2"/>
        <v>0</v>
      </c>
    </row>
    <row r="83" spans="1:39" ht="29" x14ac:dyDescent="0.35">
      <c r="A83" s="5" t="s">
        <v>1957</v>
      </c>
      <c r="B83" s="5"/>
      <c r="C83" s="1"/>
      <c r="D83" s="5"/>
      <c r="E83" s="1"/>
      <c r="F83" s="1"/>
      <c r="G83" s="1"/>
      <c r="H83" s="1"/>
      <c r="Q83" s="30" t="s">
        <v>1731</v>
      </c>
      <c r="AK83" s="2">
        <f t="shared" si="3"/>
        <v>1</v>
      </c>
      <c r="AM83" s="2">
        <f t="shared" si="2"/>
        <v>0</v>
      </c>
    </row>
    <row r="84" spans="1:39" x14ac:dyDescent="0.35">
      <c r="A84" s="5" t="s">
        <v>1958</v>
      </c>
      <c r="B84" s="5"/>
      <c r="C84" s="1"/>
      <c r="D84" s="5"/>
      <c r="E84" s="1"/>
      <c r="F84" s="1"/>
      <c r="G84" s="1"/>
      <c r="H84" s="1"/>
      <c r="Q84" s="30" t="s">
        <v>1732</v>
      </c>
      <c r="AK84" s="2">
        <f t="shared" si="3"/>
        <v>1</v>
      </c>
      <c r="AM84" s="2">
        <f t="shared" si="2"/>
        <v>0</v>
      </c>
    </row>
    <row r="85" spans="1:39" ht="29" x14ac:dyDescent="0.35">
      <c r="A85" s="5" t="s">
        <v>2420</v>
      </c>
      <c r="B85" s="5"/>
      <c r="C85" s="1"/>
      <c r="D85" s="5"/>
      <c r="E85" s="1"/>
      <c r="F85" s="1"/>
      <c r="G85" s="1"/>
      <c r="H85" s="1"/>
      <c r="V85" s="1" t="s">
        <v>890</v>
      </c>
      <c r="AK85" s="2">
        <f t="shared" si="3"/>
        <v>1</v>
      </c>
      <c r="AM85" s="2">
        <f t="shared" si="2"/>
        <v>0</v>
      </c>
    </row>
    <row r="86" spans="1:39" ht="29" x14ac:dyDescent="0.35">
      <c r="A86" s="5" t="s">
        <v>2421</v>
      </c>
      <c r="B86" s="5"/>
      <c r="C86" s="1"/>
      <c r="D86" s="5"/>
      <c r="E86" s="1"/>
      <c r="F86" s="1"/>
      <c r="G86" s="1"/>
      <c r="H86" s="1"/>
      <c r="V86" s="1" t="s">
        <v>891</v>
      </c>
      <c r="AK86" s="2">
        <f t="shared" si="3"/>
        <v>1</v>
      </c>
      <c r="AM86" s="2">
        <f t="shared" si="2"/>
        <v>0</v>
      </c>
    </row>
    <row r="87" spans="1:39" ht="29" x14ac:dyDescent="0.35">
      <c r="A87" s="5" t="s">
        <v>2422</v>
      </c>
      <c r="B87" s="5"/>
      <c r="C87" s="1"/>
      <c r="D87" s="5"/>
      <c r="E87" s="1"/>
      <c r="F87" s="1"/>
      <c r="G87" s="1"/>
      <c r="H87" s="1"/>
      <c r="V87" s="1" t="s">
        <v>892</v>
      </c>
      <c r="AK87" s="2">
        <f t="shared" si="3"/>
        <v>1</v>
      </c>
      <c r="AM87" s="2">
        <f t="shared" si="2"/>
        <v>0</v>
      </c>
    </row>
    <row r="88" spans="1:39" ht="29" x14ac:dyDescent="0.35">
      <c r="A88" s="5" t="s">
        <v>2423</v>
      </c>
      <c r="B88" s="5"/>
      <c r="C88" s="1"/>
      <c r="D88" s="5"/>
      <c r="E88" s="1"/>
      <c r="F88" s="1"/>
      <c r="G88" s="1"/>
      <c r="H88" s="1"/>
      <c r="V88" s="1" t="s">
        <v>893</v>
      </c>
      <c r="AK88" s="2">
        <f t="shared" si="3"/>
        <v>1</v>
      </c>
      <c r="AM88" s="2">
        <f t="shared" si="2"/>
        <v>0</v>
      </c>
    </row>
    <row r="89" spans="1:39" ht="29" x14ac:dyDescent="0.35">
      <c r="A89" s="5" t="s">
        <v>2424</v>
      </c>
      <c r="B89" s="5"/>
      <c r="C89" s="1"/>
      <c r="D89" s="5"/>
      <c r="E89" s="1"/>
      <c r="F89" s="1"/>
      <c r="G89" s="1"/>
      <c r="H89" s="1"/>
      <c r="V89" s="1" t="s">
        <v>894</v>
      </c>
      <c r="AK89" s="2">
        <f t="shared" si="3"/>
        <v>1</v>
      </c>
      <c r="AM89" s="2">
        <f t="shared" si="2"/>
        <v>0</v>
      </c>
    </row>
    <row r="90" spans="1:39" ht="29" x14ac:dyDescent="0.35">
      <c r="A90" s="5" t="s">
        <v>2425</v>
      </c>
      <c r="B90" s="5"/>
      <c r="C90" s="1"/>
      <c r="D90" s="5"/>
      <c r="E90" s="1"/>
      <c r="F90" s="1"/>
      <c r="G90" s="1"/>
      <c r="H90" s="1"/>
      <c r="V90" s="1" t="s">
        <v>895</v>
      </c>
      <c r="AK90" s="2">
        <f t="shared" si="3"/>
        <v>1</v>
      </c>
      <c r="AM90" s="2">
        <f t="shared" si="2"/>
        <v>0</v>
      </c>
    </row>
    <row r="91" spans="1:39" ht="29" x14ac:dyDescent="0.35">
      <c r="A91" s="5" t="s">
        <v>2426</v>
      </c>
      <c r="B91" s="5"/>
      <c r="C91" s="1"/>
      <c r="D91" s="5"/>
      <c r="E91" s="1"/>
      <c r="F91" s="1"/>
      <c r="G91" s="1"/>
      <c r="H91" s="1"/>
      <c r="V91" s="1" t="s">
        <v>896</v>
      </c>
      <c r="AK91" s="2">
        <f t="shared" si="3"/>
        <v>1</v>
      </c>
      <c r="AM91" s="2">
        <f t="shared" si="2"/>
        <v>0</v>
      </c>
    </row>
    <row r="92" spans="1:39" x14ac:dyDescent="0.35">
      <c r="A92" s="5" t="s">
        <v>2705</v>
      </c>
      <c r="B92" s="5"/>
      <c r="C92" s="1"/>
      <c r="D92" s="5"/>
      <c r="E92" s="1"/>
      <c r="F92" s="1"/>
      <c r="G92" s="1"/>
      <c r="H92" s="1"/>
      <c r="AB92" s="54" t="s">
        <v>2706</v>
      </c>
      <c r="AC92" s="53" t="s">
        <v>2753</v>
      </c>
      <c r="AE92" s="1" t="s">
        <v>1118</v>
      </c>
      <c r="AK92" s="2">
        <f t="shared" si="3"/>
        <v>3</v>
      </c>
      <c r="AM92" s="2">
        <f t="shared" si="2"/>
        <v>0</v>
      </c>
    </row>
    <row r="93" spans="1:39" x14ac:dyDescent="0.35">
      <c r="A93" s="5" t="s">
        <v>2720</v>
      </c>
      <c r="B93" s="5"/>
      <c r="C93" s="1"/>
      <c r="D93" s="5"/>
      <c r="E93" s="1"/>
      <c r="F93" s="1"/>
      <c r="G93" s="1"/>
      <c r="H93" s="1"/>
      <c r="AB93" s="1" t="s">
        <v>2717</v>
      </c>
      <c r="AK93" s="2">
        <f t="shared" si="3"/>
        <v>1</v>
      </c>
      <c r="AM93" s="2">
        <f t="shared" si="2"/>
        <v>0</v>
      </c>
    </row>
    <row r="94" spans="1:39" x14ac:dyDescent="0.35">
      <c r="A94" s="5" t="s">
        <v>2734</v>
      </c>
      <c r="B94" s="5"/>
      <c r="C94" s="1"/>
      <c r="D94" s="5"/>
      <c r="E94" s="1"/>
      <c r="F94" s="1"/>
      <c r="G94" s="1"/>
      <c r="H94" s="1"/>
      <c r="AC94" s="54" t="s">
        <v>2735</v>
      </c>
      <c r="AE94" s="1" t="s">
        <v>1054</v>
      </c>
      <c r="AK94" s="2">
        <f t="shared" si="3"/>
        <v>2</v>
      </c>
      <c r="AM94" s="2">
        <f t="shared" si="2"/>
        <v>0</v>
      </c>
    </row>
    <row r="95" spans="1:39" x14ac:dyDescent="0.35">
      <c r="A95" s="5" t="s">
        <v>2832</v>
      </c>
      <c r="B95" s="5"/>
      <c r="C95" s="1"/>
      <c r="D95" s="5"/>
      <c r="E95" s="1"/>
      <c r="F95" s="1"/>
      <c r="G95" s="1"/>
      <c r="H95" s="1"/>
      <c r="AE95" s="1" t="s">
        <v>1436</v>
      </c>
      <c r="AK95" s="2">
        <f t="shared" si="3"/>
        <v>1</v>
      </c>
      <c r="AM95" s="2">
        <f t="shared" si="2"/>
        <v>0</v>
      </c>
    </row>
    <row r="96" spans="1:39" x14ac:dyDescent="0.35">
      <c r="A96" s="5" t="s">
        <v>2869</v>
      </c>
      <c r="B96" s="5"/>
      <c r="C96" s="1"/>
      <c r="D96" s="5"/>
      <c r="E96" s="1"/>
      <c r="F96" s="1"/>
      <c r="G96" s="1"/>
      <c r="H96" s="1"/>
      <c r="AE96" s="1" t="s">
        <v>1120</v>
      </c>
      <c r="AK96" s="2">
        <f t="shared" si="3"/>
        <v>1</v>
      </c>
      <c r="AM96" s="2">
        <f t="shared" si="2"/>
        <v>0</v>
      </c>
    </row>
    <row r="97" spans="1:39" ht="29" x14ac:dyDescent="0.35">
      <c r="A97" s="5" t="s">
        <v>2870</v>
      </c>
      <c r="B97" s="5"/>
      <c r="C97" s="1"/>
      <c r="D97" s="5"/>
      <c r="E97" s="1"/>
      <c r="F97" s="1"/>
      <c r="G97" s="1"/>
      <c r="H97" s="1"/>
      <c r="AE97" s="1" t="s">
        <v>2871</v>
      </c>
      <c r="AK97" s="2">
        <f t="shared" si="3"/>
        <v>1</v>
      </c>
      <c r="AM97" s="2">
        <f t="shared" si="2"/>
        <v>0</v>
      </c>
    </row>
    <row r="98" spans="1:39" x14ac:dyDescent="0.35">
      <c r="A98" s="5" t="s">
        <v>2784</v>
      </c>
      <c r="B98" s="5"/>
      <c r="C98" s="1"/>
      <c r="D98" s="5"/>
      <c r="E98" s="1"/>
      <c r="F98" s="1"/>
      <c r="G98" s="1"/>
      <c r="H98" s="1"/>
      <c r="AC98" s="1" t="s">
        <v>2207</v>
      </c>
      <c r="AK98" s="2">
        <f t="shared" si="3"/>
        <v>1</v>
      </c>
      <c r="AM98" s="2">
        <f t="shared" si="2"/>
        <v>0</v>
      </c>
    </row>
    <row r="99" spans="1:39" ht="29" x14ac:dyDescent="0.35">
      <c r="A99" s="5" t="s">
        <v>2788</v>
      </c>
      <c r="B99" s="5"/>
      <c r="C99" s="1"/>
      <c r="D99" s="5"/>
      <c r="E99" s="1"/>
      <c r="F99" s="1"/>
      <c r="G99" s="1"/>
      <c r="H99" s="1"/>
      <c r="AD99" s="1" t="s">
        <v>2822</v>
      </c>
      <c r="AK99" s="2">
        <f t="shared" si="3"/>
        <v>1</v>
      </c>
      <c r="AM99" s="2">
        <f t="shared" si="2"/>
        <v>0</v>
      </c>
    </row>
    <row r="100" spans="1:39" x14ac:dyDescent="0.35">
      <c r="A100" s="5" t="s">
        <v>2789</v>
      </c>
      <c r="B100" s="5"/>
      <c r="C100" s="1"/>
      <c r="D100" s="5"/>
      <c r="E100" s="1"/>
      <c r="F100" s="1"/>
      <c r="G100" s="1"/>
      <c r="H100" s="1"/>
      <c r="AD100" s="1" t="s">
        <v>2823</v>
      </c>
      <c r="AK100" s="2">
        <f t="shared" si="3"/>
        <v>1</v>
      </c>
      <c r="AM100" s="2">
        <f t="shared" si="2"/>
        <v>0</v>
      </c>
    </row>
    <row r="101" spans="1:39" ht="29" x14ac:dyDescent="0.35">
      <c r="A101" s="5" t="s">
        <v>2790</v>
      </c>
      <c r="B101" s="5"/>
      <c r="C101" s="1"/>
      <c r="D101" s="5"/>
      <c r="E101" s="1"/>
      <c r="F101" s="1"/>
      <c r="G101" s="1"/>
      <c r="H101" s="1"/>
      <c r="AD101" s="1" t="s">
        <v>2824</v>
      </c>
      <c r="AK101" s="2">
        <f t="shared" si="3"/>
        <v>1</v>
      </c>
      <c r="AM101" s="2">
        <f t="shared" si="2"/>
        <v>0</v>
      </c>
    </row>
    <row r="102" spans="1:39" x14ac:dyDescent="0.35">
      <c r="A102" s="5" t="s">
        <v>2791</v>
      </c>
      <c r="B102" s="5"/>
      <c r="C102" s="1"/>
      <c r="D102" s="5"/>
      <c r="E102" s="1"/>
      <c r="F102" s="1"/>
      <c r="G102" s="1"/>
      <c r="H102" s="1"/>
      <c r="AD102" s="1" t="s">
        <v>2825</v>
      </c>
      <c r="AK102" s="2">
        <f t="shared" si="3"/>
        <v>1</v>
      </c>
      <c r="AM102" s="2">
        <f t="shared" si="2"/>
        <v>0</v>
      </c>
    </row>
    <row r="103" spans="1:39" ht="29" x14ac:dyDescent="0.35">
      <c r="A103" s="5" t="s">
        <v>2792</v>
      </c>
      <c r="B103" s="5"/>
      <c r="C103" s="1"/>
      <c r="D103" s="5"/>
      <c r="E103" s="1"/>
      <c r="F103" s="1"/>
      <c r="G103" s="1"/>
      <c r="H103" s="1"/>
      <c r="AD103" s="1" t="s">
        <v>1963</v>
      </c>
      <c r="AK103" s="2">
        <f t="shared" si="3"/>
        <v>1</v>
      </c>
      <c r="AM103" s="2">
        <f t="shared" si="2"/>
        <v>0</v>
      </c>
    </row>
    <row r="104" spans="1:39" ht="29" x14ac:dyDescent="0.35">
      <c r="A104" s="5" t="s">
        <v>2821</v>
      </c>
      <c r="B104" s="5"/>
      <c r="C104" s="1"/>
      <c r="D104" s="5"/>
      <c r="E104" s="1"/>
      <c r="F104" s="1"/>
      <c r="G104" s="1"/>
      <c r="H104" s="1"/>
      <c r="AD104" s="1" t="s">
        <v>1982</v>
      </c>
      <c r="AK104" s="2">
        <f t="shared" si="3"/>
        <v>1</v>
      </c>
      <c r="AM104" s="2">
        <f t="shared" si="2"/>
        <v>0</v>
      </c>
    </row>
    <row r="105" spans="1:39" x14ac:dyDescent="0.35">
      <c r="A105" s="5" t="s">
        <v>2840</v>
      </c>
      <c r="B105" s="5"/>
      <c r="C105" s="1"/>
      <c r="D105" s="5"/>
      <c r="E105" s="1"/>
      <c r="F105" s="1"/>
      <c r="G105" s="1"/>
      <c r="H105" s="1"/>
      <c r="AE105" s="1" t="s">
        <v>1067</v>
      </c>
      <c r="AK105" s="2">
        <f t="shared" si="3"/>
        <v>1</v>
      </c>
      <c r="AM105" s="2">
        <f t="shared" si="2"/>
        <v>0</v>
      </c>
    </row>
    <row r="106" spans="1:39" x14ac:dyDescent="0.35">
      <c r="A106" s="5" t="s">
        <v>2854</v>
      </c>
      <c r="B106" s="5"/>
      <c r="C106" s="1"/>
      <c r="D106" s="5"/>
      <c r="E106" s="1"/>
      <c r="F106" s="1"/>
      <c r="G106" s="1"/>
      <c r="H106" s="1"/>
      <c r="AE106" s="1" t="s">
        <v>1084</v>
      </c>
      <c r="AK106" s="2">
        <f t="shared" si="3"/>
        <v>1</v>
      </c>
      <c r="AM106" s="2">
        <f t="shared" si="2"/>
        <v>0</v>
      </c>
    </row>
    <row r="107" spans="1:39" ht="29" x14ac:dyDescent="0.35">
      <c r="A107" s="5" t="s">
        <v>2873</v>
      </c>
      <c r="B107" s="5"/>
      <c r="C107" s="1"/>
      <c r="D107" s="5"/>
      <c r="E107" s="1"/>
      <c r="F107" s="1"/>
      <c r="G107" s="1"/>
      <c r="H107" s="1"/>
      <c r="AE107" s="1" t="s">
        <v>1477</v>
      </c>
      <c r="AK107" s="2">
        <f t="shared" si="3"/>
        <v>1</v>
      </c>
      <c r="AM107" s="2">
        <f t="shared" si="2"/>
        <v>0</v>
      </c>
    </row>
    <row r="108" spans="1:39" x14ac:dyDescent="0.35">
      <c r="A108" s="5" t="s">
        <v>2857</v>
      </c>
      <c r="B108" s="5"/>
      <c r="C108" s="1"/>
      <c r="D108" s="5"/>
      <c r="E108" s="1"/>
      <c r="F108" s="1"/>
      <c r="G108" s="1"/>
      <c r="H108" s="1"/>
      <c r="AE108" s="1" t="s">
        <v>1079</v>
      </c>
      <c r="AK108" s="2">
        <f t="shared" si="3"/>
        <v>1</v>
      </c>
      <c r="AM108" s="2">
        <f t="shared" si="2"/>
        <v>0</v>
      </c>
    </row>
    <row r="109" spans="1:39" x14ac:dyDescent="0.35">
      <c r="A109" s="5" t="s">
        <v>2877</v>
      </c>
      <c r="B109" s="5"/>
      <c r="C109" s="1"/>
      <c r="D109" s="5"/>
      <c r="E109" s="1"/>
      <c r="F109" s="1"/>
      <c r="G109" s="1"/>
      <c r="H109" s="1"/>
      <c r="AE109" s="1" t="s">
        <v>1139</v>
      </c>
      <c r="AK109" s="2">
        <f t="shared" si="3"/>
        <v>1</v>
      </c>
      <c r="AM109" s="2">
        <f t="shared" si="2"/>
        <v>0</v>
      </c>
    </row>
    <row r="110" spans="1:39" x14ac:dyDescent="0.35">
      <c r="A110" s="5" t="s">
        <v>2859</v>
      </c>
      <c r="B110" s="5"/>
      <c r="C110" s="1"/>
      <c r="D110" s="5"/>
      <c r="E110" s="1"/>
      <c r="F110" s="1"/>
      <c r="G110" s="1"/>
      <c r="H110" s="1"/>
      <c r="AE110" s="1" t="s">
        <v>1081</v>
      </c>
      <c r="AK110" s="2">
        <f t="shared" si="3"/>
        <v>1</v>
      </c>
      <c r="AM110" s="2">
        <f t="shared" si="2"/>
        <v>0</v>
      </c>
    </row>
    <row r="111" spans="1:39" x14ac:dyDescent="0.35">
      <c r="A111" s="5" t="s">
        <v>2878</v>
      </c>
      <c r="B111" s="5"/>
      <c r="C111" s="1"/>
      <c r="D111" s="5"/>
      <c r="E111" s="1"/>
      <c r="F111" s="1"/>
      <c r="G111" s="1"/>
      <c r="H111" s="1"/>
      <c r="AE111" s="1" t="s">
        <v>1143</v>
      </c>
      <c r="AK111" s="2">
        <f t="shared" si="3"/>
        <v>1</v>
      </c>
      <c r="AM111" s="2">
        <f t="shared" si="2"/>
        <v>0</v>
      </c>
    </row>
    <row r="112" spans="1:39" ht="29" x14ac:dyDescent="0.35">
      <c r="A112" s="5" t="s">
        <v>2879</v>
      </c>
      <c r="B112" s="5"/>
      <c r="C112" s="1"/>
      <c r="D112" s="5"/>
      <c r="E112" s="1"/>
      <c r="F112" s="1"/>
      <c r="G112" s="1"/>
      <c r="H112" s="1"/>
      <c r="AE112" s="1" t="s">
        <v>1144</v>
      </c>
      <c r="AK112" s="2">
        <f t="shared" si="3"/>
        <v>1</v>
      </c>
      <c r="AM112" s="2">
        <f t="shared" si="2"/>
        <v>0</v>
      </c>
    </row>
    <row r="113" spans="1:39" x14ac:dyDescent="0.35">
      <c r="A113" s="5" t="s">
        <v>3098</v>
      </c>
      <c r="B113" s="5"/>
      <c r="C113" s="1"/>
      <c r="D113" s="5"/>
      <c r="E113" s="1"/>
      <c r="F113" s="1"/>
      <c r="G113" s="1"/>
      <c r="H113" s="1"/>
      <c r="AI113" s="1" t="s">
        <v>959</v>
      </c>
      <c r="AK113" s="2">
        <f t="shared" si="3"/>
        <v>1</v>
      </c>
      <c r="AM113" s="2">
        <f t="shared" si="2"/>
        <v>0</v>
      </c>
    </row>
    <row r="114" spans="1:39" x14ac:dyDescent="0.35">
      <c r="A114" s="5" t="s">
        <v>2941</v>
      </c>
      <c r="B114" s="5"/>
      <c r="C114" s="1"/>
      <c r="D114" s="5"/>
      <c r="E114" s="1"/>
      <c r="F114" s="1"/>
      <c r="G114" s="1"/>
      <c r="H114" s="1"/>
      <c r="AE114" s="54" t="s">
        <v>2942</v>
      </c>
      <c r="AF114" s="1" t="s">
        <v>976</v>
      </c>
      <c r="AK114" s="2">
        <f t="shared" si="3"/>
        <v>2</v>
      </c>
      <c r="AM114" s="2">
        <f t="shared" si="2"/>
        <v>0</v>
      </c>
    </row>
    <row r="115" spans="1:39" ht="29" x14ac:dyDescent="0.35">
      <c r="A115" s="5" t="s">
        <v>3099</v>
      </c>
      <c r="B115" s="5"/>
      <c r="C115" s="1"/>
      <c r="D115" s="5"/>
      <c r="E115" s="1"/>
      <c r="F115" s="1"/>
      <c r="G115" s="1"/>
      <c r="H115" s="1"/>
      <c r="AI115" s="1" t="s">
        <v>960</v>
      </c>
      <c r="AK115" s="2">
        <f t="shared" si="3"/>
        <v>1</v>
      </c>
      <c r="AM115" s="2">
        <f t="shared" si="2"/>
        <v>0</v>
      </c>
    </row>
    <row r="116" spans="1:39" x14ac:dyDescent="0.35">
      <c r="A116" s="5" t="s">
        <v>2944</v>
      </c>
      <c r="B116" s="5"/>
      <c r="C116" s="1"/>
      <c r="D116" s="5"/>
      <c r="E116" s="1"/>
      <c r="F116" s="1"/>
      <c r="G116" s="1"/>
      <c r="H116" s="1"/>
      <c r="AE116" s="1" t="s">
        <v>2943</v>
      </c>
      <c r="AK116" s="2">
        <f t="shared" si="3"/>
        <v>1</v>
      </c>
      <c r="AM116" s="2">
        <f t="shared" si="2"/>
        <v>0</v>
      </c>
    </row>
    <row r="117" spans="1:39" x14ac:dyDescent="0.35">
      <c r="A117" s="5" t="s">
        <v>2945</v>
      </c>
      <c r="B117" s="5"/>
      <c r="C117" s="1"/>
      <c r="D117" s="5"/>
      <c r="E117" s="1"/>
      <c r="F117" s="1"/>
      <c r="G117" s="1"/>
      <c r="H117" s="1"/>
      <c r="AE117" s="1" t="s">
        <v>2946</v>
      </c>
      <c r="AK117" s="2">
        <f t="shared" si="3"/>
        <v>1</v>
      </c>
      <c r="AM117" s="2">
        <f t="shared" si="2"/>
        <v>0</v>
      </c>
    </row>
    <row r="118" spans="1:39" x14ac:dyDescent="0.35">
      <c r="A118" s="5" t="s">
        <v>2947</v>
      </c>
      <c r="B118" s="5"/>
      <c r="C118" s="1"/>
      <c r="D118" s="5"/>
      <c r="E118" s="1"/>
      <c r="F118" s="1"/>
      <c r="G118" s="1"/>
      <c r="H118" s="1"/>
      <c r="AE118" s="1" t="s">
        <v>2948</v>
      </c>
      <c r="AK118" s="2">
        <f t="shared" si="3"/>
        <v>1</v>
      </c>
      <c r="AM118" s="2">
        <f t="shared" si="2"/>
        <v>0</v>
      </c>
    </row>
    <row r="119" spans="1:39" ht="29" x14ac:dyDescent="0.35">
      <c r="A119" s="5" t="s">
        <v>3107</v>
      </c>
      <c r="B119" s="5"/>
      <c r="C119" s="1"/>
      <c r="D119" s="5"/>
      <c r="E119" s="1"/>
      <c r="F119" s="1"/>
      <c r="G119" s="1"/>
      <c r="H119" s="16"/>
      <c r="AI119" s="1" t="s">
        <v>1172</v>
      </c>
      <c r="AK119" s="2">
        <f t="shared" si="3"/>
        <v>1</v>
      </c>
      <c r="AM119" s="2">
        <f t="shared" si="2"/>
        <v>0</v>
      </c>
    </row>
    <row r="120" spans="1:39" ht="29" x14ac:dyDescent="0.35">
      <c r="A120" s="5" t="s">
        <v>2961</v>
      </c>
      <c r="B120" s="5"/>
      <c r="C120" s="1"/>
      <c r="D120" s="5"/>
      <c r="E120" s="1"/>
      <c r="F120" s="1"/>
      <c r="G120" s="1"/>
      <c r="H120" s="1"/>
      <c r="AF120" s="1" t="s">
        <v>190</v>
      </c>
      <c r="AK120" s="2">
        <f t="shared" si="3"/>
        <v>1</v>
      </c>
      <c r="AM120" s="2">
        <f t="shared" si="2"/>
        <v>0</v>
      </c>
    </row>
    <row r="121" spans="1:39" x14ac:dyDescent="0.35">
      <c r="A121" s="5" t="s">
        <v>3023</v>
      </c>
      <c r="B121" s="5"/>
      <c r="C121" s="1"/>
      <c r="D121" s="5"/>
      <c r="E121" s="1"/>
      <c r="F121" s="1"/>
      <c r="G121" s="1"/>
      <c r="H121" s="1"/>
      <c r="AH121" s="54" t="s">
        <v>1180</v>
      </c>
      <c r="AI121" s="1" t="s">
        <v>983</v>
      </c>
      <c r="AK121" s="2">
        <f t="shared" si="3"/>
        <v>2</v>
      </c>
      <c r="AM121" s="2">
        <f t="shared" si="2"/>
        <v>0</v>
      </c>
    </row>
    <row r="122" spans="1:39" ht="29" x14ac:dyDescent="0.35">
      <c r="A122" s="5" t="s">
        <v>3097</v>
      </c>
      <c r="B122" s="5"/>
      <c r="C122" s="1"/>
      <c r="D122" s="5"/>
      <c r="E122" s="1"/>
      <c r="F122" s="1"/>
      <c r="G122" s="1"/>
      <c r="H122" s="1"/>
      <c r="AI122" s="1" t="s">
        <v>957</v>
      </c>
      <c r="AK122" s="2">
        <f t="shared" si="3"/>
        <v>1</v>
      </c>
      <c r="AM122" s="2">
        <f t="shared" si="2"/>
        <v>0</v>
      </c>
    </row>
    <row r="123" spans="1:39" ht="29" x14ac:dyDescent="0.35">
      <c r="A123" s="5" t="s">
        <v>3025</v>
      </c>
      <c r="B123" s="5"/>
      <c r="C123" s="1"/>
      <c r="D123" s="5"/>
      <c r="E123" s="1"/>
      <c r="F123" s="1"/>
      <c r="G123" s="1"/>
      <c r="H123" s="1"/>
      <c r="AH123" s="54" t="s">
        <v>982</v>
      </c>
      <c r="AI123" s="1" t="s">
        <v>989</v>
      </c>
      <c r="AK123" s="2">
        <f t="shared" si="3"/>
        <v>2</v>
      </c>
      <c r="AM123" s="2">
        <f t="shared" si="2"/>
        <v>0</v>
      </c>
    </row>
    <row r="124" spans="1:39" ht="29" x14ac:dyDescent="0.35">
      <c r="A124" s="5" t="s">
        <v>3035</v>
      </c>
      <c r="B124" s="5"/>
      <c r="C124" s="1"/>
      <c r="D124" s="5"/>
      <c r="E124" s="1"/>
      <c r="F124" s="1"/>
      <c r="G124" s="1"/>
      <c r="H124" s="1"/>
      <c r="AH124" s="54" t="s">
        <v>1026</v>
      </c>
      <c r="AI124" s="1" t="s">
        <v>1432</v>
      </c>
      <c r="AK124" s="2">
        <f t="shared" si="3"/>
        <v>2</v>
      </c>
      <c r="AM124" s="2">
        <f t="shared" si="2"/>
        <v>0</v>
      </c>
    </row>
    <row r="125" spans="1:39" ht="29" x14ac:dyDescent="0.35">
      <c r="A125" s="5" t="s">
        <v>3036</v>
      </c>
      <c r="B125" s="5"/>
      <c r="C125" s="1"/>
      <c r="D125" s="5"/>
      <c r="E125" s="1"/>
      <c r="F125" s="1"/>
      <c r="G125" s="1"/>
      <c r="H125" s="1"/>
      <c r="AH125" s="54" t="s">
        <v>1027</v>
      </c>
      <c r="AI125" s="1" t="s">
        <v>1433</v>
      </c>
      <c r="AK125" s="2">
        <f t="shared" si="3"/>
        <v>2</v>
      </c>
      <c r="AM125" s="2">
        <f t="shared" si="2"/>
        <v>0</v>
      </c>
    </row>
    <row r="126" spans="1:39" ht="29" x14ac:dyDescent="0.35">
      <c r="A126" s="5" t="s">
        <v>3037</v>
      </c>
      <c r="B126" s="5"/>
      <c r="C126" s="1"/>
      <c r="D126" s="5"/>
      <c r="E126" s="1"/>
      <c r="F126" s="1"/>
      <c r="G126" s="1"/>
      <c r="H126" s="1"/>
      <c r="AH126" s="54" t="s">
        <v>1029</v>
      </c>
      <c r="AI126" s="1" t="s">
        <v>1434</v>
      </c>
      <c r="AK126" s="2">
        <f t="shared" si="3"/>
        <v>2</v>
      </c>
      <c r="AM126" s="2">
        <f t="shared" si="2"/>
        <v>0</v>
      </c>
    </row>
    <row r="127" spans="1:39" ht="29" x14ac:dyDescent="0.35">
      <c r="A127" s="5" t="s">
        <v>3038</v>
      </c>
      <c r="B127" s="5"/>
      <c r="C127" s="1"/>
      <c r="D127" s="5"/>
      <c r="E127" s="1"/>
      <c r="F127" s="1"/>
      <c r="G127" s="1"/>
      <c r="H127" s="1"/>
      <c r="AH127" s="54" t="s">
        <v>1197</v>
      </c>
      <c r="AI127" s="1" t="s">
        <v>1436</v>
      </c>
      <c r="AK127" s="2">
        <f t="shared" si="3"/>
        <v>2</v>
      </c>
      <c r="AM127" s="2">
        <f t="shared" si="2"/>
        <v>0</v>
      </c>
    </row>
    <row r="128" spans="1:39" ht="29" x14ac:dyDescent="0.35">
      <c r="A128" s="5" t="s">
        <v>3039</v>
      </c>
      <c r="B128" s="5"/>
      <c r="C128" s="1"/>
      <c r="D128" s="5"/>
      <c r="E128" s="1"/>
      <c r="F128" s="1"/>
      <c r="G128" s="1"/>
      <c r="H128" s="1"/>
      <c r="AH128" s="54" t="s">
        <v>1035</v>
      </c>
      <c r="AI128" s="1" t="s">
        <v>1437</v>
      </c>
      <c r="AK128" s="2">
        <f t="shared" si="3"/>
        <v>2</v>
      </c>
      <c r="AM128" s="2">
        <f t="shared" si="2"/>
        <v>0</v>
      </c>
    </row>
    <row r="129" spans="1:39" ht="29" x14ac:dyDescent="0.35">
      <c r="A129" s="5" t="s">
        <v>3040</v>
      </c>
      <c r="B129" s="5"/>
      <c r="C129" s="1"/>
      <c r="D129" s="5"/>
      <c r="E129" s="1"/>
      <c r="F129" s="1"/>
      <c r="G129" s="1"/>
      <c r="H129" s="1"/>
      <c r="AH129" s="54" t="s">
        <v>1198</v>
      </c>
      <c r="AI129" s="1" t="s">
        <v>1055</v>
      </c>
      <c r="AK129" s="2">
        <f t="shared" si="3"/>
        <v>2</v>
      </c>
      <c r="AM129" s="2">
        <f t="shared" si="2"/>
        <v>0</v>
      </c>
    </row>
    <row r="130" spans="1:39" ht="29" x14ac:dyDescent="0.35">
      <c r="A130" s="5" t="s">
        <v>3041</v>
      </c>
      <c r="B130" s="5"/>
      <c r="C130" s="1"/>
      <c r="D130" s="5"/>
      <c r="E130" s="1"/>
      <c r="F130" s="1"/>
      <c r="G130" s="1"/>
      <c r="H130" s="1"/>
      <c r="AH130" s="54" t="s">
        <v>1036</v>
      </c>
      <c r="AI130" s="1" t="s">
        <v>1440</v>
      </c>
      <c r="AK130" s="2">
        <f t="shared" si="3"/>
        <v>2</v>
      </c>
      <c r="AM130" s="2">
        <f t="shared" ref="AM130:AM150" si="4">COUNTA(G130:P130,S130:T130)</f>
        <v>0</v>
      </c>
    </row>
    <row r="131" spans="1:39" ht="29" x14ac:dyDescent="0.35">
      <c r="A131" s="5" t="s">
        <v>3042</v>
      </c>
      <c r="B131" s="5"/>
      <c r="C131" s="1"/>
      <c r="D131" s="5"/>
      <c r="E131" s="1"/>
      <c r="F131" s="1"/>
      <c r="G131" s="1"/>
      <c r="H131" s="1"/>
      <c r="AH131" s="54" t="s">
        <v>1200</v>
      </c>
      <c r="AI131" s="1" t="s">
        <v>1056</v>
      </c>
      <c r="AK131" s="2">
        <f t="shared" si="3"/>
        <v>2</v>
      </c>
      <c r="AM131" s="2">
        <f t="shared" si="4"/>
        <v>0</v>
      </c>
    </row>
    <row r="132" spans="1:39" ht="29" x14ac:dyDescent="0.35">
      <c r="A132" s="5" t="s">
        <v>3043</v>
      </c>
      <c r="B132" s="5"/>
      <c r="C132" s="1"/>
      <c r="D132" s="5"/>
      <c r="E132" s="1"/>
      <c r="F132" s="1"/>
      <c r="G132" s="1"/>
      <c r="H132" s="1"/>
      <c r="AH132" s="54" t="s">
        <v>2053</v>
      </c>
      <c r="AI132" s="1" t="s">
        <v>1441</v>
      </c>
      <c r="AK132" s="2">
        <f t="shared" si="3"/>
        <v>2</v>
      </c>
      <c r="AM132" s="2">
        <f t="shared" si="4"/>
        <v>0</v>
      </c>
    </row>
    <row r="133" spans="1:39" ht="29" x14ac:dyDescent="0.35">
      <c r="A133" s="5" t="s">
        <v>3046</v>
      </c>
      <c r="B133" s="5"/>
      <c r="C133" s="1"/>
      <c r="D133" s="5"/>
      <c r="E133" s="1"/>
      <c r="F133" s="1"/>
      <c r="G133" s="1"/>
      <c r="H133" s="1"/>
      <c r="AH133" s="1" t="s">
        <v>1437</v>
      </c>
      <c r="AK133" s="2">
        <f t="shared" ref="AK133:AK150" si="5">COUNTA(C133:AI133)</f>
        <v>1</v>
      </c>
      <c r="AM133" s="2">
        <f t="shared" si="4"/>
        <v>0</v>
      </c>
    </row>
    <row r="134" spans="1:39" ht="29" x14ac:dyDescent="0.35">
      <c r="A134" s="5" t="s">
        <v>3047</v>
      </c>
      <c r="B134" s="5"/>
      <c r="C134" s="1"/>
      <c r="D134" s="5"/>
      <c r="E134" s="1"/>
      <c r="F134" s="1"/>
      <c r="G134" s="1"/>
      <c r="H134" s="1"/>
      <c r="AH134" s="1" t="s">
        <v>1055</v>
      </c>
      <c r="AK134" s="2">
        <f t="shared" si="5"/>
        <v>1</v>
      </c>
      <c r="AM134" s="2">
        <f t="shared" si="4"/>
        <v>0</v>
      </c>
    </row>
    <row r="135" spans="1:39" ht="29" x14ac:dyDescent="0.35">
      <c r="A135" s="5" t="s">
        <v>3048</v>
      </c>
      <c r="B135" s="5"/>
      <c r="C135" s="1"/>
      <c r="D135" s="5"/>
      <c r="E135" s="1"/>
      <c r="F135" s="1"/>
      <c r="G135" s="1"/>
      <c r="H135" s="1"/>
      <c r="AH135" s="1" t="s">
        <v>1440</v>
      </c>
      <c r="AK135" s="2">
        <f t="shared" si="5"/>
        <v>1</v>
      </c>
      <c r="AM135" s="2">
        <f t="shared" si="4"/>
        <v>0</v>
      </c>
    </row>
    <row r="136" spans="1:39" ht="29" x14ac:dyDescent="0.35">
      <c r="A136" s="5" t="s">
        <v>3049</v>
      </c>
      <c r="B136" s="5"/>
      <c r="C136" s="1"/>
      <c r="D136" s="5"/>
      <c r="E136" s="1"/>
      <c r="F136" s="1"/>
      <c r="G136" s="1"/>
      <c r="H136" s="1"/>
      <c r="AH136" s="1" t="s">
        <v>1056</v>
      </c>
      <c r="AK136" s="2">
        <f t="shared" si="5"/>
        <v>1</v>
      </c>
      <c r="AM136" s="2">
        <f t="shared" si="4"/>
        <v>0</v>
      </c>
    </row>
    <row r="137" spans="1:39" ht="29" x14ac:dyDescent="0.35">
      <c r="A137" s="5" t="s">
        <v>3050</v>
      </c>
      <c r="B137" s="5"/>
      <c r="C137" s="1"/>
      <c r="D137" s="5"/>
      <c r="E137" s="1"/>
      <c r="F137" s="1"/>
      <c r="G137" s="1"/>
      <c r="H137" s="1"/>
      <c r="AH137" s="1" t="s">
        <v>1443</v>
      </c>
      <c r="AK137" s="2">
        <f t="shared" si="5"/>
        <v>1</v>
      </c>
      <c r="AM137" s="2">
        <f t="shared" si="4"/>
        <v>0</v>
      </c>
    </row>
    <row r="138" spans="1:39" ht="29" x14ac:dyDescent="0.35">
      <c r="A138" s="5" t="s">
        <v>3051</v>
      </c>
      <c r="B138" s="5"/>
      <c r="C138" s="1"/>
      <c r="D138" s="5"/>
      <c r="E138" s="1"/>
      <c r="F138" s="1"/>
      <c r="G138" s="1"/>
      <c r="H138" s="1"/>
      <c r="AH138" s="1" t="s">
        <v>1057</v>
      </c>
      <c r="AK138" s="2">
        <f t="shared" si="5"/>
        <v>1</v>
      </c>
      <c r="AM138" s="2">
        <f t="shared" si="4"/>
        <v>0</v>
      </c>
    </row>
    <row r="139" spans="1:39" ht="29" x14ac:dyDescent="0.35">
      <c r="A139" s="5" t="s">
        <v>3052</v>
      </c>
      <c r="B139" s="5"/>
      <c r="C139" s="1"/>
      <c r="D139" s="5"/>
      <c r="E139" s="1"/>
      <c r="F139" s="1"/>
      <c r="G139" s="1"/>
      <c r="H139" s="1"/>
      <c r="AH139" s="1" t="s">
        <v>1445</v>
      </c>
      <c r="AK139" s="2">
        <f t="shared" si="5"/>
        <v>1</v>
      </c>
      <c r="AM139" s="2">
        <f t="shared" si="4"/>
        <v>0</v>
      </c>
    </row>
    <row r="140" spans="1:39" ht="29" x14ac:dyDescent="0.35">
      <c r="A140" s="5" t="s">
        <v>3053</v>
      </c>
      <c r="B140" s="5"/>
      <c r="C140" s="1"/>
      <c r="D140" s="5"/>
      <c r="E140" s="1"/>
      <c r="F140" s="1"/>
      <c r="G140" s="1"/>
      <c r="H140" s="1"/>
      <c r="AH140" s="1" t="s">
        <v>1058</v>
      </c>
      <c r="AK140" s="2">
        <f t="shared" si="5"/>
        <v>1</v>
      </c>
      <c r="AM140" s="2">
        <f t="shared" si="4"/>
        <v>0</v>
      </c>
    </row>
    <row r="141" spans="1:39" ht="43.5" x14ac:dyDescent="0.35">
      <c r="A141" s="5" t="s">
        <v>3054</v>
      </c>
      <c r="B141" s="5"/>
      <c r="C141" s="1"/>
      <c r="D141" s="5"/>
      <c r="E141" s="1"/>
      <c r="F141" s="1"/>
      <c r="G141" s="1"/>
      <c r="H141" s="1"/>
      <c r="AH141" s="1" t="s">
        <v>364</v>
      </c>
      <c r="AK141" s="2">
        <f t="shared" si="5"/>
        <v>1</v>
      </c>
      <c r="AM141" s="2">
        <f t="shared" si="4"/>
        <v>0</v>
      </c>
    </row>
    <row r="142" spans="1:39" ht="43.5" x14ac:dyDescent="0.35">
      <c r="A142" s="5" t="s">
        <v>3055</v>
      </c>
      <c r="B142" s="5"/>
      <c r="C142" s="1"/>
      <c r="D142" s="5"/>
      <c r="E142" s="1"/>
      <c r="F142" s="1"/>
      <c r="G142" s="1"/>
      <c r="H142" s="1"/>
      <c r="AH142" s="1" t="s">
        <v>1447</v>
      </c>
      <c r="AK142" s="2">
        <f t="shared" si="5"/>
        <v>1</v>
      </c>
      <c r="AM142" s="2">
        <f t="shared" si="4"/>
        <v>0</v>
      </c>
    </row>
    <row r="143" spans="1:39" ht="43.5" x14ac:dyDescent="0.35">
      <c r="A143" s="5" t="s">
        <v>3056</v>
      </c>
      <c r="B143" s="5"/>
      <c r="C143" s="1"/>
      <c r="D143" s="5"/>
      <c r="E143" s="1"/>
      <c r="F143" s="1"/>
      <c r="G143" s="1"/>
      <c r="H143" s="1"/>
      <c r="AH143" s="1" t="s">
        <v>1448</v>
      </c>
      <c r="AK143" s="2">
        <f t="shared" si="5"/>
        <v>1</v>
      </c>
      <c r="AM143" s="2">
        <f t="shared" si="4"/>
        <v>0</v>
      </c>
    </row>
    <row r="144" spans="1:39" ht="43.5" x14ac:dyDescent="0.35">
      <c r="A144" s="5" t="s">
        <v>3057</v>
      </c>
      <c r="B144" s="5"/>
      <c r="C144" s="1"/>
      <c r="D144" s="5"/>
      <c r="E144" s="1"/>
      <c r="F144" s="1"/>
      <c r="G144" s="1"/>
      <c r="H144" s="1"/>
      <c r="AH144" s="1" t="s">
        <v>365</v>
      </c>
      <c r="AK144" s="2">
        <f t="shared" si="5"/>
        <v>1</v>
      </c>
      <c r="AM144" s="2">
        <f t="shared" si="4"/>
        <v>0</v>
      </c>
    </row>
    <row r="145" spans="1:39" ht="43.5" x14ac:dyDescent="0.35">
      <c r="A145" s="5" t="s">
        <v>3058</v>
      </c>
      <c r="B145" s="5"/>
      <c r="C145" s="1"/>
      <c r="D145" s="5"/>
      <c r="E145" s="1"/>
      <c r="F145" s="1"/>
      <c r="G145" s="1"/>
      <c r="H145" s="1"/>
      <c r="AH145" s="1" t="s">
        <v>1449</v>
      </c>
      <c r="AK145" s="2">
        <f t="shared" si="5"/>
        <v>1</v>
      </c>
      <c r="AM145" s="2">
        <f t="shared" si="4"/>
        <v>0</v>
      </c>
    </row>
    <row r="146" spans="1:39" ht="43.5" x14ac:dyDescent="0.35">
      <c r="A146" s="5" t="s">
        <v>3059</v>
      </c>
      <c r="B146" s="5"/>
      <c r="C146" s="1"/>
      <c r="D146" s="5"/>
      <c r="E146" s="1"/>
      <c r="F146" s="1"/>
      <c r="G146" s="1"/>
      <c r="H146" s="1"/>
      <c r="AH146" s="1" t="s">
        <v>1067</v>
      </c>
      <c r="AK146" s="2">
        <f t="shared" si="5"/>
        <v>1</v>
      </c>
      <c r="AM146" s="2">
        <f t="shared" si="4"/>
        <v>0</v>
      </c>
    </row>
    <row r="147" spans="1:39" x14ac:dyDescent="0.35">
      <c r="A147" s="5" t="s">
        <v>3096</v>
      </c>
      <c r="B147" s="5"/>
      <c r="C147" s="1"/>
      <c r="D147" s="5"/>
      <c r="E147" s="1"/>
      <c r="F147" s="1"/>
      <c r="G147" s="1"/>
      <c r="H147" s="1"/>
      <c r="AI147" s="1" t="s">
        <v>952</v>
      </c>
      <c r="AK147" s="2">
        <f t="shared" si="5"/>
        <v>1</v>
      </c>
      <c r="AM147" s="2">
        <f t="shared" si="4"/>
        <v>0</v>
      </c>
    </row>
    <row r="148" spans="1:39" x14ac:dyDescent="0.35">
      <c r="A148" s="5" t="s">
        <v>3095</v>
      </c>
      <c r="B148" s="5"/>
      <c r="C148" s="1"/>
      <c r="D148" s="5"/>
      <c r="E148" s="1"/>
      <c r="F148" s="1"/>
      <c r="G148" s="1"/>
      <c r="H148" s="1"/>
      <c r="AI148" s="1" t="s">
        <v>954</v>
      </c>
      <c r="AK148" s="2">
        <f t="shared" si="5"/>
        <v>1</v>
      </c>
      <c r="AM148" s="2">
        <f t="shared" si="4"/>
        <v>0</v>
      </c>
    </row>
    <row r="149" spans="1:39" ht="29" x14ac:dyDescent="0.35">
      <c r="A149" s="5" t="s">
        <v>3103</v>
      </c>
      <c r="B149" s="5"/>
      <c r="C149" s="1"/>
      <c r="D149" s="5"/>
      <c r="E149" s="1"/>
      <c r="F149" s="1"/>
      <c r="G149" s="1"/>
      <c r="H149" s="1"/>
      <c r="AI149" s="1" t="s">
        <v>1964</v>
      </c>
      <c r="AK149" s="2">
        <f t="shared" si="5"/>
        <v>1</v>
      </c>
      <c r="AM149" s="2">
        <f t="shared" si="4"/>
        <v>0</v>
      </c>
    </row>
    <row r="150" spans="1:39" ht="29" x14ac:dyDescent="0.35">
      <c r="A150" s="5" t="s">
        <v>3147</v>
      </c>
      <c r="B150" s="5"/>
      <c r="C150" s="1"/>
      <c r="D150" s="5" t="s">
        <v>3148</v>
      </c>
      <c r="E150" s="1"/>
      <c r="F150" s="1"/>
      <c r="G150" s="1"/>
      <c r="H150" s="1"/>
      <c r="AK150" s="2">
        <f t="shared" si="5"/>
        <v>1</v>
      </c>
      <c r="AM150" s="2">
        <f t="shared" si="4"/>
        <v>0</v>
      </c>
    </row>
    <row r="151" spans="1:39" ht="29" x14ac:dyDescent="0.35">
      <c r="A151" s="5" t="s">
        <v>7898</v>
      </c>
      <c r="B151" s="5" t="s">
        <v>3246</v>
      </c>
      <c r="C151" s="1"/>
      <c r="D151" s="5"/>
      <c r="E151" s="1"/>
      <c r="F151" s="1"/>
      <c r="G151" s="1"/>
      <c r="H151" s="1"/>
    </row>
    <row r="152" spans="1:39" ht="29" x14ac:dyDescent="0.35">
      <c r="A152" s="8" t="s">
        <v>7915</v>
      </c>
      <c r="B152" s="8" t="s">
        <v>7916</v>
      </c>
      <c r="C152" s="1"/>
      <c r="D152" s="5"/>
      <c r="E152" s="1"/>
      <c r="F152" s="1"/>
      <c r="G152" s="1"/>
      <c r="H152" s="1"/>
    </row>
    <row r="153" spans="1:39" ht="43.5" x14ac:dyDescent="0.35">
      <c r="A153" s="5" t="s">
        <v>7917</v>
      </c>
      <c r="B153" s="5" t="s">
        <v>7918</v>
      </c>
      <c r="C153" s="1"/>
      <c r="D153" s="5"/>
      <c r="E153" s="1"/>
      <c r="F153" s="1"/>
      <c r="G153" s="1"/>
      <c r="H153" s="1"/>
    </row>
    <row r="154" spans="1:39" x14ac:dyDescent="0.35">
      <c r="A154" s="5" t="s">
        <v>7919</v>
      </c>
      <c r="B154" s="5" t="s">
        <v>7920</v>
      </c>
      <c r="C154" s="1"/>
      <c r="D154" s="5"/>
      <c r="E154" s="1"/>
      <c r="F154" s="1"/>
      <c r="G154" s="1"/>
      <c r="H154" s="1"/>
    </row>
    <row r="155" spans="1:39" ht="43.5" x14ac:dyDescent="0.35">
      <c r="A155" s="5" t="s">
        <v>7921</v>
      </c>
      <c r="B155" s="5" t="s">
        <v>7922</v>
      </c>
      <c r="C155" s="1"/>
      <c r="D155" s="5"/>
      <c r="E155" s="1"/>
      <c r="F155" s="1"/>
      <c r="G155" s="1"/>
      <c r="H155" s="1"/>
    </row>
    <row r="156" spans="1:39" x14ac:dyDescent="0.35">
      <c r="A156" s="5"/>
      <c r="B156" s="5"/>
      <c r="C156" s="1"/>
      <c r="D156" s="5"/>
      <c r="E156" s="1"/>
      <c r="F156" s="1"/>
      <c r="G156" s="1"/>
      <c r="H156" s="1"/>
    </row>
    <row r="157" spans="1:39" x14ac:dyDescent="0.35">
      <c r="A157" s="5"/>
      <c r="B157" s="5"/>
      <c r="C157" s="1"/>
      <c r="D157" s="5"/>
      <c r="E157" s="1"/>
      <c r="F157" s="1"/>
      <c r="G157" s="1"/>
      <c r="H157" s="1"/>
    </row>
    <row r="158" spans="1:39" x14ac:dyDescent="0.35">
      <c r="A158" s="5"/>
      <c r="B158" s="5"/>
      <c r="C158" s="1"/>
      <c r="D158" s="5"/>
      <c r="E158" s="1"/>
      <c r="F158" s="1"/>
      <c r="G158" s="1"/>
      <c r="H158" s="1"/>
    </row>
    <row r="159" spans="1:39" x14ac:dyDescent="0.35">
      <c r="A159" s="5"/>
      <c r="B159" s="5"/>
      <c r="C159" s="1"/>
      <c r="D159" s="5"/>
      <c r="E159" s="1"/>
      <c r="F159" s="1"/>
      <c r="G159" s="1"/>
      <c r="H159" s="1"/>
    </row>
    <row r="160" spans="1:39" x14ac:dyDescent="0.35">
      <c r="A160" s="5"/>
      <c r="B160" s="5"/>
      <c r="C160" s="1"/>
      <c r="D160" s="5"/>
      <c r="E160" s="1"/>
      <c r="F160" s="1"/>
      <c r="G160" s="1"/>
      <c r="H160" s="1"/>
    </row>
    <row r="161" spans="1:8" x14ac:dyDescent="0.35">
      <c r="A161" s="5"/>
      <c r="B161" s="5"/>
      <c r="C161" s="1"/>
      <c r="D161" s="5"/>
      <c r="E161" s="1"/>
      <c r="F161" s="1"/>
      <c r="G161" s="1"/>
      <c r="H161" s="1"/>
    </row>
    <row r="162" spans="1:8" x14ac:dyDescent="0.35">
      <c r="A162" s="5"/>
      <c r="B162" s="5"/>
      <c r="C162" s="1"/>
      <c r="D162" s="5"/>
      <c r="E162" s="1"/>
      <c r="F162" s="1"/>
      <c r="G162" s="1"/>
      <c r="H162" s="1"/>
    </row>
    <row r="163" spans="1:8" x14ac:dyDescent="0.35">
      <c r="A163" s="5"/>
      <c r="B163" s="5"/>
      <c r="C163" s="1"/>
      <c r="D163" s="5"/>
      <c r="E163" s="1"/>
      <c r="F163" s="1"/>
      <c r="G163" s="1"/>
      <c r="H163" s="1"/>
    </row>
    <row r="164" spans="1:8" x14ac:dyDescent="0.35">
      <c r="A164" s="5"/>
      <c r="B164" s="5"/>
      <c r="C164" s="1"/>
      <c r="D164" s="5"/>
      <c r="E164" s="1"/>
      <c r="F164" s="1"/>
      <c r="G164" s="1"/>
    </row>
    <row r="165" spans="1:8" x14ac:dyDescent="0.35">
      <c r="A165" s="5"/>
      <c r="B165" s="5"/>
      <c r="C165" s="1"/>
      <c r="D165" s="5"/>
      <c r="E165" s="1"/>
      <c r="F165" s="1"/>
      <c r="G165" s="1"/>
    </row>
    <row r="166" spans="1:8" x14ac:dyDescent="0.35">
      <c r="A166" s="5"/>
      <c r="B166" s="5"/>
      <c r="C166" s="1"/>
      <c r="D166" s="5"/>
      <c r="E166" s="1"/>
      <c r="F166" s="1"/>
      <c r="G166" s="1"/>
    </row>
    <row r="167" spans="1:8" x14ac:dyDescent="0.35">
      <c r="A167" s="5"/>
      <c r="B167" s="5"/>
      <c r="C167" s="1"/>
      <c r="D167" s="5"/>
      <c r="E167" s="1"/>
      <c r="F167" s="1"/>
      <c r="G167" s="1"/>
    </row>
    <row r="168" spans="1:8" x14ac:dyDescent="0.35">
      <c r="A168" s="5"/>
      <c r="B168" s="5"/>
      <c r="C168" s="1"/>
      <c r="D168" s="5"/>
      <c r="E168" s="1"/>
      <c r="F168" s="1"/>
      <c r="G168" s="1"/>
    </row>
    <row r="169" spans="1:8" x14ac:dyDescent="0.35">
      <c r="A169" s="5"/>
      <c r="B169" s="5"/>
      <c r="C169" s="1"/>
      <c r="D169" s="5"/>
      <c r="E169" s="1"/>
      <c r="F169" s="1"/>
      <c r="G169" s="1"/>
    </row>
    <row r="170" spans="1:8" x14ac:dyDescent="0.35">
      <c r="A170" s="5"/>
      <c r="B170" s="5"/>
      <c r="C170" s="1"/>
      <c r="D170" s="5"/>
      <c r="E170" s="1"/>
      <c r="F170" s="1"/>
      <c r="G170" s="1"/>
    </row>
    <row r="171" spans="1:8" x14ac:dyDescent="0.35">
      <c r="A171" s="5"/>
      <c r="B171" s="5"/>
      <c r="C171" s="1"/>
      <c r="D171" s="5"/>
      <c r="E171" s="1"/>
      <c r="F171" s="1"/>
      <c r="G171" s="1"/>
    </row>
    <row r="172" spans="1:8" x14ac:dyDescent="0.35">
      <c r="A172" s="5"/>
      <c r="B172" s="5"/>
      <c r="C172" s="1"/>
      <c r="D172" s="5"/>
      <c r="E172" s="1"/>
      <c r="F172" s="1"/>
      <c r="G172" s="1"/>
    </row>
    <row r="173" spans="1:8" x14ac:dyDescent="0.35">
      <c r="A173" s="5"/>
      <c r="B173" s="5"/>
      <c r="C173" s="1"/>
      <c r="D173" s="5"/>
      <c r="E173" s="1"/>
      <c r="F173" s="1"/>
      <c r="G173" s="1"/>
    </row>
    <row r="174" spans="1:8" x14ac:dyDescent="0.35">
      <c r="A174" s="5"/>
      <c r="B174" s="5"/>
      <c r="C174" s="1"/>
      <c r="D174" s="5"/>
      <c r="E174" s="1"/>
      <c r="F174" s="1"/>
      <c r="G174" s="1"/>
    </row>
    <row r="175" spans="1:8" x14ac:dyDescent="0.35">
      <c r="A175" s="5"/>
      <c r="B175" s="5"/>
      <c r="C175" s="1"/>
      <c r="D175" s="5"/>
      <c r="E175" s="1"/>
      <c r="F175" s="1"/>
      <c r="G175" s="1"/>
    </row>
    <row r="176" spans="1:8" x14ac:dyDescent="0.35">
      <c r="A176" s="5"/>
      <c r="B176" s="5"/>
      <c r="C176" s="1"/>
      <c r="D176" s="5"/>
      <c r="E176" s="1"/>
      <c r="F176" s="1"/>
      <c r="G176" s="1"/>
    </row>
    <row r="177" spans="1:7" x14ac:dyDescent="0.35">
      <c r="A177" s="5"/>
      <c r="B177" s="5"/>
      <c r="C177" s="1"/>
      <c r="D177" s="5"/>
      <c r="E177" s="1"/>
      <c r="F177" s="1"/>
      <c r="G177" s="1"/>
    </row>
    <row r="178" spans="1:7" x14ac:dyDescent="0.35">
      <c r="A178" s="5"/>
      <c r="B178" s="5"/>
      <c r="C178" s="1"/>
      <c r="D178" s="5"/>
      <c r="E178" s="1"/>
      <c r="F178" s="1"/>
      <c r="G178" s="1"/>
    </row>
    <row r="179" spans="1:7" x14ac:dyDescent="0.35">
      <c r="A179" s="5"/>
      <c r="B179" s="5"/>
      <c r="C179" s="1"/>
      <c r="D179" s="5"/>
      <c r="E179" s="1"/>
      <c r="F179" s="1"/>
      <c r="G179" s="1"/>
    </row>
    <row r="180" spans="1:7" x14ac:dyDescent="0.35">
      <c r="A180" s="5"/>
      <c r="B180" s="5"/>
      <c r="C180" s="1"/>
      <c r="D180" s="5"/>
      <c r="E180" s="1"/>
      <c r="F180" s="1"/>
      <c r="G180" s="1"/>
    </row>
    <row r="181" spans="1:7" x14ac:dyDescent="0.35">
      <c r="A181" s="5"/>
      <c r="B181" s="5"/>
      <c r="C181" s="1"/>
      <c r="D181" s="5"/>
      <c r="E181" s="1"/>
      <c r="F181" s="1"/>
      <c r="G181" s="1"/>
    </row>
    <row r="182" spans="1:7" x14ac:dyDescent="0.35">
      <c r="C182" s="1"/>
    </row>
    <row r="183" spans="1:7" x14ac:dyDescent="0.35">
      <c r="C183" s="1"/>
    </row>
    <row r="184" spans="1:7" x14ac:dyDescent="0.35">
      <c r="C184" s="1"/>
    </row>
    <row r="185" spans="1:7" x14ac:dyDescent="0.35">
      <c r="C185" s="1"/>
    </row>
    <row r="186" spans="1:7" x14ac:dyDescent="0.35">
      <c r="C186" s="1"/>
    </row>
    <row r="187" spans="1:7" x14ac:dyDescent="0.35">
      <c r="C187" s="1"/>
    </row>
    <row r="188" spans="1:7" x14ac:dyDescent="0.35">
      <c r="C188" s="1"/>
    </row>
    <row r="189" spans="1:7" x14ac:dyDescent="0.35">
      <c r="C189" s="1"/>
    </row>
    <row r="190" spans="1:7" x14ac:dyDescent="0.35">
      <c r="C190" s="1"/>
    </row>
    <row r="191" spans="1:7" x14ac:dyDescent="0.35">
      <c r="C191" s="1"/>
    </row>
    <row r="192" spans="1:7" x14ac:dyDescent="0.35">
      <c r="C192" s="1"/>
    </row>
    <row r="193" spans="3:3" x14ac:dyDescent="0.35">
      <c r="C193" s="1"/>
    </row>
    <row r="194" spans="3:3" x14ac:dyDescent="0.35">
      <c r="C194" s="1"/>
    </row>
    <row r="195" spans="3:3" x14ac:dyDescent="0.35">
      <c r="C195" s="1"/>
    </row>
    <row r="196" spans="3:3" x14ac:dyDescent="0.35">
      <c r="C196" s="1"/>
    </row>
    <row r="197" spans="3:3" x14ac:dyDescent="0.35">
      <c r="C197" s="1"/>
    </row>
    <row r="198" spans="3:3" x14ac:dyDescent="0.35">
      <c r="C198" s="1"/>
    </row>
    <row r="199" spans="3:3" x14ac:dyDescent="0.35">
      <c r="C199" s="1"/>
    </row>
    <row r="200" spans="3:3" x14ac:dyDescent="0.35">
      <c r="C200" s="1"/>
    </row>
    <row r="201" spans="3:3" x14ac:dyDescent="0.35">
      <c r="C201" s="1"/>
    </row>
    <row r="202" spans="3:3" x14ac:dyDescent="0.35">
      <c r="C202" s="1"/>
    </row>
    <row r="203" spans="3:3" x14ac:dyDescent="0.35">
      <c r="C203" s="1"/>
    </row>
    <row r="204" spans="3:3" x14ac:dyDescent="0.35">
      <c r="C204" s="1"/>
    </row>
    <row r="205" spans="3:3" x14ac:dyDescent="0.35">
      <c r="C205" s="1"/>
    </row>
    <row r="206" spans="3:3" x14ac:dyDescent="0.35">
      <c r="C206" s="1"/>
    </row>
    <row r="207" spans="3:3" x14ac:dyDescent="0.35">
      <c r="C207" s="1"/>
    </row>
    <row r="208" spans="3:3" x14ac:dyDescent="0.35">
      <c r="C208" s="1"/>
    </row>
    <row r="209" spans="3:3" x14ac:dyDescent="0.35">
      <c r="C209" s="1"/>
    </row>
    <row r="210" spans="3:3" x14ac:dyDescent="0.35">
      <c r="C210" s="1"/>
    </row>
    <row r="211" spans="3:3" x14ac:dyDescent="0.35">
      <c r="C211" s="1"/>
    </row>
    <row r="212" spans="3:3" x14ac:dyDescent="0.35">
      <c r="C212" s="1"/>
    </row>
    <row r="213" spans="3:3" x14ac:dyDescent="0.35">
      <c r="C213" s="1"/>
    </row>
    <row r="214" spans="3:3" x14ac:dyDescent="0.35">
      <c r="C214" s="1"/>
    </row>
    <row r="215" spans="3:3" x14ac:dyDescent="0.35">
      <c r="C215" s="1"/>
    </row>
    <row r="216" spans="3:3" x14ac:dyDescent="0.35">
      <c r="C216" s="1"/>
    </row>
    <row r="217" spans="3:3" x14ac:dyDescent="0.35">
      <c r="C217" s="1"/>
    </row>
    <row r="218" spans="3:3" x14ac:dyDescent="0.35">
      <c r="C218" s="1"/>
    </row>
    <row r="219" spans="3:3" x14ac:dyDescent="0.35">
      <c r="C219" s="1"/>
    </row>
    <row r="220" spans="3:3" x14ac:dyDescent="0.35">
      <c r="C220" s="1"/>
    </row>
    <row r="221" spans="3:3" x14ac:dyDescent="0.35">
      <c r="C221" s="1"/>
    </row>
    <row r="222" spans="3:3" x14ac:dyDescent="0.35">
      <c r="C222" s="1"/>
    </row>
    <row r="223" spans="3:3" x14ac:dyDescent="0.35">
      <c r="C223" s="1"/>
    </row>
    <row r="224" spans="3:3" x14ac:dyDescent="0.35">
      <c r="C224" s="1"/>
    </row>
    <row r="225" spans="3:3" x14ac:dyDescent="0.35">
      <c r="C225" s="1"/>
    </row>
    <row r="226" spans="3:3" x14ac:dyDescent="0.35">
      <c r="C226" s="1"/>
    </row>
    <row r="227" spans="3:3" x14ac:dyDescent="0.35">
      <c r="C227" s="1"/>
    </row>
    <row r="228" spans="3:3" x14ac:dyDescent="0.35">
      <c r="C228" s="1"/>
    </row>
    <row r="229" spans="3:3" x14ac:dyDescent="0.35">
      <c r="C229" s="1"/>
    </row>
    <row r="230" spans="3:3" x14ac:dyDescent="0.35">
      <c r="C230" s="1"/>
    </row>
    <row r="231" spans="3:3" x14ac:dyDescent="0.35">
      <c r="C231" s="1"/>
    </row>
    <row r="232" spans="3:3" x14ac:dyDescent="0.35">
      <c r="C232" s="1"/>
    </row>
    <row r="233" spans="3:3" x14ac:dyDescent="0.35">
      <c r="C233" s="1"/>
    </row>
    <row r="234" spans="3:3" x14ac:dyDescent="0.35">
      <c r="C234" s="1"/>
    </row>
    <row r="235" spans="3:3" x14ac:dyDescent="0.35">
      <c r="C235" s="1"/>
    </row>
    <row r="236" spans="3:3" x14ac:dyDescent="0.35">
      <c r="C236" s="1"/>
    </row>
    <row r="237" spans="3:3" x14ac:dyDescent="0.35">
      <c r="C237" s="1"/>
    </row>
    <row r="238" spans="3:3" x14ac:dyDescent="0.35">
      <c r="C238" s="1"/>
    </row>
    <row r="239" spans="3:3" x14ac:dyDescent="0.35">
      <c r="C239" s="1"/>
    </row>
    <row r="240" spans="3:3" x14ac:dyDescent="0.35">
      <c r="C240" s="1"/>
    </row>
    <row r="241" spans="3:3" x14ac:dyDescent="0.35">
      <c r="C241" s="1"/>
    </row>
    <row r="242" spans="3:3" x14ac:dyDescent="0.35">
      <c r="C242" s="1"/>
    </row>
    <row r="243" spans="3:3" x14ac:dyDescent="0.35">
      <c r="C243" s="1"/>
    </row>
    <row r="244" spans="3:3" x14ac:dyDescent="0.35">
      <c r="C244" s="1"/>
    </row>
    <row r="245" spans="3:3" x14ac:dyDescent="0.35">
      <c r="C245" s="1"/>
    </row>
    <row r="246" spans="3:3" x14ac:dyDescent="0.35">
      <c r="C246" s="1"/>
    </row>
    <row r="247" spans="3:3" x14ac:dyDescent="0.35">
      <c r="C247" s="1"/>
    </row>
    <row r="248" spans="3:3" x14ac:dyDescent="0.35">
      <c r="C248" s="1"/>
    </row>
    <row r="249" spans="3:3" x14ac:dyDescent="0.35">
      <c r="C249" s="1"/>
    </row>
    <row r="250" spans="3:3" x14ac:dyDescent="0.35">
      <c r="C250" s="1"/>
    </row>
    <row r="251" spans="3:3" x14ac:dyDescent="0.35">
      <c r="C251" s="1"/>
    </row>
    <row r="252" spans="3:3" x14ac:dyDescent="0.35">
      <c r="C252" s="1"/>
    </row>
    <row r="253" spans="3:3" x14ac:dyDescent="0.35">
      <c r="C253" s="1"/>
    </row>
    <row r="254" spans="3:3" x14ac:dyDescent="0.35">
      <c r="C254" s="1"/>
    </row>
    <row r="255" spans="3:3" x14ac:dyDescent="0.35">
      <c r="C255" s="1"/>
    </row>
    <row r="256" spans="3:3" x14ac:dyDescent="0.35">
      <c r="C256" s="1"/>
    </row>
    <row r="257" spans="3:3" x14ac:dyDescent="0.35">
      <c r="C257" s="1"/>
    </row>
    <row r="258" spans="3:3" x14ac:dyDescent="0.35">
      <c r="C258" s="1"/>
    </row>
    <row r="259" spans="3:3" x14ac:dyDescent="0.35">
      <c r="C259" s="1"/>
    </row>
    <row r="260" spans="3:3" x14ac:dyDescent="0.35">
      <c r="C260" s="1"/>
    </row>
    <row r="261" spans="3:3" x14ac:dyDescent="0.35">
      <c r="C261" s="1"/>
    </row>
    <row r="262" spans="3:3" x14ac:dyDescent="0.35">
      <c r="C262" s="1"/>
    </row>
    <row r="263" spans="3:3" x14ac:dyDescent="0.35">
      <c r="C263" s="1"/>
    </row>
    <row r="264" spans="3:3" x14ac:dyDescent="0.35">
      <c r="C264" s="1"/>
    </row>
    <row r="265" spans="3:3" x14ac:dyDescent="0.35">
      <c r="C265" s="1"/>
    </row>
    <row r="266" spans="3:3" x14ac:dyDescent="0.35">
      <c r="C266" s="1"/>
    </row>
    <row r="267" spans="3:3" x14ac:dyDescent="0.35">
      <c r="C267" s="1"/>
    </row>
    <row r="268" spans="3:3" x14ac:dyDescent="0.35">
      <c r="C268" s="1"/>
    </row>
    <row r="269" spans="3:3" x14ac:dyDescent="0.35">
      <c r="C269" s="1"/>
    </row>
    <row r="270" spans="3:3" x14ac:dyDescent="0.35">
      <c r="C270" s="1"/>
    </row>
    <row r="271" spans="3:3" x14ac:dyDescent="0.35">
      <c r="C271" s="1"/>
    </row>
    <row r="272" spans="3:3" x14ac:dyDescent="0.35">
      <c r="C272" s="1"/>
    </row>
    <row r="273" spans="3:3" x14ac:dyDescent="0.35">
      <c r="C273" s="1"/>
    </row>
    <row r="274" spans="3:3" x14ac:dyDescent="0.35">
      <c r="C274" s="1"/>
    </row>
    <row r="275" spans="3:3" x14ac:dyDescent="0.35">
      <c r="C275" s="1"/>
    </row>
    <row r="276" spans="3:3" x14ac:dyDescent="0.35">
      <c r="C276" s="1"/>
    </row>
    <row r="277" spans="3:3" x14ac:dyDescent="0.35">
      <c r="C277" s="1"/>
    </row>
    <row r="278" spans="3:3" x14ac:dyDescent="0.35">
      <c r="C278" s="1"/>
    </row>
    <row r="279" spans="3:3" x14ac:dyDescent="0.35">
      <c r="C279" s="1"/>
    </row>
    <row r="280" spans="3:3" x14ac:dyDescent="0.35">
      <c r="C280" s="1"/>
    </row>
    <row r="281" spans="3:3" x14ac:dyDescent="0.35">
      <c r="C281" s="1"/>
    </row>
    <row r="282" spans="3:3" x14ac:dyDescent="0.35">
      <c r="C282" s="1"/>
    </row>
    <row r="283" spans="3:3" x14ac:dyDescent="0.35">
      <c r="C283" s="1"/>
    </row>
    <row r="284" spans="3:3" x14ac:dyDescent="0.35">
      <c r="C284" s="1"/>
    </row>
    <row r="285" spans="3:3" x14ac:dyDescent="0.35">
      <c r="C285" s="1"/>
    </row>
    <row r="286" spans="3:3" x14ac:dyDescent="0.35">
      <c r="C286" s="1"/>
    </row>
    <row r="287" spans="3:3" x14ac:dyDescent="0.35">
      <c r="C287" s="1"/>
    </row>
  </sheetData>
  <phoneticPr fontId="10"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DC5BE-8F5A-4E13-AC18-9E64701A1710}">
  <sheetPr codeName="Sheet6"/>
  <dimension ref="A1:AO288"/>
  <sheetViews>
    <sheetView rightToLeft="1" workbookViewId="0">
      <pane xSplit="1" ySplit="1" topLeftCell="P8" activePane="bottomRight" state="frozen"/>
      <selection activeCell="D96" sqref="D96"/>
      <selection pane="topRight" activeCell="D96" sqref="D96"/>
      <selection pane="bottomLeft" activeCell="D96" sqref="D96"/>
      <selection pane="bottomRight" activeCell="V12" sqref="V12"/>
    </sheetView>
  </sheetViews>
  <sheetFormatPr defaultColWidth="8.81640625" defaultRowHeight="14.5" x14ac:dyDescent="0.35"/>
  <cols>
    <col min="1" max="1" width="52.1796875" style="2" customWidth="1"/>
    <col min="2" max="3" width="10" style="2" customWidth="1"/>
    <col min="4" max="4" width="11.08984375" style="2" customWidth="1"/>
    <col min="5" max="5" width="11.81640625" style="2" customWidth="1"/>
    <col min="6" max="8" width="8.81640625" style="2"/>
    <col min="9" max="16" width="8.81640625" style="1" customWidth="1"/>
    <col min="17" max="18" width="8.81640625" style="30" customWidth="1"/>
    <col min="19" max="35" width="8.81640625" style="1" customWidth="1"/>
    <col min="36" max="36" width="8.81640625" style="2"/>
    <col min="37" max="37" width="10.08984375" style="2" bestFit="1" customWidth="1"/>
    <col min="38" max="38" width="8.81640625" style="2"/>
    <col min="39" max="39" width="10.54296875" style="2" bestFit="1" customWidth="1"/>
    <col min="40" max="40" width="8.81640625" style="2"/>
    <col min="41" max="41" width="17" style="2" bestFit="1" customWidth="1"/>
    <col min="42" max="16384" width="8.81640625" style="2"/>
  </cols>
  <sheetData>
    <row r="1" spans="1:41" ht="15" thickBot="1" x14ac:dyDescent="0.4">
      <c r="A1" s="4" t="s">
        <v>0</v>
      </c>
      <c r="B1" s="4">
        <v>2025</v>
      </c>
      <c r="C1" s="4">
        <v>2022</v>
      </c>
      <c r="D1" s="4">
        <v>2021</v>
      </c>
      <c r="E1" s="4">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x14ac:dyDescent="0.35">
      <c r="A2" s="5" t="s">
        <v>61</v>
      </c>
      <c r="B2" s="46"/>
      <c r="C2" s="46" t="s">
        <v>62</v>
      </c>
      <c r="D2" s="5" t="s">
        <v>62</v>
      </c>
      <c r="E2" s="59" t="s">
        <v>62</v>
      </c>
      <c r="F2" s="1"/>
      <c r="G2" s="61" t="s">
        <v>62</v>
      </c>
      <c r="H2" s="67" t="s">
        <v>82</v>
      </c>
      <c r="I2" s="67" t="s">
        <v>443</v>
      </c>
      <c r="J2" s="53" t="s">
        <v>228</v>
      </c>
      <c r="K2" s="53" t="s">
        <v>922</v>
      </c>
      <c r="L2" s="53" t="s">
        <v>946</v>
      </c>
      <c r="M2" s="54" t="s">
        <v>944</v>
      </c>
      <c r="N2" s="54" t="s">
        <v>1390</v>
      </c>
      <c r="O2" s="53" t="s">
        <v>1560</v>
      </c>
      <c r="P2" s="53" t="s">
        <v>929</v>
      </c>
      <c r="Q2" s="54" t="s">
        <v>886</v>
      </c>
      <c r="R2" s="53" t="s">
        <v>1029</v>
      </c>
      <c r="S2" s="53" t="s">
        <v>2043</v>
      </c>
      <c r="T2" s="53" t="s">
        <v>437</v>
      </c>
      <c r="U2" s="53" t="s">
        <v>985</v>
      </c>
      <c r="V2" s="53" t="s">
        <v>902</v>
      </c>
      <c r="W2" s="53" t="s">
        <v>241</v>
      </c>
      <c r="AA2" s="54" t="s">
        <v>422</v>
      </c>
      <c r="AC2" s="53" t="s">
        <v>2764</v>
      </c>
      <c r="AE2" s="53" t="s">
        <v>1117</v>
      </c>
      <c r="AF2" s="53" t="s">
        <v>98</v>
      </c>
      <c r="AG2" s="3"/>
      <c r="AH2" s="50" t="s">
        <v>1252</v>
      </c>
      <c r="AI2" s="3" t="s">
        <v>943</v>
      </c>
      <c r="AK2" s="2">
        <f>COUNTA(C2:AI2)</f>
        <v>26</v>
      </c>
      <c r="AM2" s="2">
        <f>COUNTA(G2:P2,S2:T2)</f>
        <v>12</v>
      </c>
      <c r="AO2" s="2">
        <f>COUNTIF(AM2:AM47,"&gt;=2")</f>
        <v>3</v>
      </c>
    </row>
    <row r="3" spans="1:41" ht="29" x14ac:dyDescent="0.35">
      <c r="A3" s="5" t="s">
        <v>56</v>
      </c>
      <c r="B3" s="6" t="s">
        <v>57</v>
      </c>
      <c r="C3" s="6" t="s">
        <v>57</v>
      </c>
      <c r="D3" s="5" t="s">
        <v>57</v>
      </c>
      <c r="E3" s="59" t="s">
        <v>57</v>
      </c>
      <c r="F3" s="3"/>
      <c r="G3" s="68" t="s">
        <v>57</v>
      </c>
      <c r="H3" s="67" t="s">
        <v>444</v>
      </c>
      <c r="I3" s="67" t="s">
        <v>442</v>
      </c>
      <c r="J3" s="53" t="s">
        <v>226</v>
      </c>
      <c r="K3" s="53" t="s">
        <v>921</v>
      </c>
      <c r="L3" s="53" t="s">
        <v>944</v>
      </c>
      <c r="M3" s="54" t="s">
        <v>943</v>
      </c>
      <c r="N3" s="54" t="s">
        <v>1389</v>
      </c>
      <c r="O3" s="53" t="s">
        <v>1558</v>
      </c>
      <c r="P3" s="53" t="s">
        <v>928</v>
      </c>
      <c r="Q3" s="54" t="s">
        <v>946</v>
      </c>
      <c r="R3" s="53" t="s">
        <v>1013</v>
      </c>
      <c r="S3" s="53" t="s">
        <v>2029</v>
      </c>
      <c r="V3" s="54" t="s">
        <v>905</v>
      </c>
      <c r="W3" s="53" t="s">
        <v>14</v>
      </c>
      <c r="AA3" s="53" t="s">
        <v>36</v>
      </c>
      <c r="AE3" s="53" t="s">
        <v>365</v>
      </c>
      <c r="AF3" s="1" t="s">
        <v>185</v>
      </c>
      <c r="AK3" s="2">
        <f t="shared" ref="AK3:AK47" si="0">COUNTA(C3:AI3)</f>
        <v>21</v>
      </c>
      <c r="AM3" s="2">
        <f t="shared" ref="AM3:AM47" si="1">COUNTA(G3:P3,S3:T3)</f>
        <v>11</v>
      </c>
    </row>
    <row r="4" spans="1:41" x14ac:dyDescent="0.35">
      <c r="A4" s="5" t="s">
        <v>1955</v>
      </c>
      <c r="B4" s="6"/>
      <c r="C4" s="6"/>
      <c r="D4" s="5"/>
      <c r="E4" s="1"/>
      <c r="F4" s="1"/>
      <c r="G4" s="10"/>
      <c r="H4" s="12"/>
      <c r="I4" s="12"/>
      <c r="Q4" s="54" t="s">
        <v>1729</v>
      </c>
      <c r="R4" s="54" t="s">
        <v>1027</v>
      </c>
      <c r="S4" s="53" t="s">
        <v>2042</v>
      </c>
      <c r="V4" s="53" t="s">
        <v>882</v>
      </c>
      <c r="AA4" s="53" t="s">
        <v>37</v>
      </c>
      <c r="AF4" s="1" t="s">
        <v>410</v>
      </c>
      <c r="AK4" s="2">
        <f t="shared" si="0"/>
        <v>6</v>
      </c>
      <c r="AM4" s="2">
        <f t="shared" si="1"/>
        <v>1</v>
      </c>
    </row>
    <row r="5" spans="1:41" ht="43.5" x14ac:dyDescent="0.35">
      <c r="A5" s="5" t="s">
        <v>1892</v>
      </c>
      <c r="B5" s="5"/>
      <c r="C5" s="5"/>
      <c r="D5" s="5"/>
      <c r="E5" s="1"/>
      <c r="F5" s="1"/>
      <c r="G5" s="10"/>
      <c r="H5" s="12"/>
      <c r="I5" s="12"/>
      <c r="Q5" s="30" t="s">
        <v>884</v>
      </c>
      <c r="AK5" s="2">
        <f t="shared" si="0"/>
        <v>1</v>
      </c>
      <c r="AM5" s="2">
        <f t="shared" si="1"/>
        <v>0</v>
      </c>
    </row>
    <row r="6" spans="1:41" x14ac:dyDescent="0.35">
      <c r="A6" s="5" t="s">
        <v>2855</v>
      </c>
      <c r="B6" s="6"/>
      <c r="C6" s="6"/>
      <c r="D6" s="5"/>
      <c r="E6" s="1"/>
      <c r="F6" s="1"/>
      <c r="G6" s="10"/>
      <c r="H6" s="12"/>
      <c r="I6" s="12"/>
      <c r="AE6" s="1" t="s">
        <v>1085</v>
      </c>
      <c r="AK6" s="2">
        <f t="shared" si="0"/>
        <v>1</v>
      </c>
      <c r="AM6" s="2">
        <f t="shared" si="1"/>
        <v>0</v>
      </c>
    </row>
    <row r="7" spans="1:41" ht="29" x14ac:dyDescent="0.35">
      <c r="A7" s="5" t="s">
        <v>2874</v>
      </c>
      <c r="B7" s="6"/>
      <c r="C7" s="6"/>
      <c r="D7" s="5"/>
      <c r="E7" s="1"/>
      <c r="F7" s="1"/>
      <c r="G7" s="10"/>
      <c r="H7" s="12"/>
      <c r="I7" s="12"/>
      <c r="AE7" s="1" t="s">
        <v>1136</v>
      </c>
      <c r="AK7" s="2">
        <f t="shared" si="0"/>
        <v>1</v>
      </c>
      <c r="AM7" s="2">
        <f t="shared" si="1"/>
        <v>0</v>
      </c>
    </row>
    <row r="8" spans="1:41" ht="29" x14ac:dyDescent="0.35">
      <c r="A8" s="5" t="s">
        <v>2027</v>
      </c>
      <c r="B8" s="6"/>
      <c r="C8" s="6"/>
      <c r="D8" s="5"/>
      <c r="E8" s="1"/>
      <c r="F8" s="1"/>
      <c r="G8" s="10"/>
      <c r="H8" s="12"/>
      <c r="I8" s="12"/>
      <c r="R8" s="54" t="s">
        <v>1012</v>
      </c>
      <c r="S8" s="1" t="s">
        <v>2028</v>
      </c>
      <c r="AK8" s="2">
        <f t="shared" si="0"/>
        <v>2</v>
      </c>
      <c r="AM8" s="2">
        <f t="shared" si="1"/>
        <v>1</v>
      </c>
    </row>
    <row r="9" spans="1:41" ht="29" x14ac:dyDescent="0.35">
      <c r="A9" s="5" t="s">
        <v>1933</v>
      </c>
      <c r="B9" s="6"/>
      <c r="C9" s="6"/>
      <c r="D9" s="5"/>
      <c r="E9" s="1"/>
      <c r="F9" s="1"/>
      <c r="G9" s="10"/>
      <c r="H9" s="12"/>
      <c r="I9" s="12"/>
      <c r="Q9" s="54" t="s">
        <v>948</v>
      </c>
      <c r="R9" s="53" t="s">
        <v>1014</v>
      </c>
      <c r="S9" s="1" t="s">
        <v>2030</v>
      </c>
      <c r="AK9" s="2">
        <f t="shared" si="0"/>
        <v>3</v>
      </c>
      <c r="AM9" s="2">
        <f t="shared" si="1"/>
        <v>1</v>
      </c>
    </row>
    <row r="10" spans="1:41" ht="29" x14ac:dyDescent="0.35">
      <c r="A10" s="5" t="s">
        <v>1934</v>
      </c>
      <c r="B10" s="6"/>
      <c r="C10" s="6"/>
      <c r="D10" s="5"/>
      <c r="E10" s="1"/>
      <c r="F10" s="1"/>
      <c r="G10" s="10"/>
      <c r="H10" s="12"/>
      <c r="I10" s="12"/>
      <c r="Q10" s="30" t="s">
        <v>950</v>
      </c>
      <c r="AK10" s="2">
        <f t="shared" si="0"/>
        <v>1</v>
      </c>
      <c r="AM10" s="2">
        <f t="shared" si="1"/>
        <v>0</v>
      </c>
    </row>
    <row r="11" spans="1:41" x14ac:dyDescent="0.35">
      <c r="A11" s="5" t="s">
        <v>2963</v>
      </c>
      <c r="B11" s="6"/>
      <c r="C11" s="6"/>
      <c r="D11" s="5"/>
      <c r="E11" s="1"/>
      <c r="F11" s="1"/>
      <c r="G11" s="10"/>
      <c r="H11" s="12"/>
      <c r="I11" s="12"/>
      <c r="AF11" s="1" t="s">
        <v>15</v>
      </c>
      <c r="AK11" s="2">
        <f t="shared" si="0"/>
        <v>1</v>
      </c>
      <c r="AM11" s="2">
        <f t="shared" si="1"/>
        <v>0</v>
      </c>
    </row>
    <row r="12" spans="1:41" x14ac:dyDescent="0.35">
      <c r="A12" s="5" t="s">
        <v>507</v>
      </c>
      <c r="B12" s="1"/>
      <c r="C12" s="1"/>
      <c r="D12" s="5"/>
      <c r="E12" s="1"/>
      <c r="F12" s="1"/>
      <c r="G12" s="1"/>
      <c r="H12" s="63" t="s">
        <v>508</v>
      </c>
      <c r="I12" s="67" t="s">
        <v>264</v>
      </c>
      <c r="J12" s="53" t="s">
        <v>674</v>
      </c>
      <c r="K12" s="1" t="s">
        <v>1029</v>
      </c>
      <c r="L12" s="53" t="s">
        <v>1029</v>
      </c>
      <c r="M12" s="53" t="s">
        <v>979</v>
      </c>
      <c r="N12" s="53" t="s">
        <v>1058</v>
      </c>
      <c r="O12" s="53" t="s">
        <v>1635</v>
      </c>
      <c r="P12" s="53" t="s">
        <v>1388</v>
      </c>
      <c r="Q12" s="53" t="s">
        <v>927</v>
      </c>
      <c r="R12" s="53" t="s">
        <v>1081</v>
      </c>
      <c r="S12" s="53" t="s">
        <v>2216</v>
      </c>
      <c r="T12" s="53" t="s">
        <v>920</v>
      </c>
      <c r="U12" s="54" t="s">
        <v>2408</v>
      </c>
      <c r="V12" s="53" t="s">
        <v>2496</v>
      </c>
      <c r="AA12" s="53" t="s">
        <v>533</v>
      </c>
      <c r="AC12" s="53" t="s">
        <v>2206</v>
      </c>
      <c r="AE12" s="53" t="s">
        <v>2897</v>
      </c>
      <c r="AF12" s="53" t="s">
        <v>973</v>
      </c>
      <c r="AG12" s="53" t="s">
        <v>1002</v>
      </c>
      <c r="AH12" s="53" t="s">
        <v>992</v>
      </c>
      <c r="AI12" s="1" t="s">
        <v>997</v>
      </c>
      <c r="AK12" s="2">
        <f t="shared" si="0"/>
        <v>22</v>
      </c>
      <c r="AM12" s="2">
        <f t="shared" si="1"/>
        <v>11</v>
      </c>
    </row>
    <row r="13" spans="1:41" ht="29" x14ac:dyDescent="0.35">
      <c r="A13" s="5" t="s">
        <v>2515</v>
      </c>
      <c r="B13" s="1"/>
      <c r="C13" s="1"/>
      <c r="D13" s="5"/>
      <c r="E13" s="1"/>
      <c r="F13" s="1"/>
      <c r="G13" s="1"/>
      <c r="H13" s="1"/>
      <c r="W13" s="54" t="s">
        <v>189</v>
      </c>
      <c r="AF13" s="54" t="s">
        <v>9</v>
      </c>
      <c r="AH13" s="53" t="s">
        <v>1676</v>
      </c>
      <c r="AI13" s="1" t="s">
        <v>1675</v>
      </c>
      <c r="AK13" s="2">
        <f t="shared" si="0"/>
        <v>4</v>
      </c>
      <c r="AM13" s="2">
        <f t="shared" si="1"/>
        <v>0</v>
      </c>
    </row>
    <row r="14" spans="1:41" ht="29" x14ac:dyDescent="0.35">
      <c r="A14" s="5" t="s">
        <v>2516</v>
      </c>
      <c r="B14" s="1"/>
      <c r="C14" s="1"/>
      <c r="D14" s="5"/>
      <c r="E14" s="1"/>
      <c r="F14" s="1"/>
      <c r="G14" s="1"/>
      <c r="H14" s="1"/>
      <c r="W14" s="54" t="s">
        <v>190</v>
      </c>
      <c r="AE14" s="54" t="s">
        <v>1448</v>
      </c>
      <c r="AI14" s="1" t="s">
        <v>1677</v>
      </c>
      <c r="AK14" s="2">
        <f t="shared" si="0"/>
        <v>3</v>
      </c>
      <c r="AM14" s="2">
        <f t="shared" si="1"/>
        <v>0</v>
      </c>
    </row>
    <row r="15" spans="1:41" x14ac:dyDescent="0.35">
      <c r="A15" s="5" t="s">
        <v>3064</v>
      </c>
      <c r="B15" s="5"/>
      <c r="C15" s="5"/>
      <c r="D15" s="5"/>
      <c r="E15" s="1"/>
      <c r="F15" s="1"/>
      <c r="G15" s="1"/>
      <c r="H15" s="1"/>
      <c r="AI15" s="1" t="s">
        <v>873</v>
      </c>
      <c r="AK15" s="2">
        <f t="shared" si="0"/>
        <v>1</v>
      </c>
      <c r="AM15" s="2">
        <f t="shared" si="1"/>
        <v>0</v>
      </c>
    </row>
    <row r="16" spans="1:41" ht="29" x14ac:dyDescent="0.35">
      <c r="A16" s="5" t="s">
        <v>2754</v>
      </c>
      <c r="B16" s="1"/>
      <c r="C16" s="1"/>
      <c r="D16" s="5"/>
      <c r="E16" s="1"/>
      <c r="F16" s="1"/>
      <c r="G16" s="1"/>
      <c r="H16" s="1"/>
      <c r="AC16" s="54" t="s">
        <v>2176</v>
      </c>
      <c r="AE16" s="1" t="s">
        <v>1465</v>
      </c>
      <c r="AK16" s="2">
        <f t="shared" si="0"/>
        <v>2</v>
      </c>
      <c r="AM16" s="2">
        <f t="shared" si="1"/>
        <v>0</v>
      </c>
    </row>
    <row r="17" spans="1:39" ht="29" x14ac:dyDescent="0.35">
      <c r="A17" s="5" t="s">
        <v>2755</v>
      </c>
      <c r="B17" s="1"/>
      <c r="C17" s="1"/>
      <c r="D17" s="5"/>
      <c r="E17" s="1"/>
      <c r="F17" s="1"/>
      <c r="G17" s="1"/>
      <c r="H17" s="1"/>
      <c r="AC17" s="54" t="s">
        <v>2756</v>
      </c>
      <c r="AE17" s="1" t="s">
        <v>1119</v>
      </c>
      <c r="AK17" s="2">
        <f t="shared" si="0"/>
        <v>2</v>
      </c>
      <c r="AM17" s="2">
        <f t="shared" si="1"/>
        <v>0</v>
      </c>
    </row>
    <row r="18" spans="1:39" x14ac:dyDescent="0.35">
      <c r="A18" s="5" t="s">
        <v>2828</v>
      </c>
      <c r="B18" s="1"/>
      <c r="C18" s="1"/>
      <c r="D18" s="5"/>
      <c r="E18" s="1"/>
      <c r="F18" s="1"/>
      <c r="G18" s="1"/>
      <c r="H18" s="1"/>
      <c r="AE18" s="1" t="s">
        <v>2570</v>
      </c>
      <c r="AK18" s="2">
        <f t="shared" si="0"/>
        <v>1</v>
      </c>
      <c r="AM18" s="2">
        <f t="shared" si="1"/>
        <v>0</v>
      </c>
    </row>
    <row r="19" spans="1:39" x14ac:dyDescent="0.35">
      <c r="A19" s="5" t="s">
        <v>2831</v>
      </c>
      <c r="B19" s="1"/>
      <c r="C19" s="1"/>
      <c r="D19" s="5"/>
      <c r="E19" s="1"/>
      <c r="F19" s="1"/>
      <c r="G19" s="1"/>
      <c r="H19" s="1"/>
      <c r="AE19" s="1" t="s">
        <v>1432</v>
      </c>
      <c r="AK19" s="2">
        <f t="shared" si="0"/>
        <v>1</v>
      </c>
      <c r="AM19" s="2">
        <f t="shared" si="1"/>
        <v>0</v>
      </c>
    </row>
    <row r="20" spans="1:39" x14ac:dyDescent="0.35">
      <c r="A20" s="5" t="s">
        <v>2830</v>
      </c>
      <c r="B20" s="1"/>
      <c r="C20" s="1"/>
      <c r="D20" s="5"/>
      <c r="E20" s="1"/>
      <c r="F20" s="1"/>
      <c r="G20" s="1"/>
      <c r="H20" s="1"/>
      <c r="AE20" s="1" t="s">
        <v>1433</v>
      </c>
      <c r="AK20" s="2">
        <f t="shared" si="0"/>
        <v>1</v>
      </c>
      <c r="AM20" s="2">
        <f t="shared" si="1"/>
        <v>0</v>
      </c>
    </row>
    <row r="21" spans="1:39" x14ac:dyDescent="0.35">
      <c r="A21" s="5" t="s">
        <v>2829</v>
      </c>
      <c r="B21" s="1"/>
      <c r="C21" s="1"/>
      <c r="D21" s="5"/>
      <c r="E21" s="1"/>
      <c r="F21" s="1"/>
      <c r="G21" s="1"/>
      <c r="H21" s="1"/>
      <c r="AE21" s="1" t="s">
        <v>1434</v>
      </c>
      <c r="AK21" s="2">
        <f t="shared" si="0"/>
        <v>1</v>
      </c>
      <c r="AM21" s="2">
        <f t="shared" si="1"/>
        <v>0</v>
      </c>
    </row>
    <row r="22" spans="1:39" x14ac:dyDescent="0.35">
      <c r="A22" s="5" t="s">
        <v>2833</v>
      </c>
      <c r="B22" s="1"/>
      <c r="C22" s="1"/>
      <c r="D22" s="5"/>
      <c r="E22" s="1"/>
      <c r="F22" s="1"/>
      <c r="G22" s="1"/>
      <c r="H22" s="1"/>
      <c r="AE22" s="1" t="s">
        <v>1055</v>
      </c>
      <c r="AK22" s="2">
        <f t="shared" si="0"/>
        <v>1</v>
      </c>
      <c r="AM22" s="2">
        <f t="shared" si="1"/>
        <v>0</v>
      </c>
    </row>
    <row r="23" spans="1:39" x14ac:dyDescent="0.35">
      <c r="A23" s="5" t="s">
        <v>2839</v>
      </c>
      <c r="B23" s="1"/>
      <c r="C23" s="1"/>
      <c r="D23" s="5"/>
      <c r="E23" s="1"/>
      <c r="F23" s="1"/>
      <c r="G23" s="1"/>
      <c r="H23" s="1"/>
      <c r="AE23" s="54" t="s">
        <v>1449</v>
      </c>
      <c r="AF23" s="1" t="s">
        <v>1264</v>
      </c>
      <c r="AK23" s="2">
        <f t="shared" si="0"/>
        <v>2</v>
      </c>
      <c r="AM23" s="2">
        <f t="shared" si="1"/>
        <v>0</v>
      </c>
    </row>
    <row r="24" spans="1:39" x14ac:dyDescent="0.35">
      <c r="A24" s="5" t="s">
        <v>2956</v>
      </c>
      <c r="B24" s="1"/>
      <c r="C24" s="1"/>
      <c r="D24" s="5"/>
      <c r="E24" s="1"/>
      <c r="F24" s="1"/>
      <c r="G24" s="1"/>
      <c r="H24" s="1"/>
      <c r="AF24" s="54" t="s">
        <v>8</v>
      </c>
      <c r="AI24" s="1" t="s">
        <v>1674</v>
      </c>
      <c r="AK24" s="2">
        <f t="shared" si="0"/>
        <v>2</v>
      </c>
      <c r="AM24" s="2">
        <f t="shared" si="1"/>
        <v>0</v>
      </c>
    </row>
    <row r="25" spans="1:39" x14ac:dyDescent="0.35">
      <c r="A25" s="5" t="s">
        <v>2898</v>
      </c>
      <c r="B25" s="1"/>
      <c r="C25" s="1"/>
      <c r="D25" s="5"/>
      <c r="E25" s="1"/>
      <c r="F25" s="1"/>
      <c r="G25" s="1"/>
      <c r="H25" s="1"/>
      <c r="AE25" s="1" t="s">
        <v>2899</v>
      </c>
      <c r="AK25" s="2">
        <f t="shared" si="0"/>
        <v>1</v>
      </c>
      <c r="AM25" s="2">
        <f t="shared" si="1"/>
        <v>0</v>
      </c>
    </row>
    <row r="26" spans="1:39" ht="29" x14ac:dyDescent="0.35">
      <c r="A26" s="5" t="s">
        <v>2738</v>
      </c>
      <c r="B26" s="5"/>
      <c r="C26" s="5"/>
      <c r="D26" s="5"/>
      <c r="E26" s="1"/>
      <c r="F26" s="1"/>
      <c r="G26" s="1"/>
      <c r="H26" s="1"/>
      <c r="AC26" s="53" t="s">
        <v>2156</v>
      </c>
      <c r="AE26" s="1" t="s">
        <v>1124</v>
      </c>
      <c r="AK26" s="2">
        <f t="shared" si="0"/>
        <v>2</v>
      </c>
      <c r="AM26" s="2">
        <f t="shared" si="1"/>
        <v>0</v>
      </c>
    </row>
    <row r="27" spans="1:39" x14ac:dyDescent="0.35">
      <c r="A27" s="5" t="s">
        <v>2850</v>
      </c>
      <c r="B27" s="5"/>
      <c r="C27" s="5"/>
      <c r="D27" s="5"/>
      <c r="E27" s="1"/>
      <c r="F27" s="1"/>
      <c r="G27" s="1"/>
      <c r="H27" s="1"/>
      <c r="AE27" s="1" t="s">
        <v>1456</v>
      </c>
      <c r="AK27" s="2">
        <f t="shared" si="0"/>
        <v>1</v>
      </c>
      <c r="AM27" s="2">
        <f t="shared" si="1"/>
        <v>0</v>
      </c>
    </row>
    <row r="28" spans="1:39" ht="29" x14ac:dyDescent="0.35">
      <c r="A28" s="5" t="s">
        <v>2736</v>
      </c>
      <c r="B28" s="5"/>
      <c r="C28" s="5"/>
      <c r="D28" s="5"/>
      <c r="E28" s="1"/>
      <c r="F28" s="1"/>
      <c r="G28" s="1"/>
      <c r="H28" s="1"/>
      <c r="AC28" s="54" t="s">
        <v>2153</v>
      </c>
      <c r="AE28" s="1" t="s">
        <v>1121</v>
      </c>
      <c r="AK28" s="2">
        <f t="shared" si="0"/>
        <v>2</v>
      </c>
      <c r="AM28" s="2">
        <f t="shared" si="1"/>
        <v>0</v>
      </c>
    </row>
    <row r="29" spans="1:39" x14ac:dyDescent="0.35">
      <c r="A29" s="5" t="s">
        <v>2848</v>
      </c>
      <c r="B29" s="5"/>
      <c r="C29" s="5"/>
      <c r="D29" s="5"/>
      <c r="E29" s="1"/>
      <c r="F29" s="1"/>
      <c r="G29" s="1"/>
      <c r="H29" s="1"/>
      <c r="AE29" s="1" t="s">
        <v>1455</v>
      </c>
      <c r="AK29" s="2">
        <f t="shared" si="0"/>
        <v>1</v>
      </c>
      <c r="AM29" s="2">
        <f t="shared" si="1"/>
        <v>0</v>
      </c>
    </row>
    <row r="30" spans="1:39" x14ac:dyDescent="0.35">
      <c r="A30" s="1" t="s">
        <v>2962</v>
      </c>
      <c r="B30" s="5"/>
      <c r="C30" s="5"/>
      <c r="D30" s="1"/>
      <c r="E30" s="1"/>
      <c r="F30" s="1"/>
      <c r="G30" s="1"/>
      <c r="H30" s="1"/>
      <c r="AF30" s="1" t="s">
        <v>14</v>
      </c>
      <c r="AK30" s="2">
        <f t="shared" si="0"/>
        <v>1</v>
      </c>
      <c r="AM30" s="2">
        <f t="shared" si="1"/>
        <v>0</v>
      </c>
    </row>
    <row r="31" spans="1:39" ht="29" x14ac:dyDescent="0.35">
      <c r="A31" s="5" t="s">
        <v>2965</v>
      </c>
      <c r="B31" s="5"/>
      <c r="C31" s="5"/>
      <c r="D31" s="5"/>
      <c r="E31" s="1"/>
      <c r="F31" s="1"/>
      <c r="G31" s="1"/>
      <c r="H31" s="1"/>
      <c r="AF31" s="1" t="s">
        <v>437</v>
      </c>
      <c r="AK31" s="2">
        <f t="shared" si="0"/>
        <v>1</v>
      </c>
      <c r="AM31" s="2">
        <f t="shared" si="1"/>
        <v>0</v>
      </c>
    </row>
    <row r="32" spans="1:39" x14ac:dyDescent="0.35">
      <c r="A32" s="5" t="s">
        <v>3021</v>
      </c>
      <c r="B32" s="5"/>
      <c r="C32" s="5"/>
      <c r="D32" s="5"/>
      <c r="E32" s="1"/>
      <c r="F32" s="1"/>
      <c r="G32" s="1"/>
      <c r="H32" s="1"/>
      <c r="AH32" s="54" t="s">
        <v>973</v>
      </c>
      <c r="AI32" s="1" t="s">
        <v>932</v>
      </c>
      <c r="AK32" s="2">
        <f t="shared" si="0"/>
        <v>2</v>
      </c>
      <c r="AM32" s="2">
        <f t="shared" si="1"/>
        <v>0</v>
      </c>
    </row>
    <row r="33" spans="1:39" x14ac:dyDescent="0.35">
      <c r="A33" s="5" t="s">
        <v>3085</v>
      </c>
      <c r="B33" s="5"/>
      <c r="C33" s="5"/>
      <c r="D33" s="5"/>
      <c r="E33" s="1"/>
      <c r="F33" s="1"/>
      <c r="G33" s="1"/>
      <c r="H33" s="1"/>
      <c r="AF33" s="54" t="s">
        <v>64</v>
      </c>
      <c r="AI33" s="1" t="s">
        <v>929</v>
      </c>
      <c r="AK33" s="2">
        <f t="shared" si="0"/>
        <v>2</v>
      </c>
      <c r="AM33" s="2">
        <f t="shared" si="1"/>
        <v>0</v>
      </c>
    </row>
    <row r="34" spans="1:39" x14ac:dyDescent="0.35">
      <c r="A34" s="5" t="s">
        <v>3012</v>
      </c>
      <c r="B34" s="5"/>
      <c r="C34" s="5"/>
      <c r="D34" s="5"/>
      <c r="E34" s="1"/>
      <c r="F34" s="1"/>
      <c r="G34" s="1"/>
      <c r="H34" s="1"/>
      <c r="AG34" s="1" t="s">
        <v>1441</v>
      </c>
      <c r="AK34" s="2">
        <f t="shared" si="0"/>
        <v>1</v>
      </c>
      <c r="AM34" s="2">
        <f t="shared" si="1"/>
        <v>0</v>
      </c>
    </row>
    <row r="35" spans="1:39" ht="29" x14ac:dyDescent="0.35">
      <c r="A35" s="5" t="s">
        <v>3086</v>
      </c>
      <c r="B35" s="5"/>
      <c r="C35" s="5"/>
      <c r="D35" s="5"/>
      <c r="E35" s="1"/>
      <c r="F35" s="1"/>
      <c r="G35" s="1"/>
      <c r="H35" s="1"/>
      <c r="AH35" s="54" t="s">
        <v>1250</v>
      </c>
      <c r="AI35" s="1" t="s">
        <v>933</v>
      </c>
      <c r="AK35" s="2">
        <f t="shared" si="0"/>
        <v>2</v>
      </c>
      <c r="AM35" s="2">
        <f t="shared" si="1"/>
        <v>0</v>
      </c>
    </row>
    <row r="36" spans="1:39" ht="29" x14ac:dyDescent="0.35">
      <c r="A36" s="5" t="s">
        <v>3087</v>
      </c>
      <c r="B36" s="5"/>
      <c r="C36" s="5"/>
      <c r="D36" s="5"/>
      <c r="E36" s="1"/>
      <c r="F36" s="1"/>
      <c r="G36" s="1"/>
      <c r="H36" s="1"/>
      <c r="AI36" s="1" t="s">
        <v>930</v>
      </c>
      <c r="AK36" s="2">
        <f t="shared" si="0"/>
        <v>1</v>
      </c>
      <c r="AM36" s="2">
        <f t="shared" si="1"/>
        <v>0</v>
      </c>
    </row>
    <row r="37" spans="1:39" x14ac:dyDescent="0.35">
      <c r="A37" s="5" t="s">
        <v>3088</v>
      </c>
      <c r="B37" s="5"/>
      <c r="C37" s="5"/>
      <c r="D37" s="5"/>
      <c r="E37" s="1"/>
      <c r="F37" s="1"/>
      <c r="G37" s="1"/>
      <c r="H37" s="1"/>
      <c r="AI37" s="1" t="s">
        <v>1170</v>
      </c>
      <c r="AK37" s="2">
        <f t="shared" si="0"/>
        <v>1</v>
      </c>
      <c r="AM37" s="2">
        <f t="shared" si="1"/>
        <v>0</v>
      </c>
    </row>
    <row r="38" spans="1:39" ht="29" x14ac:dyDescent="0.35">
      <c r="A38" s="5" t="s">
        <v>3089</v>
      </c>
      <c r="B38" s="5"/>
      <c r="C38" s="5"/>
      <c r="D38" s="5"/>
      <c r="E38" s="1"/>
      <c r="F38" s="1"/>
      <c r="G38" s="1"/>
      <c r="H38" s="1"/>
      <c r="AI38" s="1" t="s">
        <v>935</v>
      </c>
      <c r="AK38" s="2">
        <f t="shared" si="0"/>
        <v>1</v>
      </c>
      <c r="AM38" s="2">
        <f t="shared" si="1"/>
        <v>0</v>
      </c>
    </row>
    <row r="39" spans="1:39" x14ac:dyDescent="0.35">
      <c r="A39" s="5" t="s">
        <v>3090</v>
      </c>
      <c r="B39" s="5"/>
      <c r="C39" s="5"/>
      <c r="D39" s="5"/>
      <c r="E39" s="1"/>
      <c r="F39" s="1"/>
      <c r="G39" s="1"/>
      <c r="H39" s="1"/>
      <c r="AI39" s="1" t="s">
        <v>938</v>
      </c>
      <c r="AK39" s="2">
        <f t="shared" si="0"/>
        <v>1</v>
      </c>
      <c r="AM39" s="2">
        <f t="shared" si="1"/>
        <v>0</v>
      </c>
    </row>
    <row r="40" spans="1:39" ht="29" x14ac:dyDescent="0.35">
      <c r="A40" s="5" t="s">
        <v>3091</v>
      </c>
      <c r="B40" s="5"/>
      <c r="C40" s="5"/>
      <c r="D40" s="5"/>
      <c r="E40" s="1"/>
      <c r="F40" s="1"/>
      <c r="G40" s="1"/>
      <c r="H40" s="1"/>
      <c r="AI40" s="1" t="s">
        <v>940</v>
      </c>
      <c r="AK40" s="2">
        <f t="shared" si="0"/>
        <v>1</v>
      </c>
      <c r="AM40" s="2">
        <f t="shared" si="1"/>
        <v>0</v>
      </c>
    </row>
    <row r="41" spans="1:39" ht="43.5" x14ac:dyDescent="0.35">
      <c r="A41" s="5" t="s">
        <v>3092</v>
      </c>
      <c r="B41" s="5"/>
      <c r="C41" s="5"/>
      <c r="D41" s="5"/>
      <c r="E41" s="1"/>
      <c r="F41" s="1"/>
      <c r="G41" s="1"/>
      <c r="H41" s="1"/>
      <c r="AI41" s="1" t="s">
        <v>948</v>
      </c>
      <c r="AK41" s="2">
        <f t="shared" si="0"/>
        <v>1</v>
      </c>
      <c r="AM41" s="2">
        <f t="shared" si="1"/>
        <v>0</v>
      </c>
    </row>
    <row r="42" spans="1:39" ht="43.5" x14ac:dyDescent="0.35">
      <c r="A42" s="5" t="s">
        <v>3093</v>
      </c>
      <c r="B42" s="5"/>
      <c r="C42" s="5"/>
      <c r="D42" s="5"/>
      <c r="E42" s="1"/>
      <c r="F42" s="1"/>
      <c r="G42" s="1"/>
      <c r="H42" s="1"/>
      <c r="AI42" s="1" t="s">
        <v>950</v>
      </c>
      <c r="AK42" s="2">
        <f t="shared" si="0"/>
        <v>1</v>
      </c>
      <c r="AM42" s="2">
        <f t="shared" si="1"/>
        <v>0</v>
      </c>
    </row>
    <row r="43" spans="1:39" ht="43.5" x14ac:dyDescent="0.35">
      <c r="A43" s="5" t="s">
        <v>3094</v>
      </c>
      <c r="B43" s="5"/>
      <c r="C43" s="5"/>
      <c r="D43" s="5"/>
      <c r="E43" s="1"/>
      <c r="F43" s="1"/>
      <c r="G43" s="1"/>
      <c r="H43" s="1"/>
      <c r="AI43" s="1" t="s">
        <v>951</v>
      </c>
      <c r="AK43" s="2">
        <f t="shared" si="0"/>
        <v>1</v>
      </c>
      <c r="AM43" s="2">
        <f t="shared" si="1"/>
        <v>0</v>
      </c>
    </row>
    <row r="44" spans="1:39" ht="29" x14ac:dyDescent="0.35">
      <c r="A44" s="5" t="s">
        <v>3100</v>
      </c>
      <c r="B44" s="5"/>
      <c r="C44" s="5"/>
      <c r="D44" s="5"/>
      <c r="E44" s="1"/>
      <c r="F44" s="1"/>
      <c r="G44" s="1"/>
      <c r="H44" s="1"/>
      <c r="AI44" s="1" t="s">
        <v>961</v>
      </c>
      <c r="AK44" s="2">
        <f t="shared" si="0"/>
        <v>1</v>
      </c>
      <c r="AM44" s="2">
        <f t="shared" si="1"/>
        <v>0</v>
      </c>
    </row>
    <row r="45" spans="1:39" ht="29" x14ac:dyDescent="0.35">
      <c r="A45" s="5" t="s">
        <v>1606</v>
      </c>
      <c r="B45" s="5"/>
      <c r="C45" s="5"/>
      <c r="D45" s="5"/>
      <c r="E45" s="1"/>
      <c r="F45" s="1"/>
      <c r="G45" s="1"/>
      <c r="H45" s="1"/>
      <c r="O45" s="1" t="s">
        <v>1608</v>
      </c>
      <c r="AK45" s="2">
        <f t="shared" si="0"/>
        <v>1</v>
      </c>
      <c r="AM45" s="2">
        <f t="shared" si="1"/>
        <v>1</v>
      </c>
    </row>
    <row r="46" spans="1:39" x14ac:dyDescent="0.35">
      <c r="A46" s="5" t="s">
        <v>1607</v>
      </c>
      <c r="B46" s="5"/>
      <c r="C46" s="5"/>
      <c r="D46" s="5"/>
      <c r="E46" s="1"/>
      <c r="F46" s="1"/>
      <c r="G46" s="1"/>
      <c r="H46" s="1"/>
      <c r="O46" s="1" t="s">
        <v>1609</v>
      </c>
      <c r="AK46" s="2">
        <f t="shared" si="0"/>
        <v>1</v>
      </c>
      <c r="AM46" s="2">
        <f t="shared" si="1"/>
        <v>1</v>
      </c>
    </row>
    <row r="47" spans="1:39" x14ac:dyDescent="0.35">
      <c r="A47" s="5" t="s">
        <v>3154</v>
      </c>
      <c r="B47" s="5"/>
      <c r="C47" s="5"/>
      <c r="D47" s="5" t="s">
        <v>3155</v>
      </c>
      <c r="E47" s="1"/>
      <c r="F47" s="1"/>
      <c r="G47" s="1"/>
      <c r="H47" s="1"/>
      <c r="AK47" s="2">
        <f t="shared" si="0"/>
        <v>1</v>
      </c>
      <c r="AM47" s="2">
        <f t="shared" si="1"/>
        <v>0</v>
      </c>
    </row>
    <row r="48" spans="1:39" ht="29" x14ac:dyDescent="0.35">
      <c r="A48" s="5" t="s">
        <v>7931</v>
      </c>
      <c r="B48" s="5" t="s">
        <v>7932</v>
      </c>
      <c r="C48" s="5"/>
      <c r="D48" s="5"/>
      <c r="E48" s="1"/>
      <c r="F48" s="1"/>
      <c r="G48" s="1"/>
      <c r="H48" s="1"/>
    </row>
    <row r="49" spans="1:8" x14ac:dyDescent="0.35">
      <c r="A49" s="5"/>
      <c r="B49" s="5"/>
      <c r="C49" s="5"/>
      <c r="D49" s="5"/>
      <c r="E49" s="1"/>
      <c r="F49" s="1"/>
      <c r="G49" s="1"/>
      <c r="H49" s="1"/>
    </row>
    <row r="50" spans="1:8" x14ac:dyDescent="0.35">
      <c r="A50" s="5"/>
      <c r="B50" s="5"/>
      <c r="C50" s="5"/>
      <c r="D50" s="5"/>
      <c r="E50" s="1"/>
      <c r="F50" s="1"/>
      <c r="G50" s="1"/>
      <c r="H50" s="1"/>
    </row>
    <row r="51" spans="1:8" x14ac:dyDescent="0.35">
      <c r="A51" s="5"/>
      <c r="B51" s="5"/>
      <c r="C51" s="5"/>
      <c r="D51" s="5"/>
      <c r="E51" s="1"/>
      <c r="F51" s="1"/>
      <c r="G51" s="1"/>
      <c r="H51" s="1"/>
    </row>
    <row r="52" spans="1:8" x14ac:dyDescent="0.35">
      <c r="A52" s="5"/>
      <c r="B52" s="5"/>
      <c r="C52" s="5"/>
      <c r="D52" s="5"/>
      <c r="E52" s="1"/>
      <c r="F52" s="1"/>
      <c r="G52" s="1"/>
      <c r="H52" s="1"/>
    </row>
    <row r="53" spans="1:8" x14ac:dyDescent="0.35">
      <c r="A53" s="5"/>
      <c r="B53" s="5"/>
      <c r="C53" s="5"/>
      <c r="D53" s="5"/>
      <c r="E53" s="1"/>
      <c r="F53" s="1"/>
      <c r="G53" s="1"/>
      <c r="H53" s="1"/>
    </row>
    <row r="54" spans="1:8" x14ac:dyDescent="0.35">
      <c r="A54" s="5"/>
      <c r="B54" s="5"/>
      <c r="C54" s="5"/>
      <c r="D54" s="5"/>
      <c r="E54" s="1"/>
      <c r="F54" s="1"/>
      <c r="G54" s="1"/>
      <c r="H54" s="1"/>
    </row>
    <row r="55" spans="1:8" x14ac:dyDescent="0.35">
      <c r="A55" s="5"/>
      <c r="B55" s="5"/>
      <c r="C55" s="5"/>
      <c r="D55" s="5"/>
      <c r="E55" s="1"/>
      <c r="F55" s="1"/>
      <c r="G55" s="1"/>
      <c r="H55" s="1"/>
    </row>
    <row r="56" spans="1:8" x14ac:dyDescent="0.35">
      <c r="A56" s="5"/>
      <c r="B56" s="5"/>
      <c r="C56" s="5"/>
      <c r="D56" s="5"/>
      <c r="E56" s="1"/>
      <c r="F56" s="1"/>
      <c r="G56" s="1"/>
      <c r="H56" s="1"/>
    </row>
    <row r="57" spans="1:8" x14ac:dyDescent="0.35">
      <c r="A57" s="5"/>
      <c r="B57" s="5"/>
      <c r="C57" s="5"/>
      <c r="D57" s="5"/>
      <c r="E57" s="1"/>
      <c r="F57" s="1"/>
      <c r="G57" s="1"/>
      <c r="H57" s="1"/>
    </row>
    <row r="58" spans="1:8" x14ac:dyDescent="0.35">
      <c r="A58" s="5"/>
      <c r="B58" s="5"/>
      <c r="C58" s="5"/>
      <c r="D58" s="5"/>
      <c r="E58" s="1"/>
      <c r="F58" s="1"/>
      <c r="G58" s="1"/>
      <c r="H58" s="1"/>
    </row>
    <row r="59" spans="1:8" x14ac:dyDescent="0.35">
      <c r="A59" s="5"/>
      <c r="B59" s="5"/>
      <c r="C59" s="5"/>
      <c r="D59" s="5"/>
      <c r="E59" s="1"/>
      <c r="F59" s="1"/>
      <c r="G59" s="1"/>
      <c r="H59" s="1"/>
    </row>
    <row r="60" spans="1:8" x14ac:dyDescent="0.35">
      <c r="A60" s="5"/>
      <c r="B60" s="5"/>
      <c r="C60" s="5"/>
      <c r="D60" s="5"/>
      <c r="E60" s="1"/>
      <c r="F60" s="1"/>
      <c r="G60" s="1"/>
      <c r="H60" s="1"/>
    </row>
    <row r="61" spans="1:8" x14ac:dyDescent="0.35">
      <c r="A61" s="5"/>
      <c r="B61" s="5"/>
      <c r="C61" s="5"/>
      <c r="D61" s="5"/>
      <c r="E61" s="1"/>
      <c r="F61" s="1"/>
      <c r="G61" s="1"/>
      <c r="H61" s="1"/>
    </row>
    <row r="62" spans="1:8" x14ac:dyDescent="0.35">
      <c r="A62" s="5"/>
      <c r="B62" s="5"/>
      <c r="C62" s="5"/>
      <c r="D62" s="5"/>
      <c r="E62" s="1"/>
      <c r="F62" s="1"/>
      <c r="G62" s="1"/>
      <c r="H62" s="1"/>
    </row>
    <row r="63" spans="1:8" x14ac:dyDescent="0.35">
      <c r="A63" s="5"/>
      <c r="B63" s="5"/>
      <c r="C63" s="5"/>
      <c r="D63" s="5"/>
      <c r="E63" s="1"/>
      <c r="F63" s="1"/>
      <c r="G63" s="1"/>
      <c r="H63" s="1"/>
    </row>
    <row r="64" spans="1:8" x14ac:dyDescent="0.35">
      <c r="A64" s="5"/>
      <c r="B64" s="5"/>
      <c r="C64" s="5"/>
      <c r="D64" s="5"/>
      <c r="E64" s="1"/>
      <c r="F64" s="1"/>
      <c r="G64" s="1"/>
      <c r="H64" s="1"/>
    </row>
    <row r="65" spans="1:8" x14ac:dyDescent="0.35">
      <c r="A65" s="5"/>
      <c r="B65" s="5"/>
      <c r="C65" s="5"/>
      <c r="D65" s="5"/>
      <c r="E65" s="1"/>
      <c r="F65" s="1"/>
      <c r="G65" s="1"/>
      <c r="H65" s="1"/>
    </row>
    <row r="66" spans="1:8" x14ac:dyDescent="0.35">
      <c r="A66" s="5"/>
      <c r="B66" s="5"/>
      <c r="C66" s="5"/>
      <c r="D66" s="5"/>
      <c r="E66" s="1"/>
      <c r="F66" s="1"/>
      <c r="G66" s="1"/>
      <c r="H66" s="1"/>
    </row>
    <row r="67" spans="1:8" x14ac:dyDescent="0.35">
      <c r="A67" s="5"/>
      <c r="B67" s="5"/>
      <c r="C67" s="5"/>
      <c r="D67" s="5"/>
      <c r="E67" s="1"/>
      <c r="F67" s="1"/>
      <c r="G67" s="1"/>
      <c r="H67" s="1"/>
    </row>
    <row r="68" spans="1:8" x14ac:dyDescent="0.35">
      <c r="A68" s="5"/>
      <c r="B68" s="5"/>
      <c r="C68" s="5"/>
      <c r="D68" s="5"/>
      <c r="E68" s="1"/>
      <c r="F68" s="1"/>
      <c r="G68" s="1"/>
      <c r="H68" s="1"/>
    </row>
    <row r="69" spans="1:8" x14ac:dyDescent="0.35">
      <c r="A69" s="5"/>
      <c r="B69" s="5"/>
      <c r="C69" s="5"/>
      <c r="D69" s="5"/>
      <c r="E69" s="1"/>
      <c r="F69" s="1"/>
      <c r="G69" s="1"/>
      <c r="H69" s="1"/>
    </row>
    <row r="70" spans="1:8" x14ac:dyDescent="0.35">
      <c r="A70" s="5"/>
      <c r="B70" s="5"/>
      <c r="C70" s="5"/>
      <c r="D70" s="5"/>
      <c r="E70" s="1"/>
      <c r="F70" s="1"/>
      <c r="G70" s="1"/>
      <c r="H70" s="1"/>
    </row>
    <row r="71" spans="1:8" x14ac:dyDescent="0.35">
      <c r="A71" s="5"/>
      <c r="B71" s="1"/>
      <c r="C71" s="1"/>
      <c r="D71" s="5"/>
      <c r="E71" s="1"/>
      <c r="F71" s="1"/>
      <c r="G71" s="1"/>
      <c r="H71" s="1"/>
    </row>
    <row r="72" spans="1:8" x14ac:dyDescent="0.35">
      <c r="A72" s="5"/>
      <c r="B72" s="1"/>
      <c r="C72" s="1"/>
      <c r="D72" s="5"/>
      <c r="E72" s="1"/>
      <c r="F72" s="1"/>
      <c r="G72" s="1"/>
      <c r="H72" s="1"/>
    </row>
    <row r="73" spans="1:8" x14ac:dyDescent="0.35">
      <c r="A73" s="5"/>
      <c r="B73" s="1"/>
      <c r="C73" s="1"/>
      <c r="D73" s="5"/>
      <c r="E73" s="1"/>
      <c r="F73" s="1"/>
      <c r="G73" s="1"/>
      <c r="H73" s="1"/>
    </row>
    <row r="74" spans="1:8" x14ac:dyDescent="0.35">
      <c r="A74" s="5"/>
      <c r="B74" s="1"/>
      <c r="C74" s="1"/>
      <c r="D74" s="5"/>
      <c r="E74" s="1"/>
      <c r="F74" s="1"/>
      <c r="G74" s="1"/>
      <c r="H74" s="1"/>
    </row>
    <row r="75" spans="1:8" x14ac:dyDescent="0.35">
      <c r="A75" s="5"/>
      <c r="B75" s="1"/>
      <c r="C75" s="1"/>
      <c r="D75" s="5"/>
      <c r="E75" s="1"/>
      <c r="F75" s="1"/>
      <c r="G75" s="1"/>
      <c r="H75" s="1"/>
    </row>
    <row r="76" spans="1:8" x14ac:dyDescent="0.35">
      <c r="A76" s="5"/>
      <c r="B76" s="1"/>
      <c r="C76" s="1"/>
      <c r="D76" s="5"/>
      <c r="E76" s="1"/>
      <c r="F76" s="1"/>
      <c r="G76" s="1"/>
      <c r="H76" s="1"/>
    </row>
    <row r="77" spans="1:8" x14ac:dyDescent="0.35">
      <c r="A77" s="5"/>
      <c r="B77" s="1"/>
      <c r="C77" s="1"/>
      <c r="D77" s="5"/>
      <c r="E77" s="1"/>
      <c r="F77" s="1"/>
      <c r="G77" s="1"/>
      <c r="H77" s="1"/>
    </row>
    <row r="78" spans="1:8" x14ac:dyDescent="0.35">
      <c r="A78" s="5"/>
      <c r="B78" s="1"/>
      <c r="C78" s="1"/>
      <c r="D78" s="5"/>
      <c r="E78" s="1"/>
      <c r="F78" s="1"/>
      <c r="G78" s="1"/>
      <c r="H78" s="1"/>
    </row>
    <row r="79" spans="1:8" x14ac:dyDescent="0.35">
      <c r="A79" s="5"/>
      <c r="B79" s="1"/>
      <c r="C79" s="1"/>
      <c r="D79" s="5"/>
      <c r="E79" s="1"/>
      <c r="F79" s="1"/>
      <c r="G79" s="1"/>
      <c r="H79" s="1"/>
    </row>
    <row r="80" spans="1:8" x14ac:dyDescent="0.35">
      <c r="A80" s="5"/>
      <c r="B80" s="5"/>
      <c r="C80" s="5"/>
      <c r="D80" s="5"/>
      <c r="E80" s="1"/>
      <c r="F80" s="1"/>
      <c r="G80" s="1"/>
      <c r="H80" s="1"/>
    </row>
    <row r="81" spans="1:8" x14ac:dyDescent="0.35">
      <c r="A81" s="5"/>
      <c r="B81" s="1"/>
      <c r="C81" s="1"/>
      <c r="D81" s="5"/>
      <c r="E81" s="1"/>
      <c r="F81" s="1"/>
      <c r="G81" s="1"/>
      <c r="H81" s="1"/>
    </row>
    <row r="82" spans="1:8" x14ac:dyDescent="0.35">
      <c r="A82" s="5"/>
      <c r="B82" s="1"/>
      <c r="C82" s="1"/>
      <c r="D82" s="5"/>
      <c r="E82" s="1"/>
      <c r="F82" s="1"/>
      <c r="G82" s="1"/>
      <c r="H82" s="1"/>
    </row>
    <row r="83" spans="1:8" x14ac:dyDescent="0.35">
      <c r="A83" s="5"/>
      <c r="B83" s="1"/>
      <c r="C83" s="1"/>
      <c r="D83" s="5"/>
      <c r="E83" s="1"/>
      <c r="F83" s="1"/>
      <c r="G83" s="1"/>
      <c r="H83" s="1"/>
    </row>
    <row r="84" spans="1:8" x14ac:dyDescent="0.35">
      <c r="A84" s="5"/>
      <c r="B84" s="1"/>
      <c r="C84" s="1"/>
      <c r="D84" s="5"/>
      <c r="E84" s="1"/>
      <c r="F84" s="1"/>
      <c r="G84" s="1"/>
      <c r="H84" s="1"/>
    </row>
    <row r="85" spans="1:8" x14ac:dyDescent="0.35">
      <c r="A85" s="5"/>
      <c r="B85" s="1"/>
      <c r="C85" s="1"/>
      <c r="D85" s="5"/>
      <c r="E85" s="1"/>
      <c r="F85" s="1"/>
      <c r="G85" s="1"/>
      <c r="H85" s="1"/>
    </row>
    <row r="86" spans="1:8" x14ac:dyDescent="0.35">
      <c r="A86" s="5"/>
      <c r="B86" s="1"/>
      <c r="C86" s="1"/>
      <c r="D86" s="5"/>
      <c r="E86" s="1"/>
      <c r="F86" s="1"/>
      <c r="G86" s="1"/>
      <c r="H86" s="1"/>
    </row>
    <row r="87" spans="1:8" x14ac:dyDescent="0.35">
      <c r="A87" s="5"/>
      <c r="B87" s="1"/>
      <c r="C87" s="1"/>
      <c r="D87" s="5"/>
      <c r="E87" s="1"/>
      <c r="F87" s="1"/>
      <c r="G87" s="1"/>
      <c r="H87" s="1"/>
    </row>
    <row r="88" spans="1:8" x14ac:dyDescent="0.35">
      <c r="A88" s="5"/>
      <c r="B88" s="1"/>
      <c r="C88" s="1"/>
      <c r="D88" s="5"/>
      <c r="E88" s="1"/>
      <c r="F88" s="1"/>
      <c r="G88" s="1"/>
      <c r="H88" s="1"/>
    </row>
    <row r="89" spans="1:8" x14ac:dyDescent="0.35">
      <c r="A89" s="5"/>
      <c r="B89" s="1"/>
      <c r="C89" s="1"/>
      <c r="D89" s="5"/>
      <c r="E89" s="1"/>
      <c r="F89" s="1"/>
      <c r="G89" s="1"/>
      <c r="H89" s="1"/>
    </row>
    <row r="90" spans="1:8" x14ac:dyDescent="0.35">
      <c r="A90" s="5"/>
      <c r="B90" s="1"/>
      <c r="C90" s="1"/>
      <c r="D90" s="5"/>
      <c r="E90" s="1"/>
      <c r="F90" s="1"/>
      <c r="G90" s="1"/>
      <c r="H90" s="1"/>
    </row>
    <row r="91" spans="1:8" x14ac:dyDescent="0.35">
      <c r="A91" s="5"/>
      <c r="B91" s="1"/>
      <c r="C91" s="1"/>
      <c r="D91" s="5"/>
      <c r="E91" s="1"/>
      <c r="F91" s="1"/>
      <c r="G91" s="1"/>
      <c r="H91" s="1"/>
    </row>
    <row r="92" spans="1:8" x14ac:dyDescent="0.35">
      <c r="A92" s="5"/>
      <c r="B92" s="1"/>
      <c r="C92" s="1"/>
      <c r="D92" s="5"/>
      <c r="E92" s="1"/>
      <c r="F92" s="1"/>
      <c r="G92" s="1"/>
      <c r="H92" s="1"/>
    </row>
    <row r="93" spans="1:8" x14ac:dyDescent="0.35">
      <c r="A93" s="5"/>
      <c r="B93" s="1"/>
      <c r="C93" s="1"/>
      <c r="D93" s="5"/>
      <c r="E93" s="1"/>
      <c r="F93" s="1"/>
      <c r="G93" s="1"/>
      <c r="H93" s="1"/>
    </row>
    <row r="94" spans="1:8" x14ac:dyDescent="0.35">
      <c r="A94" s="5"/>
      <c r="B94" s="1"/>
      <c r="C94" s="1"/>
      <c r="D94" s="5"/>
      <c r="E94" s="1"/>
      <c r="F94" s="1"/>
      <c r="G94" s="1"/>
      <c r="H94" s="1"/>
    </row>
    <row r="95" spans="1:8" x14ac:dyDescent="0.35">
      <c r="A95" s="5"/>
      <c r="B95" s="1"/>
      <c r="C95" s="1"/>
      <c r="D95" s="5"/>
      <c r="E95" s="1"/>
      <c r="F95" s="1"/>
      <c r="G95" s="1"/>
      <c r="H95" s="1"/>
    </row>
    <row r="96" spans="1:8" x14ac:dyDescent="0.35">
      <c r="A96" s="5"/>
      <c r="B96" s="1"/>
      <c r="C96" s="1"/>
      <c r="D96" s="5"/>
      <c r="E96" s="1"/>
      <c r="F96" s="1"/>
      <c r="G96" s="1"/>
      <c r="H96" s="1"/>
    </row>
    <row r="97" spans="1:8" x14ac:dyDescent="0.35">
      <c r="A97" s="5"/>
      <c r="B97" s="1"/>
      <c r="C97" s="1"/>
      <c r="D97" s="5"/>
      <c r="E97" s="1"/>
      <c r="F97" s="1"/>
      <c r="G97" s="1"/>
      <c r="H97" s="1"/>
    </row>
    <row r="98" spans="1:8" x14ac:dyDescent="0.35">
      <c r="A98" s="5"/>
      <c r="B98" s="1"/>
      <c r="C98" s="1"/>
      <c r="D98" s="5"/>
      <c r="E98" s="1"/>
      <c r="F98" s="1"/>
      <c r="G98" s="1"/>
      <c r="H98" s="1"/>
    </row>
    <row r="99" spans="1:8" x14ac:dyDescent="0.35">
      <c r="A99" s="5"/>
      <c r="B99" s="1"/>
      <c r="C99" s="1"/>
      <c r="D99" s="5"/>
      <c r="E99" s="1"/>
      <c r="F99" s="1"/>
      <c r="G99" s="1"/>
      <c r="H99" s="1"/>
    </row>
    <row r="100" spans="1:8" x14ac:dyDescent="0.35">
      <c r="A100" s="5"/>
      <c r="B100" s="1"/>
      <c r="C100" s="1"/>
      <c r="D100" s="5"/>
      <c r="E100" s="1"/>
      <c r="F100" s="1"/>
      <c r="G100" s="1"/>
      <c r="H100" s="1"/>
    </row>
    <row r="101" spans="1:8" x14ac:dyDescent="0.35">
      <c r="A101" s="5"/>
      <c r="B101" s="1"/>
      <c r="C101" s="1"/>
      <c r="D101" s="5"/>
      <c r="E101" s="1"/>
      <c r="F101" s="1"/>
      <c r="G101" s="1"/>
      <c r="H101" s="1"/>
    </row>
    <row r="102" spans="1:8" x14ac:dyDescent="0.35">
      <c r="A102" s="5"/>
      <c r="B102" s="1"/>
      <c r="C102" s="1"/>
      <c r="D102" s="5"/>
      <c r="E102" s="1"/>
      <c r="F102" s="1"/>
      <c r="G102" s="1"/>
      <c r="H102" s="1"/>
    </row>
    <row r="103" spans="1:8" x14ac:dyDescent="0.35">
      <c r="A103" s="5"/>
      <c r="B103" s="1"/>
      <c r="C103" s="1"/>
      <c r="D103" s="5"/>
      <c r="E103" s="1"/>
      <c r="F103" s="1"/>
      <c r="G103" s="1"/>
      <c r="H103" s="1"/>
    </row>
    <row r="104" spans="1:8" x14ac:dyDescent="0.35">
      <c r="A104" s="5"/>
      <c r="B104" s="1"/>
      <c r="C104" s="1"/>
      <c r="D104" s="5"/>
      <c r="E104" s="1"/>
      <c r="F104" s="1"/>
      <c r="G104" s="1"/>
      <c r="H104" s="1"/>
    </row>
    <row r="105" spans="1:8" x14ac:dyDescent="0.35">
      <c r="A105" s="5"/>
      <c r="B105" s="1"/>
      <c r="C105" s="1"/>
      <c r="D105" s="5"/>
      <c r="E105" s="1"/>
      <c r="F105" s="1"/>
      <c r="G105" s="1"/>
      <c r="H105" s="1"/>
    </row>
    <row r="106" spans="1:8" x14ac:dyDescent="0.35">
      <c r="A106" s="5"/>
      <c r="B106" s="1"/>
      <c r="C106" s="1"/>
      <c r="D106" s="5"/>
      <c r="E106" s="1"/>
      <c r="F106" s="1"/>
      <c r="G106" s="1"/>
      <c r="H106" s="1"/>
    </row>
    <row r="107" spans="1:8" x14ac:dyDescent="0.35">
      <c r="A107" s="5"/>
      <c r="B107" s="1"/>
      <c r="C107" s="1"/>
      <c r="D107" s="5"/>
      <c r="E107" s="1"/>
      <c r="F107" s="1"/>
      <c r="G107" s="1"/>
      <c r="H107" s="1"/>
    </row>
    <row r="108" spans="1:8" x14ac:dyDescent="0.35">
      <c r="A108" s="5"/>
      <c r="B108" s="1"/>
      <c r="C108" s="1"/>
      <c r="D108" s="5"/>
      <c r="E108" s="1"/>
      <c r="F108" s="1"/>
      <c r="G108" s="1"/>
      <c r="H108" s="1"/>
    </row>
    <row r="109" spans="1:8" x14ac:dyDescent="0.35">
      <c r="A109" s="5"/>
      <c r="B109" s="1"/>
      <c r="C109" s="1"/>
      <c r="D109" s="5"/>
      <c r="E109" s="1"/>
      <c r="F109" s="1"/>
      <c r="G109" s="1"/>
      <c r="H109" s="1"/>
    </row>
    <row r="110" spans="1:8" x14ac:dyDescent="0.35">
      <c r="A110" s="5"/>
      <c r="B110" s="1"/>
      <c r="C110" s="1"/>
      <c r="D110" s="5"/>
      <c r="E110" s="1"/>
      <c r="F110" s="1"/>
      <c r="G110" s="1"/>
      <c r="H110" s="1"/>
    </row>
    <row r="111" spans="1:8" x14ac:dyDescent="0.35">
      <c r="A111" s="5"/>
      <c r="B111" s="1"/>
      <c r="C111" s="1"/>
      <c r="D111" s="5"/>
      <c r="E111" s="1"/>
      <c r="F111" s="1"/>
      <c r="G111" s="1"/>
      <c r="H111" s="1"/>
    </row>
    <row r="112" spans="1:8" x14ac:dyDescent="0.35">
      <c r="A112" s="5"/>
      <c r="B112" s="1"/>
      <c r="C112" s="1"/>
      <c r="D112" s="5"/>
      <c r="E112" s="1"/>
      <c r="F112" s="1"/>
      <c r="G112" s="1"/>
      <c r="H112" s="1"/>
    </row>
    <row r="113" spans="1:8" x14ac:dyDescent="0.35">
      <c r="A113" s="5"/>
      <c r="B113" s="1"/>
      <c r="C113" s="1"/>
      <c r="D113" s="5"/>
      <c r="E113" s="1"/>
      <c r="F113" s="1"/>
      <c r="G113" s="1"/>
      <c r="H113" s="1"/>
    </row>
    <row r="114" spans="1:8" x14ac:dyDescent="0.35">
      <c r="A114" s="5"/>
      <c r="B114" s="1"/>
      <c r="C114" s="1"/>
      <c r="D114" s="5"/>
      <c r="E114" s="1"/>
      <c r="F114" s="1"/>
      <c r="G114" s="1"/>
      <c r="H114" s="1"/>
    </row>
    <row r="115" spans="1:8" x14ac:dyDescent="0.35">
      <c r="A115" s="5"/>
      <c r="B115" s="1"/>
      <c r="C115" s="1"/>
      <c r="D115" s="5"/>
      <c r="E115" s="1"/>
      <c r="F115" s="1"/>
      <c r="G115" s="1"/>
      <c r="H115" s="1"/>
    </row>
    <row r="116" spans="1:8" x14ac:dyDescent="0.35">
      <c r="A116" s="5"/>
      <c r="B116" s="1"/>
      <c r="C116" s="1"/>
      <c r="D116" s="5"/>
      <c r="E116" s="1"/>
      <c r="F116" s="1"/>
      <c r="G116" s="1"/>
      <c r="H116" s="1"/>
    </row>
    <row r="117" spans="1:8" x14ac:dyDescent="0.35">
      <c r="A117" s="5"/>
      <c r="B117" s="1"/>
      <c r="C117" s="1"/>
      <c r="D117" s="5"/>
      <c r="E117" s="1"/>
      <c r="F117" s="1"/>
      <c r="G117" s="1"/>
      <c r="H117" s="1"/>
    </row>
    <row r="118" spans="1:8" x14ac:dyDescent="0.35">
      <c r="A118" s="5"/>
      <c r="B118" s="1"/>
      <c r="C118" s="1"/>
      <c r="D118" s="5"/>
      <c r="E118" s="1"/>
      <c r="F118" s="1"/>
      <c r="G118" s="1"/>
      <c r="H118" s="1"/>
    </row>
    <row r="119" spans="1:8" x14ac:dyDescent="0.35">
      <c r="A119" s="5"/>
      <c r="B119" s="1"/>
      <c r="C119" s="1"/>
      <c r="D119" s="5"/>
      <c r="E119" s="1"/>
      <c r="F119" s="1"/>
      <c r="G119" s="1"/>
      <c r="H119" s="1"/>
    </row>
    <row r="120" spans="1:8" x14ac:dyDescent="0.35">
      <c r="A120" s="5"/>
      <c r="B120" s="1"/>
      <c r="C120" s="1"/>
      <c r="D120" s="5"/>
      <c r="E120" s="1"/>
      <c r="F120" s="1"/>
      <c r="G120" s="1"/>
      <c r="H120" s="1"/>
    </row>
    <row r="121" spans="1:8" x14ac:dyDescent="0.35">
      <c r="A121" s="5"/>
      <c r="B121" s="1"/>
      <c r="C121" s="1"/>
      <c r="D121" s="5"/>
      <c r="E121" s="1"/>
      <c r="F121" s="1"/>
      <c r="G121" s="1"/>
      <c r="H121" s="1"/>
    </row>
    <row r="122" spans="1:8" x14ac:dyDescent="0.35">
      <c r="A122" s="5"/>
      <c r="B122" s="1"/>
      <c r="C122" s="1"/>
      <c r="D122" s="5"/>
      <c r="E122" s="1"/>
      <c r="F122" s="1"/>
      <c r="G122" s="1"/>
      <c r="H122" s="1"/>
    </row>
    <row r="123" spans="1:8" x14ac:dyDescent="0.35">
      <c r="A123" s="5"/>
      <c r="B123" s="1"/>
      <c r="C123" s="1"/>
      <c r="D123" s="5"/>
      <c r="E123" s="1"/>
      <c r="F123" s="1"/>
      <c r="G123" s="1"/>
      <c r="H123" s="1"/>
    </row>
    <row r="124" spans="1:8" x14ac:dyDescent="0.35">
      <c r="A124" s="5"/>
      <c r="B124" s="1"/>
      <c r="C124" s="1"/>
      <c r="D124" s="5"/>
      <c r="E124" s="1"/>
      <c r="F124" s="1"/>
      <c r="G124" s="1"/>
      <c r="H124" s="1"/>
    </row>
    <row r="125" spans="1:8" x14ac:dyDescent="0.35">
      <c r="A125" s="5"/>
      <c r="B125" s="1"/>
      <c r="C125" s="1"/>
      <c r="D125" s="5"/>
      <c r="E125" s="1"/>
      <c r="F125" s="1"/>
      <c r="G125" s="1"/>
      <c r="H125" s="1"/>
    </row>
    <row r="126" spans="1:8" x14ac:dyDescent="0.35">
      <c r="A126" s="5"/>
      <c r="B126" s="1"/>
      <c r="C126" s="1"/>
      <c r="D126" s="5"/>
      <c r="E126" s="1"/>
      <c r="F126" s="1"/>
      <c r="G126" s="1"/>
      <c r="H126" s="1"/>
    </row>
    <row r="127" spans="1:8" x14ac:dyDescent="0.35">
      <c r="A127" s="5"/>
      <c r="B127" s="1"/>
      <c r="C127" s="1"/>
      <c r="D127" s="5"/>
      <c r="E127" s="1"/>
      <c r="F127" s="1"/>
      <c r="G127" s="1"/>
      <c r="H127" s="1"/>
    </row>
    <row r="128" spans="1:8" x14ac:dyDescent="0.35">
      <c r="A128" s="5"/>
      <c r="B128" s="1"/>
      <c r="C128" s="1"/>
      <c r="D128" s="5"/>
      <c r="E128" s="1"/>
      <c r="F128" s="1"/>
      <c r="G128" s="1"/>
      <c r="H128" s="1"/>
    </row>
    <row r="129" spans="1:8" x14ac:dyDescent="0.35">
      <c r="A129" s="5"/>
      <c r="B129" s="1"/>
      <c r="C129" s="1"/>
      <c r="D129" s="5"/>
      <c r="E129" s="1"/>
      <c r="F129" s="1"/>
      <c r="G129" s="1"/>
      <c r="H129" s="1"/>
    </row>
    <row r="130" spans="1:8" x14ac:dyDescent="0.35">
      <c r="A130" s="5"/>
      <c r="B130" s="1"/>
      <c r="C130" s="1"/>
      <c r="D130" s="5"/>
      <c r="E130" s="1"/>
      <c r="F130" s="1"/>
      <c r="G130" s="1"/>
      <c r="H130" s="1"/>
    </row>
    <row r="131" spans="1:8" x14ac:dyDescent="0.35">
      <c r="A131" s="5"/>
      <c r="B131" s="1"/>
      <c r="C131" s="1"/>
      <c r="D131" s="5"/>
      <c r="E131" s="1"/>
      <c r="F131" s="1"/>
      <c r="G131" s="1"/>
      <c r="H131" s="1"/>
    </row>
    <row r="132" spans="1:8" x14ac:dyDescent="0.35">
      <c r="A132" s="5"/>
      <c r="B132" s="1"/>
      <c r="C132" s="1"/>
      <c r="D132" s="5"/>
      <c r="E132" s="1"/>
      <c r="F132" s="1"/>
      <c r="G132" s="1"/>
      <c r="H132" s="1"/>
    </row>
    <row r="133" spans="1:8" x14ac:dyDescent="0.35">
      <c r="A133" s="5"/>
      <c r="B133" s="1"/>
      <c r="C133" s="1"/>
      <c r="D133" s="5"/>
      <c r="E133" s="1"/>
      <c r="F133" s="1"/>
      <c r="G133" s="1"/>
      <c r="H133" s="1"/>
    </row>
    <row r="134" spans="1:8" x14ac:dyDescent="0.35">
      <c r="A134" s="5"/>
      <c r="B134" s="1"/>
      <c r="C134" s="1"/>
      <c r="D134" s="5"/>
      <c r="E134" s="1"/>
      <c r="F134" s="1"/>
      <c r="G134" s="1"/>
      <c r="H134" s="1"/>
    </row>
    <row r="135" spans="1:8" x14ac:dyDescent="0.35">
      <c r="A135" s="5"/>
      <c r="B135" s="1"/>
      <c r="C135" s="1"/>
      <c r="D135" s="5"/>
      <c r="E135" s="1"/>
      <c r="F135" s="1"/>
      <c r="G135" s="1"/>
      <c r="H135" s="1"/>
    </row>
    <row r="136" spans="1:8" x14ac:dyDescent="0.35">
      <c r="A136" s="5"/>
      <c r="B136" s="1"/>
      <c r="C136" s="1"/>
      <c r="D136" s="5"/>
      <c r="E136" s="1"/>
      <c r="F136" s="1"/>
      <c r="G136" s="1"/>
      <c r="H136" s="1"/>
    </row>
    <row r="137" spans="1:8" x14ac:dyDescent="0.35">
      <c r="A137" s="5"/>
      <c r="B137" s="1"/>
      <c r="C137" s="1"/>
      <c r="D137" s="5"/>
      <c r="E137" s="1"/>
      <c r="F137" s="1"/>
      <c r="G137" s="1"/>
      <c r="H137" s="1"/>
    </row>
    <row r="138" spans="1:8" x14ac:dyDescent="0.35">
      <c r="A138" s="5"/>
      <c r="B138" s="1"/>
      <c r="C138" s="1"/>
      <c r="D138" s="5"/>
      <c r="E138" s="1"/>
      <c r="F138" s="1"/>
      <c r="G138" s="1"/>
      <c r="H138" s="1"/>
    </row>
    <row r="139" spans="1:8" x14ac:dyDescent="0.35">
      <c r="A139" s="5"/>
      <c r="B139" s="1"/>
      <c r="C139" s="1"/>
      <c r="D139" s="5"/>
      <c r="E139" s="1"/>
      <c r="F139" s="1"/>
      <c r="G139" s="1"/>
      <c r="H139" s="1"/>
    </row>
    <row r="140" spans="1:8" x14ac:dyDescent="0.35">
      <c r="A140" s="5"/>
      <c r="B140" s="1"/>
      <c r="C140" s="1"/>
      <c r="D140" s="5"/>
      <c r="E140" s="1"/>
      <c r="F140" s="1"/>
      <c r="G140" s="1"/>
      <c r="H140" s="1"/>
    </row>
    <row r="141" spans="1:8" x14ac:dyDescent="0.35">
      <c r="A141" s="5"/>
      <c r="B141" s="1"/>
      <c r="C141" s="1"/>
      <c r="D141" s="5"/>
      <c r="E141" s="1"/>
      <c r="F141" s="1"/>
      <c r="G141" s="1"/>
      <c r="H141" s="1"/>
    </row>
    <row r="142" spans="1:8" x14ac:dyDescent="0.35">
      <c r="A142" s="5"/>
      <c r="B142" s="1"/>
      <c r="C142" s="1"/>
      <c r="D142" s="5"/>
      <c r="E142" s="1"/>
      <c r="F142" s="1"/>
      <c r="G142" s="1"/>
      <c r="H142" s="1"/>
    </row>
    <row r="143" spans="1:8" x14ac:dyDescent="0.35">
      <c r="A143" s="5"/>
      <c r="B143" s="1"/>
      <c r="C143" s="1"/>
      <c r="D143" s="5"/>
      <c r="E143" s="1"/>
      <c r="F143" s="1"/>
      <c r="G143" s="1"/>
      <c r="H143" s="1"/>
    </row>
    <row r="144" spans="1:8" x14ac:dyDescent="0.35">
      <c r="A144" s="5"/>
      <c r="B144" s="1"/>
      <c r="C144" s="1"/>
      <c r="D144" s="5"/>
      <c r="E144" s="1"/>
      <c r="F144" s="1"/>
      <c r="G144" s="1"/>
      <c r="H144" s="1"/>
    </row>
    <row r="145" spans="1:8" x14ac:dyDescent="0.35">
      <c r="A145" s="5"/>
      <c r="B145" s="1"/>
      <c r="C145" s="1"/>
      <c r="D145" s="5"/>
      <c r="E145" s="1"/>
      <c r="F145" s="1"/>
      <c r="G145" s="1"/>
      <c r="H145" s="1"/>
    </row>
    <row r="146" spans="1:8" x14ac:dyDescent="0.35">
      <c r="A146" s="5"/>
      <c r="B146" s="1"/>
      <c r="C146" s="1"/>
      <c r="D146" s="5"/>
      <c r="E146" s="1"/>
      <c r="F146" s="1"/>
      <c r="G146" s="1"/>
      <c r="H146" s="1"/>
    </row>
    <row r="147" spans="1:8" x14ac:dyDescent="0.35">
      <c r="A147" s="5"/>
      <c r="B147" s="1"/>
      <c r="C147" s="1"/>
      <c r="D147" s="5"/>
      <c r="E147" s="1"/>
      <c r="F147" s="1"/>
      <c r="G147" s="1"/>
      <c r="H147" s="1"/>
    </row>
    <row r="148" spans="1:8" x14ac:dyDescent="0.35">
      <c r="A148" s="5"/>
      <c r="B148" s="1"/>
      <c r="C148" s="1"/>
      <c r="D148" s="5"/>
      <c r="E148" s="1"/>
      <c r="F148" s="1"/>
      <c r="G148" s="1"/>
      <c r="H148" s="1"/>
    </row>
    <row r="149" spans="1:8" x14ac:dyDescent="0.35">
      <c r="A149" s="5"/>
      <c r="B149" s="1"/>
      <c r="C149" s="1"/>
      <c r="D149" s="5"/>
      <c r="E149" s="1"/>
      <c r="F149" s="1"/>
      <c r="G149" s="1"/>
      <c r="H149" s="1"/>
    </row>
    <row r="150" spans="1:8" x14ac:dyDescent="0.35">
      <c r="A150" s="5"/>
      <c r="B150" s="1"/>
      <c r="C150" s="1"/>
      <c r="D150" s="5"/>
      <c r="E150" s="1"/>
      <c r="F150" s="1"/>
      <c r="G150" s="1"/>
      <c r="H150" s="1"/>
    </row>
    <row r="151" spans="1:8" x14ac:dyDescent="0.35">
      <c r="A151" s="5"/>
      <c r="B151" s="1"/>
      <c r="C151" s="1"/>
      <c r="D151" s="5"/>
      <c r="E151" s="1"/>
      <c r="F151" s="1"/>
      <c r="G151" s="1"/>
      <c r="H151" s="1"/>
    </row>
    <row r="152" spans="1:8" x14ac:dyDescent="0.35">
      <c r="A152" s="5"/>
      <c r="B152" s="1"/>
      <c r="C152" s="1"/>
      <c r="D152" s="5"/>
      <c r="E152" s="1"/>
      <c r="F152" s="1"/>
      <c r="G152" s="1"/>
      <c r="H152" s="1"/>
    </row>
    <row r="153" spans="1:8" x14ac:dyDescent="0.35">
      <c r="A153" s="5"/>
      <c r="B153" s="1"/>
      <c r="C153" s="1"/>
      <c r="D153" s="5"/>
      <c r="E153" s="1"/>
      <c r="F153" s="1"/>
      <c r="G153" s="1"/>
      <c r="H153" s="1"/>
    </row>
    <row r="154" spans="1:8" x14ac:dyDescent="0.35">
      <c r="A154" s="5"/>
      <c r="B154" s="1"/>
      <c r="C154" s="1"/>
      <c r="D154" s="5"/>
      <c r="E154" s="1"/>
      <c r="F154" s="1"/>
      <c r="G154" s="1"/>
      <c r="H154" s="1"/>
    </row>
    <row r="155" spans="1:8" x14ac:dyDescent="0.35">
      <c r="A155" s="5"/>
      <c r="B155" s="1"/>
      <c r="C155" s="1"/>
      <c r="D155" s="5"/>
      <c r="E155" s="1"/>
      <c r="F155" s="1"/>
      <c r="G155" s="1"/>
      <c r="H155" s="1"/>
    </row>
    <row r="156" spans="1:8" x14ac:dyDescent="0.35">
      <c r="A156" s="5"/>
      <c r="B156" s="1"/>
      <c r="C156" s="1"/>
      <c r="D156" s="5"/>
      <c r="E156" s="1"/>
      <c r="F156" s="1"/>
      <c r="G156" s="1"/>
      <c r="H156" s="1"/>
    </row>
    <row r="157" spans="1:8" x14ac:dyDescent="0.35">
      <c r="A157" s="5"/>
      <c r="B157" s="1"/>
      <c r="C157" s="1"/>
      <c r="D157" s="5"/>
      <c r="E157" s="1"/>
      <c r="F157" s="1"/>
      <c r="G157" s="1"/>
      <c r="H157" s="1"/>
    </row>
    <row r="158" spans="1:8" x14ac:dyDescent="0.35">
      <c r="A158" s="5"/>
      <c r="B158" s="1"/>
      <c r="C158" s="1"/>
      <c r="D158" s="5"/>
      <c r="E158" s="1"/>
      <c r="F158" s="1"/>
      <c r="G158" s="1"/>
      <c r="H158" s="1"/>
    </row>
    <row r="159" spans="1:8" x14ac:dyDescent="0.35">
      <c r="A159" s="5"/>
      <c r="B159" s="1"/>
      <c r="C159" s="1"/>
      <c r="D159" s="5"/>
      <c r="E159" s="1"/>
      <c r="F159" s="1"/>
      <c r="G159" s="1"/>
      <c r="H159" s="1"/>
    </row>
    <row r="160" spans="1:8" x14ac:dyDescent="0.35">
      <c r="A160" s="5"/>
      <c r="B160" s="1"/>
      <c r="C160" s="1"/>
      <c r="D160" s="5"/>
      <c r="E160" s="1"/>
      <c r="F160" s="1"/>
      <c r="G160" s="1"/>
      <c r="H160" s="1"/>
    </row>
    <row r="161" spans="1:8" x14ac:dyDescent="0.35">
      <c r="A161" s="5"/>
      <c r="B161" s="1"/>
      <c r="C161" s="1"/>
      <c r="D161" s="5"/>
      <c r="E161" s="1"/>
      <c r="F161" s="1"/>
      <c r="G161" s="1"/>
      <c r="H161" s="1"/>
    </row>
    <row r="162" spans="1:8" x14ac:dyDescent="0.35">
      <c r="A162" s="5"/>
      <c r="B162" s="1"/>
      <c r="C162" s="1"/>
      <c r="D162" s="5"/>
      <c r="E162" s="1"/>
      <c r="F162" s="1"/>
      <c r="G162" s="1"/>
      <c r="H162" s="1"/>
    </row>
    <row r="163" spans="1:8" x14ac:dyDescent="0.35">
      <c r="A163" s="5"/>
      <c r="B163" s="1"/>
      <c r="C163" s="1"/>
      <c r="D163" s="5"/>
      <c r="E163" s="1"/>
      <c r="F163" s="1"/>
      <c r="G163" s="1"/>
      <c r="H163" s="1"/>
    </row>
    <row r="164" spans="1:8" x14ac:dyDescent="0.35">
      <c r="A164" s="5"/>
      <c r="B164" s="1"/>
      <c r="C164" s="1"/>
      <c r="D164" s="5"/>
      <c r="E164" s="1"/>
      <c r="F164" s="1"/>
      <c r="G164" s="1"/>
      <c r="H164" s="1"/>
    </row>
    <row r="165" spans="1:8" x14ac:dyDescent="0.35">
      <c r="A165" s="5"/>
      <c r="B165" s="1"/>
      <c r="C165" s="1"/>
      <c r="D165" s="5"/>
      <c r="E165" s="1"/>
      <c r="F165" s="1"/>
      <c r="G165" s="1"/>
      <c r="H165" s="1"/>
    </row>
    <row r="166" spans="1:8" x14ac:dyDescent="0.35">
      <c r="A166" s="5"/>
      <c r="B166" s="1"/>
      <c r="C166" s="1"/>
      <c r="D166" s="5"/>
      <c r="E166" s="1"/>
      <c r="F166" s="1"/>
      <c r="G166" s="1"/>
      <c r="H166" s="1"/>
    </row>
    <row r="167" spans="1:8" x14ac:dyDescent="0.35">
      <c r="A167" s="5"/>
      <c r="B167" s="1"/>
      <c r="C167" s="1"/>
      <c r="D167" s="5"/>
      <c r="E167" s="1"/>
      <c r="F167" s="1"/>
      <c r="G167" s="1"/>
      <c r="H167" s="1"/>
    </row>
    <row r="168" spans="1:8" x14ac:dyDescent="0.35">
      <c r="A168" s="5"/>
      <c r="B168" s="1"/>
      <c r="C168" s="1"/>
      <c r="D168" s="5"/>
      <c r="E168" s="1"/>
      <c r="F168" s="1"/>
      <c r="G168" s="1"/>
      <c r="H168" s="1"/>
    </row>
    <row r="169" spans="1:8" x14ac:dyDescent="0.35">
      <c r="A169" s="5"/>
      <c r="B169" s="1"/>
      <c r="C169" s="1"/>
      <c r="D169" s="5"/>
      <c r="E169" s="1"/>
      <c r="F169" s="1"/>
      <c r="G169" s="1"/>
      <c r="H169" s="1"/>
    </row>
    <row r="170" spans="1:8" x14ac:dyDescent="0.35">
      <c r="A170" s="5"/>
      <c r="B170" s="1"/>
      <c r="C170" s="1"/>
      <c r="D170" s="5"/>
      <c r="E170" s="1"/>
      <c r="F170" s="1"/>
      <c r="G170" s="1"/>
      <c r="H170" s="1"/>
    </row>
    <row r="171" spans="1:8" x14ac:dyDescent="0.35">
      <c r="A171" s="5"/>
      <c r="B171" s="1"/>
      <c r="C171" s="1"/>
      <c r="D171" s="5"/>
      <c r="E171" s="1"/>
      <c r="F171" s="1"/>
      <c r="G171" s="1"/>
      <c r="H171" s="1"/>
    </row>
    <row r="172" spans="1:8" x14ac:dyDescent="0.35">
      <c r="A172" s="5"/>
      <c r="B172" s="1"/>
      <c r="C172" s="1"/>
      <c r="D172" s="5"/>
      <c r="E172" s="1"/>
      <c r="F172" s="1"/>
      <c r="G172" s="1"/>
      <c r="H172" s="1"/>
    </row>
    <row r="173" spans="1:8" x14ac:dyDescent="0.35">
      <c r="A173" s="5"/>
      <c r="B173" s="1"/>
      <c r="C173" s="1"/>
      <c r="D173" s="5"/>
      <c r="E173" s="1"/>
      <c r="F173" s="1"/>
      <c r="G173" s="1"/>
      <c r="H173" s="1"/>
    </row>
    <row r="174" spans="1:8" x14ac:dyDescent="0.35">
      <c r="A174" s="5"/>
      <c r="B174" s="1"/>
      <c r="C174" s="1"/>
      <c r="D174" s="5"/>
      <c r="E174" s="1"/>
      <c r="F174" s="1"/>
      <c r="G174" s="1"/>
      <c r="H174" s="1"/>
    </row>
    <row r="175" spans="1:8" x14ac:dyDescent="0.35">
      <c r="A175" s="5"/>
      <c r="B175" s="1"/>
      <c r="C175" s="1"/>
      <c r="D175" s="5"/>
      <c r="E175" s="1"/>
      <c r="F175" s="1"/>
      <c r="G175" s="1"/>
      <c r="H175" s="1"/>
    </row>
    <row r="176" spans="1:8" x14ac:dyDescent="0.35">
      <c r="A176" s="5"/>
      <c r="B176" s="1"/>
      <c r="C176" s="1"/>
      <c r="D176" s="5"/>
      <c r="E176" s="1"/>
      <c r="F176" s="1"/>
      <c r="G176" s="1"/>
      <c r="H176" s="1"/>
    </row>
    <row r="177" spans="1:8" x14ac:dyDescent="0.35">
      <c r="A177" s="5"/>
      <c r="B177" s="1"/>
      <c r="C177" s="1"/>
      <c r="D177" s="5"/>
      <c r="E177" s="1"/>
      <c r="F177" s="1"/>
      <c r="G177" s="1"/>
      <c r="H177" s="1"/>
    </row>
    <row r="178" spans="1:8" x14ac:dyDescent="0.35">
      <c r="A178" s="5"/>
      <c r="B178" s="1"/>
      <c r="C178" s="1"/>
      <c r="D178" s="5"/>
      <c r="E178" s="1"/>
      <c r="F178" s="1"/>
      <c r="G178" s="1"/>
      <c r="H178" s="1"/>
    </row>
    <row r="179" spans="1:8" x14ac:dyDescent="0.35">
      <c r="A179" s="5"/>
      <c r="B179" s="1"/>
      <c r="C179" s="1"/>
      <c r="D179" s="5"/>
      <c r="E179" s="1"/>
      <c r="F179" s="1"/>
      <c r="G179" s="1"/>
      <c r="H179" s="1"/>
    </row>
    <row r="180" spans="1:8" x14ac:dyDescent="0.35">
      <c r="A180" s="5"/>
      <c r="B180" s="1"/>
      <c r="C180" s="1"/>
      <c r="D180" s="5"/>
      <c r="E180" s="1"/>
      <c r="F180" s="1"/>
      <c r="G180" s="1"/>
      <c r="H180" s="1"/>
    </row>
    <row r="181" spans="1:8" x14ac:dyDescent="0.35">
      <c r="A181" s="5"/>
      <c r="B181" s="1"/>
      <c r="C181" s="1"/>
      <c r="D181" s="5"/>
      <c r="E181" s="1"/>
      <c r="F181" s="1"/>
      <c r="G181" s="1"/>
      <c r="H181" s="1"/>
    </row>
    <row r="182" spans="1:8" x14ac:dyDescent="0.35">
      <c r="A182" s="5"/>
      <c r="B182" s="1"/>
      <c r="C182" s="1"/>
      <c r="D182" s="5"/>
      <c r="E182" s="1"/>
      <c r="F182" s="1"/>
      <c r="G182" s="1"/>
      <c r="H182" s="1"/>
    </row>
    <row r="183" spans="1:8" x14ac:dyDescent="0.35">
      <c r="A183" s="1"/>
      <c r="B183" s="1"/>
      <c r="C183" s="1"/>
      <c r="D183" s="1"/>
      <c r="E183" s="1"/>
      <c r="F183" s="1"/>
      <c r="G183" s="1"/>
      <c r="H183" s="1"/>
    </row>
    <row r="184" spans="1:8" x14ac:dyDescent="0.35">
      <c r="A184" s="1"/>
      <c r="B184" s="1"/>
      <c r="C184" s="1"/>
      <c r="D184" s="1"/>
      <c r="E184" s="1"/>
      <c r="F184" s="1"/>
      <c r="G184" s="1"/>
      <c r="H184" s="1"/>
    </row>
    <row r="185" spans="1:8" x14ac:dyDescent="0.35">
      <c r="A185" s="1"/>
      <c r="B185" s="1"/>
      <c r="C185" s="1"/>
      <c r="D185" s="1"/>
      <c r="E185" s="1"/>
      <c r="F185" s="1"/>
      <c r="G185" s="1"/>
      <c r="H185" s="1"/>
    </row>
    <row r="186" spans="1:8" x14ac:dyDescent="0.35">
      <c r="A186" s="1"/>
      <c r="B186" s="1"/>
      <c r="C186" s="1"/>
      <c r="D186" s="1"/>
      <c r="E186" s="1"/>
      <c r="F186" s="1"/>
      <c r="G186" s="1"/>
      <c r="H186" s="1"/>
    </row>
    <row r="187" spans="1:8" x14ac:dyDescent="0.35">
      <c r="A187" s="1"/>
      <c r="B187" s="1"/>
      <c r="C187" s="1"/>
      <c r="D187" s="1"/>
      <c r="E187" s="1"/>
      <c r="F187" s="1"/>
      <c r="G187" s="1"/>
      <c r="H187" s="1"/>
    </row>
    <row r="188" spans="1:8" x14ac:dyDescent="0.35">
      <c r="A188" s="1"/>
      <c r="B188" s="1"/>
      <c r="C188" s="1"/>
      <c r="D188" s="1"/>
      <c r="E188" s="1"/>
      <c r="F188" s="1"/>
      <c r="G188" s="1"/>
      <c r="H188" s="1"/>
    </row>
    <row r="189" spans="1:8" x14ac:dyDescent="0.35">
      <c r="A189" s="1"/>
      <c r="B189" s="1"/>
      <c r="C189" s="1"/>
      <c r="D189" s="1"/>
      <c r="E189" s="1"/>
      <c r="F189" s="1"/>
      <c r="G189" s="1"/>
      <c r="H189" s="1"/>
    </row>
    <row r="190" spans="1:8" x14ac:dyDescent="0.35">
      <c r="A190" s="1"/>
      <c r="B190" s="1"/>
      <c r="C190" s="1"/>
      <c r="D190" s="1"/>
      <c r="E190" s="1"/>
      <c r="F190" s="1"/>
      <c r="G190" s="1"/>
      <c r="H190" s="1"/>
    </row>
    <row r="191" spans="1:8" x14ac:dyDescent="0.35">
      <c r="A191" s="1"/>
      <c r="B191" s="1"/>
      <c r="C191" s="1"/>
      <c r="D191" s="1"/>
      <c r="E191" s="1"/>
      <c r="F191" s="1"/>
      <c r="G191" s="1"/>
      <c r="H191" s="1"/>
    </row>
    <row r="192" spans="1:8" x14ac:dyDescent="0.35">
      <c r="A192" s="1"/>
      <c r="B192" s="1"/>
      <c r="C192" s="1"/>
      <c r="D192" s="1"/>
      <c r="E192" s="1"/>
      <c r="F192" s="1"/>
      <c r="G192" s="1"/>
      <c r="H192" s="1"/>
    </row>
    <row r="193" spans="1:8" x14ac:dyDescent="0.35">
      <c r="A193" s="1"/>
      <c r="B193" s="1"/>
      <c r="C193" s="1"/>
      <c r="D193" s="1"/>
      <c r="E193" s="1"/>
      <c r="F193" s="1"/>
      <c r="G193" s="1"/>
      <c r="H193" s="1"/>
    </row>
    <row r="194" spans="1:8" x14ac:dyDescent="0.35">
      <c r="A194" s="1"/>
      <c r="B194" s="1"/>
      <c r="C194" s="1"/>
      <c r="D194" s="1"/>
      <c r="E194" s="1"/>
      <c r="F194" s="1"/>
      <c r="G194" s="1"/>
      <c r="H194" s="1"/>
    </row>
    <row r="195" spans="1:8" x14ac:dyDescent="0.35">
      <c r="A195" s="1"/>
      <c r="B195" s="1"/>
      <c r="C195" s="1"/>
      <c r="D195" s="1"/>
      <c r="E195" s="1"/>
      <c r="F195" s="1"/>
      <c r="G195" s="1"/>
      <c r="H195" s="1"/>
    </row>
    <row r="196" spans="1:8" x14ac:dyDescent="0.35">
      <c r="A196" s="1"/>
      <c r="B196" s="1"/>
      <c r="C196" s="1"/>
      <c r="D196" s="1"/>
      <c r="E196" s="1"/>
      <c r="F196" s="1"/>
      <c r="G196" s="1"/>
      <c r="H196" s="1"/>
    </row>
    <row r="197" spans="1:8" x14ac:dyDescent="0.35">
      <c r="A197" s="1"/>
      <c r="B197" s="1"/>
      <c r="C197" s="1"/>
      <c r="D197" s="1"/>
      <c r="E197" s="1"/>
      <c r="F197" s="1"/>
      <c r="G197" s="1"/>
      <c r="H197" s="1"/>
    </row>
    <row r="198" spans="1:8" x14ac:dyDescent="0.35">
      <c r="A198" s="1"/>
      <c r="B198" s="1"/>
      <c r="C198" s="1"/>
      <c r="D198" s="1"/>
      <c r="E198" s="1"/>
      <c r="F198" s="1"/>
      <c r="G198" s="1"/>
      <c r="H198" s="1"/>
    </row>
    <row r="199" spans="1:8" x14ac:dyDescent="0.35">
      <c r="A199" s="1"/>
      <c r="B199" s="1"/>
      <c r="C199" s="1"/>
      <c r="D199" s="1"/>
      <c r="E199" s="1"/>
      <c r="F199" s="1"/>
      <c r="G199" s="1"/>
      <c r="H199" s="1"/>
    </row>
    <row r="200" spans="1:8" x14ac:dyDescent="0.35">
      <c r="A200" s="1"/>
      <c r="B200" s="1"/>
      <c r="C200" s="1"/>
      <c r="D200" s="1"/>
      <c r="E200" s="1"/>
      <c r="F200" s="1"/>
      <c r="G200" s="1"/>
      <c r="H200" s="1"/>
    </row>
    <row r="201" spans="1:8" x14ac:dyDescent="0.35">
      <c r="A201" s="1"/>
      <c r="B201" s="1"/>
      <c r="C201" s="1"/>
      <c r="D201" s="1"/>
      <c r="E201" s="1"/>
      <c r="F201" s="1"/>
      <c r="G201" s="1"/>
      <c r="H201" s="1"/>
    </row>
    <row r="202" spans="1:8" x14ac:dyDescent="0.35">
      <c r="A202" s="1"/>
      <c r="B202" s="1"/>
      <c r="C202" s="1"/>
      <c r="D202" s="1"/>
      <c r="E202" s="1"/>
      <c r="F202" s="1"/>
      <c r="G202" s="1"/>
      <c r="H202" s="1"/>
    </row>
    <row r="203" spans="1:8" x14ac:dyDescent="0.35">
      <c r="A203" s="1"/>
      <c r="B203" s="1"/>
      <c r="C203" s="1"/>
      <c r="D203" s="1"/>
      <c r="E203" s="1"/>
      <c r="F203" s="1"/>
      <c r="G203" s="1"/>
      <c r="H203" s="1"/>
    </row>
    <row r="204" spans="1:8" x14ac:dyDescent="0.35">
      <c r="A204" s="1"/>
      <c r="B204" s="1"/>
      <c r="C204" s="1"/>
      <c r="D204" s="1"/>
      <c r="E204" s="1"/>
      <c r="F204" s="1"/>
      <c r="G204" s="1"/>
      <c r="H204" s="1"/>
    </row>
    <row r="205" spans="1:8" x14ac:dyDescent="0.35">
      <c r="A205" s="1"/>
      <c r="B205" s="1"/>
      <c r="C205" s="1"/>
      <c r="D205" s="1"/>
      <c r="E205" s="1"/>
      <c r="F205" s="1"/>
      <c r="G205" s="1"/>
      <c r="H205" s="1"/>
    </row>
    <row r="206" spans="1:8" x14ac:dyDescent="0.35">
      <c r="A206" s="1"/>
      <c r="B206" s="1"/>
      <c r="C206" s="1"/>
      <c r="D206" s="1"/>
      <c r="E206" s="1"/>
      <c r="F206" s="1"/>
      <c r="G206" s="1"/>
      <c r="H206" s="1"/>
    </row>
    <row r="207" spans="1:8" x14ac:dyDescent="0.35">
      <c r="A207" s="1"/>
      <c r="B207" s="1"/>
      <c r="C207" s="1"/>
      <c r="D207" s="1"/>
      <c r="E207" s="1"/>
      <c r="F207" s="1"/>
      <c r="G207" s="1"/>
      <c r="H207" s="1"/>
    </row>
    <row r="208" spans="1:8" x14ac:dyDescent="0.35">
      <c r="A208" s="1"/>
      <c r="B208" s="1"/>
      <c r="C208" s="1"/>
      <c r="D208" s="1"/>
      <c r="E208" s="1"/>
      <c r="F208" s="1"/>
      <c r="G208" s="1"/>
      <c r="H208" s="1"/>
    </row>
    <row r="209" spans="1:8" x14ac:dyDescent="0.35">
      <c r="A209" s="1"/>
      <c r="B209" s="1"/>
      <c r="C209" s="1"/>
      <c r="D209" s="1"/>
      <c r="E209" s="1"/>
      <c r="F209" s="1"/>
      <c r="G209" s="1"/>
      <c r="H209" s="1"/>
    </row>
    <row r="210" spans="1:8" x14ac:dyDescent="0.35">
      <c r="A210" s="1"/>
      <c r="B210" s="1"/>
      <c r="C210" s="1"/>
      <c r="D210" s="1"/>
      <c r="E210" s="1"/>
      <c r="F210" s="1"/>
      <c r="G210" s="1"/>
      <c r="H210" s="1"/>
    </row>
    <row r="211" spans="1:8" x14ac:dyDescent="0.35">
      <c r="A211" s="1"/>
      <c r="B211" s="1"/>
      <c r="C211" s="1"/>
      <c r="D211" s="1"/>
      <c r="E211" s="1"/>
      <c r="F211" s="1"/>
      <c r="G211" s="1"/>
      <c r="H211" s="1"/>
    </row>
    <row r="212" spans="1:8" x14ac:dyDescent="0.35">
      <c r="A212" s="1"/>
      <c r="B212" s="1"/>
      <c r="C212" s="1"/>
      <c r="D212" s="1"/>
      <c r="E212" s="1"/>
      <c r="F212" s="1"/>
      <c r="G212" s="1"/>
      <c r="H212" s="1"/>
    </row>
    <row r="213" spans="1:8" x14ac:dyDescent="0.35">
      <c r="A213" s="1"/>
      <c r="B213" s="1"/>
      <c r="C213" s="1"/>
      <c r="D213" s="1"/>
      <c r="E213" s="1"/>
      <c r="F213" s="1"/>
      <c r="G213" s="1"/>
      <c r="H213" s="1"/>
    </row>
    <row r="214" spans="1:8" x14ac:dyDescent="0.35">
      <c r="A214" s="1"/>
      <c r="B214" s="1"/>
      <c r="C214" s="1"/>
      <c r="D214" s="1"/>
      <c r="E214" s="1"/>
      <c r="F214" s="1"/>
      <c r="G214" s="1"/>
      <c r="H214" s="1"/>
    </row>
    <row r="215" spans="1:8" x14ac:dyDescent="0.35">
      <c r="A215" s="1"/>
      <c r="B215" s="1"/>
      <c r="C215" s="1"/>
      <c r="D215" s="1"/>
      <c r="E215" s="1"/>
      <c r="F215" s="1"/>
      <c r="G215" s="1"/>
      <c r="H215" s="1"/>
    </row>
    <row r="216" spans="1:8" x14ac:dyDescent="0.35">
      <c r="A216" s="1"/>
      <c r="B216" s="1"/>
      <c r="C216" s="1"/>
      <c r="D216" s="1"/>
      <c r="E216" s="1"/>
      <c r="F216" s="1"/>
      <c r="G216" s="1"/>
      <c r="H216" s="1"/>
    </row>
    <row r="217" spans="1:8" x14ac:dyDescent="0.35">
      <c r="A217" s="1"/>
      <c r="B217" s="1"/>
      <c r="C217" s="1"/>
      <c r="D217" s="1"/>
      <c r="E217" s="1"/>
      <c r="F217" s="1"/>
      <c r="G217" s="1"/>
      <c r="H217" s="1"/>
    </row>
    <row r="218" spans="1:8" x14ac:dyDescent="0.35">
      <c r="A218" s="1"/>
      <c r="B218" s="1"/>
      <c r="C218" s="1"/>
      <c r="D218" s="1"/>
      <c r="E218" s="1"/>
      <c r="F218" s="1"/>
      <c r="G218" s="1"/>
      <c r="H218" s="1"/>
    </row>
    <row r="219" spans="1:8" x14ac:dyDescent="0.35">
      <c r="A219" s="1"/>
      <c r="B219" s="1"/>
      <c r="C219" s="1"/>
      <c r="D219" s="1"/>
      <c r="E219" s="1"/>
      <c r="F219" s="1"/>
      <c r="G219" s="1"/>
      <c r="H219" s="1"/>
    </row>
    <row r="220" spans="1:8" x14ac:dyDescent="0.35">
      <c r="A220" s="1"/>
      <c r="B220" s="1"/>
      <c r="C220" s="1"/>
      <c r="D220" s="1"/>
      <c r="E220" s="1"/>
      <c r="F220" s="1"/>
      <c r="G220" s="1"/>
      <c r="H220" s="1"/>
    </row>
    <row r="221" spans="1:8" x14ac:dyDescent="0.35">
      <c r="A221" s="1"/>
      <c r="B221" s="1"/>
      <c r="C221" s="1"/>
      <c r="D221" s="1"/>
      <c r="E221" s="1"/>
      <c r="F221" s="1"/>
      <c r="G221" s="1"/>
      <c r="H221" s="1"/>
    </row>
    <row r="222" spans="1:8" x14ac:dyDescent="0.35">
      <c r="A222" s="1"/>
      <c r="B222" s="1"/>
      <c r="C222" s="1"/>
      <c r="D222" s="1"/>
      <c r="E222" s="1"/>
      <c r="F222" s="1"/>
      <c r="G222" s="1"/>
      <c r="H222" s="1"/>
    </row>
    <row r="223" spans="1:8" x14ac:dyDescent="0.35">
      <c r="A223" s="1"/>
      <c r="B223" s="1"/>
      <c r="C223" s="1"/>
      <c r="D223" s="1"/>
      <c r="E223" s="1"/>
      <c r="F223" s="1"/>
      <c r="G223" s="1"/>
      <c r="H223" s="1"/>
    </row>
    <row r="224" spans="1:8" x14ac:dyDescent="0.35">
      <c r="A224" s="1"/>
      <c r="B224" s="1"/>
      <c r="C224" s="1"/>
      <c r="D224" s="1"/>
      <c r="E224" s="1"/>
      <c r="F224" s="1"/>
      <c r="G224" s="1"/>
      <c r="H224" s="1"/>
    </row>
    <row r="225" spans="1:8" x14ac:dyDescent="0.35">
      <c r="A225" s="1"/>
      <c r="B225" s="1"/>
      <c r="C225" s="1"/>
      <c r="D225" s="1"/>
      <c r="E225" s="1"/>
      <c r="F225" s="1"/>
      <c r="G225" s="1"/>
      <c r="H225" s="1"/>
    </row>
    <row r="226" spans="1:8" x14ac:dyDescent="0.35">
      <c r="A226" s="1"/>
      <c r="B226" s="1"/>
      <c r="C226" s="1"/>
      <c r="D226" s="1"/>
      <c r="E226" s="1"/>
      <c r="F226" s="1"/>
      <c r="G226" s="1"/>
      <c r="H226" s="1"/>
    </row>
    <row r="227" spans="1:8" x14ac:dyDescent="0.35">
      <c r="A227" s="1"/>
      <c r="B227" s="1"/>
      <c r="C227" s="1"/>
      <c r="D227" s="1"/>
      <c r="E227" s="1"/>
      <c r="F227" s="1"/>
      <c r="G227" s="1"/>
      <c r="H227" s="1"/>
    </row>
    <row r="228" spans="1:8" x14ac:dyDescent="0.35">
      <c r="A228" s="1"/>
      <c r="B228" s="1"/>
      <c r="C228" s="1"/>
      <c r="D228" s="1"/>
      <c r="E228" s="1"/>
      <c r="F228" s="1"/>
      <c r="G228" s="1"/>
      <c r="H228" s="1"/>
    </row>
    <row r="229" spans="1:8" x14ac:dyDescent="0.35">
      <c r="A229" s="1"/>
      <c r="B229" s="1"/>
      <c r="C229" s="1"/>
      <c r="D229" s="1"/>
      <c r="E229" s="1"/>
      <c r="F229" s="1"/>
      <c r="G229" s="1"/>
      <c r="H229" s="1"/>
    </row>
    <row r="230" spans="1:8" x14ac:dyDescent="0.35">
      <c r="A230" s="1"/>
      <c r="B230" s="1"/>
      <c r="C230" s="1"/>
      <c r="D230" s="1"/>
      <c r="E230" s="1"/>
      <c r="F230" s="1"/>
      <c r="G230" s="1"/>
      <c r="H230" s="1"/>
    </row>
    <row r="231" spans="1:8" x14ac:dyDescent="0.35">
      <c r="A231" s="1"/>
      <c r="B231" s="1"/>
      <c r="C231" s="1"/>
      <c r="D231" s="1"/>
      <c r="E231" s="1"/>
      <c r="F231" s="1"/>
      <c r="G231" s="1"/>
      <c r="H231" s="1"/>
    </row>
    <row r="232" spans="1:8" x14ac:dyDescent="0.35">
      <c r="A232" s="1"/>
      <c r="B232" s="1"/>
      <c r="C232" s="1"/>
      <c r="D232" s="1"/>
      <c r="E232" s="1"/>
      <c r="F232" s="1"/>
      <c r="G232" s="1"/>
      <c r="H232" s="1"/>
    </row>
    <row r="233" spans="1:8" x14ac:dyDescent="0.35">
      <c r="A233" s="1"/>
      <c r="B233" s="1"/>
      <c r="C233" s="1"/>
      <c r="D233" s="1"/>
      <c r="E233" s="1"/>
      <c r="F233" s="1"/>
      <c r="G233" s="1"/>
      <c r="H233" s="1"/>
    </row>
    <row r="234" spans="1:8" x14ac:dyDescent="0.35">
      <c r="A234" s="1"/>
      <c r="B234" s="1"/>
      <c r="C234" s="1"/>
      <c r="D234" s="1"/>
      <c r="E234" s="1"/>
      <c r="F234" s="1"/>
      <c r="G234" s="1"/>
      <c r="H234" s="1"/>
    </row>
    <row r="235" spans="1:8" x14ac:dyDescent="0.35">
      <c r="A235" s="1"/>
      <c r="B235" s="1"/>
      <c r="C235" s="1"/>
      <c r="D235" s="1"/>
      <c r="E235" s="1"/>
      <c r="F235" s="1"/>
      <c r="G235" s="1"/>
      <c r="H235" s="1"/>
    </row>
    <row r="236" spans="1:8" x14ac:dyDescent="0.35">
      <c r="A236" s="1"/>
      <c r="B236" s="1"/>
      <c r="C236" s="1"/>
      <c r="D236" s="1"/>
      <c r="E236" s="1"/>
      <c r="F236" s="1"/>
      <c r="G236" s="1"/>
      <c r="H236" s="1"/>
    </row>
    <row r="237" spans="1:8" x14ac:dyDescent="0.35">
      <c r="A237" s="1"/>
      <c r="B237" s="1"/>
      <c r="C237" s="1"/>
      <c r="D237" s="1"/>
      <c r="E237" s="1"/>
      <c r="F237" s="1"/>
      <c r="G237" s="1"/>
      <c r="H237" s="1"/>
    </row>
    <row r="238" spans="1:8" x14ac:dyDescent="0.35">
      <c r="A238" s="1"/>
      <c r="B238" s="1"/>
      <c r="C238" s="1"/>
      <c r="D238" s="1"/>
      <c r="E238" s="1"/>
      <c r="F238" s="1"/>
      <c r="G238" s="1"/>
      <c r="H238" s="1"/>
    </row>
    <row r="239" spans="1:8" x14ac:dyDescent="0.35">
      <c r="A239" s="1"/>
      <c r="B239" s="1"/>
      <c r="C239" s="1"/>
      <c r="D239" s="1"/>
      <c r="E239" s="1"/>
      <c r="F239" s="1"/>
      <c r="G239" s="1"/>
      <c r="H239" s="1"/>
    </row>
    <row r="240" spans="1:8" x14ac:dyDescent="0.35">
      <c r="A240" s="1"/>
      <c r="B240" s="1"/>
      <c r="C240" s="1"/>
      <c r="D240" s="1"/>
      <c r="E240" s="1"/>
      <c r="F240" s="1"/>
      <c r="G240" s="1"/>
      <c r="H240" s="1"/>
    </row>
    <row r="241" spans="1:8" x14ac:dyDescent="0.35">
      <c r="A241" s="1"/>
      <c r="B241" s="1"/>
      <c r="C241" s="1"/>
      <c r="D241" s="1"/>
      <c r="E241" s="1"/>
      <c r="F241" s="1"/>
      <c r="G241" s="1"/>
      <c r="H241" s="1"/>
    </row>
    <row r="242" spans="1:8" x14ac:dyDescent="0.35">
      <c r="A242" s="1"/>
      <c r="B242" s="1"/>
      <c r="C242" s="1"/>
      <c r="D242" s="1"/>
      <c r="E242" s="1"/>
      <c r="F242" s="1"/>
      <c r="G242" s="1"/>
      <c r="H242" s="1"/>
    </row>
    <row r="243" spans="1:8" x14ac:dyDescent="0.35">
      <c r="A243" s="1"/>
      <c r="B243" s="1"/>
      <c r="C243" s="1"/>
      <c r="D243" s="1"/>
      <c r="E243" s="1"/>
      <c r="F243" s="1"/>
      <c r="G243" s="1"/>
      <c r="H243" s="1"/>
    </row>
    <row r="244" spans="1:8" x14ac:dyDescent="0.35">
      <c r="A244" s="1"/>
      <c r="B244" s="1"/>
      <c r="C244" s="1"/>
      <c r="D244" s="1"/>
      <c r="E244" s="1"/>
      <c r="F244" s="1"/>
      <c r="G244" s="1"/>
      <c r="H244" s="1"/>
    </row>
    <row r="245" spans="1:8" x14ac:dyDescent="0.35">
      <c r="A245" s="1"/>
      <c r="B245" s="1"/>
      <c r="C245" s="1"/>
      <c r="D245" s="1"/>
      <c r="E245" s="1"/>
      <c r="F245" s="1"/>
      <c r="G245" s="1"/>
      <c r="H245" s="1"/>
    </row>
    <row r="246" spans="1:8" x14ac:dyDescent="0.35">
      <c r="A246" s="1"/>
      <c r="B246" s="1"/>
      <c r="C246" s="1"/>
      <c r="D246" s="1"/>
      <c r="E246" s="1"/>
      <c r="F246" s="1"/>
      <c r="G246" s="1"/>
      <c r="H246" s="1"/>
    </row>
    <row r="247" spans="1:8" x14ac:dyDescent="0.35">
      <c r="A247" s="1"/>
      <c r="B247" s="1"/>
      <c r="C247" s="1"/>
      <c r="D247" s="1"/>
      <c r="E247" s="1"/>
      <c r="F247" s="1"/>
      <c r="G247" s="1"/>
      <c r="H247" s="1"/>
    </row>
    <row r="248" spans="1:8" x14ac:dyDescent="0.35">
      <c r="A248" s="1"/>
      <c r="B248" s="1"/>
      <c r="C248" s="1"/>
      <c r="D248" s="1"/>
      <c r="E248" s="1"/>
      <c r="F248" s="1"/>
      <c r="G248" s="1"/>
      <c r="H248" s="1"/>
    </row>
    <row r="249" spans="1:8" x14ac:dyDescent="0.35">
      <c r="A249" s="1"/>
      <c r="B249" s="1"/>
      <c r="C249" s="1"/>
      <c r="D249" s="1"/>
      <c r="E249" s="1"/>
      <c r="F249" s="1"/>
      <c r="G249" s="1"/>
      <c r="H249" s="1"/>
    </row>
    <row r="250" spans="1:8" x14ac:dyDescent="0.35">
      <c r="A250" s="1"/>
      <c r="B250" s="1"/>
      <c r="C250" s="1"/>
      <c r="D250" s="1"/>
      <c r="E250" s="1"/>
      <c r="F250" s="1"/>
      <c r="G250" s="1"/>
      <c r="H250" s="1"/>
    </row>
    <row r="251" spans="1:8" x14ac:dyDescent="0.35">
      <c r="A251" s="1"/>
      <c r="B251" s="1"/>
      <c r="C251" s="1"/>
      <c r="D251" s="1"/>
      <c r="E251" s="1"/>
      <c r="F251" s="1"/>
      <c r="G251" s="1"/>
      <c r="H251" s="1"/>
    </row>
    <row r="252" spans="1:8" x14ac:dyDescent="0.35">
      <c r="A252" s="1"/>
      <c r="B252" s="1"/>
      <c r="C252" s="1"/>
      <c r="D252" s="1"/>
      <c r="E252" s="1"/>
      <c r="F252" s="1"/>
      <c r="G252" s="1"/>
      <c r="H252" s="1"/>
    </row>
    <row r="253" spans="1:8" x14ac:dyDescent="0.35">
      <c r="A253" s="1"/>
      <c r="B253" s="1"/>
      <c r="C253" s="1"/>
      <c r="D253" s="1"/>
      <c r="E253" s="1"/>
      <c r="F253" s="1"/>
      <c r="G253" s="1"/>
      <c r="H253" s="1"/>
    </row>
    <row r="254" spans="1:8" x14ac:dyDescent="0.35">
      <c r="A254" s="1"/>
      <c r="B254" s="1"/>
      <c r="C254" s="1"/>
      <c r="D254" s="1"/>
      <c r="E254" s="1"/>
      <c r="F254" s="1"/>
      <c r="G254" s="1"/>
      <c r="H254" s="1"/>
    </row>
    <row r="255" spans="1:8" x14ac:dyDescent="0.35">
      <c r="A255" s="1"/>
      <c r="B255" s="1"/>
      <c r="C255" s="1"/>
      <c r="D255" s="1"/>
      <c r="E255" s="1"/>
      <c r="F255" s="1"/>
      <c r="G255" s="1"/>
      <c r="H255" s="1"/>
    </row>
    <row r="256" spans="1:8" x14ac:dyDescent="0.35">
      <c r="A256" s="1"/>
      <c r="B256" s="1"/>
      <c r="C256" s="1"/>
      <c r="D256" s="1"/>
      <c r="E256" s="1"/>
      <c r="F256" s="1"/>
      <c r="G256" s="1"/>
      <c r="H256" s="1"/>
    </row>
    <row r="257" spans="1:8" x14ac:dyDescent="0.35">
      <c r="A257" s="1"/>
      <c r="B257" s="1"/>
      <c r="C257" s="1"/>
      <c r="D257" s="1"/>
      <c r="E257" s="1"/>
      <c r="F257" s="1"/>
      <c r="G257" s="1"/>
      <c r="H257" s="1"/>
    </row>
    <row r="258" spans="1:8" x14ac:dyDescent="0.35">
      <c r="A258" s="1"/>
      <c r="B258" s="1"/>
      <c r="C258" s="1"/>
      <c r="D258" s="1"/>
      <c r="E258" s="1"/>
      <c r="F258" s="1"/>
      <c r="G258" s="1"/>
      <c r="H258" s="1"/>
    </row>
    <row r="259" spans="1:8" x14ac:dyDescent="0.35">
      <c r="A259" s="1"/>
      <c r="B259" s="1"/>
      <c r="C259" s="1"/>
      <c r="D259" s="1"/>
      <c r="E259" s="1"/>
      <c r="F259" s="1"/>
      <c r="G259" s="1"/>
      <c r="H259" s="1"/>
    </row>
    <row r="260" spans="1:8" x14ac:dyDescent="0.35">
      <c r="A260" s="1"/>
      <c r="B260" s="1"/>
      <c r="C260" s="1"/>
      <c r="D260" s="1"/>
      <c r="E260" s="1"/>
      <c r="F260" s="1"/>
      <c r="G260" s="1"/>
      <c r="H260" s="1"/>
    </row>
    <row r="261" spans="1:8" x14ac:dyDescent="0.35">
      <c r="A261" s="1"/>
      <c r="B261" s="1"/>
      <c r="C261" s="1"/>
      <c r="D261" s="1"/>
      <c r="E261" s="1"/>
      <c r="F261" s="1"/>
      <c r="G261" s="1"/>
      <c r="H261" s="1"/>
    </row>
    <row r="262" spans="1:8" x14ac:dyDescent="0.35">
      <c r="A262" s="1"/>
      <c r="B262" s="1"/>
      <c r="C262" s="1"/>
      <c r="D262" s="1"/>
      <c r="E262" s="1"/>
      <c r="F262" s="1"/>
      <c r="G262" s="1"/>
      <c r="H262" s="1"/>
    </row>
    <row r="263" spans="1:8" x14ac:dyDescent="0.35">
      <c r="A263" s="1"/>
      <c r="B263" s="1"/>
      <c r="C263" s="1"/>
      <c r="D263" s="1"/>
      <c r="E263" s="1"/>
      <c r="F263" s="1"/>
      <c r="G263" s="1"/>
      <c r="H263" s="1"/>
    </row>
    <row r="264" spans="1:8" x14ac:dyDescent="0.35">
      <c r="A264" s="1"/>
      <c r="B264" s="1"/>
      <c r="C264" s="1"/>
      <c r="D264" s="1"/>
      <c r="E264" s="1"/>
      <c r="F264" s="1"/>
      <c r="G264" s="1"/>
      <c r="H264" s="1"/>
    </row>
    <row r="265" spans="1:8" x14ac:dyDescent="0.35">
      <c r="B265" s="1"/>
      <c r="C265" s="1"/>
    </row>
    <row r="266" spans="1:8" x14ac:dyDescent="0.35">
      <c r="B266" s="1"/>
      <c r="C266" s="1"/>
    </row>
    <row r="267" spans="1:8" x14ac:dyDescent="0.35">
      <c r="B267" s="1"/>
      <c r="C267" s="1"/>
    </row>
    <row r="268" spans="1:8" x14ac:dyDescent="0.35">
      <c r="B268" s="1"/>
      <c r="C268" s="1"/>
    </row>
    <row r="269" spans="1:8" x14ac:dyDescent="0.35">
      <c r="B269" s="1"/>
      <c r="C269" s="1"/>
    </row>
    <row r="270" spans="1:8" x14ac:dyDescent="0.35">
      <c r="B270" s="1"/>
      <c r="C270" s="1"/>
    </row>
    <row r="271" spans="1:8" x14ac:dyDescent="0.35">
      <c r="B271" s="1"/>
      <c r="C271" s="1"/>
    </row>
    <row r="272" spans="1:8" x14ac:dyDescent="0.35">
      <c r="B272" s="1"/>
      <c r="C272" s="1"/>
    </row>
    <row r="273" spans="2:3" x14ac:dyDescent="0.35">
      <c r="B273" s="1"/>
      <c r="C273" s="1"/>
    </row>
    <row r="274" spans="2:3" x14ac:dyDescent="0.35">
      <c r="B274" s="1"/>
      <c r="C274" s="1"/>
    </row>
    <row r="275" spans="2:3" x14ac:dyDescent="0.35">
      <c r="B275" s="1"/>
      <c r="C275" s="1"/>
    </row>
    <row r="276" spans="2:3" x14ac:dyDescent="0.35">
      <c r="B276" s="1"/>
      <c r="C276" s="1"/>
    </row>
    <row r="277" spans="2:3" x14ac:dyDescent="0.35">
      <c r="B277" s="1"/>
      <c r="C277" s="1"/>
    </row>
    <row r="278" spans="2:3" x14ac:dyDescent="0.35">
      <c r="B278" s="1"/>
      <c r="C278" s="1"/>
    </row>
    <row r="279" spans="2:3" x14ac:dyDescent="0.35">
      <c r="B279" s="1"/>
      <c r="C279" s="1"/>
    </row>
    <row r="280" spans="2:3" x14ac:dyDescent="0.35">
      <c r="B280" s="1"/>
      <c r="C280" s="1"/>
    </row>
    <row r="281" spans="2:3" x14ac:dyDescent="0.35">
      <c r="B281" s="1"/>
      <c r="C281" s="1"/>
    </row>
    <row r="282" spans="2:3" x14ac:dyDescent="0.35">
      <c r="B282" s="1"/>
      <c r="C282" s="1"/>
    </row>
    <row r="283" spans="2:3" x14ac:dyDescent="0.35">
      <c r="B283" s="1"/>
      <c r="C283" s="1"/>
    </row>
    <row r="284" spans="2:3" x14ac:dyDescent="0.35">
      <c r="B284" s="1"/>
      <c r="C284" s="1"/>
    </row>
    <row r="285" spans="2:3" x14ac:dyDescent="0.35">
      <c r="B285" s="1"/>
      <c r="C285" s="1"/>
    </row>
    <row r="286" spans="2:3" x14ac:dyDescent="0.35">
      <c r="B286" s="1"/>
      <c r="C286" s="1"/>
    </row>
    <row r="287" spans="2:3" x14ac:dyDescent="0.35">
      <c r="B287" s="1"/>
      <c r="C287" s="1"/>
    </row>
    <row r="288" spans="2:3" x14ac:dyDescent="0.35">
      <c r="B288" s="1"/>
      <c r="C288" s="1"/>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D8BF-760E-470A-9179-922442D7FB2A}">
  <sheetPr codeName="Sheet7"/>
  <dimension ref="A1:AO288"/>
  <sheetViews>
    <sheetView rightToLeft="1" zoomScale="88" workbookViewId="0">
      <pane xSplit="1" ySplit="1" topLeftCell="B2" activePane="bottomRight" state="frozen"/>
      <selection activeCell="D96" sqref="D96"/>
      <selection pane="topRight" activeCell="D96" sqref="D96"/>
      <selection pane="bottomLeft" activeCell="D96" sqref="D96"/>
      <selection pane="bottomRight" activeCell="B9" sqref="B9:B43"/>
    </sheetView>
  </sheetViews>
  <sheetFormatPr defaultColWidth="8.81640625" defaultRowHeight="14.5" x14ac:dyDescent="0.35"/>
  <cols>
    <col min="1" max="1" width="52.1796875" style="8" customWidth="1"/>
    <col min="2" max="3" width="10" style="2" customWidth="1"/>
    <col min="4" max="4" width="10.54296875" style="8" customWidth="1"/>
    <col min="5" max="5" width="11.81640625" style="2" customWidth="1"/>
    <col min="6" max="6" width="8.81640625" style="2"/>
    <col min="7" max="7" width="10.453125" style="2" customWidth="1"/>
    <col min="8" max="8" width="13.08984375" style="2" customWidth="1"/>
    <col min="9" max="16" width="8.81640625" style="1" customWidth="1"/>
    <col min="17" max="18" width="8.81640625" style="30" customWidth="1"/>
    <col min="19" max="35" width="8.81640625" style="1" customWidth="1"/>
    <col min="36" max="36" width="8.81640625" style="2"/>
    <col min="37" max="37" width="10.08984375" style="2" bestFit="1" customWidth="1"/>
    <col min="38" max="38" width="8.81640625" style="2"/>
    <col min="39" max="39" width="10.54296875" style="2" bestFit="1" customWidth="1"/>
    <col min="40" max="40" width="8.81640625" style="2"/>
    <col min="41" max="41" width="17" style="2" bestFit="1" customWidth="1"/>
    <col min="42" max="16384" width="8.81640625" style="2"/>
  </cols>
  <sheetData>
    <row r="1" spans="1:41" ht="15" thickBot="1" x14ac:dyDescent="0.4">
      <c r="A1" s="7" t="s">
        <v>0</v>
      </c>
      <c r="B1" s="4">
        <v>2025</v>
      </c>
      <c r="C1" s="4">
        <v>2022</v>
      </c>
      <c r="D1" s="7">
        <v>2021</v>
      </c>
      <c r="E1" s="4">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ht="29" x14ac:dyDescent="0.35">
      <c r="A2" s="5" t="s">
        <v>169</v>
      </c>
      <c r="B2" s="6"/>
      <c r="C2" s="6"/>
      <c r="D2" s="5"/>
      <c r="E2" s="59" t="s">
        <v>171</v>
      </c>
      <c r="F2" s="3"/>
      <c r="G2" s="50" t="s">
        <v>332</v>
      </c>
      <c r="H2" s="13" t="s">
        <v>610</v>
      </c>
      <c r="I2" s="3"/>
      <c r="J2" s="3"/>
      <c r="K2" s="3"/>
      <c r="L2" s="3"/>
      <c r="M2" s="3"/>
      <c r="N2" s="3"/>
      <c r="O2" s="3"/>
      <c r="P2" s="3"/>
      <c r="Q2" s="29"/>
      <c r="R2" s="29"/>
      <c r="S2" s="3"/>
      <c r="T2" s="3"/>
      <c r="U2" s="3"/>
      <c r="V2" s="3"/>
      <c r="W2" s="3"/>
      <c r="X2" s="3"/>
      <c r="Y2" s="3"/>
      <c r="Z2" s="3"/>
      <c r="AA2" s="3"/>
      <c r="AB2" s="3"/>
      <c r="AC2" s="3"/>
      <c r="AD2" s="3"/>
      <c r="AE2" s="3"/>
      <c r="AF2" s="3"/>
      <c r="AG2" s="3"/>
      <c r="AH2" s="3"/>
      <c r="AI2" s="3"/>
      <c r="AK2" s="2">
        <f>COUNTA(C2:AI2)</f>
        <v>3</v>
      </c>
      <c r="AM2" s="2">
        <f>COUNTA(G2:P2,S2:T2)</f>
        <v>2</v>
      </c>
      <c r="AO2" s="2">
        <f>COUNTIF(AM2:AM55,"&gt;=2")</f>
        <v>21</v>
      </c>
    </row>
    <row r="3" spans="1:41" ht="29" x14ac:dyDescent="0.35">
      <c r="A3" s="5" t="s">
        <v>170</v>
      </c>
      <c r="B3" s="6"/>
      <c r="C3" s="6"/>
      <c r="D3" s="5"/>
      <c r="E3" s="59" t="s">
        <v>172</v>
      </c>
      <c r="F3" s="1"/>
      <c r="G3" s="50" t="s">
        <v>333</v>
      </c>
      <c r="H3" s="13" t="s">
        <v>611</v>
      </c>
      <c r="AK3" s="2">
        <f t="shared" ref="AK3:AK55" si="0">COUNTA(C3:AI3)</f>
        <v>3</v>
      </c>
      <c r="AM3" s="2">
        <f t="shared" ref="AM3:AM55" si="1">COUNTA(G3:P3,S3:T3)</f>
        <v>2</v>
      </c>
    </row>
    <row r="4" spans="1:41" x14ac:dyDescent="0.35">
      <c r="A4" s="5" t="s">
        <v>2218</v>
      </c>
      <c r="B4" s="6"/>
      <c r="C4" s="69" t="s">
        <v>222</v>
      </c>
      <c r="D4" s="5"/>
      <c r="E4" s="1"/>
      <c r="F4" s="1"/>
      <c r="G4" s="63" t="s">
        <v>222</v>
      </c>
      <c r="H4" s="61" t="s">
        <v>242</v>
      </c>
      <c r="I4" s="67" t="s">
        <v>525</v>
      </c>
      <c r="J4" s="67" t="s">
        <v>148</v>
      </c>
      <c r="K4" s="67" t="s">
        <v>1015</v>
      </c>
      <c r="L4" s="53" t="s">
        <v>1030</v>
      </c>
      <c r="N4" s="53" t="s">
        <v>362</v>
      </c>
      <c r="O4" s="53" t="s">
        <v>1636</v>
      </c>
      <c r="P4" s="53" t="s">
        <v>1389</v>
      </c>
      <c r="R4" s="53" t="s">
        <v>1086</v>
      </c>
      <c r="S4" s="53" t="s">
        <v>2217</v>
      </c>
      <c r="T4" s="53" t="s">
        <v>1169</v>
      </c>
      <c r="U4" s="53" t="s">
        <v>2409</v>
      </c>
      <c r="V4" s="54" t="s">
        <v>2481</v>
      </c>
      <c r="W4" s="53" t="s">
        <v>104</v>
      </c>
      <c r="AA4" s="53" t="s">
        <v>276</v>
      </c>
      <c r="AE4" s="53" t="s">
        <v>1485</v>
      </c>
      <c r="AF4" s="53" t="s">
        <v>101</v>
      </c>
      <c r="AG4" s="53" t="s">
        <v>362</v>
      </c>
      <c r="AH4" s="53" t="s">
        <v>1076</v>
      </c>
      <c r="AI4" s="1" t="s">
        <v>1079</v>
      </c>
      <c r="AK4" s="2">
        <f t="shared" si="0"/>
        <v>22</v>
      </c>
      <c r="AM4" s="2">
        <f t="shared" si="1"/>
        <v>11</v>
      </c>
    </row>
    <row r="5" spans="1:41" ht="29" x14ac:dyDescent="0.35">
      <c r="A5" s="5" t="s">
        <v>126</v>
      </c>
      <c r="B5" s="5" t="s">
        <v>127</v>
      </c>
      <c r="C5" s="5" t="s">
        <v>127</v>
      </c>
      <c r="D5" s="5" t="s">
        <v>127</v>
      </c>
      <c r="E5" s="54" t="s">
        <v>127</v>
      </c>
      <c r="F5" s="53" t="s">
        <v>386</v>
      </c>
      <c r="G5" s="53" t="s">
        <v>127</v>
      </c>
      <c r="H5" s="53" t="s">
        <v>525</v>
      </c>
      <c r="I5" s="53" t="s">
        <v>506</v>
      </c>
      <c r="J5" s="61" t="s">
        <v>60</v>
      </c>
      <c r="K5" s="61" t="s">
        <v>1016</v>
      </c>
      <c r="L5" s="53" t="s">
        <v>918</v>
      </c>
      <c r="M5" s="53" t="s">
        <v>936</v>
      </c>
      <c r="N5" s="53" t="s">
        <v>1324</v>
      </c>
      <c r="O5" s="53" t="s">
        <v>1101</v>
      </c>
      <c r="P5" s="53" t="s">
        <v>1727</v>
      </c>
      <c r="Q5" s="53" t="s">
        <v>928</v>
      </c>
      <c r="R5" s="53" t="s">
        <v>2151</v>
      </c>
      <c r="S5" s="53" t="s">
        <v>2152</v>
      </c>
      <c r="T5" s="53" t="s">
        <v>442</v>
      </c>
      <c r="U5" s="53" t="s">
        <v>2053</v>
      </c>
      <c r="W5" s="53" t="s">
        <v>133</v>
      </c>
      <c r="AK5" s="2">
        <f t="shared" si="0"/>
        <v>20</v>
      </c>
      <c r="AM5" s="2">
        <f t="shared" si="1"/>
        <v>12</v>
      </c>
    </row>
    <row r="6" spans="1:41" ht="29" x14ac:dyDescent="0.35">
      <c r="A6" s="5" t="s">
        <v>1327</v>
      </c>
      <c r="B6" s="6"/>
      <c r="C6" s="6"/>
      <c r="D6" s="5"/>
      <c r="E6" s="1"/>
      <c r="F6" s="1"/>
      <c r="G6" s="1"/>
      <c r="H6" s="1"/>
      <c r="J6" s="10"/>
      <c r="K6" s="10"/>
      <c r="N6" s="1" t="s">
        <v>1325</v>
      </c>
      <c r="AK6" s="2">
        <f t="shared" si="0"/>
        <v>1</v>
      </c>
      <c r="AM6" s="2">
        <f t="shared" si="1"/>
        <v>1</v>
      </c>
    </row>
    <row r="7" spans="1:41" ht="29" x14ac:dyDescent="0.35">
      <c r="A7" s="5" t="s">
        <v>1326</v>
      </c>
      <c r="B7" s="6"/>
      <c r="C7" s="6"/>
      <c r="D7" s="5"/>
      <c r="E7" s="1"/>
      <c r="F7" s="1"/>
      <c r="G7" s="1"/>
      <c r="H7" s="1"/>
      <c r="J7" s="10"/>
      <c r="K7" s="10"/>
      <c r="N7" s="1" t="s">
        <v>1328</v>
      </c>
      <c r="AK7" s="2">
        <f t="shared" si="0"/>
        <v>1</v>
      </c>
      <c r="AM7" s="2">
        <f t="shared" si="1"/>
        <v>1</v>
      </c>
    </row>
    <row r="8" spans="1:41" ht="43.5" x14ac:dyDescent="0.35">
      <c r="A8" s="5" t="s">
        <v>773</v>
      </c>
      <c r="B8" s="6"/>
      <c r="C8" s="72" t="s">
        <v>3289</v>
      </c>
      <c r="D8" s="73" t="s">
        <v>3201</v>
      </c>
      <c r="E8" s="1"/>
      <c r="F8" s="1"/>
      <c r="G8" s="1"/>
      <c r="H8" s="1"/>
      <c r="J8" s="70" t="s">
        <v>510</v>
      </c>
      <c r="K8" s="1" t="s">
        <v>972</v>
      </c>
      <c r="AK8" s="2">
        <f t="shared" si="0"/>
        <v>4</v>
      </c>
      <c r="AM8" s="2">
        <f t="shared" si="1"/>
        <v>2</v>
      </c>
    </row>
    <row r="9" spans="1:41" ht="29" x14ac:dyDescent="0.35">
      <c r="A9" s="5" t="s">
        <v>2250</v>
      </c>
      <c r="B9" s="6"/>
      <c r="C9" s="6"/>
      <c r="D9" s="5"/>
      <c r="E9" s="1"/>
      <c r="F9" s="1"/>
      <c r="G9" s="1"/>
      <c r="H9" s="1"/>
      <c r="I9" s="66" t="s">
        <v>99</v>
      </c>
      <c r="Q9" s="54" t="s">
        <v>232</v>
      </c>
      <c r="R9" s="53" t="s">
        <v>999</v>
      </c>
      <c r="S9" s="53" t="s">
        <v>2006</v>
      </c>
      <c r="T9" s="53" t="s">
        <v>443</v>
      </c>
      <c r="U9" s="53" t="s">
        <v>1037</v>
      </c>
      <c r="W9" s="1" t="s">
        <v>289</v>
      </c>
      <c r="AK9" s="2">
        <f t="shared" si="0"/>
        <v>7</v>
      </c>
      <c r="AM9" s="2">
        <f t="shared" si="1"/>
        <v>3</v>
      </c>
    </row>
    <row r="10" spans="1:41" ht="29" x14ac:dyDescent="0.35">
      <c r="A10" s="5" t="s">
        <v>2251</v>
      </c>
      <c r="B10" s="6"/>
      <c r="C10" s="6"/>
      <c r="D10" s="5"/>
      <c r="E10" s="1"/>
      <c r="F10" s="1"/>
      <c r="G10" s="1"/>
      <c r="H10" s="1"/>
      <c r="I10" s="10"/>
      <c r="T10" s="54" t="s">
        <v>57</v>
      </c>
      <c r="U10" s="53" t="s">
        <v>1245</v>
      </c>
      <c r="W10" s="1" t="s">
        <v>290</v>
      </c>
      <c r="AK10" s="2">
        <f t="shared" si="0"/>
        <v>3</v>
      </c>
      <c r="AM10" s="2">
        <f t="shared" si="1"/>
        <v>1</v>
      </c>
    </row>
    <row r="11" spans="1:41" ht="29" x14ac:dyDescent="0.35">
      <c r="A11" s="5" t="s">
        <v>2342</v>
      </c>
      <c r="B11" s="6"/>
      <c r="C11" s="6"/>
      <c r="D11" s="5"/>
      <c r="E11" s="1"/>
      <c r="F11" s="1"/>
      <c r="G11" s="1"/>
      <c r="H11" s="1"/>
      <c r="I11" s="10"/>
      <c r="U11" s="1" t="s">
        <v>1201</v>
      </c>
      <c r="AK11" s="2">
        <f t="shared" si="0"/>
        <v>1</v>
      </c>
      <c r="AM11" s="2">
        <f t="shared" si="1"/>
        <v>0</v>
      </c>
    </row>
    <row r="12" spans="1:41" x14ac:dyDescent="0.35">
      <c r="A12" s="5" t="s">
        <v>223</v>
      </c>
      <c r="B12" s="6"/>
      <c r="C12" s="1"/>
      <c r="D12" s="5"/>
      <c r="E12" s="1"/>
      <c r="F12" s="1"/>
      <c r="G12" s="12" t="s">
        <v>224</v>
      </c>
      <c r="H12" s="1"/>
      <c r="AK12" s="2">
        <f t="shared" si="0"/>
        <v>1</v>
      </c>
      <c r="AM12" s="2">
        <f t="shared" si="1"/>
        <v>1</v>
      </c>
    </row>
    <row r="13" spans="1:41" ht="43.5" x14ac:dyDescent="0.35">
      <c r="A13" s="5" t="s">
        <v>225</v>
      </c>
      <c r="B13" s="6"/>
      <c r="C13" s="1"/>
      <c r="D13" s="5"/>
      <c r="E13" s="1"/>
      <c r="F13" s="1"/>
      <c r="G13" s="12" t="s">
        <v>226</v>
      </c>
      <c r="H13" s="1"/>
      <c r="AK13" s="2">
        <f t="shared" si="0"/>
        <v>1</v>
      </c>
      <c r="AM13" s="2">
        <f t="shared" si="1"/>
        <v>1</v>
      </c>
    </row>
    <row r="14" spans="1:41" ht="29" x14ac:dyDescent="0.35">
      <c r="A14" s="5" t="s">
        <v>227</v>
      </c>
      <c r="B14" s="6"/>
      <c r="C14" s="1"/>
      <c r="D14" s="5"/>
      <c r="E14" s="1"/>
      <c r="F14" s="1"/>
      <c r="G14" s="12" t="s">
        <v>228</v>
      </c>
      <c r="H14" s="1"/>
      <c r="AK14" s="2">
        <f t="shared" si="0"/>
        <v>1</v>
      </c>
      <c r="AM14" s="2">
        <f t="shared" si="1"/>
        <v>1</v>
      </c>
    </row>
    <row r="15" spans="1:41" ht="29" x14ac:dyDescent="0.35">
      <c r="A15" s="5" t="s">
        <v>229</v>
      </c>
      <c r="B15" s="6"/>
      <c r="C15" s="5"/>
      <c r="D15" s="5"/>
      <c r="E15" s="1"/>
      <c r="F15" s="1"/>
      <c r="G15" s="12" t="s">
        <v>230</v>
      </c>
      <c r="H15" s="1"/>
      <c r="AK15" s="2">
        <f t="shared" si="0"/>
        <v>1</v>
      </c>
      <c r="AM15" s="2">
        <f t="shared" si="1"/>
        <v>1</v>
      </c>
    </row>
    <row r="16" spans="1:41" ht="29" x14ac:dyDescent="0.35">
      <c r="A16" s="5" t="s">
        <v>604</v>
      </c>
      <c r="B16" s="6"/>
      <c r="C16" s="1"/>
      <c r="D16" s="5"/>
      <c r="E16" s="1"/>
      <c r="F16" s="1"/>
      <c r="G16" s="1"/>
      <c r="H16" s="66" t="s">
        <v>605</v>
      </c>
      <c r="U16" s="1" t="s">
        <v>1198</v>
      </c>
      <c r="AK16" s="2">
        <f t="shared" si="0"/>
        <v>2</v>
      </c>
      <c r="AM16" s="2">
        <f t="shared" si="1"/>
        <v>1</v>
      </c>
    </row>
    <row r="17" spans="1:39" ht="29" x14ac:dyDescent="0.35">
      <c r="A17" s="5" t="s">
        <v>2236</v>
      </c>
      <c r="B17" s="6"/>
      <c r="C17" s="1"/>
      <c r="D17" s="5"/>
      <c r="E17" s="1"/>
      <c r="F17" s="1"/>
      <c r="G17" s="1"/>
      <c r="H17" s="10"/>
      <c r="T17" s="54" t="s">
        <v>8</v>
      </c>
      <c r="U17" s="53" t="s">
        <v>2301</v>
      </c>
      <c r="W17" s="53" t="s">
        <v>8</v>
      </c>
      <c r="AA17" s="53" t="s">
        <v>179</v>
      </c>
      <c r="AE17" s="54" t="s">
        <v>1089</v>
      </c>
      <c r="AF17" s="1" t="s">
        <v>1068</v>
      </c>
      <c r="AK17" s="2">
        <f t="shared" si="0"/>
        <v>6</v>
      </c>
      <c r="AM17" s="2">
        <f t="shared" si="1"/>
        <v>1</v>
      </c>
    </row>
    <row r="18" spans="1:39" x14ac:dyDescent="0.35">
      <c r="A18" s="5" t="s">
        <v>2587</v>
      </c>
      <c r="B18" s="6"/>
      <c r="C18" s="1"/>
      <c r="D18" s="5"/>
      <c r="E18" s="1"/>
      <c r="F18" s="1"/>
      <c r="G18" s="1"/>
      <c r="H18" s="10"/>
      <c r="AA18" s="1" t="s">
        <v>410</v>
      </c>
      <c r="AK18" s="2">
        <f t="shared" si="0"/>
        <v>1</v>
      </c>
      <c r="AM18" s="2">
        <f t="shared" si="1"/>
        <v>0</v>
      </c>
    </row>
    <row r="19" spans="1:39" ht="29" x14ac:dyDescent="0.35">
      <c r="A19" s="5" t="s">
        <v>231</v>
      </c>
      <c r="B19" s="6"/>
      <c r="C19" s="12" t="s">
        <v>232</v>
      </c>
      <c r="D19" s="5"/>
      <c r="E19" s="1"/>
      <c r="F19" s="1"/>
      <c r="G19" s="63" t="s">
        <v>232</v>
      </c>
      <c r="H19" s="67" t="s">
        <v>234</v>
      </c>
      <c r="AF19" s="1" t="s">
        <v>442</v>
      </c>
      <c r="AK19" s="2">
        <f t="shared" si="0"/>
        <v>4</v>
      </c>
      <c r="AM19" s="2">
        <f t="shared" si="1"/>
        <v>2</v>
      </c>
    </row>
    <row r="20" spans="1:39" ht="29" x14ac:dyDescent="0.35">
      <c r="A20" s="5" t="s">
        <v>647</v>
      </c>
      <c r="B20" s="6"/>
      <c r="D20" s="5"/>
      <c r="E20" s="1"/>
      <c r="F20" s="1"/>
      <c r="G20" s="12"/>
      <c r="H20" s="12"/>
      <c r="I20" s="63" t="s">
        <v>110</v>
      </c>
      <c r="J20" s="67" t="s">
        <v>247</v>
      </c>
      <c r="K20" s="67" t="s">
        <v>958</v>
      </c>
      <c r="L20" s="53" t="s">
        <v>920</v>
      </c>
      <c r="M20" s="54" t="s">
        <v>935</v>
      </c>
      <c r="N20" s="53" t="s">
        <v>1360</v>
      </c>
      <c r="O20" s="54" t="s">
        <v>1515</v>
      </c>
      <c r="P20" s="53" t="s">
        <v>921</v>
      </c>
      <c r="R20" s="53" t="s">
        <v>1017</v>
      </c>
      <c r="S20" s="53" t="s">
        <v>2034</v>
      </c>
      <c r="T20" s="53" t="s">
        <v>14</v>
      </c>
      <c r="U20" s="53" t="s">
        <v>1179</v>
      </c>
      <c r="W20" s="54" t="s">
        <v>12</v>
      </c>
      <c r="AA20" s="1" t="s">
        <v>16</v>
      </c>
      <c r="AK20" s="2">
        <f t="shared" si="0"/>
        <v>14</v>
      </c>
      <c r="AM20" s="2">
        <f t="shared" si="1"/>
        <v>10</v>
      </c>
    </row>
    <row r="21" spans="1:39" ht="29" x14ac:dyDescent="0.35">
      <c r="A21" s="5" t="s">
        <v>648</v>
      </c>
      <c r="B21" s="6"/>
      <c r="C21" s="1"/>
      <c r="D21" s="5"/>
      <c r="E21" s="1"/>
      <c r="F21" s="1"/>
      <c r="G21" s="12"/>
      <c r="H21" s="12"/>
      <c r="I21" s="63" t="s">
        <v>649</v>
      </c>
      <c r="J21" s="67" t="s">
        <v>249</v>
      </c>
      <c r="K21" s="67" t="s">
        <v>959</v>
      </c>
      <c r="L21" s="53" t="s">
        <v>1169</v>
      </c>
      <c r="M21" s="53" t="s">
        <v>937</v>
      </c>
      <c r="N21" s="1" t="s">
        <v>1361</v>
      </c>
      <c r="AK21" s="2">
        <f t="shared" si="0"/>
        <v>6</v>
      </c>
      <c r="AM21" s="2">
        <f t="shared" si="1"/>
        <v>6</v>
      </c>
    </row>
    <row r="22" spans="1:39" ht="29" x14ac:dyDescent="0.35">
      <c r="A22" s="5" t="s">
        <v>233</v>
      </c>
      <c r="B22" s="6"/>
      <c r="C22" s="12" t="s">
        <v>234</v>
      </c>
      <c r="D22" s="5"/>
      <c r="E22" s="1"/>
      <c r="F22" s="1"/>
      <c r="G22" s="67" t="s">
        <v>234</v>
      </c>
      <c r="H22" s="67" t="s">
        <v>238</v>
      </c>
      <c r="I22" s="63" t="s">
        <v>222</v>
      </c>
      <c r="J22" s="67" t="s">
        <v>251</v>
      </c>
      <c r="K22" s="67" t="s">
        <v>960</v>
      </c>
      <c r="L22" s="53" t="s">
        <v>921</v>
      </c>
      <c r="M22" s="53" t="s">
        <v>938</v>
      </c>
      <c r="N22" s="53" t="s">
        <v>1362</v>
      </c>
      <c r="AK22" s="2">
        <f t="shared" si="0"/>
        <v>9</v>
      </c>
      <c r="AM22" s="2">
        <f t="shared" si="1"/>
        <v>8</v>
      </c>
    </row>
    <row r="23" spans="1:39" ht="29" x14ac:dyDescent="0.35">
      <c r="A23" s="5" t="s">
        <v>235</v>
      </c>
      <c r="B23" s="6"/>
      <c r="C23" s="12" t="s">
        <v>238</v>
      </c>
      <c r="D23" s="5"/>
      <c r="E23" s="1"/>
      <c r="F23" s="1"/>
      <c r="G23" s="67" t="s">
        <v>238</v>
      </c>
      <c r="H23" s="67" t="s">
        <v>239</v>
      </c>
      <c r="I23" s="67" t="s">
        <v>224</v>
      </c>
      <c r="J23" s="67" t="s">
        <v>253</v>
      </c>
      <c r="K23" s="67" t="s">
        <v>961</v>
      </c>
      <c r="L23" s="53" t="s">
        <v>922</v>
      </c>
      <c r="M23" s="54" t="s">
        <v>940</v>
      </c>
      <c r="N23" s="53" t="s">
        <v>1365</v>
      </c>
      <c r="O23" s="53" t="s">
        <v>1103</v>
      </c>
      <c r="P23" s="53" t="s">
        <v>920</v>
      </c>
      <c r="T23" s="54" t="s">
        <v>10</v>
      </c>
      <c r="W23" s="54" t="s">
        <v>181</v>
      </c>
      <c r="AA23" s="53" t="s">
        <v>10</v>
      </c>
      <c r="AF23" s="1" t="s">
        <v>110</v>
      </c>
      <c r="AK23" s="2">
        <f t="shared" si="0"/>
        <v>15</v>
      </c>
      <c r="AM23" s="2">
        <f t="shared" si="1"/>
        <v>11</v>
      </c>
    </row>
    <row r="24" spans="1:39" ht="29" x14ac:dyDescent="0.35">
      <c r="A24" s="5" t="s">
        <v>236</v>
      </c>
      <c r="B24" s="6"/>
      <c r="C24" s="12" t="s">
        <v>239</v>
      </c>
      <c r="D24" s="5"/>
      <c r="E24" s="1"/>
      <c r="F24" s="1"/>
      <c r="G24" s="67" t="s">
        <v>239</v>
      </c>
      <c r="H24" s="67" t="s">
        <v>240</v>
      </c>
      <c r="I24" s="67" t="s">
        <v>226</v>
      </c>
      <c r="J24" s="67" t="s">
        <v>497</v>
      </c>
      <c r="K24" s="67" t="s">
        <v>962</v>
      </c>
      <c r="L24" s="53" t="s">
        <v>923</v>
      </c>
      <c r="M24" s="53" t="s">
        <v>941</v>
      </c>
      <c r="N24" s="53" t="s">
        <v>1366</v>
      </c>
      <c r="O24" s="53" t="s">
        <v>1517</v>
      </c>
      <c r="Q24" s="54" t="s">
        <v>13</v>
      </c>
      <c r="R24" s="53" t="s">
        <v>1011</v>
      </c>
      <c r="S24" s="53" t="s">
        <v>2026</v>
      </c>
      <c r="U24" s="54" t="s">
        <v>972</v>
      </c>
      <c r="AC24" s="54" t="s">
        <v>2201</v>
      </c>
      <c r="AD24" s="1" t="s">
        <v>2008</v>
      </c>
      <c r="AK24" s="2">
        <f t="shared" si="0"/>
        <v>16</v>
      </c>
      <c r="AM24" s="2">
        <f t="shared" si="1"/>
        <v>10</v>
      </c>
    </row>
    <row r="25" spans="1:39" ht="29" x14ac:dyDescent="0.35">
      <c r="A25" s="5" t="s">
        <v>237</v>
      </c>
      <c r="B25" s="6"/>
      <c r="C25" s="12" t="s">
        <v>240</v>
      </c>
      <c r="D25" s="5"/>
      <c r="E25" s="1"/>
      <c r="F25" s="1"/>
      <c r="G25" s="67" t="s">
        <v>240</v>
      </c>
      <c r="H25" s="67" t="s">
        <v>96</v>
      </c>
      <c r="I25" s="12" t="s">
        <v>230</v>
      </c>
      <c r="J25" s="12"/>
      <c r="AK25" s="2">
        <f t="shared" si="0"/>
        <v>4</v>
      </c>
      <c r="AM25" s="2">
        <f t="shared" si="1"/>
        <v>3</v>
      </c>
    </row>
    <row r="26" spans="1:39" ht="29" x14ac:dyDescent="0.35">
      <c r="A26" s="5" t="s">
        <v>722</v>
      </c>
      <c r="B26" s="6"/>
      <c r="C26" s="5"/>
      <c r="D26" s="5"/>
      <c r="E26" s="1"/>
      <c r="F26" s="3"/>
      <c r="G26" s="13"/>
      <c r="H26" s="12"/>
      <c r="I26" s="12" t="s">
        <v>228</v>
      </c>
      <c r="J26" s="12"/>
      <c r="AK26" s="2">
        <f t="shared" si="0"/>
        <v>1</v>
      </c>
      <c r="AM26" s="2">
        <f t="shared" si="1"/>
        <v>1</v>
      </c>
    </row>
    <row r="27" spans="1:39" ht="29" x14ac:dyDescent="0.35">
      <c r="A27" s="5" t="s">
        <v>742</v>
      </c>
      <c r="B27" s="6"/>
      <c r="C27" s="5"/>
      <c r="D27" s="5"/>
      <c r="E27" s="1"/>
      <c r="F27" s="1"/>
      <c r="G27" s="1"/>
      <c r="H27" s="1"/>
      <c r="J27" s="63" t="s">
        <v>245</v>
      </c>
      <c r="K27" s="67" t="s">
        <v>957</v>
      </c>
      <c r="L27" s="53" t="s">
        <v>919</v>
      </c>
      <c r="M27" s="53" t="s">
        <v>1170</v>
      </c>
      <c r="N27" s="53" t="s">
        <v>1359</v>
      </c>
      <c r="O27" s="53" t="s">
        <v>1516</v>
      </c>
      <c r="AK27" s="2">
        <f t="shared" si="0"/>
        <v>6</v>
      </c>
      <c r="AM27" s="2">
        <f t="shared" si="1"/>
        <v>6</v>
      </c>
    </row>
    <row r="28" spans="1:39" ht="29" x14ac:dyDescent="0.35">
      <c r="A28" s="5" t="s">
        <v>1363</v>
      </c>
      <c r="B28" s="6"/>
      <c r="C28" s="5"/>
      <c r="D28" s="5"/>
      <c r="E28" s="1"/>
      <c r="F28" s="1"/>
      <c r="G28" s="1"/>
      <c r="H28" s="1"/>
      <c r="J28" s="12"/>
      <c r="K28" s="12"/>
      <c r="N28" s="1" t="s">
        <v>1364</v>
      </c>
      <c r="AK28" s="2">
        <f t="shared" si="0"/>
        <v>1</v>
      </c>
      <c r="AM28" s="2">
        <f t="shared" si="1"/>
        <v>1</v>
      </c>
    </row>
    <row r="29" spans="1:39" ht="29" x14ac:dyDescent="0.35">
      <c r="A29" s="5" t="s">
        <v>2866</v>
      </c>
      <c r="B29" s="6"/>
      <c r="C29" s="5"/>
      <c r="D29" s="5"/>
      <c r="E29" s="1"/>
      <c r="F29" s="1"/>
      <c r="G29" s="1"/>
      <c r="H29" s="1"/>
      <c r="J29" s="12"/>
      <c r="K29" s="12"/>
      <c r="AE29" s="1" t="s">
        <v>1460</v>
      </c>
      <c r="AK29" s="2">
        <f t="shared" si="0"/>
        <v>1</v>
      </c>
      <c r="AM29" s="2">
        <f t="shared" si="1"/>
        <v>0</v>
      </c>
    </row>
    <row r="30" spans="1:39" ht="29" x14ac:dyDescent="0.35">
      <c r="A30" s="5" t="s">
        <v>744</v>
      </c>
      <c r="B30" s="6"/>
      <c r="C30" s="74" t="s">
        <v>3278</v>
      </c>
      <c r="D30" s="73" t="s">
        <v>3181</v>
      </c>
      <c r="E30" s="1"/>
      <c r="F30" s="1"/>
      <c r="G30" s="1"/>
      <c r="H30" s="1"/>
      <c r="J30" s="70" t="s">
        <v>512</v>
      </c>
      <c r="K30" s="1" t="s">
        <v>973</v>
      </c>
      <c r="AK30" s="2">
        <f t="shared" si="0"/>
        <v>4</v>
      </c>
      <c r="AM30" s="2">
        <f t="shared" si="1"/>
        <v>2</v>
      </c>
    </row>
    <row r="31" spans="1:39" ht="29" x14ac:dyDescent="0.35">
      <c r="A31" s="5" t="s">
        <v>745</v>
      </c>
      <c r="B31" s="6"/>
      <c r="C31" s="74" t="s">
        <v>3279</v>
      </c>
      <c r="D31" s="71" t="s">
        <v>3186</v>
      </c>
      <c r="E31" s="1"/>
      <c r="F31" s="1"/>
      <c r="G31" s="1"/>
      <c r="H31" s="1"/>
      <c r="J31" s="70" t="s">
        <v>513</v>
      </c>
      <c r="K31" s="1" t="s">
        <v>974</v>
      </c>
      <c r="AK31" s="2">
        <f t="shared" si="0"/>
        <v>4</v>
      </c>
      <c r="AM31" s="2">
        <f t="shared" si="1"/>
        <v>2</v>
      </c>
    </row>
    <row r="32" spans="1:39" ht="29" x14ac:dyDescent="0.35">
      <c r="A32" s="5" t="s">
        <v>746</v>
      </c>
      <c r="B32" s="6"/>
      <c r="C32" s="36"/>
      <c r="D32" s="38"/>
      <c r="E32" s="1"/>
      <c r="F32" s="1"/>
      <c r="G32" s="1"/>
      <c r="H32" s="1"/>
      <c r="J32" s="70" t="s">
        <v>264</v>
      </c>
      <c r="K32" s="1" t="s">
        <v>975</v>
      </c>
      <c r="AK32" s="2">
        <f t="shared" si="0"/>
        <v>2</v>
      </c>
      <c r="AM32" s="2">
        <f t="shared" si="1"/>
        <v>2</v>
      </c>
    </row>
    <row r="33" spans="1:39" ht="29" x14ac:dyDescent="0.35">
      <c r="A33" s="5" t="s">
        <v>747</v>
      </c>
      <c r="B33" s="6"/>
      <c r="C33" s="74" t="s">
        <v>3280</v>
      </c>
      <c r="D33" s="71" t="s">
        <v>3194</v>
      </c>
      <c r="E33" s="1"/>
      <c r="F33" s="1"/>
      <c r="G33" s="1"/>
      <c r="H33" s="1"/>
      <c r="J33" s="70" t="s">
        <v>265</v>
      </c>
      <c r="K33" s="1" t="s">
        <v>976</v>
      </c>
      <c r="AK33" s="2">
        <f t="shared" si="0"/>
        <v>4</v>
      </c>
      <c r="AM33" s="2">
        <f t="shared" si="1"/>
        <v>2</v>
      </c>
    </row>
    <row r="34" spans="1:39" ht="29" x14ac:dyDescent="0.35">
      <c r="A34" s="5" t="s">
        <v>748</v>
      </c>
      <c r="B34" s="6"/>
      <c r="C34" s="74" t="s">
        <v>3281</v>
      </c>
      <c r="D34" s="71" t="s">
        <v>3192</v>
      </c>
      <c r="E34" s="1"/>
      <c r="F34" s="1"/>
      <c r="G34" s="1"/>
      <c r="H34" s="1"/>
      <c r="J34" s="70" t="s">
        <v>267</v>
      </c>
      <c r="K34" s="1" t="s">
        <v>977</v>
      </c>
      <c r="AK34" s="2">
        <f t="shared" si="0"/>
        <v>4</v>
      </c>
      <c r="AM34" s="2">
        <f t="shared" si="1"/>
        <v>2</v>
      </c>
    </row>
    <row r="35" spans="1:39" ht="29" x14ac:dyDescent="0.35">
      <c r="A35" s="5" t="s">
        <v>749</v>
      </c>
      <c r="B35" s="6"/>
      <c r="C35" s="74" t="s">
        <v>3282</v>
      </c>
      <c r="D35" s="71" t="s">
        <v>3193</v>
      </c>
      <c r="E35" s="1"/>
      <c r="F35" s="1"/>
      <c r="G35" s="1"/>
      <c r="H35" s="1"/>
      <c r="J35" s="70" t="s">
        <v>517</v>
      </c>
      <c r="K35" s="1" t="s">
        <v>978</v>
      </c>
      <c r="AK35" s="2">
        <f t="shared" si="0"/>
        <v>4</v>
      </c>
      <c r="AM35" s="2">
        <f t="shared" si="1"/>
        <v>2</v>
      </c>
    </row>
    <row r="36" spans="1:39" ht="29" x14ac:dyDescent="0.35">
      <c r="A36" s="5" t="s">
        <v>750</v>
      </c>
      <c r="B36" s="6"/>
      <c r="C36" s="74" t="s">
        <v>3283</v>
      </c>
      <c r="D36" s="71" t="s">
        <v>3187</v>
      </c>
      <c r="E36" s="1"/>
      <c r="F36" s="1"/>
      <c r="G36" s="1"/>
      <c r="H36" s="1"/>
      <c r="J36" s="70" t="s">
        <v>515</v>
      </c>
      <c r="K36" s="1" t="s">
        <v>979</v>
      </c>
      <c r="AK36" s="2">
        <f t="shared" si="0"/>
        <v>4</v>
      </c>
      <c r="AM36" s="2">
        <f t="shared" si="1"/>
        <v>2</v>
      </c>
    </row>
    <row r="37" spans="1:39" ht="29" x14ac:dyDescent="0.35">
      <c r="A37" s="5" t="s">
        <v>3182</v>
      </c>
      <c r="B37" s="6"/>
      <c r="C37" s="74" t="s">
        <v>3284</v>
      </c>
      <c r="D37" s="38" t="s">
        <v>3183</v>
      </c>
      <c r="E37" s="1"/>
      <c r="F37" s="1"/>
      <c r="G37" s="1"/>
      <c r="H37" s="1"/>
      <c r="J37" s="18"/>
      <c r="AK37" s="2">
        <f t="shared" si="0"/>
        <v>2</v>
      </c>
      <c r="AM37" s="2">
        <f t="shared" si="1"/>
        <v>0</v>
      </c>
    </row>
    <row r="38" spans="1:39" ht="29" x14ac:dyDescent="0.35">
      <c r="A38" s="5" t="s">
        <v>3184</v>
      </c>
      <c r="B38" s="6"/>
      <c r="C38" s="74" t="s">
        <v>3285</v>
      </c>
      <c r="D38" s="38" t="s">
        <v>3185</v>
      </c>
      <c r="E38" s="1"/>
      <c r="F38" s="1"/>
      <c r="G38" s="1"/>
      <c r="H38" s="1"/>
      <c r="J38" s="18"/>
      <c r="AK38" s="2">
        <f t="shared" si="0"/>
        <v>2</v>
      </c>
      <c r="AM38" s="2">
        <f t="shared" si="1"/>
        <v>0</v>
      </c>
    </row>
    <row r="39" spans="1:39" ht="29" x14ac:dyDescent="0.35">
      <c r="A39" s="5" t="s">
        <v>3188</v>
      </c>
      <c r="B39" s="6"/>
      <c r="C39" s="36"/>
      <c r="D39" s="38" t="s">
        <v>3189</v>
      </c>
      <c r="E39" s="1"/>
      <c r="F39" s="1"/>
      <c r="G39" s="1"/>
      <c r="H39" s="1"/>
      <c r="J39" s="18"/>
      <c r="AK39" s="2">
        <f t="shared" si="0"/>
        <v>1</v>
      </c>
      <c r="AM39" s="2">
        <f t="shared" si="1"/>
        <v>0</v>
      </c>
    </row>
    <row r="40" spans="1:39" ht="29" x14ac:dyDescent="0.35">
      <c r="A40" s="5" t="s">
        <v>3190</v>
      </c>
      <c r="B40" s="6"/>
      <c r="C40" s="36"/>
      <c r="D40" s="38" t="s">
        <v>3191</v>
      </c>
      <c r="E40" s="1"/>
      <c r="F40" s="1"/>
      <c r="G40" s="1"/>
      <c r="H40" s="1"/>
      <c r="J40" s="18"/>
      <c r="AK40" s="2">
        <f t="shared" si="0"/>
        <v>1</v>
      </c>
      <c r="AM40" s="2">
        <f t="shared" si="1"/>
        <v>0</v>
      </c>
    </row>
    <row r="41" spans="1:39" ht="29" x14ac:dyDescent="0.35">
      <c r="A41" s="5" t="s">
        <v>3195</v>
      </c>
      <c r="B41" s="6"/>
      <c r="C41" s="74" t="s">
        <v>3286</v>
      </c>
      <c r="D41" s="38" t="s">
        <v>3198</v>
      </c>
      <c r="E41" s="1"/>
      <c r="F41" s="1"/>
      <c r="G41" s="1"/>
      <c r="H41" s="1"/>
      <c r="J41" s="18"/>
      <c r="AK41" s="2">
        <f t="shared" si="0"/>
        <v>2</v>
      </c>
      <c r="AM41" s="2">
        <f t="shared" si="1"/>
        <v>0</v>
      </c>
    </row>
    <row r="42" spans="1:39" ht="43.5" x14ac:dyDescent="0.35">
      <c r="A42" s="5" t="s">
        <v>3196</v>
      </c>
      <c r="B42" s="6"/>
      <c r="C42" s="74" t="s">
        <v>3287</v>
      </c>
      <c r="D42" s="38" t="s">
        <v>3199</v>
      </c>
      <c r="E42" s="1"/>
      <c r="F42" s="1"/>
      <c r="G42" s="1"/>
      <c r="H42" s="1"/>
      <c r="J42" s="18"/>
      <c r="AK42" s="2">
        <f t="shared" si="0"/>
        <v>2</v>
      </c>
      <c r="AM42" s="2">
        <f t="shared" si="1"/>
        <v>0</v>
      </c>
    </row>
    <row r="43" spans="1:39" ht="29" x14ac:dyDescent="0.35">
      <c r="A43" s="5" t="s">
        <v>3197</v>
      </c>
      <c r="B43" s="6"/>
      <c r="C43" s="74" t="s">
        <v>3288</v>
      </c>
      <c r="D43" s="38" t="s">
        <v>3200</v>
      </c>
      <c r="E43" s="1"/>
      <c r="F43" s="1"/>
      <c r="G43" s="1"/>
      <c r="H43" s="1"/>
      <c r="J43" s="18"/>
      <c r="AK43" s="2">
        <f t="shared" si="0"/>
        <v>2</v>
      </c>
      <c r="AM43" s="2">
        <f t="shared" si="1"/>
        <v>0</v>
      </c>
    </row>
    <row r="44" spans="1:39" ht="29" x14ac:dyDescent="0.35">
      <c r="A44" s="5" t="s">
        <v>1329</v>
      </c>
      <c r="B44" s="5"/>
      <c r="C44" s="5"/>
      <c r="D44" s="5"/>
      <c r="E44" s="1"/>
      <c r="F44" s="1"/>
      <c r="G44" s="1"/>
      <c r="H44" s="1"/>
      <c r="N44" s="1" t="s">
        <v>1330</v>
      </c>
      <c r="AK44" s="2">
        <f t="shared" si="0"/>
        <v>1</v>
      </c>
      <c r="AM44" s="2">
        <f t="shared" si="1"/>
        <v>1</v>
      </c>
    </row>
    <row r="45" spans="1:39" ht="29" x14ac:dyDescent="0.35">
      <c r="A45" s="5" t="s">
        <v>2847</v>
      </c>
      <c r="B45" s="5"/>
      <c r="C45" s="5"/>
      <c r="D45" s="5"/>
      <c r="E45" s="1"/>
      <c r="F45" s="1"/>
      <c r="G45" s="1"/>
      <c r="H45" s="1"/>
      <c r="U45" s="54" t="s">
        <v>984</v>
      </c>
      <c r="AE45" s="1" t="s">
        <v>1074</v>
      </c>
      <c r="AK45" s="2">
        <f t="shared" si="0"/>
        <v>2</v>
      </c>
      <c r="AM45" s="2">
        <f t="shared" si="1"/>
        <v>0</v>
      </c>
    </row>
    <row r="46" spans="1:39" x14ac:dyDescent="0.35">
      <c r="A46" s="5" t="s">
        <v>2321</v>
      </c>
      <c r="B46" s="5"/>
      <c r="C46" s="5"/>
      <c r="D46" s="5"/>
      <c r="E46" s="1"/>
      <c r="F46" s="1"/>
      <c r="G46" s="1"/>
      <c r="H46" s="1"/>
      <c r="U46" s="1" t="s">
        <v>999</v>
      </c>
      <c r="AK46" s="2">
        <f t="shared" si="0"/>
        <v>1</v>
      </c>
      <c r="AM46" s="2">
        <f t="shared" si="1"/>
        <v>0</v>
      </c>
    </row>
    <row r="47" spans="1:39" x14ac:dyDescent="0.35">
      <c r="A47" s="5" t="s">
        <v>2322</v>
      </c>
      <c r="B47" s="5"/>
      <c r="C47" s="5"/>
      <c r="D47" s="5"/>
      <c r="E47" s="1"/>
      <c r="F47" s="1"/>
      <c r="G47" s="1"/>
      <c r="H47" s="1"/>
      <c r="U47" s="1" t="s">
        <v>1000</v>
      </c>
      <c r="AK47" s="2">
        <f t="shared" si="0"/>
        <v>1</v>
      </c>
      <c r="AM47" s="2">
        <f t="shared" si="1"/>
        <v>0</v>
      </c>
    </row>
    <row r="48" spans="1:39" ht="29" x14ac:dyDescent="0.35">
      <c r="A48" s="5" t="s">
        <v>2341</v>
      </c>
      <c r="B48" s="5"/>
      <c r="C48" s="5"/>
      <c r="D48" s="5"/>
      <c r="E48" s="1"/>
      <c r="F48" s="1"/>
      <c r="G48" s="1"/>
      <c r="H48" s="1"/>
      <c r="U48" s="1" t="s">
        <v>1199</v>
      </c>
      <c r="AK48" s="2">
        <f t="shared" si="0"/>
        <v>1</v>
      </c>
      <c r="AM48" s="2">
        <f t="shared" si="1"/>
        <v>0</v>
      </c>
    </row>
    <row r="49" spans="1:39" ht="29" x14ac:dyDescent="0.35">
      <c r="A49" s="5" t="s">
        <v>3026</v>
      </c>
      <c r="B49" s="5"/>
      <c r="C49" s="5"/>
      <c r="D49" s="5"/>
      <c r="E49" s="1"/>
      <c r="F49" s="1"/>
      <c r="G49" s="1"/>
      <c r="H49" s="1"/>
      <c r="AA49" s="53" t="s">
        <v>11</v>
      </c>
      <c r="AH49" s="54" t="s">
        <v>984</v>
      </c>
      <c r="AI49" s="1" t="s">
        <v>991</v>
      </c>
      <c r="AK49" s="2">
        <f t="shared" si="0"/>
        <v>3</v>
      </c>
      <c r="AM49" s="2">
        <f t="shared" si="1"/>
        <v>0</v>
      </c>
    </row>
    <row r="50" spans="1:39" ht="29" x14ac:dyDescent="0.35">
      <c r="A50" s="5" t="s">
        <v>3027</v>
      </c>
      <c r="B50" s="5"/>
      <c r="C50" s="5"/>
      <c r="D50" s="5"/>
      <c r="E50" s="1"/>
      <c r="F50" s="1"/>
      <c r="G50" s="1"/>
      <c r="H50" s="1"/>
      <c r="AA50" s="53" t="s">
        <v>17</v>
      </c>
      <c r="AH50" s="53" t="s">
        <v>985</v>
      </c>
      <c r="AI50" s="1" t="s">
        <v>992</v>
      </c>
      <c r="AK50" s="2">
        <f t="shared" si="0"/>
        <v>3</v>
      </c>
      <c r="AM50" s="2">
        <f t="shared" si="1"/>
        <v>0</v>
      </c>
    </row>
    <row r="51" spans="1:39" ht="29" x14ac:dyDescent="0.35">
      <c r="A51" s="5" t="s">
        <v>3028</v>
      </c>
      <c r="B51" s="5"/>
      <c r="C51" s="5"/>
      <c r="D51" s="5"/>
      <c r="E51" s="1"/>
      <c r="F51" s="1"/>
      <c r="G51" s="1"/>
      <c r="H51" s="1"/>
      <c r="AH51" s="53" t="s">
        <v>986</v>
      </c>
      <c r="AI51" s="1" t="s">
        <v>993</v>
      </c>
      <c r="AK51" s="2">
        <f t="shared" si="0"/>
        <v>2</v>
      </c>
      <c r="AM51" s="2">
        <f t="shared" si="1"/>
        <v>0</v>
      </c>
    </row>
    <row r="52" spans="1:39" ht="29" x14ac:dyDescent="0.35">
      <c r="A52" s="5" t="s">
        <v>2737</v>
      </c>
      <c r="B52" s="5"/>
      <c r="C52" s="5"/>
      <c r="D52" s="5"/>
      <c r="E52" s="1"/>
      <c r="F52" s="1"/>
      <c r="G52" s="1"/>
      <c r="H52" s="1"/>
      <c r="AC52" s="54" t="s">
        <v>2154</v>
      </c>
      <c r="AE52" s="1" t="s">
        <v>1122</v>
      </c>
      <c r="AK52" s="2">
        <f t="shared" si="0"/>
        <v>2</v>
      </c>
      <c r="AM52" s="2">
        <f t="shared" si="1"/>
        <v>0</v>
      </c>
    </row>
    <row r="53" spans="1:39" ht="29" x14ac:dyDescent="0.35">
      <c r="A53" s="5" t="s">
        <v>2849</v>
      </c>
      <c r="B53" s="5"/>
      <c r="C53" s="5"/>
      <c r="D53" s="5"/>
      <c r="E53" s="1"/>
      <c r="F53" s="1"/>
      <c r="G53" s="1"/>
      <c r="H53" s="1"/>
      <c r="AE53" s="1" t="s">
        <v>1076</v>
      </c>
      <c r="AK53" s="2">
        <f t="shared" si="0"/>
        <v>1</v>
      </c>
      <c r="AM53" s="2">
        <f t="shared" si="1"/>
        <v>0</v>
      </c>
    </row>
    <row r="54" spans="1:39" x14ac:dyDescent="0.35">
      <c r="A54" s="5" t="s">
        <v>2846</v>
      </c>
      <c r="B54" s="5"/>
      <c r="C54" s="5"/>
      <c r="D54" s="5"/>
      <c r="E54" s="1"/>
      <c r="F54" s="1"/>
      <c r="G54" s="1"/>
      <c r="H54" s="1"/>
      <c r="AE54" s="1" t="s">
        <v>1454</v>
      </c>
      <c r="AK54" s="2">
        <f t="shared" si="0"/>
        <v>1</v>
      </c>
      <c r="AM54" s="2">
        <f t="shared" si="1"/>
        <v>0</v>
      </c>
    </row>
    <row r="55" spans="1:39" x14ac:dyDescent="0.35">
      <c r="A55" s="5" t="s">
        <v>2886</v>
      </c>
      <c r="B55" s="5"/>
      <c r="C55" s="5"/>
      <c r="D55" s="5"/>
      <c r="E55" s="1"/>
      <c r="F55" s="1"/>
      <c r="G55" s="1"/>
      <c r="H55" s="1"/>
      <c r="AE55" s="1" t="s">
        <v>2887</v>
      </c>
      <c r="AK55" s="2">
        <f t="shared" si="0"/>
        <v>1</v>
      </c>
      <c r="AM55" s="2">
        <f t="shared" si="1"/>
        <v>0</v>
      </c>
    </row>
    <row r="56" spans="1:39" x14ac:dyDescent="0.35">
      <c r="A56" s="5"/>
      <c r="B56" s="5"/>
      <c r="C56" s="5"/>
      <c r="D56" s="5"/>
      <c r="E56" s="1"/>
      <c r="F56" s="1"/>
      <c r="G56" s="1"/>
      <c r="H56" s="1"/>
    </row>
    <row r="57" spans="1:39" x14ac:dyDescent="0.35">
      <c r="A57" s="5"/>
      <c r="B57" s="5"/>
      <c r="C57" s="5"/>
      <c r="D57" s="5"/>
      <c r="E57" s="1"/>
      <c r="F57" s="1"/>
      <c r="G57" s="1"/>
      <c r="H57" s="1"/>
    </row>
    <row r="58" spans="1:39" x14ac:dyDescent="0.35">
      <c r="A58" s="5"/>
      <c r="B58" s="5"/>
      <c r="C58" s="5"/>
      <c r="D58" s="5"/>
      <c r="E58" s="1"/>
      <c r="F58" s="1"/>
      <c r="G58" s="1"/>
      <c r="H58" s="1"/>
    </row>
    <row r="59" spans="1:39" x14ac:dyDescent="0.35">
      <c r="A59" s="5"/>
      <c r="B59" s="5"/>
      <c r="C59" s="5"/>
      <c r="D59" s="5"/>
      <c r="E59" s="1"/>
      <c r="F59" s="1"/>
      <c r="G59" s="1"/>
      <c r="H59" s="1"/>
    </row>
    <row r="60" spans="1:39" x14ac:dyDescent="0.35">
      <c r="A60" s="5"/>
      <c r="B60" s="5"/>
      <c r="C60" s="5"/>
      <c r="D60" s="5"/>
      <c r="E60" s="1"/>
      <c r="F60" s="1"/>
      <c r="G60" s="1"/>
      <c r="H60" s="1"/>
    </row>
    <row r="61" spans="1:39" x14ac:dyDescent="0.35">
      <c r="A61" s="5"/>
      <c r="B61" s="5"/>
      <c r="C61" s="5"/>
      <c r="D61" s="5"/>
      <c r="E61" s="1"/>
      <c r="F61" s="1"/>
      <c r="G61" s="1"/>
      <c r="H61" s="1"/>
    </row>
    <row r="62" spans="1:39" x14ac:dyDescent="0.35">
      <c r="A62" s="5"/>
      <c r="B62" s="5"/>
      <c r="C62" s="5"/>
      <c r="D62" s="5"/>
      <c r="E62" s="1"/>
      <c r="F62" s="1"/>
      <c r="G62" s="1"/>
      <c r="H62" s="1"/>
    </row>
    <row r="63" spans="1:39" x14ac:dyDescent="0.35">
      <c r="A63" s="5"/>
      <c r="B63" s="5"/>
      <c r="C63" s="5"/>
      <c r="D63" s="5"/>
      <c r="E63" s="1"/>
      <c r="F63" s="1"/>
      <c r="G63" s="1"/>
      <c r="H63" s="1"/>
    </row>
    <row r="64" spans="1:39" x14ac:dyDescent="0.35">
      <c r="A64" s="5"/>
      <c r="B64" s="5"/>
      <c r="C64" s="5"/>
      <c r="D64" s="5"/>
      <c r="E64" s="1"/>
      <c r="F64" s="1"/>
      <c r="G64" s="1"/>
      <c r="H64" s="1"/>
    </row>
    <row r="65" spans="1:8" x14ac:dyDescent="0.35">
      <c r="A65" s="5"/>
      <c r="B65" s="5"/>
      <c r="C65" s="5"/>
      <c r="D65" s="5"/>
      <c r="E65" s="1"/>
      <c r="F65" s="1"/>
      <c r="G65" s="1"/>
      <c r="H65" s="1"/>
    </row>
    <row r="66" spans="1:8" x14ac:dyDescent="0.35">
      <c r="A66" s="5"/>
      <c r="B66" s="5"/>
      <c r="C66" s="5"/>
      <c r="D66" s="5"/>
      <c r="E66" s="1"/>
      <c r="F66" s="1"/>
      <c r="G66" s="1"/>
      <c r="H66" s="1"/>
    </row>
    <row r="67" spans="1:8" x14ac:dyDescent="0.35">
      <c r="A67" s="5"/>
      <c r="B67" s="5"/>
      <c r="C67" s="5"/>
      <c r="D67" s="5"/>
      <c r="E67" s="1"/>
      <c r="F67" s="1"/>
      <c r="G67" s="1"/>
      <c r="H67" s="1"/>
    </row>
    <row r="68" spans="1:8" x14ac:dyDescent="0.35">
      <c r="A68" s="5"/>
      <c r="B68" s="5"/>
      <c r="C68" s="5"/>
      <c r="D68" s="5"/>
      <c r="E68" s="1"/>
      <c r="F68" s="1"/>
      <c r="G68" s="1"/>
      <c r="H68" s="1"/>
    </row>
    <row r="69" spans="1:8" x14ac:dyDescent="0.35">
      <c r="A69" s="5"/>
      <c r="B69" s="5"/>
      <c r="C69" s="5"/>
      <c r="D69" s="5"/>
      <c r="E69" s="1"/>
      <c r="F69" s="1"/>
      <c r="G69" s="1"/>
      <c r="H69" s="1"/>
    </row>
    <row r="70" spans="1:8" x14ac:dyDescent="0.35">
      <c r="A70" s="5"/>
      <c r="B70" s="5"/>
      <c r="C70" s="5"/>
      <c r="D70" s="5"/>
      <c r="E70" s="1"/>
      <c r="F70" s="1"/>
      <c r="G70" s="1"/>
      <c r="H70" s="1"/>
    </row>
    <row r="71" spans="1:8" x14ac:dyDescent="0.35">
      <c r="A71" s="5"/>
      <c r="B71" s="1"/>
      <c r="C71" s="1"/>
      <c r="D71" s="5"/>
      <c r="E71" s="1"/>
      <c r="F71" s="1"/>
      <c r="G71" s="1"/>
      <c r="H71" s="1"/>
    </row>
    <row r="72" spans="1:8" x14ac:dyDescent="0.35">
      <c r="A72" s="5"/>
      <c r="B72" s="1"/>
      <c r="C72" s="1"/>
      <c r="D72" s="5"/>
      <c r="E72" s="1"/>
      <c r="F72" s="1"/>
      <c r="G72" s="1"/>
      <c r="H72" s="1"/>
    </row>
    <row r="73" spans="1:8" x14ac:dyDescent="0.35">
      <c r="A73" s="5"/>
      <c r="B73" s="1"/>
      <c r="C73" s="1"/>
      <c r="D73" s="5"/>
      <c r="E73" s="1"/>
      <c r="F73" s="1"/>
      <c r="G73" s="1"/>
      <c r="H73" s="1"/>
    </row>
    <row r="74" spans="1:8" x14ac:dyDescent="0.35">
      <c r="A74" s="5"/>
      <c r="B74" s="1"/>
      <c r="C74" s="1"/>
      <c r="D74" s="5"/>
      <c r="E74" s="1"/>
      <c r="F74" s="1"/>
      <c r="G74" s="1"/>
      <c r="H74" s="1"/>
    </row>
    <row r="75" spans="1:8" x14ac:dyDescent="0.35">
      <c r="A75" s="5"/>
      <c r="B75" s="1"/>
      <c r="C75" s="1"/>
      <c r="D75" s="5"/>
      <c r="E75" s="1"/>
      <c r="F75" s="1"/>
      <c r="G75" s="1"/>
      <c r="H75" s="1"/>
    </row>
    <row r="76" spans="1:8" x14ac:dyDescent="0.35">
      <c r="A76" s="5"/>
      <c r="B76" s="1"/>
      <c r="C76" s="1"/>
      <c r="D76" s="5"/>
      <c r="E76" s="1"/>
      <c r="F76" s="1"/>
      <c r="G76" s="1"/>
      <c r="H76" s="1"/>
    </row>
    <row r="77" spans="1:8" x14ac:dyDescent="0.35">
      <c r="A77" s="5"/>
      <c r="B77" s="1"/>
      <c r="C77" s="1"/>
      <c r="D77" s="5"/>
      <c r="E77" s="1"/>
      <c r="F77" s="1"/>
      <c r="G77" s="1"/>
      <c r="H77" s="1"/>
    </row>
    <row r="78" spans="1:8" x14ac:dyDescent="0.35">
      <c r="A78" s="5"/>
      <c r="B78" s="1"/>
      <c r="C78" s="1"/>
      <c r="D78" s="5"/>
      <c r="E78" s="1"/>
      <c r="F78" s="1"/>
      <c r="G78" s="1"/>
      <c r="H78" s="1"/>
    </row>
    <row r="79" spans="1:8" x14ac:dyDescent="0.35">
      <c r="A79" s="5"/>
      <c r="B79" s="1"/>
      <c r="C79" s="1"/>
      <c r="D79" s="5"/>
      <c r="E79" s="1"/>
      <c r="F79" s="1"/>
      <c r="G79" s="1"/>
      <c r="H79" s="1"/>
    </row>
    <row r="80" spans="1:8" x14ac:dyDescent="0.35">
      <c r="A80" s="5"/>
      <c r="B80" s="5"/>
      <c r="C80" s="5"/>
      <c r="D80" s="5"/>
      <c r="E80" s="1"/>
      <c r="F80" s="1"/>
      <c r="G80" s="1"/>
      <c r="H80" s="1"/>
    </row>
    <row r="81" spans="1:8" x14ac:dyDescent="0.35">
      <c r="A81" s="5"/>
      <c r="B81" s="1"/>
      <c r="C81" s="1"/>
      <c r="D81" s="5"/>
      <c r="E81" s="1"/>
      <c r="F81" s="1"/>
      <c r="G81" s="1"/>
      <c r="H81" s="1"/>
    </row>
    <row r="82" spans="1:8" x14ac:dyDescent="0.35">
      <c r="A82" s="5"/>
      <c r="B82" s="1"/>
      <c r="C82" s="1"/>
      <c r="D82" s="5"/>
      <c r="E82" s="1"/>
      <c r="F82" s="1"/>
      <c r="G82" s="1"/>
      <c r="H82" s="1"/>
    </row>
    <row r="83" spans="1:8" x14ac:dyDescent="0.35">
      <c r="A83" s="5"/>
      <c r="B83" s="1"/>
      <c r="C83" s="1"/>
      <c r="D83" s="5"/>
      <c r="E83" s="1"/>
      <c r="F83" s="1"/>
      <c r="G83" s="1"/>
      <c r="H83" s="1"/>
    </row>
    <row r="84" spans="1:8" x14ac:dyDescent="0.35">
      <c r="A84" s="5"/>
      <c r="B84" s="1"/>
      <c r="C84" s="1"/>
      <c r="D84" s="5"/>
      <c r="E84" s="1"/>
      <c r="F84" s="1"/>
      <c r="G84" s="1"/>
      <c r="H84" s="1"/>
    </row>
    <row r="85" spans="1:8" x14ac:dyDescent="0.35">
      <c r="A85" s="5"/>
      <c r="B85" s="1"/>
      <c r="C85" s="1"/>
      <c r="D85" s="5"/>
      <c r="E85" s="1"/>
      <c r="F85" s="1"/>
      <c r="G85" s="1"/>
      <c r="H85" s="1"/>
    </row>
    <row r="86" spans="1:8" x14ac:dyDescent="0.35">
      <c r="A86" s="5"/>
      <c r="B86" s="1"/>
      <c r="C86" s="1"/>
      <c r="D86" s="5"/>
      <c r="E86" s="1"/>
      <c r="F86" s="1"/>
      <c r="G86" s="1"/>
      <c r="H86" s="1"/>
    </row>
    <row r="87" spans="1:8" x14ac:dyDescent="0.35">
      <c r="A87" s="5"/>
      <c r="B87" s="1"/>
      <c r="C87" s="1"/>
      <c r="D87" s="5"/>
      <c r="E87" s="1"/>
      <c r="F87" s="1"/>
      <c r="G87" s="1"/>
      <c r="H87" s="1"/>
    </row>
    <row r="88" spans="1:8" x14ac:dyDescent="0.35">
      <c r="A88" s="5"/>
      <c r="B88" s="1"/>
      <c r="C88" s="1"/>
      <c r="D88" s="5"/>
      <c r="E88" s="1"/>
      <c r="F88" s="1"/>
      <c r="G88" s="1"/>
      <c r="H88" s="1"/>
    </row>
    <row r="89" spans="1:8" x14ac:dyDescent="0.35">
      <c r="A89" s="5"/>
      <c r="B89" s="1"/>
      <c r="C89" s="1"/>
      <c r="D89" s="5"/>
      <c r="E89" s="1"/>
      <c r="F89" s="1"/>
      <c r="G89" s="1"/>
      <c r="H89" s="1"/>
    </row>
    <row r="90" spans="1:8" x14ac:dyDescent="0.35">
      <c r="A90" s="5"/>
      <c r="B90" s="1"/>
      <c r="C90" s="1"/>
      <c r="D90" s="5"/>
      <c r="E90" s="1"/>
      <c r="F90" s="1"/>
      <c r="G90" s="1"/>
      <c r="H90" s="1"/>
    </row>
    <row r="91" spans="1:8" x14ac:dyDescent="0.35">
      <c r="A91" s="5"/>
      <c r="B91" s="1"/>
      <c r="C91" s="1"/>
      <c r="D91" s="5"/>
      <c r="E91" s="1"/>
      <c r="F91" s="1"/>
      <c r="G91" s="1"/>
      <c r="H91" s="1"/>
    </row>
    <row r="92" spans="1:8" x14ac:dyDescent="0.35">
      <c r="A92" s="5"/>
      <c r="B92" s="1"/>
      <c r="C92" s="1"/>
      <c r="D92" s="5"/>
      <c r="E92" s="1"/>
      <c r="F92" s="1"/>
      <c r="G92" s="1"/>
      <c r="H92" s="1"/>
    </row>
    <row r="93" spans="1:8" x14ac:dyDescent="0.35">
      <c r="A93" s="5"/>
      <c r="B93" s="1"/>
      <c r="C93" s="1"/>
      <c r="D93" s="5"/>
      <c r="E93" s="1"/>
      <c r="F93" s="1"/>
      <c r="G93" s="1"/>
      <c r="H93" s="1"/>
    </row>
    <row r="94" spans="1:8" x14ac:dyDescent="0.35">
      <c r="A94" s="5"/>
      <c r="B94" s="1"/>
      <c r="C94" s="1"/>
      <c r="D94" s="5"/>
      <c r="E94" s="1"/>
      <c r="F94" s="1"/>
      <c r="G94" s="1"/>
      <c r="H94" s="1"/>
    </row>
    <row r="95" spans="1:8" x14ac:dyDescent="0.35">
      <c r="A95" s="5"/>
      <c r="B95" s="1"/>
      <c r="C95" s="1"/>
      <c r="D95" s="5"/>
      <c r="E95" s="1"/>
      <c r="F95" s="1"/>
      <c r="G95" s="1"/>
      <c r="H95" s="1"/>
    </row>
    <row r="96" spans="1:8" x14ac:dyDescent="0.35">
      <c r="A96" s="5"/>
      <c r="B96" s="1"/>
      <c r="C96" s="1"/>
      <c r="D96" s="5"/>
      <c r="E96" s="1"/>
      <c r="F96" s="1"/>
      <c r="G96" s="1"/>
      <c r="H96" s="1"/>
    </row>
    <row r="97" spans="1:8" x14ac:dyDescent="0.35">
      <c r="A97" s="5"/>
      <c r="B97" s="1"/>
      <c r="C97" s="1"/>
      <c r="D97" s="5"/>
      <c r="E97" s="1"/>
      <c r="F97" s="1"/>
      <c r="G97" s="1"/>
      <c r="H97" s="1"/>
    </row>
    <row r="98" spans="1:8" x14ac:dyDescent="0.35">
      <c r="A98" s="5"/>
      <c r="B98" s="1"/>
      <c r="C98" s="1"/>
      <c r="D98" s="5"/>
      <c r="E98" s="1"/>
      <c r="F98" s="1"/>
      <c r="G98" s="1"/>
      <c r="H98" s="1"/>
    </row>
    <row r="99" spans="1:8" x14ac:dyDescent="0.35">
      <c r="A99" s="5"/>
      <c r="B99" s="1"/>
      <c r="C99" s="1"/>
      <c r="D99" s="5"/>
      <c r="E99" s="1"/>
      <c r="F99" s="1"/>
      <c r="G99" s="1"/>
      <c r="H99" s="1"/>
    </row>
    <row r="100" spans="1:8" x14ac:dyDescent="0.35">
      <c r="A100" s="5"/>
      <c r="B100" s="1"/>
      <c r="C100" s="1"/>
      <c r="D100" s="5"/>
      <c r="E100" s="1"/>
      <c r="F100" s="1"/>
      <c r="G100" s="1"/>
      <c r="H100" s="1"/>
    </row>
    <row r="101" spans="1:8" x14ac:dyDescent="0.35">
      <c r="A101" s="5"/>
      <c r="B101" s="1"/>
      <c r="C101" s="1"/>
      <c r="D101" s="5"/>
      <c r="E101" s="1"/>
      <c r="F101" s="1"/>
      <c r="G101" s="1"/>
      <c r="H101" s="1"/>
    </row>
    <row r="102" spans="1:8" x14ac:dyDescent="0.35">
      <c r="A102" s="5"/>
      <c r="B102" s="1"/>
      <c r="C102" s="1"/>
      <c r="D102" s="5"/>
      <c r="E102" s="1"/>
      <c r="F102" s="1"/>
      <c r="G102" s="1"/>
      <c r="H102" s="1"/>
    </row>
    <row r="103" spans="1:8" x14ac:dyDescent="0.35">
      <c r="A103" s="5"/>
      <c r="B103" s="1"/>
      <c r="C103" s="1"/>
      <c r="D103" s="5"/>
      <c r="E103" s="1"/>
      <c r="F103" s="1"/>
      <c r="G103" s="1"/>
      <c r="H103" s="1"/>
    </row>
    <row r="104" spans="1:8" x14ac:dyDescent="0.35">
      <c r="A104" s="5"/>
      <c r="B104" s="1"/>
      <c r="C104" s="1"/>
      <c r="D104" s="5"/>
      <c r="E104" s="1"/>
      <c r="F104" s="1"/>
      <c r="G104" s="1"/>
      <c r="H104" s="1"/>
    </row>
    <row r="105" spans="1:8" x14ac:dyDescent="0.35">
      <c r="A105" s="5"/>
      <c r="B105" s="1"/>
      <c r="C105" s="1"/>
      <c r="D105" s="5"/>
      <c r="E105" s="1"/>
      <c r="F105" s="1"/>
      <c r="G105" s="1"/>
      <c r="H105" s="1"/>
    </row>
    <row r="106" spans="1:8" x14ac:dyDescent="0.35">
      <c r="A106" s="5"/>
      <c r="B106" s="1"/>
      <c r="C106" s="1"/>
      <c r="D106" s="5"/>
      <c r="E106" s="1"/>
      <c r="F106" s="1"/>
      <c r="G106" s="1"/>
      <c r="H106" s="1"/>
    </row>
    <row r="107" spans="1:8" x14ac:dyDescent="0.35">
      <c r="A107" s="5"/>
      <c r="B107" s="1"/>
      <c r="C107" s="1"/>
      <c r="D107" s="5"/>
      <c r="E107" s="1"/>
      <c r="F107" s="1"/>
      <c r="G107" s="1"/>
      <c r="H107" s="1"/>
    </row>
    <row r="108" spans="1:8" x14ac:dyDescent="0.35">
      <c r="A108" s="5"/>
      <c r="B108" s="1"/>
      <c r="C108" s="1"/>
      <c r="D108" s="5"/>
      <c r="E108" s="1"/>
      <c r="F108" s="1"/>
      <c r="G108" s="1"/>
      <c r="H108" s="1"/>
    </row>
    <row r="109" spans="1:8" x14ac:dyDescent="0.35">
      <c r="A109" s="5"/>
      <c r="B109" s="1"/>
      <c r="C109" s="1"/>
      <c r="D109" s="5"/>
      <c r="E109" s="1"/>
      <c r="F109" s="1"/>
      <c r="G109" s="1"/>
      <c r="H109" s="1"/>
    </row>
    <row r="110" spans="1:8" x14ac:dyDescent="0.35">
      <c r="A110" s="5"/>
      <c r="B110" s="1"/>
      <c r="C110" s="1"/>
      <c r="D110" s="5"/>
      <c r="E110" s="1"/>
      <c r="F110" s="1"/>
      <c r="G110" s="1"/>
      <c r="H110" s="1"/>
    </row>
    <row r="111" spans="1:8" x14ac:dyDescent="0.35">
      <c r="A111" s="5"/>
      <c r="B111" s="1"/>
      <c r="C111" s="1"/>
      <c r="D111" s="5"/>
      <c r="E111" s="1"/>
      <c r="F111" s="1"/>
      <c r="G111" s="1"/>
      <c r="H111" s="1"/>
    </row>
    <row r="112" spans="1:8" x14ac:dyDescent="0.35">
      <c r="A112" s="5"/>
      <c r="B112" s="1"/>
      <c r="C112" s="1"/>
      <c r="D112" s="5"/>
      <c r="E112" s="1"/>
      <c r="F112" s="1"/>
      <c r="G112" s="1"/>
      <c r="H112" s="1"/>
    </row>
    <row r="113" spans="1:8" x14ac:dyDescent="0.35">
      <c r="A113" s="5"/>
      <c r="B113" s="1"/>
      <c r="C113" s="1"/>
      <c r="D113" s="5"/>
      <c r="E113" s="1"/>
      <c r="F113" s="1"/>
      <c r="G113" s="1"/>
      <c r="H113" s="1"/>
    </row>
    <row r="114" spans="1:8" x14ac:dyDescent="0.35">
      <c r="A114" s="5"/>
      <c r="B114" s="1"/>
      <c r="C114" s="1"/>
      <c r="D114" s="5"/>
      <c r="E114" s="1"/>
      <c r="F114" s="1"/>
      <c r="G114" s="1"/>
      <c r="H114" s="1"/>
    </row>
    <row r="115" spans="1:8" x14ac:dyDescent="0.35">
      <c r="A115" s="5"/>
      <c r="B115" s="1"/>
      <c r="C115" s="1"/>
      <c r="D115" s="5"/>
      <c r="E115" s="1"/>
      <c r="F115" s="1"/>
      <c r="G115" s="1"/>
      <c r="H115" s="1"/>
    </row>
    <row r="116" spans="1:8" x14ac:dyDescent="0.35">
      <c r="A116" s="5"/>
      <c r="B116" s="1"/>
      <c r="C116" s="1"/>
      <c r="D116" s="5"/>
      <c r="E116" s="1"/>
      <c r="F116" s="1"/>
      <c r="G116" s="1"/>
      <c r="H116" s="1"/>
    </row>
    <row r="117" spans="1:8" x14ac:dyDescent="0.35">
      <c r="A117" s="5"/>
      <c r="B117" s="1"/>
      <c r="C117" s="1"/>
      <c r="D117" s="5"/>
      <c r="E117" s="1"/>
      <c r="F117" s="1"/>
      <c r="G117" s="1"/>
      <c r="H117" s="1"/>
    </row>
    <row r="118" spans="1:8" x14ac:dyDescent="0.35">
      <c r="A118" s="5"/>
      <c r="B118" s="1"/>
      <c r="C118" s="1"/>
      <c r="D118" s="5"/>
      <c r="E118" s="1"/>
      <c r="F118" s="1"/>
      <c r="G118" s="1"/>
      <c r="H118" s="1"/>
    </row>
    <row r="119" spans="1:8" x14ac:dyDescent="0.35">
      <c r="A119" s="5"/>
      <c r="B119" s="1"/>
      <c r="C119" s="1"/>
      <c r="D119" s="5"/>
      <c r="E119" s="1"/>
      <c r="F119" s="1"/>
      <c r="G119" s="1"/>
      <c r="H119" s="1"/>
    </row>
    <row r="120" spans="1:8" x14ac:dyDescent="0.35">
      <c r="A120" s="5"/>
      <c r="B120" s="1"/>
      <c r="C120" s="1"/>
      <c r="D120" s="5"/>
      <c r="E120" s="1"/>
      <c r="F120" s="1"/>
      <c r="G120" s="1"/>
      <c r="H120" s="1"/>
    </row>
    <row r="121" spans="1:8" x14ac:dyDescent="0.35">
      <c r="A121" s="5"/>
      <c r="B121" s="1"/>
      <c r="C121" s="1"/>
      <c r="D121" s="5"/>
      <c r="E121" s="1"/>
      <c r="F121" s="1"/>
      <c r="G121" s="1"/>
      <c r="H121" s="1"/>
    </row>
    <row r="122" spans="1:8" x14ac:dyDescent="0.35">
      <c r="A122" s="5"/>
      <c r="B122" s="1"/>
      <c r="C122" s="1"/>
      <c r="D122" s="5"/>
      <c r="E122" s="1"/>
      <c r="F122" s="1"/>
      <c r="G122" s="1"/>
      <c r="H122" s="1"/>
    </row>
    <row r="123" spans="1:8" x14ac:dyDescent="0.35">
      <c r="A123" s="5"/>
      <c r="B123" s="1"/>
      <c r="C123" s="1"/>
      <c r="D123" s="5"/>
      <c r="E123" s="1"/>
      <c r="F123" s="1"/>
      <c r="G123" s="1"/>
      <c r="H123" s="1"/>
    </row>
    <row r="124" spans="1:8" x14ac:dyDescent="0.35">
      <c r="A124" s="5"/>
      <c r="B124" s="1"/>
      <c r="C124" s="1"/>
      <c r="D124" s="5"/>
      <c r="E124" s="1"/>
      <c r="F124" s="1"/>
      <c r="G124" s="1"/>
      <c r="H124" s="1"/>
    </row>
    <row r="125" spans="1:8" x14ac:dyDescent="0.35">
      <c r="A125" s="5"/>
      <c r="B125" s="1"/>
      <c r="C125" s="1"/>
      <c r="D125" s="5"/>
      <c r="E125" s="1"/>
      <c r="F125" s="1"/>
      <c r="G125" s="1"/>
      <c r="H125" s="1"/>
    </row>
    <row r="126" spans="1:8" x14ac:dyDescent="0.35">
      <c r="A126" s="5"/>
      <c r="B126" s="1"/>
      <c r="C126" s="1"/>
      <c r="D126" s="5"/>
      <c r="E126" s="1"/>
      <c r="F126" s="1"/>
      <c r="G126" s="1"/>
      <c r="H126" s="1"/>
    </row>
    <row r="127" spans="1:8" x14ac:dyDescent="0.35">
      <c r="A127" s="5"/>
      <c r="B127" s="1"/>
      <c r="C127" s="1"/>
      <c r="D127" s="5"/>
      <c r="E127" s="1"/>
      <c r="F127" s="1"/>
      <c r="G127" s="1"/>
      <c r="H127" s="1"/>
    </row>
    <row r="128" spans="1:8" x14ac:dyDescent="0.35">
      <c r="A128" s="5"/>
      <c r="B128" s="1"/>
      <c r="C128" s="1"/>
      <c r="D128" s="5"/>
      <c r="E128" s="1"/>
      <c r="F128" s="1"/>
      <c r="G128" s="1"/>
      <c r="H128" s="1"/>
    </row>
    <row r="129" spans="1:8" x14ac:dyDescent="0.35">
      <c r="A129" s="5"/>
      <c r="B129" s="1"/>
      <c r="C129" s="1"/>
      <c r="D129" s="5"/>
      <c r="E129" s="1"/>
      <c r="F129" s="1"/>
      <c r="G129" s="1"/>
      <c r="H129" s="1"/>
    </row>
    <row r="130" spans="1:8" x14ac:dyDescent="0.35">
      <c r="A130" s="5"/>
      <c r="B130" s="1"/>
      <c r="C130" s="1"/>
      <c r="D130" s="5"/>
      <c r="E130" s="1"/>
      <c r="F130" s="1"/>
      <c r="G130" s="1"/>
      <c r="H130" s="1"/>
    </row>
    <row r="131" spans="1:8" x14ac:dyDescent="0.35">
      <c r="A131" s="5"/>
      <c r="B131" s="1"/>
      <c r="C131" s="1"/>
      <c r="D131" s="5"/>
      <c r="E131" s="1"/>
      <c r="F131" s="1"/>
      <c r="G131" s="1"/>
      <c r="H131" s="1"/>
    </row>
    <row r="132" spans="1:8" x14ac:dyDescent="0.35">
      <c r="A132" s="5"/>
      <c r="B132" s="1"/>
      <c r="C132" s="1"/>
      <c r="D132" s="5"/>
      <c r="E132" s="1"/>
      <c r="F132" s="1"/>
      <c r="G132" s="1"/>
      <c r="H132" s="1"/>
    </row>
    <row r="133" spans="1:8" x14ac:dyDescent="0.35">
      <c r="A133" s="5"/>
      <c r="B133" s="1"/>
      <c r="C133" s="1"/>
      <c r="D133" s="5"/>
      <c r="E133" s="1"/>
      <c r="F133" s="1"/>
      <c r="G133" s="1"/>
      <c r="H133" s="1"/>
    </row>
    <row r="134" spans="1:8" x14ac:dyDescent="0.35">
      <c r="A134" s="5"/>
      <c r="B134" s="1"/>
      <c r="C134" s="1"/>
      <c r="D134" s="5"/>
      <c r="E134" s="1"/>
      <c r="F134" s="1"/>
      <c r="G134" s="1"/>
      <c r="H134" s="1"/>
    </row>
    <row r="135" spans="1:8" x14ac:dyDescent="0.35">
      <c r="A135" s="5"/>
      <c r="B135" s="1"/>
      <c r="C135" s="1"/>
      <c r="D135" s="5"/>
      <c r="E135" s="1"/>
      <c r="F135" s="1"/>
      <c r="G135" s="1"/>
      <c r="H135" s="1"/>
    </row>
    <row r="136" spans="1:8" x14ac:dyDescent="0.35">
      <c r="A136" s="5"/>
      <c r="B136" s="1"/>
      <c r="C136" s="1"/>
      <c r="D136" s="5"/>
      <c r="E136" s="1"/>
      <c r="F136" s="1"/>
      <c r="G136" s="1"/>
      <c r="H136" s="1"/>
    </row>
    <row r="137" spans="1:8" x14ac:dyDescent="0.35">
      <c r="A137" s="5"/>
      <c r="B137" s="1"/>
      <c r="C137" s="1"/>
      <c r="D137" s="5"/>
      <c r="E137" s="1"/>
      <c r="F137" s="1"/>
      <c r="G137" s="1"/>
      <c r="H137" s="1"/>
    </row>
    <row r="138" spans="1:8" x14ac:dyDescent="0.35">
      <c r="A138" s="5"/>
      <c r="B138" s="1"/>
      <c r="C138" s="1"/>
      <c r="D138" s="5"/>
      <c r="E138" s="1"/>
      <c r="F138" s="1"/>
      <c r="G138" s="1"/>
      <c r="H138" s="1"/>
    </row>
    <row r="139" spans="1:8" x14ac:dyDescent="0.35">
      <c r="A139" s="5"/>
      <c r="B139" s="1"/>
      <c r="C139" s="1"/>
      <c r="D139" s="5"/>
      <c r="E139" s="1"/>
      <c r="F139" s="1"/>
      <c r="G139" s="1"/>
      <c r="H139" s="1"/>
    </row>
    <row r="140" spans="1:8" x14ac:dyDescent="0.35">
      <c r="A140" s="5"/>
      <c r="B140" s="1"/>
      <c r="C140" s="1"/>
      <c r="D140" s="5"/>
      <c r="E140" s="1"/>
      <c r="F140" s="1"/>
      <c r="G140" s="1"/>
      <c r="H140" s="1"/>
    </row>
    <row r="141" spans="1:8" x14ac:dyDescent="0.35">
      <c r="A141" s="5"/>
      <c r="B141" s="1"/>
      <c r="C141" s="1"/>
      <c r="D141" s="5"/>
      <c r="E141" s="1"/>
      <c r="F141" s="1"/>
      <c r="G141" s="1"/>
      <c r="H141" s="1"/>
    </row>
    <row r="142" spans="1:8" x14ac:dyDescent="0.35">
      <c r="A142" s="5"/>
      <c r="B142" s="1"/>
      <c r="C142" s="1"/>
      <c r="D142" s="5"/>
      <c r="E142" s="1"/>
      <c r="F142" s="1"/>
      <c r="G142" s="1"/>
      <c r="H142" s="1"/>
    </row>
    <row r="143" spans="1:8" x14ac:dyDescent="0.35">
      <c r="A143" s="5"/>
      <c r="B143" s="1"/>
      <c r="C143" s="1"/>
      <c r="D143" s="5"/>
      <c r="E143" s="1"/>
      <c r="F143" s="1"/>
      <c r="G143" s="1"/>
      <c r="H143" s="1"/>
    </row>
    <row r="144" spans="1:8" x14ac:dyDescent="0.35">
      <c r="A144" s="5"/>
      <c r="B144" s="1"/>
      <c r="C144" s="1"/>
      <c r="D144" s="5"/>
      <c r="E144" s="1"/>
      <c r="F144" s="1"/>
      <c r="G144" s="1"/>
      <c r="H144" s="1"/>
    </row>
    <row r="145" spans="1:8" x14ac:dyDescent="0.35">
      <c r="A145" s="5"/>
      <c r="B145" s="1"/>
      <c r="C145" s="1"/>
      <c r="D145" s="5"/>
      <c r="E145" s="1"/>
      <c r="F145" s="1"/>
      <c r="G145" s="1"/>
      <c r="H145" s="1"/>
    </row>
    <row r="146" spans="1:8" x14ac:dyDescent="0.35">
      <c r="A146" s="5"/>
      <c r="B146" s="1"/>
      <c r="C146" s="1"/>
      <c r="D146" s="5"/>
      <c r="E146" s="1"/>
      <c r="F146" s="1"/>
      <c r="G146" s="1"/>
      <c r="H146" s="1"/>
    </row>
    <row r="147" spans="1:8" x14ac:dyDescent="0.35">
      <c r="A147" s="5"/>
      <c r="B147" s="1"/>
      <c r="C147" s="1"/>
      <c r="D147" s="5"/>
      <c r="E147" s="1"/>
      <c r="F147" s="1"/>
      <c r="G147" s="1"/>
      <c r="H147" s="1"/>
    </row>
    <row r="148" spans="1:8" x14ac:dyDescent="0.35">
      <c r="A148" s="5"/>
      <c r="B148" s="1"/>
      <c r="C148" s="1"/>
      <c r="D148" s="5"/>
      <c r="E148" s="1"/>
      <c r="F148" s="1"/>
      <c r="G148" s="1"/>
      <c r="H148" s="1"/>
    </row>
    <row r="149" spans="1:8" x14ac:dyDescent="0.35">
      <c r="A149" s="5"/>
      <c r="B149" s="1"/>
      <c r="C149" s="1"/>
      <c r="D149" s="5"/>
      <c r="E149" s="1"/>
      <c r="F149" s="1"/>
      <c r="G149" s="1"/>
      <c r="H149" s="1"/>
    </row>
    <row r="150" spans="1:8" x14ac:dyDescent="0.35">
      <c r="A150" s="5"/>
      <c r="B150" s="1"/>
      <c r="C150" s="1"/>
      <c r="D150" s="5"/>
      <c r="E150" s="1"/>
      <c r="F150" s="1"/>
      <c r="G150" s="1"/>
      <c r="H150" s="1"/>
    </row>
    <row r="151" spans="1:8" x14ac:dyDescent="0.35">
      <c r="A151" s="5"/>
      <c r="B151" s="1"/>
      <c r="C151" s="1"/>
      <c r="D151" s="5"/>
      <c r="E151" s="1"/>
      <c r="F151" s="1"/>
      <c r="G151" s="1"/>
      <c r="H151" s="1"/>
    </row>
    <row r="152" spans="1:8" x14ac:dyDescent="0.35">
      <c r="A152" s="5"/>
      <c r="B152" s="1"/>
      <c r="C152" s="1"/>
      <c r="D152" s="5"/>
      <c r="E152" s="1"/>
      <c r="F152" s="1"/>
      <c r="G152" s="1"/>
      <c r="H152" s="1"/>
    </row>
    <row r="153" spans="1:8" x14ac:dyDescent="0.35">
      <c r="A153" s="5"/>
      <c r="B153" s="1"/>
      <c r="C153" s="1"/>
      <c r="D153" s="5"/>
      <c r="E153" s="1"/>
      <c r="F153" s="1"/>
      <c r="G153" s="1"/>
      <c r="H153" s="1"/>
    </row>
    <row r="154" spans="1:8" x14ac:dyDescent="0.35">
      <c r="A154" s="5"/>
      <c r="B154" s="1"/>
      <c r="C154" s="1"/>
      <c r="D154" s="5"/>
      <c r="E154" s="1"/>
      <c r="F154" s="1"/>
      <c r="G154" s="1"/>
      <c r="H154" s="1"/>
    </row>
    <row r="155" spans="1:8" x14ac:dyDescent="0.35">
      <c r="A155" s="5"/>
      <c r="B155" s="1"/>
      <c r="C155" s="1"/>
      <c r="D155" s="5"/>
      <c r="E155" s="1"/>
      <c r="F155" s="1"/>
      <c r="G155" s="1"/>
      <c r="H155" s="1"/>
    </row>
    <row r="156" spans="1:8" x14ac:dyDescent="0.35">
      <c r="A156" s="5"/>
      <c r="B156" s="1"/>
      <c r="C156" s="1"/>
      <c r="D156" s="5"/>
      <c r="E156" s="1"/>
      <c r="F156" s="1"/>
      <c r="G156" s="1"/>
      <c r="H156" s="1"/>
    </row>
    <row r="157" spans="1:8" x14ac:dyDescent="0.35">
      <c r="A157" s="5"/>
      <c r="B157" s="1"/>
      <c r="C157" s="1"/>
      <c r="D157" s="5"/>
      <c r="E157" s="1"/>
      <c r="F157" s="1"/>
      <c r="G157" s="1"/>
      <c r="H157" s="1"/>
    </row>
    <row r="158" spans="1:8" x14ac:dyDescent="0.35">
      <c r="A158" s="5"/>
      <c r="B158" s="1"/>
      <c r="C158" s="1"/>
      <c r="D158" s="5"/>
      <c r="E158" s="1"/>
      <c r="F158" s="1"/>
      <c r="G158" s="1"/>
      <c r="H158" s="1"/>
    </row>
    <row r="159" spans="1:8" x14ac:dyDescent="0.35">
      <c r="A159" s="5"/>
      <c r="B159" s="1"/>
      <c r="C159" s="1"/>
      <c r="D159" s="5"/>
      <c r="E159" s="1"/>
      <c r="F159" s="1"/>
      <c r="G159" s="1"/>
      <c r="H159" s="1"/>
    </row>
    <row r="160" spans="1:8" x14ac:dyDescent="0.35">
      <c r="A160" s="5"/>
      <c r="B160" s="1"/>
      <c r="C160" s="1"/>
      <c r="D160" s="5"/>
      <c r="E160" s="1"/>
      <c r="F160" s="1"/>
      <c r="G160" s="1"/>
      <c r="H160" s="1"/>
    </row>
    <row r="161" spans="1:8" x14ac:dyDescent="0.35">
      <c r="A161" s="5"/>
      <c r="B161" s="1"/>
      <c r="C161" s="1"/>
      <c r="D161" s="5"/>
      <c r="E161" s="1"/>
      <c r="F161" s="1"/>
      <c r="G161" s="1"/>
      <c r="H161" s="1"/>
    </row>
    <row r="162" spans="1:8" x14ac:dyDescent="0.35">
      <c r="A162" s="5"/>
      <c r="B162" s="1"/>
      <c r="C162" s="1"/>
      <c r="D162" s="5"/>
      <c r="E162" s="1"/>
      <c r="F162" s="1"/>
      <c r="G162" s="1"/>
      <c r="H162" s="1"/>
    </row>
    <row r="163" spans="1:8" x14ac:dyDescent="0.35">
      <c r="A163" s="5"/>
      <c r="B163" s="1"/>
      <c r="C163" s="1"/>
      <c r="D163" s="5"/>
      <c r="E163" s="1"/>
      <c r="F163" s="1"/>
      <c r="G163" s="1"/>
      <c r="H163" s="1"/>
    </row>
    <row r="164" spans="1:8" x14ac:dyDescent="0.35">
      <c r="A164" s="5"/>
      <c r="B164" s="1"/>
      <c r="C164" s="1"/>
      <c r="D164" s="5"/>
      <c r="E164" s="1"/>
      <c r="F164" s="1"/>
      <c r="G164" s="1"/>
      <c r="H164" s="1"/>
    </row>
    <row r="165" spans="1:8" x14ac:dyDescent="0.35">
      <c r="A165" s="5"/>
      <c r="B165" s="1"/>
      <c r="C165" s="1"/>
      <c r="D165" s="5"/>
      <c r="E165" s="1"/>
      <c r="F165" s="1"/>
      <c r="G165" s="1"/>
      <c r="H165" s="1"/>
    </row>
    <row r="166" spans="1:8" x14ac:dyDescent="0.35">
      <c r="A166" s="5"/>
      <c r="B166" s="1"/>
      <c r="C166" s="1"/>
      <c r="D166" s="5"/>
      <c r="E166" s="1"/>
      <c r="F166" s="1"/>
      <c r="G166" s="1"/>
      <c r="H166" s="1"/>
    </row>
    <row r="167" spans="1:8" x14ac:dyDescent="0.35">
      <c r="A167" s="5"/>
      <c r="B167" s="1"/>
      <c r="C167" s="1"/>
      <c r="D167" s="5"/>
      <c r="E167" s="1"/>
      <c r="F167" s="1"/>
      <c r="G167" s="1"/>
      <c r="H167" s="1"/>
    </row>
    <row r="168" spans="1:8" x14ac:dyDescent="0.35">
      <c r="A168" s="5"/>
      <c r="B168" s="1"/>
      <c r="C168" s="1"/>
      <c r="D168" s="5"/>
      <c r="E168" s="1"/>
      <c r="F168" s="1"/>
      <c r="G168" s="1"/>
      <c r="H168" s="1"/>
    </row>
    <row r="169" spans="1:8" x14ac:dyDescent="0.35">
      <c r="A169" s="5"/>
      <c r="B169" s="1"/>
      <c r="C169" s="1"/>
      <c r="D169" s="5"/>
      <c r="E169" s="1"/>
      <c r="F169" s="1"/>
      <c r="G169" s="1"/>
      <c r="H169" s="1"/>
    </row>
    <row r="170" spans="1:8" x14ac:dyDescent="0.35">
      <c r="A170" s="5"/>
      <c r="B170" s="1"/>
      <c r="C170" s="1"/>
      <c r="D170" s="5"/>
      <c r="E170" s="1"/>
      <c r="F170" s="1"/>
      <c r="G170" s="1"/>
      <c r="H170" s="1"/>
    </row>
    <row r="171" spans="1:8" x14ac:dyDescent="0.35">
      <c r="A171" s="5"/>
      <c r="B171" s="1"/>
      <c r="C171" s="1"/>
      <c r="D171" s="5"/>
      <c r="E171" s="1"/>
      <c r="F171" s="1"/>
      <c r="G171" s="1"/>
      <c r="H171" s="1"/>
    </row>
    <row r="172" spans="1:8" x14ac:dyDescent="0.35">
      <c r="A172" s="5"/>
      <c r="B172" s="1"/>
      <c r="C172" s="1"/>
      <c r="D172" s="5"/>
      <c r="E172" s="1"/>
      <c r="F172" s="1"/>
      <c r="G172" s="1"/>
      <c r="H172" s="1"/>
    </row>
    <row r="173" spans="1:8" x14ac:dyDescent="0.35">
      <c r="A173" s="5"/>
      <c r="B173" s="1"/>
      <c r="C173" s="1"/>
      <c r="D173" s="5"/>
      <c r="E173" s="1"/>
      <c r="F173" s="1"/>
      <c r="G173" s="1"/>
      <c r="H173" s="1"/>
    </row>
    <row r="174" spans="1:8" x14ac:dyDescent="0.35">
      <c r="A174" s="5"/>
      <c r="B174" s="1"/>
      <c r="C174" s="1"/>
      <c r="D174" s="5"/>
      <c r="E174" s="1"/>
      <c r="F174" s="1"/>
      <c r="G174" s="1"/>
      <c r="H174" s="1"/>
    </row>
    <row r="175" spans="1:8" x14ac:dyDescent="0.35">
      <c r="A175" s="5"/>
      <c r="B175" s="1"/>
      <c r="C175" s="1"/>
      <c r="D175" s="5"/>
      <c r="E175" s="1"/>
      <c r="F175" s="1"/>
      <c r="G175" s="1"/>
      <c r="H175" s="1"/>
    </row>
    <row r="176" spans="1:8" x14ac:dyDescent="0.35">
      <c r="A176" s="5"/>
      <c r="B176" s="1"/>
      <c r="C176" s="1"/>
      <c r="D176" s="5"/>
      <c r="E176" s="1"/>
      <c r="F176" s="1"/>
      <c r="G176" s="1"/>
      <c r="H176" s="1"/>
    </row>
    <row r="177" spans="1:8" x14ac:dyDescent="0.35">
      <c r="A177" s="5"/>
      <c r="B177" s="1"/>
      <c r="C177" s="1"/>
      <c r="D177" s="5"/>
      <c r="E177" s="1"/>
      <c r="F177" s="1"/>
      <c r="G177" s="1"/>
      <c r="H177" s="1"/>
    </row>
    <row r="178" spans="1:8" x14ac:dyDescent="0.35">
      <c r="A178" s="5"/>
      <c r="B178" s="1"/>
      <c r="C178" s="1"/>
      <c r="D178" s="5"/>
      <c r="E178" s="1"/>
      <c r="F178" s="1"/>
      <c r="G178" s="1"/>
      <c r="H178" s="1"/>
    </row>
    <row r="179" spans="1:8" x14ac:dyDescent="0.35">
      <c r="A179" s="5"/>
      <c r="B179" s="1"/>
      <c r="C179" s="1"/>
      <c r="D179" s="5"/>
      <c r="E179" s="1"/>
      <c r="F179" s="1"/>
      <c r="G179" s="1"/>
      <c r="H179" s="1"/>
    </row>
    <row r="180" spans="1:8" x14ac:dyDescent="0.35">
      <c r="A180" s="5"/>
      <c r="B180" s="1"/>
      <c r="C180" s="1"/>
      <c r="D180" s="5"/>
      <c r="E180" s="1"/>
      <c r="F180" s="1"/>
      <c r="G180" s="1"/>
      <c r="H180" s="1"/>
    </row>
    <row r="181" spans="1:8" x14ac:dyDescent="0.35">
      <c r="A181" s="5"/>
      <c r="B181" s="1"/>
      <c r="C181" s="1"/>
      <c r="D181" s="5"/>
      <c r="E181" s="1"/>
      <c r="F181" s="1"/>
      <c r="G181" s="1"/>
      <c r="H181" s="1"/>
    </row>
    <row r="182" spans="1:8" x14ac:dyDescent="0.35">
      <c r="A182" s="5"/>
      <c r="B182" s="1"/>
      <c r="C182" s="1"/>
      <c r="D182" s="5"/>
      <c r="E182" s="1"/>
      <c r="F182" s="1"/>
      <c r="G182" s="1"/>
      <c r="H182" s="1"/>
    </row>
    <row r="183" spans="1:8" x14ac:dyDescent="0.35">
      <c r="A183" s="5"/>
      <c r="B183" s="1"/>
      <c r="C183" s="1"/>
      <c r="D183" s="5"/>
      <c r="E183" s="1"/>
      <c r="F183" s="1"/>
      <c r="G183" s="1"/>
      <c r="H183" s="1"/>
    </row>
    <row r="184" spans="1:8" x14ac:dyDescent="0.35">
      <c r="A184" s="5"/>
      <c r="B184" s="1"/>
      <c r="C184" s="1"/>
      <c r="D184" s="5"/>
      <c r="E184" s="1"/>
      <c r="F184" s="1"/>
      <c r="G184" s="1"/>
      <c r="H184" s="1"/>
    </row>
    <row r="185" spans="1:8" x14ac:dyDescent="0.35">
      <c r="A185" s="5"/>
      <c r="B185" s="1"/>
      <c r="C185" s="1"/>
      <c r="D185" s="5"/>
      <c r="E185" s="1"/>
      <c r="F185" s="1"/>
      <c r="G185" s="1"/>
      <c r="H185" s="1"/>
    </row>
    <row r="186" spans="1:8" x14ac:dyDescent="0.35">
      <c r="A186" s="5"/>
      <c r="B186" s="1"/>
      <c r="C186" s="1"/>
      <c r="D186" s="5"/>
      <c r="E186" s="1"/>
      <c r="F186" s="1"/>
      <c r="G186" s="1"/>
      <c r="H186" s="1"/>
    </row>
    <row r="187" spans="1:8" x14ac:dyDescent="0.35">
      <c r="A187" s="5"/>
      <c r="B187" s="1"/>
      <c r="C187" s="1"/>
      <c r="D187" s="5"/>
      <c r="E187" s="1"/>
      <c r="F187" s="1"/>
      <c r="G187" s="1"/>
      <c r="H187" s="1"/>
    </row>
    <row r="188" spans="1:8" x14ac:dyDescent="0.35">
      <c r="A188" s="5"/>
      <c r="B188" s="1"/>
      <c r="C188" s="1"/>
      <c r="D188" s="5"/>
      <c r="E188" s="1"/>
      <c r="F188" s="1"/>
      <c r="G188" s="1"/>
      <c r="H188" s="1"/>
    </row>
    <row r="189" spans="1:8" x14ac:dyDescent="0.35">
      <c r="A189" s="5"/>
      <c r="B189" s="1"/>
      <c r="C189" s="1"/>
      <c r="D189" s="5"/>
      <c r="E189" s="1"/>
      <c r="F189" s="1"/>
      <c r="G189" s="1"/>
      <c r="H189" s="1"/>
    </row>
    <row r="190" spans="1:8" x14ac:dyDescent="0.35">
      <c r="A190" s="5"/>
      <c r="B190" s="1"/>
      <c r="C190" s="1"/>
      <c r="D190" s="5"/>
      <c r="E190" s="1"/>
      <c r="F190" s="1"/>
      <c r="G190" s="1"/>
      <c r="H190" s="1"/>
    </row>
    <row r="191" spans="1:8" x14ac:dyDescent="0.35">
      <c r="A191" s="5"/>
      <c r="B191" s="1"/>
      <c r="C191" s="1"/>
      <c r="D191" s="5"/>
      <c r="E191" s="1"/>
      <c r="F191" s="1"/>
      <c r="G191" s="1"/>
      <c r="H191" s="1"/>
    </row>
    <row r="192" spans="1:8" x14ac:dyDescent="0.35">
      <c r="A192" s="5"/>
      <c r="B192" s="1"/>
      <c r="C192" s="1"/>
      <c r="D192" s="5"/>
      <c r="E192" s="1"/>
      <c r="F192" s="1"/>
      <c r="G192" s="1"/>
      <c r="H192" s="1"/>
    </row>
    <row r="193" spans="1:8" x14ac:dyDescent="0.35">
      <c r="A193" s="5"/>
      <c r="B193" s="1"/>
      <c r="C193" s="1"/>
      <c r="D193" s="5"/>
      <c r="E193" s="1"/>
      <c r="F193" s="1"/>
      <c r="G193" s="1"/>
      <c r="H193" s="1"/>
    </row>
    <row r="194" spans="1:8" x14ac:dyDescent="0.35">
      <c r="A194" s="5"/>
      <c r="B194" s="1"/>
      <c r="C194" s="1"/>
      <c r="D194" s="5"/>
      <c r="E194" s="1"/>
      <c r="F194" s="1"/>
      <c r="G194" s="1"/>
      <c r="H194" s="1"/>
    </row>
    <row r="195" spans="1:8" x14ac:dyDescent="0.35">
      <c r="A195" s="5"/>
      <c r="B195" s="1"/>
      <c r="C195" s="1"/>
      <c r="D195" s="5"/>
      <c r="E195" s="1"/>
      <c r="F195" s="1"/>
      <c r="G195" s="1"/>
      <c r="H195" s="1"/>
    </row>
    <row r="196" spans="1:8" x14ac:dyDescent="0.35">
      <c r="A196" s="5"/>
      <c r="B196" s="1"/>
      <c r="C196" s="1"/>
      <c r="D196" s="5"/>
      <c r="E196" s="1"/>
      <c r="F196" s="1"/>
      <c r="G196" s="1"/>
      <c r="H196" s="1"/>
    </row>
    <row r="197" spans="1:8" x14ac:dyDescent="0.35">
      <c r="A197" s="5"/>
      <c r="B197" s="1"/>
      <c r="C197" s="1"/>
      <c r="D197" s="5"/>
      <c r="E197" s="1"/>
      <c r="F197" s="1"/>
      <c r="G197" s="1"/>
      <c r="H197" s="1"/>
    </row>
    <row r="198" spans="1:8" x14ac:dyDescent="0.35">
      <c r="A198" s="5"/>
      <c r="B198" s="1"/>
      <c r="C198" s="1"/>
      <c r="D198" s="5"/>
      <c r="E198" s="1"/>
      <c r="F198" s="1"/>
      <c r="G198" s="1"/>
      <c r="H198" s="1"/>
    </row>
    <row r="199" spans="1:8" x14ac:dyDescent="0.35">
      <c r="A199" s="5"/>
      <c r="B199" s="1"/>
      <c r="C199" s="1"/>
      <c r="D199" s="5"/>
      <c r="E199" s="1"/>
      <c r="F199" s="1"/>
      <c r="G199" s="1"/>
      <c r="H199" s="1"/>
    </row>
    <row r="200" spans="1:8" x14ac:dyDescent="0.35">
      <c r="A200" s="5"/>
      <c r="B200" s="1"/>
      <c r="C200" s="1"/>
      <c r="D200" s="5"/>
      <c r="E200" s="1"/>
      <c r="F200" s="1"/>
      <c r="G200" s="1"/>
      <c r="H200" s="1"/>
    </row>
    <row r="201" spans="1:8" x14ac:dyDescent="0.35">
      <c r="A201" s="5"/>
      <c r="B201" s="1"/>
      <c r="C201" s="1"/>
      <c r="D201" s="5"/>
      <c r="E201" s="1"/>
      <c r="F201" s="1"/>
      <c r="G201" s="1"/>
      <c r="H201" s="1"/>
    </row>
    <row r="202" spans="1:8" x14ac:dyDescent="0.35">
      <c r="A202" s="5"/>
      <c r="B202" s="1"/>
      <c r="C202" s="1"/>
      <c r="D202" s="5"/>
      <c r="E202" s="1"/>
      <c r="F202" s="1"/>
      <c r="G202" s="1"/>
      <c r="H202" s="1"/>
    </row>
    <row r="203" spans="1:8" x14ac:dyDescent="0.35">
      <c r="A203" s="5"/>
      <c r="B203" s="1"/>
      <c r="C203" s="1"/>
      <c r="D203" s="5"/>
      <c r="E203" s="1"/>
      <c r="F203" s="1"/>
      <c r="G203" s="1"/>
      <c r="H203" s="1"/>
    </row>
    <row r="204" spans="1:8" x14ac:dyDescent="0.35">
      <c r="A204" s="5"/>
      <c r="B204" s="1"/>
      <c r="C204" s="1"/>
      <c r="D204" s="5"/>
      <c r="E204" s="1"/>
      <c r="F204" s="1"/>
      <c r="G204" s="1"/>
      <c r="H204" s="1"/>
    </row>
    <row r="205" spans="1:8" x14ac:dyDescent="0.35">
      <c r="A205" s="5"/>
      <c r="B205" s="1"/>
      <c r="C205" s="1"/>
      <c r="D205" s="5"/>
      <c r="E205" s="1"/>
      <c r="F205" s="1"/>
      <c r="G205" s="1"/>
      <c r="H205" s="1"/>
    </row>
    <row r="206" spans="1:8" x14ac:dyDescent="0.35">
      <c r="A206" s="5"/>
      <c r="B206" s="1"/>
      <c r="C206" s="1"/>
      <c r="D206" s="5"/>
      <c r="E206" s="1"/>
      <c r="F206" s="1"/>
      <c r="G206" s="1"/>
      <c r="H206" s="1"/>
    </row>
    <row r="207" spans="1:8" x14ac:dyDescent="0.35">
      <c r="A207" s="5"/>
      <c r="B207" s="1"/>
      <c r="C207" s="1"/>
      <c r="D207" s="5"/>
      <c r="E207" s="1"/>
      <c r="F207" s="1"/>
      <c r="G207" s="1"/>
      <c r="H207" s="1"/>
    </row>
    <row r="208" spans="1:8" x14ac:dyDescent="0.35">
      <c r="A208" s="5"/>
      <c r="B208" s="1"/>
      <c r="C208" s="1"/>
      <c r="D208" s="5"/>
      <c r="E208" s="1"/>
      <c r="F208" s="1"/>
      <c r="G208" s="1"/>
      <c r="H208" s="1"/>
    </row>
    <row r="209" spans="1:8" x14ac:dyDescent="0.35">
      <c r="A209" s="5"/>
      <c r="B209" s="1"/>
      <c r="C209" s="1"/>
      <c r="D209" s="5"/>
      <c r="E209" s="1"/>
      <c r="F209" s="1"/>
      <c r="G209" s="1"/>
      <c r="H209" s="1"/>
    </row>
    <row r="210" spans="1:8" x14ac:dyDescent="0.35">
      <c r="A210" s="5"/>
      <c r="B210" s="1"/>
      <c r="C210" s="1"/>
      <c r="D210" s="5"/>
      <c r="E210" s="1"/>
      <c r="F210" s="1"/>
      <c r="G210" s="1"/>
      <c r="H210" s="1"/>
    </row>
    <row r="211" spans="1:8" x14ac:dyDescent="0.35">
      <c r="A211" s="5"/>
      <c r="B211" s="1"/>
      <c r="C211" s="1"/>
      <c r="D211" s="5"/>
      <c r="E211" s="1"/>
      <c r="F211" s="1"/>
      <c r="G211" s="1"/>
      <c r="H211" s="1"/>
    </row>
    <row r="212" spans="1:8" x14ac:dyDescent="0.35">
      <c r="A212" s="5"/>
      <c r="B212" s="1"/>
      <c r="C212" s="1"/>
      <c r="D212" s="5"/>
      <c r="E212" s="1"/>
      <c r="F212" s="1"/>
      <c r="G212" s="1"/>
      <c r="H212" s="1"/>
    </row>
    <row r="213" spans="1:8" x14ac:dyDescent="0.35">
      <c r="A213" s="5"/>
      <c r="B213" s="1"/>
      <c r="C213" s="1"/>
      <c r="D213" s="5"/>
      <c r="E213" s="1"/>
      <c r="F213" s="1"/>
      <c r="G213" s="1"/>
      <c r="H213" s="1"/>
    </row>
    <row r="214" spans="1:8" x14ac:dyDescent="0.35">
      <c r="A214" s="5"/>
      <c r="B214" s="1"/>
      <c r="C214" s="1"/>
      <c r="D214" s="5"/>
      <c r="E214" s="1"/>
      <c r="F214" s="1"/>
      <c r="G214" s="1"/>
      <c r="H214" s="1"/>
    </row>
    <row r="215" spans="1:8" x14ac:dyDescent="0.35">
      <c r="A215" s="5"/>
      <c r="B215" s="1"/>
      <c r="C215" s="1"/>
      <c r="D215" s="5"/>
      <c r="E215" s="1"/>
      <c r="F215" s="1"/>
      <c r="G215" s="1"/>
      <c r="H215" s="1"/>
    </row>
    <row r="216" spans="1:8" x14ac:dyDescent="0.35">
      <c r="A216" s="5"/>
      <c r="B216" s="1"/>
      <c r="C216" s="1"/>
      <c r="D216" s="5"/>
      <c r="E216" s="1"/>
      <c r="F216" s="1"/>
      <c r="G216" s="1"/>
      <c r="H216" s="1"/>
    </row>
    <row r="217" spans="1:8" x14ac:dyDescent="0.35">
      <c r="A217" s="5"/>
      <c r="B217" s="1"/>
      <c r="C217" s="1"/>
      <c r="D217" s="5"/>
      <c r="E217" s="1"/>
      <c r="F217" s="1"/>
      <c r="G217" s="1"/>
      <c r="H217" s="1"/>
    </row>
    <row r="218" spans="1:8" x14ac:dyDescent="0.35">
      <c r="A218" s="5"/>
      <c r="B218" s="1"/>
      <c r="C218" s="1"/>
      <c r="D218" s="5"/>
      <c r="E218" s="1"/>
      <c r="F218" s="1"/>
      <c r="G218" s="1"/>
      <c r="H218" s="1"/>
    </row>
    <row r="219" spans="1:8" x14ac:dyDescent="0.35">
      <c r="A219" s="5"/>
      <c r="B219" s="1"/>
      <c r="C219" s="1"/>
      <c r="D219" s="5"/>
      <c r="E219" s="1"/>
      <c r="F219" s="1"/>
      <c r="G219" s="1"/>
      <c r="H219" s="1"/>
    </row>
    <row r="220" spans="1:8" x14ac:dyDescent="0.35">
      <c r="A220" s="5"/>
      <c r="B220" s="1"/>
      <c r="C220" s="1"/>
      <c r="D220" s="5"/>
      <c r="E220" s="1"/>
      <c r="F220" s="1"/>
      <c r="G220" s="1"/>
      <c r="H220" s="1"/>
    </row>
    <row r="221" spans="1:8" x14ac:dyDescent="0.35">
      <c r="A221" s="5"/>
      <c r="B221" s="1"/>
      <c r="C221" s="1"/>
      <c r="D221" s="5"/>
      <c r="E221" s="1"/>
      <c r="F221" s="1"/>
      <c r="G221" s="1"/>
      <c r="H221" s="1"/>
    </row>
    <row r="222" spans="1:8" x14ac:dyDescent="0.35">
      <c r="A222" s="5"/>
      <c r="B222" s="1"/>
      <c r="C222" s="1"/>
      <c r="D222" s="5"/>
      <c r="E222" s="1"/>
      <c r="F222" s="1"/>
      <c r="G222" s="1"/>
      <c r="H222" s="1"/>
    </row>
    <row r="223" spans="1:8" x14ac:dyDescent="0.35">
      <c r="A223" s="5"/>
      <c r="B223" s="1"/>
      <c r="C223" s="1"/>
      <c r="D223" s="5"/>
      <c r="E223" s="1"/>
      <c r="F223" s="1"/>
      <c r="G223" s="1"/>
      <c r="H223" s="1"/>
    </row>
    <row r="224" spans="1:8" x14ac:dyDescent="0.35">
      <c r="A224" s="5"/>
      <c r="B224" s="1"/>
      <c r="C224" s="1"/>
      <c r="D224" s="5"/>
      <c r="E224" s="1"/>
      <c r="F224" s="1"/>
      <c r="G224" s="1"/>
      <c r="H224" s="1"/>
    </row>
    <row r="225" spans="1:8" x14ac:dyDescent="0.35">
      <c r="A225" s="5"/>
      <c r="B225" s="1"/>
      <c r="C225" s="1"/>
      <c r="D225" s="5"/>
      <c r="E225" s="1"/>
      <c r="F225" s="1"/>
      <c r="G225" s="1"/>
      <c r="H225" s="1"/>
    </row>
    <row r="226" spans="1:8" x14ac:dyDescent="0.35">
      <c r="A226" s="5"/>
      <c r="B226" s="1"/>
      <c r="C226" s="1"/>
      <c r="D226" s="5"/>
      <c r="E226" s="1"/>
      <c r="F226" s="1"/>
      <c r="G226" s="1"/>
      <c r="H226" s="1"/>
    </row>
    <row r="227" spans="1:8" x14ac:dyDescent="0.35">
      <c r="A227" s="5"/>
      <c r="B227" s="1"/>
      <c r="C227" s="1"/>
      <c r="D227" s="5"/>
      <c r="E227" s="1"/>
      <c r="F227" s="1"/>
      <c r="G227" s="1"/>
      <c r="H227" s="1"/>
    </row>
    <row r="228" spans="1:8" x14ac:dyDescent="0.35">
      <c r="A228" s="5"/>
      <c r="B228" s="1"/>
      <c r="C228" s="1"/>
      <c r="D228" s="5"/>
      <c r="E228" s="1"/>
      <c r="F228" s="1"/>
      <c r="G228" s="1"/>
      <c r="H228" s="1"/>
    </row>
    <row r="229" spans="1:8" x14ac:dyDescent="0.35">
      <c r="A229" s="5"/>
      <c r="B229" s="1"/>
      <c r="C229" s="1"/>
      <c r="D229" s="5"/>
      <c r="E229" s="1"/>
      <c r="F229" s="1"/>
      <c r="G229" s="1"/>
      <c r="H229" s="1"/>
    </row>
    <row r="230" spans="1:8" x14ac:dyDescent="0.35">
      <c r="A230" s="5"/>
      <c r="B230" s="1"/>
      <c r="C230" s="1"/>
      <c r="D230" s="5"/>
      <c r="E230" s="1"/>
      <c r="F230" s="1"/>
      <c r="G230" s="1"/>
      <c r="H230" s="1"/>
    </row>
    <row r="231" spans="1:8" x14ac:dyDescent="0.35">
      <c r="A231" s="5"/>
      <c r="B231" s="1"/>
      <c r="C231" s="1"/>
      <c r="D231" s="5"/>
      <c r="E231" s="1"/>
      <c r="F231" s="1"/>
      <c r="G231" s="1"/>
      <c r="H231" s="1"/>
    </row>
    <row r="232" spans="1:8" x14ac:dyDescent="0.35">
      <c r="A232" s="5"/>
      <c r="B232" s="1"/>
      <c r="C232" s="1"/>
      <c r="D232" s="5"/>
      <c r="E232" s="1"/>
      <c r="F232" s="1"/>
      <c r="G232" s="1"/>
      <c r="H232" s="1"/>
    </row>
    <row r="233" spans="1:8" x14ac:dyDescent="0.35">
      <c r="A233" s="5"/>
      <c r="B233" s="1"/>
      <c r="C233" s="1"/>
      <c r="D233" s="5"/>
      <c r="E233" s="1"/>
      <c r="F233" s="1"/>
      <c r="G233" s="1"/>
      <c r="H233" s="1"/>
    </row>
    <row r="234" spans="1:8" x14ac:dyDescent="0.35">
      <c r="A234" s="5"/>
      <c r="B234" s="1"/>
      <c r="C234" s="1"/>
      <c r="D234" s="5"/>
      <c r="E234" s="1"/>
      <c r="F234" s="1"/>
      <c r="G234" s="1"/>
      <c r="H234" s="1"/>
    </row>
    <row r="235" spans="1:8" x14ac:dyDescent="0.35">
      <c r="A235" s="5"/>
      <c r="B235" s="1"/>
      <c r="C235" s="1"/>
      <c r="D235" s="5"/>
      <c r="E235" s="1"/>
      <c r="F235" s="1"/>
      <c r="G235" s="1"/>
      <c r="H235" s="1"/>
    </row>
    <row r="236" spans="1:8" x14ac:dyDescent="0.35">
      <c r="A236" s="5"/>
      <c r="B236" s="1"/>
      <c r="C236" s="1"/>
      <c r="D236" s="5"/>
      <c r="E236" s="1"/>
      <c r="F236" s="1"/>
      <c r="G236" s="1"/>
      <c r="H236" s="1"/>
    </row>
    <row r="237" spans="1:8" x14ac:dyDescent="0.35">
      <c r="A237" s="5"/>
      <c r="B237" s="1"/>
      <c r="C237" s="1"/>
      <c r="D237" s="5"/>
      <c r="E237" s="1"/>
      <c r="F237" s="1"/>
      <c r="G237" s="1"/>
      <c r="H237" s="1"/>
    </row>
    <row r="238" spans="1:8" x14ac:dyDescent="0.35">
      <c r="A238" s="5"/>
      <c r="B238" s="1"/>
      <c r="C238" s="1"/>
      <c r="D238" s="5"/>
      <c r="E238" s="1"/>
      <c r="F238" s="1"/>
      <c r="G238" s="1"/>
      <c r="H238" s="1"/>
    </row>
    <row r="239" spans="1:8" x14ac:dyDescent="0.35">
      <c r="A239" s="5"/>
      <c r="B239" s="1"/>
      <c r="C239" s="1"/>
      <c r="D239" s="5"/>
      <c r="E239" s="1"/>
      <c r="F239" s="1"/>
      <c r="G239" s="1"/>
      <c r="H239" s="1"/>
    </row>
    <row r="240" spans="1:8" x14ac:dyDescent="0.35">
      <c r="A240" s="5"/>
      <c r="B240" s="1"/>
      <c r="C240" s="1"/>
      <c r="D240" s="5"/>
      <c r="E240" s="1"/>
      <c r="F240" s="1"/>
      <c r="G240" s="1"/>
      <c r="H240" s="1"/>
    </row>
    <row r="241" spans="1:8" x14ac:dyDescent="0.35">
      <c r="A241" s="5"/>
      <c r="B241" s="1"/>
      <c r="C241" s="1"/>
      <c r="D241" s="5"/>
      <c r="E241" s="1"/>
      <c r="F241" s="1"/>
      <c r="G241" s="1"/>
      <c r="H241" s="1"/>
    </row>
    <row r="242" spans="1:8" x14ac:dyDescent="0.35">
      <c r="A242" s="5"/>
      <c r="B242" s="1"/>
      <c r="C242" s="1"/>
      <c r="D242" s="5"/>
      <c r="E242" s="1"/>
      <c r="F242" s="1"/>
      <c r="G242" s="1"/>
      <c r="H242" s="1"/>
    </row>
    <row r="243" spans="1:8" x14ac:dyDescent="0.35">
      <c r="A243" s="5"/>
      <c r="B243" s="1"/>
      <c r="C243" s="1"/>
      <c r="D243" s="5"/>
      <c r="E243" s="1"/>
      <c r="F243" s="1"/>
      <c r="G243" s="1"/>
      <c r="H243" s="1"/>
    </row>
    <row r="244" spans="1:8" x14ac:dyDescent="0.35">
      <c r="A244" s="5"/>
      <c r="B244" s="1"/>
      <c r="C244" s="1"/>
      <c r="D244" s="5"/>
      <c r="E244" s="1"/>
      <c r="F244" s="1"/>
      <c r="G244" s="1"/>
      <c r="H244" s="1"/>
    </row>
    <row r="245" spans="1:8" x14ac:dyDescent="0.35">
      <c r="A245" s="5"/>
      <c r="B245" s="1"/>
      <c r="C245" s="1"/>
      <c r="D245" s="5"/>
      <c r="E245" s="1"/>
      <c r="F245" s="1"/>
      <c r="G245" s="1"/>
      <c r="H245" s="1"/>
    </row>
    <row r="246" spans="1:8" x14ac:dyDescent="0.35">
      <c r="A246" s="5"/>
      <c r="B246" s="1"/>
      <c r="C246" s="1"/>
      <c r="D246" s="5"/>
      <c r="E246" s="1"/>
      <c r="F246" s="1"/>
      <c r="G246" s="1"/>
      <c r="H246" s="1"/>
    </row>
    <row r="247" spans="1:8" x14ac:dyDescent="0.35">
      <c r="A247" s="5"/>
      <c r="B247" s="1"/>
      <c r="C247" s="1"/>
      <c r="D247" s="5"/>
      <c r="E247" s="1"/>
      <c r="F247" s="1"/>
      <c r="G247" s="1"/>
      <c r="H247" s="1"/>
    </row>
    <row r="248" spans="1:8" x14ac:dyDescent="0.35">
      <c r="A248" s="5"/>
      <c r="B248" s="1"/>
      <c r="C248" s="1"/>
      <c r="D248" s="5"/>
      <c r="E248" s="1"/>
      <c r="F248" s="1"/>
      <c r="G248" s="1"/>
      <c r="H248" s="1"/>
    </row>
    <row r="249" spans="1:8" x14ac:dyDescent="0.35">
      <c r="A249" s="5"/>
      <c r="B249" s="1"/>
      <c r="C249" s="1"/>
      <c r="D249" s="5"/>
      <c r="E249" s="1"/>
      <c r="F249" s="1"/>
      <c r="G249" s="1"/>
      <c r="H249" s="1"/>
    </row>
    <row r="250" spans="1:8" x14ac:dyDescent="0.35">
      <c r="A250" s="5"/>
      <c r="B250" s="1"/>
      <c r="C250" s="1"/>
      <c r="D250" s="5"/>
      <c r="E250" s="1"/>
      <c r="F250" s="1"/>
      <c r="G250" s="1"/>
      <c r="H250" s="1"/>
    </row>
    <row r="251" spans="1:8" x14ac:dyDescent="0.35">
      <c r="A251" s="5"/>
      <c r="B251" s="1"/>
      <c r="C251" s="1"/>
      <c r="D251" s="5"/>
      <c r="E251" s="1"/>
      <c r="F251" s="1"/>
      <c r="G251" s="1"/>
      <c r="H251" s="1"/>
    </row>
    <row r="252" spans="1:8" x14ac:dyDescent="0.35">
      <c r="A252" s="5"/>
      <c r="B252" s="1"/>
      <c r="C252" s="1"/>
      <c r="D252" s="5"/>
      <c r="E252" s="1"/>
      <c r="F252" s="1"/>
      <c r="G252" s="1"/>
      <c r="H252" s="1"/>
    </row>
    <row r="253" spans="1:8" x14ac:dyDescent="0.35">
      <c r="A253" s="5"/>
      <c r="B253" s="1"/>
      <c r="C253" s="1"/>
      <c r="D253" s="5"/>
      <c r="E253" s="1"/>
      <c r="F253" s="1"/>
      <c r="G253" s="1"/>
      <c r="H253" s="1"/>
    </row>
    <row r="254" spans="1:8" x14ac:dyDescent="0.35">
      <c r="A254" s="5"/>
      <c r="B254" s="1"/>
      <c r="C254" s="1"/>
      <c r="D254" s="5"/>
      <c r="E254" s="1"/>
      <c r="F254" s="1"/>
      <c r="G254" s="1"/>
      <c r="H254" s="1"/>
    </row>
    <row r="255" spans="1:8" x14ac:dyDescent="0.35">
      <c r="A255" s="5"/>
      <c r="B255" s="1"/>
      <c r="C255" s="1"/>
      <c r="D255" s="5"/>
      <c r="E255" s="1"/>
      <c r="F255" s="1"/>
      <c r="G255" s="1"/>
      <c r="H255" s="1"/>
    </row>
    <row r="256" spans="1:8" x14ac:dyDescent="0.35">
      <c r="A256" s="5"/>
      <c r="B256" s="1"/>
      <c r="C256" s="1"/>
      <c r="D256" s="5"/>
      <c r="E256" s="1"/>
      <c r="F256" s="1"/>
      <c r="G256" s="1"/>
      <c r="H256" s="1"/>
    </row>
    <row r="257" spans="1:8" x14ac:dyDescent="0.35">
      <c r="A257" s="5"/>
      <c r="B257" s="1"/>
      <c r="C257" s="1"/>
      <c r="D257" s="5"/>
      <c r="E257" s="1"/>
      <c r="F257" s="1"/>
      <c r="G257" s="1"/>
      <c r="H257" s="1"/>
    </row>
    <row r="258" spans="1:8" x14ac:dyDescent="0.35">
      <c r="A258" s="5"/>
      <c r="B258" s="1"/>
      <c r="C258" s="1"/>
      <c r="D258" s="5"/>
      <c r="E258" s="1"/>
      <c r="F258" s="1"/>
      <c r="G258" s="1"/>
      <c r="H258" s="1"/>
    </row>
    <row r="259" spans="1:8" x14ac:dyDescent="0.35">
      <c r="A259" s="5"/>
      <c r="B259" s="1"/>
      <c r="C259" s="1"/>
      <c r="D259" s="5"/>
      <c r="E259" s="1"/>
      <c r="F259" s="1"/>
      <c r="G259" s="1"/>
      <c r="H259" s="1"/>
    </row>
    <row r="260" spans="1:8" x14ac:dyDescent="0.35">
      <c r="A260" s="5"/>
      <c r="B260" s="1"/>
      <c r="C260" s="1"/>
      <c r="D260" s="5"/>
      <c r="E260" s="1"/>
      <c r="F260" s="1"/>
      <c r="G260" s="1"/>
      <c r="H260" s="1"/>
    </row>
    <row r="261" spans="1:8" x14ac:dyDescent="0.35">
      <c r="A261" s="5"/>
      <c r="B261" s="1"/>
      <c r="C261" s="1"/>
      <c r="D261" s="5"/>
      <c r="E261" s="1"/>
      <c r="F261" s="1"/>
      <c r="G261" s="1"/>
      <c r="H261" s="1"/>
    </row>
    <row r="262" spans="1:8" x14ac:dyDescent="0.35">
      <c r="A262" s="5"/>
      <c r="B262" s="1"/>
      <c r="C262" s="1"/>
      <c r="D262" s="5"/>
      <c r="E262" s="1"/>
      <c r="F262" s="1"/>
      <c r="G262" s="1"/>
      <c r="H262" s="1"/>
    </row>
    <row r="263" spans="1:8" x14ac:dyDescent="0.35">
      <c r="A263" s="5"/>
      <c r="B263" s="1"/>
      <c r="C263" s="1"/>
      <c r="D263" s="5"/>
      <c r="E263" s="1"/>
      <c r="F263" s="1"/>
      <c r="G263" s="1"/>
      <c r="H263" s="1"/>
    </row>
    <row r="264" spans="1:8" x14ac:dyDescent="0.35">
      <c r="A264" s="5"/>
      <c r="B264" s="1"/>
      <c r="C264" s="1"/>
      <c r="D264" s="5"/>
      <c r="E264" s="1"/>
      <c r="F264" s="1"/>
      <c r="G264" s="1"/>
      <c r="H264" s="1"/>
    </row>
    <row r="265" spans="1:8" x14ac:dyDescent="0.35">
      <c r="A265" s="5"/>
      <c r="B265" s="1"/>
      <c r="C265" s="1"/>
      <c r="D265" s="5"/>
      <c r="E265" s="1"/>
      <c r="F265" s="1"/>
      <c r="G265" s="1"/>
      <c r="H265" s="1"/>
    </row>
    <row r="266" spans="1:8" x14ac:dyDescent="0.35">
      <c r="A266" s="5"/>
      <c r="B266" s="1"/>
      <c r="C266" s="1"/>
      <c r="D266" s="5"/>
      <c r="E266" s="1"/>
      <c r="F266" s="1"/>
      <c r="G266" s="1"/>
      <c r="H266" s="1"/>
    </row>
    <row r="267" spans="1:8" x14ac:dyDescent="0.35">
      <c r="A267" s="5"/>
      <c r="B267" s="1"/>
      <c r="C267" s="1"/>
      <c r="D267" s="5"/>
      <c r="E267" s="1"/>
      <c r="F267" s="1"/>
      <c r="G267" s="1"/>
      <c r="H267" s="1"/>
    </row>
    <row r="268" spans="1:8" x14ac:dyDescent="0.35">
      <c r="A268" s="5"/>
      <c r="B268" s="1"/>
      <c r="C268" s="1"/>
      <c r="D268" s="5"/>
      <c r="E268" s="1"/>
      <c r="F268" s="1"/>
      <c r="G268" s="1"/>
      <c r="H268" s="1"/>
    </row>
    <row r="269" spans="1:8" x14ac:dyDescent="0.35">
      <c r="A269" s="5"/>
      <c r="B269" s="1"/>
      <c r="C269" s="1"/>
      <c r="D269" s="5"/>
      <c r="E269" s="1"/>
      <c r="F269" s="1"/>
      <c r="G269" s="1"/>
      <c r="H269" s="1"/>
    </row>
    <row r="270" spans="1:8" x14ac:dyDescent="0.35">
      <c r="A270" s="5"/>
      <c r="B270" s="1"/>
      <c r="C270" s="1"/>
      <c r="D270" s="5"/>
      <c r="E270" s="1"/>
      <c r="F270" s="1"/>
      <c r="G270" s="1"/>
      <c r="H270" s="1"/>
    </row>
    <row r="271" spans="1:8" x14ac:dyDescent="0.35">
      <c r="A271" s="5"/>
      <c r="B271" s="1"/>
      <c r="C271" s="1"/>
      <c r="D271" s="5"/>
      <c r="E271" s="1"/>
      <c r="F271" s="1"/>
      <c r="G271" s="1"/>
      <c r="H271" s="1"/>
    </row>
    <row r="272" spans="1:8" x14ac:dyDescent="0.35">
      <c r="B272" s="1"/>
      <c r="C272" s="1"/>
    </row>
    <row r="273" spans="2:3" x14ac:dyDescent="0.35">
      <c r="B273" s="1"/>
      <c r="C273" s="1"/>
    </row>
    <row r="274" spans="2:3" x14ac:dyDescent="0.35">
      <c r="B274" s="1"/>
      <c r="C274" s="1"/>
    </row>
    <row r="275" spans="2:3" x14ac:dyDescent="0.35">
      <c r="B275" s="1"/>
      <c r="C275" s="1"/>
    </row>
    <row r="276" spans="2:3" x14ac:dyDescent="0.35">
      <c r="B276" s="1"/>
      <c r="C276" s="1"/>
    </row>
    <row r="277" spans="2:3" x14ac:dyDescent="0.35">
      <c r="B277" s="1"/>
      <c r="C277" s="1"/>
    </row>
    <row r="278" spans="2:3" x14ac:dyDescent="0.35">
      <c r="B278" s="1"/>
      <c r="C278" s="1"/>
    </row>
    <row r="279" spans="2:3" x14ac:dyDescent="0.35">
      <c r="B279" s="1"/>
      <c r="C279" s="1"/>
    </row>
    <row r="280" spans="2:3" x14ac:dyDescent="0.35">
      <c r="B280" s="1"/>
      <c r="C280" s="1"/>
    </row>
    <row r="281" spans="2:3" x14ac:dyDescent="0.35">
      <c r="B281" s="1"/>
      <c r="C281" s="1"/>
    </row>
    <row r="282" spans="2:3" x14ac:dyDescent="0.35">
      <c r="B282" s="1"/>
      <c r="C282" s="1"/>
    </row>
    <row r="283" spans="2:3" x14ac:dyDescent="0.35">
      <c r="B283" s="1"/>
      <c r="C283" s="1"/>
    </row>
    <row r="284" spans="2:3" x14ac:dyDescent="0.35">
      <c r="B284" s="1"/>
      <c r="C284" s="1"/>
    </row>
    <row r="285" spans="2:3" x14ac:dyDescent="0.35">
      <c r="B285" s="1"/>
      <c r="C285" s="1"/>
    </row>
    <row r="286" spans="2:3" x14ac:dyDescent="0.35">
      <c r="B286" s="1"/>
      <c r="C286" s="1"/>
    </row>
    <row r="287" spans="2:3" x14ac:dyDescent="0.35">
      <c r="B287" s="1"/>
      <c r="C287" s="1"/>
    </row>
    <row r="288" spans="2:3" x14ac:dyDescent="0.35">
      <c r="B288" s="1"/>
      <c r="C288" s="1"/>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3D940-DE01-4376-B146-F57EB0E36F1C}">
  <sheetPr codeName="Sheet8"/>
  <dimension ref="A1:AO290"/>
  <sheetViews>
    <sheetView rightToLeft="1" workbookViewId="0">
      <pane xSplit="1" ySplit="1" topLeftCell="AE142" activePane="bottomRight" state="frozen"/>
      <selection activeCell="S94" sqref="S94"/>
      <selection pane="topRight" activeCell="S94" sqref="S94"/>
      <selection pane="bottomLeft" activeCell="S94" sqref="S94"/>
      <selection pane="bottomRight" activeCell="AM145" sqref="AM145"/>
    </sheetView>
  </sheetViews>
  <sheetFormatPr defaultColWidth="8.81640625" defaultRowHeight="14.5" x14ac:dyDescent="0.35"/>
  <cols>
    <col min="1" max="1" width="52.1796875" style="2" customWidth="1"/>
    <col min="2" max="3" width="10" style="2" customWidth="1"/>
    <col min="4" max="4" width="10.81640625" style="2" customWidth="1"/>
    <col min="5" max="5" width="11.81640625" style="2" customWidth="1"/>
    <col min="6" max="8" width="8.81640625" style="2"/>
    <col min="9" max="16" width="8.81640625" style="1" customWidth="1"/>
    <col min="17" max="18" width="8.81640625" style="30" customWidth="1"/>
    <col min="19" max="35" width="8.81640625" style="1" customWidth="1"/>
    <col min="36" max="36" width="8.81640625" style="2"/>
    <col min="37" max="37" width="10.08984375" style="2" bestFit="1" customWidth="1"/>
    <col min="38" max="38" width="8.81640625" style="2"/>
    <col min="39" max="39" width="10.54296875" style="2" bestFit="1" customWidth="1"/>
    <col min="40" max="40" width="8.81640625" style="2"/>
    <col min="41" max="41" width="17" style="2" bestFit="1" customWidth="1"/>
    <col min="42" max="16384" width="8.81640625" style="2"/>
  </cols>
  <sheetData>
    <row r="1" spans="1:41" ht="15" thickBot="1" x14ac:dyDescent="0.4">
      <c r="A1" s="4" t="s">
        <v>0</v>
      </c>
      <c r="B1" s="4">
        <v>2025</v>
      </c>
      <c r="C1" s="4">
        <v>2022</v>
      </c>
      <c r="D1" s="4">
        <v>2021</v>
      </c>
      <c r="E1" s="4">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x14ac:dyDescent="0.35">
      <c r="A2" s="5" t="s">
        <v>65</v>
      </c>
      <c r="B2" s="6"/>
      <c r="C2" s="51" t="s">
        <v>3247</v>
      </c>
      <c r="D2" s="5" t="s">
        <v>66</v>
      </c>
      <c r="E2" s="54" t="s">
        <v>66</v>
      </c>
      <c r="F2" s="67" t="s">
        <v>368</v>
      </c>
      <c r="G2" s="67" t="s">
        <v>66</v>
      </c>
      <c r="H2" s="67" t="s">
        <v>445</v>
      </c>
      <c r="I2" s="75" t="s">
        <v>619</v>
      </c>
      <c r="J2" s="50" t="s">
        <v>96</v>
      </c>
      <c r="K2" s="50" t="s">
        <v>929</v>
      </c>
      <c r="L2" s="56" t="s">
        <v>880</v>
      </c>
      <c r="M2" s="50" t="s">
        <v>917</v>
      </c>
      <c r="N2" s="50" t="s">
        <v>442</v>
      </c>
      <c r="O2" s="50" t="s">
        <v>1506</v>
      </c>
      <c r="P2" s="56" t="s">
        <v>1715</v>
      </c>
      <c r="Q2" s="29"/>
      <c r="R2" s="50" t="s">
        <v>2094</v>
      </c>
      <c r="S2" s="50" t="s">
        <v>2117</v>
      </c>
      <c r="T2" s="3" t="s">
        <v>880</v>
      </c>
      <c r="U2" s="3"/>
      <c r="V2" s="3"/>
      <c r="W2" s="3"/>
      <c r="X2" s="3"/>
      <c r="Y2" s="3"/>
      <c r="Z2" s="3"/>
      <c r="AA2" s="3"/>
      <c r="AB2" s="3"/>
      <c r="AC2" s="3"/>
      <c r="AD2" s="3"/>
      <c r="AE2" s="3"/>
      <c r="AF2" s="3"/>
      <c r="AG2" s="3"/>
      <c r="AH2" s="3"/>
      <c r="AI2" s="3"/>
      <c r="AK2" s="2">
        <f>COUNTA(C2:AI2)</f>
        <v>17</v>
      </c>
      <c r="AM2" s="2">
        <f>COUNTA(G2:P2,S2:T2)</f>
        <v>12</v>
      </c>
      <c r="AO2" s="2">
        <f>COUNTIF(AM2:AM179,"&gt;=2")</f>
        <v>46</v>
      </c>
    </row>
    <row r="3" spans="1:41" x14ac:dyDescent="0.35">
      <c r="A3" s="5" t="s">
        <v>67</v>
      </c>
      <c r="B3" s="6"/>
      <c r="C3" s="51" t="s">
        <v>3249</v>
      </c>
      <c r="D3" s="5" t="s">
        <v>68</v>
      </c>
      <c r="E3" s="54" t="s">
        <v>68</v>
      </c>
      <c r="F3" s="67" t="s">
        <v>369</v>
      </c>
      <c r="G3" s="12" t="s">
        <v>68</v>
      </c>
      <c r="H3" s="12"/>
      <c r="AK3" s="2">
        <f>COUNTA(C3:AI3)</f>
        <v>5</v>
      </c>
      <c r="AM3" s="2">
        <f t="shared" ref="AM3:AM68" si="0">COUNTA(G3:P3,S3:T3)</f>
        <v>1</v>
      </c>
    </row>
    <row r="4" spans="1:41" x14ac:dyDescent="0.35">
      <c r="A4" s="5" t="s">
        <v>451</v>
      </c>
      <c r="B4" s="6"/>
      <c r="C4" s="51" t="s">
        <v>3248</v>
      </c>
      <c r="D4" s="64" t="s">
        <v>3159</v>
      </c>
      <c r="E4" s="1"/>
      <c r="F4" s="12"/>
      <c r="G4" s="12"/>
      <c r="H4" s="67" t="s">
        <v>452</v>
      </c>
      <c r="I4" s="12" t="s">
        <v>624</v>
      </c>
      <c r="AK4" s="2">
        <f t="shared" ref="AK4:AK68" si="1">COUNTA(C4:AI4)</f>
        <v>4</v>
      </c>
      <c r="AM4" s="2">
        <f t="shared" si="0"/>
        <v>2</v>
      </c>
    </row>
    <row r="5" spans="1:41" x14ac:dyDescent="0.35">
      <c r="A5" s="5" t="s">
        <v>1157</v>
      </c>
      <c r="B5" s="6"/>
      <c r="C5" s="5"/>
      <c r="D5" s="5"/>
      <c r="E5" s="1"/>
      <c r="F5" s="12"/>
      <c r="G5" s="12"/>
      <c r="H5" s="12"/>
      <c r="I5" s="12"/>
      <c r="L5" s="1" t="s">
        <v>905</v>
      </c>
      <c r="AK5" s="2">
        <f t="shared" si="1"/>
        <v>1</v>
      </c>
      <c r="AM5" s="2">
        <f t="shared" si="0"/>
        <v>1</v>
      </c>
    </row>
    <row r="6" spans="1:41" x14ac:dyDescent="0.35">
      <c r="A6" s="5" t="s">
        <v>1279</v>
      </c>
      <c r="B6" s="6"/>
      <c r="C6" s="6"/>
      <c r="D6" s="5"/>
      <c r="E6" s="1"/>
      <c r="F6" s="12"/>
      <c r="G6" s="12"/>
      <c r="H6" s="12"/>
      <c r="I6" s="12"/>
      <c r="N6" s="1" t="s">
        <v>437</v>
      </c>
      <c r="AK6" s="2">
        <f t="shared" si="1"/>
        <v>1</v>
      </c>
      <c r="AM6" s="2">
        <f t="shared" si="0"/>
        <v>1</v>
      </c>
    </row>
    <row r="7" spans="1:41" x14ac:dyDescent="0.35">
      <c r="A7" s="5" t="s">
        <v>2292</v>
      </c>
      <c r="B7" s="6"/>
      <c r="C7" s="51" t="s">
        <v>3250</v>
      </c>
      <c r="D7" s="5" t="s">
        <v>69</v>
      </c>
      <c r="E7" s="54" t="s">
        <v>69</v>
      </c>
      <c r="F7" s="67" t="s">
        <v>3158</v>
      </c>
      <c r="G7" s="67" t="s">
        <v>69</v>
      </c>
      <c r="H7" s="67" t="s">
        <v>447</v>
      </c>
      <c r="I7" s="67" t="s">
        <v>620</v>
      </c>
      <c r="J7" s="53" t="s">
        <v>240</v>
      </c>
      <c r="K7" s="53" t="s">
        <v>928</v>
      </c>
      <c r="L7" s="54" t="s">
        <v>899</v>
      </c>
      <c r="M7" s="53" t="s">
        <v>914</v>
      </c>
      <c r="N7" s="53" t="s">
        <v>440</v>
      </c>
      <c r="O7" s="53" t="s">
        <v>1505</v>
      </c>
      <c r="P7" s="54" t="s">
        <v>1716</v>
      </c>
      <c r="R7" s="53" t="s">
        <v>2115</v>
      </c>
      <c r="S7" s="53" t="s">
        <v>2116</v>
      </c>
      <c r="T7" s="1" t="s">
        <v>898</v>
      </c>
      <c r="AK7" s="2">
        <f t="shared" si="1"/>
        <v>17</v>
      </c>
      <c r="AM7" s="2">
        <f t="shared" si="0"/>
        <v>12</v>
      </c>
    </row>
    <row r="8" spans="1:41" x14ac:dyDescent="0.35">
      <c r="A8" s="5" t="s">
        <v>1283</v>
      </c>
      <c r="B8" s="6"/>
      <c r="C8" s="6"/>
      <c r="D8" s="5"/>
      <c r="E8" s="1"/>
      <c r="F8" s="1"/>
      <c r="G8" s="12"/>
      <c r="H8" s="12"/>
      <c r="I8" s="12"/>
      <c r="N8" s="1" t="s">
        <v>222</v>
      </c>
      <c r="AK8" s="2">
        <f t="shared" si="1"/>
        <v>1</v>
      </c>
      <c r="AM8" s="2">
        <f t="shared" si="0"/>
        <v>1</v>
      </c>
    </row>
    <row r="9" spans="1:41" x14ac:dyDescent="0.35">
      <c r="A9" s="5" t="s">
        <v>731</v>
      </c>
      <c r="B9" s="6"/>
      <c r="C9" s="6"/>
      <c r="D9" s="5"/>
      <c r="E9" s="1"/>
      <c r="F9" s="1"/>
      <c r="G9" s="12"/>
      <c r="H9" s="12"/>
      <c r="I9" s="12"/>
      <c r="J9" s="53" t="s">
        <v>239</v>
      </c>
      <c r="K9" s="1" t="s">
        <v>927</v>
      </c>
      <c r="AK9" s="2">
        <f t="shared" si="1"/>
        <v>2</v>
      </c>
      <c r="AM9" s="2">
        <f t="shared" si="0"/>
        <v>2</v>
      </c>
    </row>
    <row r="10" spans="1:41" x14ac:dyDescent="0.35">
      <c r="A10" s="5" t="s">
        <v>621</v>
      </c>
      <c r="B10" s="6"/>
      <c r="C10" s="6"/>
      <c r="D10" s="5"/>
      <c r="E10" s="1"/>
      <c r="F10" s="1"/>
      <c r="G10" s="12"/>
      <c r="H10" s="12"/>
      <c r="I10" s="12" t="s">
        <v>448</v>
      </c>
      <c r="AK10" s="2">
        <f t="shared" si="1"/>
        <v>1</v>
      </c>
      <c r="AM10" s="2">
        <f t="shared" si="0"/>
        <v>1</v>
      </c>
    </row>
    <row r="11" spans="1:41" x14ac:dyDescent="0.35">
      <c r="A11" s="5" t="s">
        <v>196</v>
      </c>
      <c r="B11" s="6"/>
      <c r="C11" s="51" t="s">
        <v>3251</v>
      </c>
      <c r="D11" s="64" t="s">
        <v>197</v>
      </c>
      <c r="E11" s="1"/>
      <c r="F11" s="67" t="s">
        <v>371</v>
      </c>
      <c r="G11" s="67" t="s">
        <v>197</v>
      </c>
      <c r="H11" s="67" t="s">
        <v>453</v>
      </c>
      <c r="I11" s="67" t="s">
        <v>625</v>
      </c>
      <c r="J11" s="53" t="s">
        <v>97</v>
      </c>
      <c r="K11" s="53" t="s">
        <v>930</v>
      </c>
      <c r="L11" s="54" t="s">
        <v>900</v>
      </c>
      <c r="N11" s="53" t="s">
        <v>443</v>
      </c>
      <c r="O11" s="1" t="s">
        <v>1503</v>
      </c>
      <c r="AK11" s="2">
        <f t="shared" si="1"/>
        <v>11</v>
      </c>
      <c r="AM11" s="2">
        <f t="shared" si="0"/>
        <v>8</v>
      </c>
    </row>
    <row r="12" spans="1:41" x14ac:dyDescent="0.35">
      <c r="A12" s="5" t="s">
        <v>70</v>
      </c>
      <c r="B12" s="6"/>
      <c r="C12" s="1"/>
      <c r="D12" s="5" t="s">
        <v>71</v>
      </c>
      <c r="E12" s="54" t="s">
        <v>71</v>
      </c>
      <c r="F12" s="67" t="s">
        <v>370</v>
      </c>
      <c r="G12" s="67" t="s">
        <v>71</v>
      </c>
      <c r="H12" s="12"/>
      <c r="AK12" s="2">
        <f t="shared" si="1"/>
        <v>4</v>
      </c>
      <c r="AM12" s="2">
        <f t="shared" si="0"/>
        <v>1</v>
      </c>
    </row>
    <row r="13" spans="1:41" x14ac:dyDescent="0.35">
      <c r="A13" s="5" t="s">
        <v>3160</v>
      </c>
      <c r="B13" s="6"/>
      <c r="C13" s="1"/>
      <c r="D13" s="64" t="s">
        <v>3161</v>
      </c>
      <c r="E13" s="1"/>
      <c r="F13" s="12"/>
      <c r="G13" s="12"/>
      <c r="H13" s="12"/>
      <c r="AK13" s="2">
        <f t="shared" si="1"/>
        <v>1</v>
      </c>
      <c r="AM13" s="2">
        <f t="shared" si="0"/>
        <v>0</v>
      </c>
    </row>
    <row r="14" spans="1:41" x14ac:dyDescent="0.35">
      <c r="A14" s="5" t="s">
        <v>1156</v>
      </c>
      <c r="B14" s="6"/>
      <c r="C14" s="53" t="s">
        <v>3252</v>
      </c>
      <c r="D14" s="64" t="s">
        <v>77</v>
      </c>
      <c r="E14" s="1"/>
      <c r="F14" s="1"/>
      <c r="G14" s="67" t="s">
        <v>195</v>
      </c>
      <c r="H14" s="67" t="s">
        <v>448</v>
      </c>
      <c r="I14" s="67" t="s">
        <v>622</v>
      </c>
      <c r="J14" s="53" t="s">
        <v>58</v>
      </c>
      <c r="K14" s="53" t="s">
        <v>931</v>
      </c>
      <c r="L14" s="54" t="s">
        <v>881</v>
      </c>
      <c r="AK14" s="2">
        <f t="shared" si="1"/>
        <v>8</v>
      </c>
      <c r="AM14" s="2">
        <f t="shared" si="0"/>
        <v>6</v>
      </c>
    </row>
    <row r="15" spans="1:41" x14ac:dyDescent="0.35">
      <c r="A15" s="5" t="s">
        <v>72</v>
      </c>
      <c r="B15" s="6"/>
      <c r="C15" s="64" t="s">
        <v>3255</v>
      </c>
      <c r="D15" s="5" t="s">
        <v>73</v>
      </c>
      <c r="E15" s="54" t="s">
        <v>73</v>
      </c>
      <c r="F15" s="67" t="s">
        <v>372</v>
      </c>
      <c r="G15" s="67" t="s">
        <v>73</v>
      </c>
      <c r="H15" s="67" t="s">
        <v>454</v>
      </c>
      <c r="J15" s="53" t="s">
        <v>98</v>
      </c>
      <c r="K15" s="53" t="s">
        <v>932</v>
      </c>
      <c r="L15" s="54" t="s">
        <v>882</v>
      </c>
      <c r="AK15" s="2">
        <f t="shared" si="1"/>
        <v>9</v>
      </c>
      <c r="AM15" s="2">
        <f t="shared" si="0"/>
        <v>5</v>
      </c>
    </row>
    <row r="16" spans="1:41" x14ac:dyDescent="0.35">
      <c r="A16" s="5" t="s">
        <v>74</v>
      </c>
      <c r="B16" s="6"/>
      <c r="C16" s="53" t="s">
        <v>3253</v>
      </c>
      <c r="D16" s="5" t="s">
        <v>75</v>
      </c>
      <c r="E16" s="59" t="s">
        <v>75</v>
      </c>
      <c r="F16" s="1"/>
      <c r="G16" s="67" t="s">
        <v>75</v>
      </c>
      <c r="H16" s="67" t="s">
        <v>450</v>
      </c>
      <c r="I16" s="67" t="s">
        <v>623</v>
      </c>
      <c r="J16" s="53" t="s">
        <v>99</v>
      </c>
      <c r="K16" s="53" t="s">
        <v>933</v>
      </c>
      <c r="L16" s="54" t="s">
        <v>903</v>
      </c>
      <c r="AK16" s="2">
        <f t="shared" si="1"/>
        <v>9</v>
      </c>
      <c r="AM16" s="2">
        <f t="shared" si="0"/>
        <v>6</v>
      </c>
    </row>
    <row r="17" spans="1:39" x14ac:dyDescent="0.35">
      <c r="A17" s="5" t="s">
        <v>1158</v>
      </c>
      <c r="B17" s="6"/>
      <c r="C17" s="1"/>
      <c r="D17" s="5"/>
      <c r="E17" s="1"/>
      <c r="F17" s="1"/>
      <c r="G17" s="12"/>
      <c r="H17" s="12"/>
      <c r="I17" s="12"/>
      <c r="L17" s="54" t="s">
        <v>901</v>
      </c>
      <c r="AK17" s="2">
        <f t="shared" si="1"/>
        <v>1</v>
      </c>
      <c r="AM17" s="2">
        <f t="shared" si="0"/>
        <v>1</v>
      </c>
    </row>
    <row r="18" spans="1:39" x14ac:dyDescent="0.35">
      <c r="A18" s="5" t="s">
        <v>76</v>
      </c>
      <c r="B18" s="6"/>
      <c r="C18" s="1"/>
      <c r="D18" s="5"/>
      <c r="E18" s="54" t="s">
        <v>77</v>
      </c>
      <c r="F18" s="1"/>
      <c r="G18" s="67" t="s">
        <v>77</v>
      </c>
      <c r="H18" s="12" t="s">
        <v>455</v>
      </c>
      <c r="AK18" s="2">
        <f t="shared" si="1"/>
        <v>3</v>
      </c>
      <c r="AM18" s="2">
        <f t="shared" si="0"/>
        <v>2</v>
      </c>
    </row>
    <row r="19" spans="1:39" x14ac:dyDescent="0.35">
      <c r="A19" s="5" t="s">
        <v>78</v>
      </c>
      <c r="B19" s="6"/>
      <c r="C19" s="53" t="s">
        <v>3254</v>
      </c>
      <c r="D19" s="5" t="s">
        <v>79</v>
      </c>
      <c r="E19" s="54" t="s">
        <v>79</v>
      </c>
      <c r="F19" s="1"/>
      <c r="G19" s="1"/>
      <c r="H19" s="12"/>
      <c r="AK19" s="2">
        <f t="shared" si="1"/>
        <v>3</v>
      </c>
      <c r="AM19" s="2">
        <f t="shared" si="0"/>
        <v>0</v>
      </c>
    </row>
    <row r="20" spans="1:39" x14ac:dyDescent="0.35">
      <c r="A20" s="5" t="s">
        <v>198</v>
      </c>
      <c r="B20" s="6"/>
      <c r="C20" s="1"/>
      <c r="D20" s="5"/>
      <c r="E20" s="1"/>
      <c r="F20" s="1"/>
      <c r="G20" s="67" t="s">
        <v>199</v>
      </c>
      <c r="H20" s="12" t="s">
        <v>449</v>
      </c>
      <c r="AK20" s="2">
        <f t="shared" si="1"/>
        <v>2</v>
      </c>
      <c r="AM20" s="2">
        <f t="shared" si="0"/>
        <v>2</v>
      </c>
    </row>
    <row r="21" spans="1:39" x14ac:dyDescent="0.35">
      <c r="A21" s="5" t="s">
        <v>80</v>
      </c>
      <c r="B21" s="6"/>
      <c r="C21" s="53" t="s">
        <v>3257</v>
      </c>
      <c r="D21" s="5" t="s">
        <v>81</v>
      </c>
      <c r="E21" s="54" t="s">
        <v>81</v>
      </c>
      <c r="F21" s="67" t="s">
        <v>373</v>
      </c>
      <c r="G21" s="67" t="s">
        <v>81</v>
      </c>
      <c r="H21" s="12" t="s">
        <v>456</v>
      </c>
      <c r="AK21" s="2">
        <f t="shared" si="1"/>
        <v>6</v>
      </c>
      <c r="AM21" s="2">
        <f t="shared" si="0"/>
        <v>2</v>
      </c>
    </row>
    <row r="22" spans="1:39" x14ac:dyDescent="0.35">
      <c r="A22" s="5" t="s">
        <v>200</v>
      </c>
      <c r="B22" s="6"/>
      <c r="C22" s="1"/>
      <c r="D22" s="5"/>
      <c r="E22" s="1"/>
      <c r="F22" s="1"/>
      <c r="G22" s="12" t="s">
        <v>201</v>
      </c>
      <c r="H22" s="12"/>
      <c r="AK22" s="2">
        <f t="shared" si="1"/>
        <v>1</v>
      </c>
      <c r="AM22" s="2">
        <f t="shared" si="0"/>
        <v>1</v>
      </c>
    </row>
    <row r="23" spans="1:39" x14ac:dyDescent="0.35">
      <c r="A23" s="5" t="s">
        <v>628</v>
      </c>
      <c r="B23" s="6"/>
      <c r="C23" s="1"/>
      <c r="D23" s="5"/>
      <c r="E23" s="1"/>
      <c r="F23" s="1"/>
      <c r="G23" s="12"/>
      <c r="H23" s="12"/>
      <c r="I23" s="12" t="s">
        <v>629</v>
      </c>
      <c r="AK23" s="2">
        <f t="shared" si="1"/>
        <v>1</v>
      </c>
      <c r="AM23" s="2">
        <f t="shared" si="0"/>
        <v>1</v>
      </c>
    </row>
    <row r="24" spans="1:39" x14ac:dyDescent="0.35">
      <c r="A24" s="5" t="s">
        <v>457</v>
      </c>
      <c r="B24" s="6"/>
      <c r="C24" s="1"/>
      <c r="D24" s="5"/>
      <c r="E24" s="1"/>
      <c r="F24" s="1"/>
      <c r="G24" s="12"/>
      <c r="H24" s="67" t="s">
        <v>461</v>
      </c>
      <c r="I24" s="12" t="s">
        <v>626</v>
      </c>
      <c r="AK24" s="2">
        <f t="shared" si="1"/>
        <v>2</v>
      </c>
      <c r="AM24" s="2">
        <f t="shared" si="0"/>
        <v>2</v>
      </c>
    </row>
    <row r="25" spans="1:39" x14ac:dyDescent="0.35">
      <c r="A25" s="5" t="s">
        <v>458</v>
      </c>
      <c r="B25" s="6"/>
      <c r="C25" s="1"/>
      <c r="D25" s="5"/>
      <c r="E25" s="1"/>
      <c r="F25" s="1"/>
      <c r="G25" s="12"/>
      <c r="H25" s="12" t="s">
        <v>462</v>
      </c>
      <c r="I25" s="12"/>
      <c r="AK25" s="2">
        <f t="shared" si="1"/>
        <v>1</v>
      </c>
      <c r="AM25" s="2">
        <f t="shared" si="0"/>
        <v>1</v>
      </c>
    </row>
    <row r="26" spans="1:39" x14ac:dyDescent="0.35">
      <c r="A26" s="5" t="s">
        <v>459</v>
      </c>
      <c r="B26" s="6"/>
      <c r="C26" s="64" t="s">
        <v>3256</v>
      </c>
      <c r="D26" s="64" t="s">
        <v>3162</v>
      </c>
      <c r="E26" s="1"/>
      <c r="F26" s="1"/>
      <c r="G26" s="12"/>
      <c r="H26" s="12" t="s">
        <v>463</v>
      </c>
      <c r="I26" s="12"/>
      <c r="AK26" s="2">
        <f t="shared" si="1"/>
        <v>3</v>
      </c>
      <c r="AM26" s="2">
        <f t="shared" si="0"/>
        <v>1</v>
      </c>
    </row>
    <row r="27" spans="1:39" x14ac:dyDescent="0.35">
      <c r="A27" s="5" t="s">
        <v>460</v>
      </c>
      <c r="B27" s="6"/>
      <c r="C27" s="64" t="s">
        <v>3258</v>
      </c>
      <c r="D27" s="5"/>
      <c r="E27" s="1"/>
      <c r="F27" s="1"/>
      <c r="G27" s="12"/>
      <c r="H27" s="67" t="s">
        <v>464</v>
      </c>
      <c r="I27" s="12" t="s">
        <v>627</v>
      </c>
      <c r="AK27" s="2">
        <f t="shared" si="1"/>
        <v>3</v>
      </c>
      <c r="AM27" s="2">
        <f t="shared" si="0"/>
        <v>2</v>
      </c>
    </row>
    <row r="28" spans="1:39" ht="29" x14ac:dyDescent="0.35">
      <c r="A28" s="40" t="s">
        <v>3218</v>
      </c>
      <c r="B28" s="5"/>
      <c r="C28" s="5"/>
      <c r="D28" s="38" t="s">
        <v>3223</v>
      </c>
      <c r="E28" s="1"/>
      <c r="F28" s="1"/>
      <c r="G28" s="12"/>
      <c r="H28" s="12"/>
      <c r="I28" s="12"/>
      <c r="AK28" s="2">
        <f t="shared" si="1"/>
        <v>1</v>
      </c>
      <c r="AM28" s="2">
        <f t="shared" si="0"/>
        <v>0</v>
      </c>
    </row>
    <row r="29" spans="1:39" x14ac:dyDescent="0.35">
      <c r="A29" s="40" t="s">
        <v>3219</v>
      </c>
      <c r="B29" s="5"/>
      <c r="C29" s="5"/>
      <c r="D29" s="38" t="s">
        <v>3224</v>
      </c>
      <c r="E29" s="1"/>
      <c r="F29" s="1"/>
      <c r="G29" s="12"/>
      <c r="H29" s="12"/>
      <c r="I29" s="12"/>
      <c r="AK29" s="2">
        <f t="shared" si="1"/>
        <v>1</v>
      </c>
      <c r="AM29" s="2">
        <f t="shared" si="0"/>
        <v>0</v>
      </c>
    </row>
    <row r="30" spans="1:39" ht="29" x14ac:dyDescent="0.35">
      <c r="A30" s="40" t="s">
        <v>3220</v>
      </c>
      <c r="B30" s="5"/>
      <c r="C30" s="5"/>
      <c r="D30" s="38" t="s">
        <v>3225</v>
      </c>
      <c r="E30" s="1"/>
      <c r="F30" s="1"/>
      <c r="G30" s="12"/>
      <c r="H30" s="12"/>
      <c r="I30" s="12"/>
      <c r="AK30" s="2">
        <f t="shared" si="1"/>
        <v>1</v>
      </c>
      <c r="AM30" s="2">
        <f t="shared" si="0"/>
        <v>0</v>
      </c>
    </row>
    <row r="31" spans="1:39" x14ac:dyDescent="0.35">
      <c r="A31" s="40" t="s">
        <v>3221</v>
      </c>
      <c r="B31" s="5"/>
      <c r="C31" s="5"/>
      <c r="D31" s="38" t="s">
        <v>3226</v>
      </c>
      <c r="E31" s="1"/>
      <c r="F31" s="1"/>
      <c r="G31" s="12"/>
      <c r="H31" s="12"/>
      <c r="I31" s="12"/>
      <c r="AK31" s="2">
        <f t="shared" si="1"/>
        <v>1</v>
      </c>
      <c r="AM31" s="2">
        <f t="shared" si="0"/>
        <v>0</v>
      </c>
    </row>
    <row r="32" spans="1:39" x14ac:dyDescent="0.35">
      <c r="A32" s="40" t="s">
        <v>3222</v>
      </c>
      <c r="B32" s="5"/>
      <c r="C32" s="5"/>
      <c r="D32" s="38" t="s">
        <v>3227</v>
      </c>
      <c r="E32" s="1"/>
      <c r="F32" s="1"/>
      <c r="G32" s="12"/>
      <c r="H32" s="12"/>
      <c r="I32" s="12"/>
      <c r="AK32" s="2">
        <f t="shared" si="1"/>
        <v>1</v>
      </c>
      <c r="AM32" s="2">
        <f t="shared" si="0"/>
        <v>0</v>
      </c>
    </row>
    <row r="33" spans="1:39" ht="29" x14ac:dyDescent="0.35">
      <c r="A33" s="5" t="s">
        <v>83</v>
      </c>
      <c r="B33" s="5" t="s">
        <v>82</v>
      </c>
      <c r="C33" s="5" t="s">
        <v>82</v>
      </c>
      <c r="D33" s="38" t="s">
        <v>82</v>
      </c>
      <c r="E33" s="59" t="s">
        <v>82</v>
      </c>
      <c r="F33" s="1"/>
      <c r="G33" s="1" t="s">
        <v>82</v>
      </c>
      <c r="H33" s="1"/>
      <c r="AK33" s="2">
        <f t="shared" si="1"/>
        <v>4</v>
      </c>
      <c r="AM33" s="2">
        <f t="shared" si="0"/>
        <v>1</v>
      </c>
    </row>
    <row r="34" spans="1:39" ht="29" x14ac:dyDescent="0.35">
      <c r="A34" s="5" t="s">
        <v>84</v>
      </c>
      <c r="B34" s="5" t="s">
        <v>110</v>
      </c>
      <c r="C34" s="5" t="s">
        <v>110</v>
      </c>
      <c r="D34" s="38" t="s">
        <v>110</v>
      </c>
      <c r="E34" s="59" t="s">
        <v>110</v>
      </c>
      <c r="F34" s="1"/>
      <c r="G34" s="1" t="s">
        <v>110</v>
      </c>
      <c r="H34" s="1"/>
      <c r="AK34" s="2">
        <f t="shared" si="1"/>
        <v>4</v>
      </c>
      <c r="AM34" s="2">
        <f t="shared" si="0"/>
        <v>1</v>
      </c>
    </row>
    <row r="35" spans="1:39" x14ac:dyDescent="0.35">
      <c r="A35" s="5" t="s">
        <v>1286</v>
      </c>
      <c r="B35" s="5" t="s">
        <v>3203</v>
      </c>
      <c r="C35" s="5" t="s">
        <v>3203</v>
      </c>
      <c r="D35" s="71" t="s">
        <v>3203</v>
      </c>
      <c r="E35" s="1"/>
      <c r="F35" s="1"/>
      <c r="G35" s="1"/>
      <c r="H35" s="1"/>
      <c r="L35" s="54" t="s">
        <v>906</v>
      </c>
      <c r="M35" s="53" t="s">
        <v>922</v>
      </c>
      <c r="N35" s="53" t="s">
        <v>226</v>
      </c>
      <c r="O35" s="53" t="s">
        <v>1094</v>
      </c>
      <c r="P35" s="53" t="s">
        <v>1721</v>
      </c>
      <c r="R35" s="53" t="s">
        <v>2122</v>
      </c>
      <c r="S35" s="53" t="s">
        <v>2123</v>
      </c>
      <c r="T35" s="1" t="s">
        <v>881</v>
      </c>
      <c r="AK35" s="2">
        <f t="shared" si="1"/>
        <v>10</v>
      </c>
      <c r="AM35" s="2">
        <f t="shared" si="0"/>
        <v>7</v>
      </c>
    </row>
    <row r="36" spans="1:39" x14ac:dyDescent="0.35">
      <c r="A36" s="5" t="s">
        <v>1285</v>
      </c>
      <c r="B36" s="5"/>
      <c r="C36" s="5"/>
      <c r="D36" s="38"/>
      <c r="E36" s="1"/>
      <c r="F36" s="1"/>
      <c r="G36" s="1"/>
      <c r="H36" s="1"/>
      <c r="M36" s="54" t="s">
        <v>916</v>
      </c>
      <c r="N36" s="53" t="s">
        <v>57</v>
      </c>
      <c r="O36" s="53" t="s">
        <v>1510</v>
      </c>
      <c r="P36" s="53" t="s">
        <v>1722</v>
      </c>
      <c r="R36" s="53" t="s">
        <v>2126</v>
      </c>
      <c r="S36" s="53" t="s">
        <v>2127</v>
      </c>
      <c r="T36" s="1" t="s">
        <v>882</v>
      </c>
      <c r="AK36" s="2">
        <f t="shared" si="1"/>
        <v>7</v>
      </c>
      <c r="AM36" s="2">
        <f t="shared" si="0"/>
        <v>6</v>
      </c>
    </row>
    <row r="37" spans="1:39" x14ac:dyDescent="0.35">
      <c r="A37" s="5" t="s">
        <v>1284</v>
      </c>
      <c r="B37" s="64" t="s">
        <v>7900</v>
      </c>
      <c r="C37" s="64" t="s">
        <v>3262</v>
      </c>
      <c r="D37" s="71" t="s">
        <v>3202</v>
      </c>
      <c r="E37" s="1"/>
      <c r="F37" s="1"/>
      <c r="G37" s="1"/>
      <c r="H37" s="1"/>
      <c r="N37" s="1" t="s">
        <v>224</v>
      </c>
      <c r="AK37" s="2">
        <f t="shared" si="1"/>
        <v>3</v>
      </c>
      <c r="AM37" s="2">
        <f t="shared" si="0"/>
        <v>1</v>
      </c>
    </row>
    <row r="38" spans="1:39" x14ac:dyDescent="0.35">
      <c r="A38" s="5" t="s">
        <v>3263</v>
      </c>
      <c r="B38" s="64" t="s">
        <v>7901</v>
      </c>
      <c r="C38" s="5" t="s">
        <v>3264</v>
      </c>
      <c r="D38" s="38"/>
      <c r="E38" s="1"/>
      <c r="F38" s="1"/>
      <c r="G38" s="1"/>
      <c r="H38" s="1"/>
      <c r="AK38" s="2">
        <f t="shared" si="1"/>
        <v>1</v>
      </c>
    </row>
    <row r="39" spans="1:39" x14ac:dyDescent="0.35">
      <c r="A39" s="5" t="s">
        <v>7902</v>
      </c>
      <c r="B39" s="64" t="s">
        <v>7903</v>
      </c>
      <c r="C39" s="5"/>
      <c r="D39" s="38"/>
      <c r="E39" s="1"/>
      <c r="F39" s="1"/>
      <c r="G39" s="1"/>
      <c r="H39" s="1"/>
    </row>
    <row r="40" spans="1:39" x14ac:dyDescent="0.35">
      <c r="A40" s="5" t="s">
        <v>2128</v>
      </c>
      <c r="B40" s="5"/>
      <c r="C40" s="5"/>
      <c r="D40" s="5"/>
      <c r="E40" s="1"/>
      <c r="F40" s="1"/>
      <c r="G40" s="1"/>
      <c r="H40" s="1"/>
      <c r="R40" s="53" t="s">
        <v>2129</v>
      </c>
      <c r="S40" s="53" t="s">
        <v>2130</v>
      </c>
      <c r="T40" s="1" t="s">
        <v>903</v>
      </c>
      <c r="AK40" s="2">
        <f t="shared" si="1"/>
        <v>3</v>
      </c>
      <c r="AM40" s="2">
        <f t="shared" si="0"/>
        <v>2</v>
      </c>
    </row>
    <row r="41" spans="1:39" x14ac:dyDescent="0.35">
      <c r="A41" s="5" t="s">
        <v>2137</v>
      </c>
      <c r="B41" s="5"/>
      <c r="C41" s="5"/>
      <c r="D41" s="5"/>
      <c r="E41" s="1"/>
      <c r="F41" s="1"/>
      <c r="G41" s="1"/>
      <c r="H41" s="1"/>
      <c r="R41" s="53" t="s">
        <v>2138</v>
      </c>
      <c r="S41" s="53" t="s">
        <v>2139</v>
      </c>
      <c r="T41" s="1" t="s">
        <v>904</v>
      </c>
      <c r="AK41" s="2">
        <f t="shared" si="1"/>
        <v>3</v>
      </c>
      <c r="AM41" s="2">
        <f t="shared" si="0"/>
        <v>2</v>
      </c>
    </row>
    <row r="42" spans="1:39" x14ac:dyDescent="0.35">
      <c r="A42" s="5" t="s">
        <v>1507</v>
      </c>
      <c r="B42" s="5"/>
      <c r="C42" s="5"/>
      <c r="D42" s="5"/>
      <c r="E42" s="1"/>
      <c r="F42" s="1"/>
      <c r="G42" s="1"/>
      <c r="H42" s="1"/>
      <c r="O42" s="1" t="s">
        <v>1092</v>
      </c>
      <c r="AK42" s="2">
        <f t="shared" si="1"/>
        <v>1</v>
      </c>
      <c r="AM42" s="2">
        <f t="shared" si="0"/>
        <v>1</v>
      </c>
    </row>
    <row r="43" spans="1:39" x14ac:dyDescent="0.35">
      <c r="A43" s="5" t="s">
        <v>1508</v>
      </c>
      <c r="B43" s="5"/>
      <c r="C43" s="5"/>
      <c r="D43" s="5"/>
      <c r="E43" s="1"/>
      <c r="F43" s="1"/>
      <c r="G43" s="1"/>
      <c r="H43" s="1"/>
      <c r="O43" s="1" t="s">
        <v>1509</v>
      </c>
      <c r="AK43" s="2">
        <f t="shared" si="1"/>
        <v>1</v>
      </c>
      <c r="AM43" s="2">
        <f t="shared" si="0"/>
        <v>1</v>
      </c>
    </row>
    <row r="44" spans="1:39" x14ac:dyDescent="0.35">
      <c r="A44" s="5" t="s">
        <v>1723</v>
      </c>
      <c r="B44" s="5"/>
      <c r="C44" s="5"/>
      <c r="D44" s="5"/>
      <c r="E44" s="1"/>
      <c r="F44" s="1"/>
      <c r="G44" s="1"/>
      <c r="H44" s="1"/>
      <c r="P44" s="53" t="s">
        <v>1725</v>
      </c>
      <c r="R44" s="53" t="s">
        <v>2144</v>
      </c>
      <c r="S44" s="53" t="s">
        <v>2145</v>
      </c>
      <c r="T44" s="1" t="s">
        <v>908</v>
      </c>
      <c r="AK44" s="2">
        <f t="shared" si="1"/>
        <v>4</v>
      </c>
      <c r="AM44" s="2">
        <f t="shared" si="0"/>
        <v>3</v>
      </c>
    </row>
    <row r="45" spans="1:39" x14ac:dyDescent="0.35">
      <c r="A45" s="5" t="s">
        <v>1724</v>
      </c>
      <c r="B45" s="5"/>
      <c r="C45" s="5"/>
      <c r="D45" s="5"/>
      <c r="E45" s="1"/>
      <c r="F45" s="1"/>
      <c r="G45" s="1"/>
      <c r="H45" s="1"/>
      <c r="P45" s="53" t="s">
        <v>1726</v>
      </c>
      <c r="R45" s="53" t="s">
        <v>2147</v>
      </c>
      <c r="S45" s="53" t="s">
        <v>2146</v>
      </c>
      <c r="T45" s="1" t="s">
        <v>909</v>
      </c>
      <c r="AK45" s="2">
        <f t="shared" si="1"/>
        <v>4</v>
      </c>
      <c r="AM45" s="2">
        <f t="shared" si="0"/>
        <v>3</v>
      </c>
    </row>
    <row r="46" spans="1:39" x14ac:dyDescent="0.35">
      <c r="A46" s="5" t="s">
        <v>85</v>
      </c>
      <c r="B46" s="64" t="s">
        <v>86</v>
      </c>
      <c r="C46" s="64" t="s">
        <v>3259</v>
      </c>
      <c r="D46" s="5" t="s">
        <v>86</v>
      </c>
      <c r="E46" s="54" t="s">
        <v>86</v>
      </c>
      <c r="F46" s="53" t="s">
        <v>374</v>
      </c>
      <c r="G46" s="53" t="s">
        <v>86</v>
      </c>
      <c r="H46" s="67" t="s">
        <v>446</v>
      </c>
      <c r="I46" s="67" t="s">
        <v>630</v>
      </c>
      <c r="J46" s="53" t="s">
        <v>242</v>
      </c>
      <c r="K46" s="53" t="s">
        <v>938</v>
      </c>
      <c r="M46" s="53" t="s">
        <v>920</v>
      </c>
      <c r="N46" s="53" t="s">
        <v>82</v>
      </c>
      <c r="O46" s="1" t="s">
        <v>1098</v>
      </c>
      <c r="AK46" s="2">
        <f t="shared" si="1"/>
        <v>12</v>
      </c>
      <c r="AM46" s="2">
        <f t="shared" si="0"/>
        <v>8</v>
      </c>
    </row>
    <row r="47" spans="1:39" x14ac:dyDescent="0.35">
      <c r="A47" s="5" t="s">
        <v>942</v>
      </c>
      <c r="B47" s="5"/>
      <c r="C47" s="5"/>
      <c r="D47" s="5"/>
      <c r="E47" s="1"/>
      <c r="F47" s="1"/>
      <c r="G47" s="1"/>
      <c r="H47" s="12"/>
      <c r="I47" s="12"/>
      <c r="K47" s="53" t="s">
        <v>943</v>
      </c>
      <c r="L47" s="53" t="s">
        <v>904</v>
      </c>
      <c r="M47" s="53" t="s">
        <v>915</v>
      </c>
      <c r="R47" s="53" t="s">
        <v>2124</v>
      </c>
      <c r="S47" s="53" t="s">
        <v>2125</v>
      </c>
      <c r="T47" s="1" t="s">
        <v>905</v>
      </c>
      <c r="AK47" s="2">
        <f t="shared" si="1"/>
        <v>6</v>
      </c>
      <c r="AM47" s="2">
        <f t="shared" si="0"/>
        <v>5</v>
      </c>
    </row>
    <row r="48" spans="1:39" x14ac:dyDescent="0.35">
      <c r="A48" s="5" t="s">
        <v>1717</v>
      </c>
      <c r="B48" s="5"/>
      <c r="C48" s="5"/>
      <c r="D48" s="5"/>
      <c r="E48" s="1"/>
      <c r="F48" s="1"/>
      <c r="G48" s="1"/>
      <c r="H48" s="12"/>
      <c r="I48" s="12"/>
      <c r="P48" s="53" t="s">
        <v>1718</v>
      </c>
      <c r="R48" s="53" t="s">
        <v>2120</v>
      </c>
      <c r="S48" s="53" t="s">
        <v>2121</v>
      </c>
      <c r="T48" s="1" t="s">
        <v>900</v>
      </c>
      <c r="AK48" s="2">
        <f t="shared" si="1"/>
        <v>4</v>
      </c>
      <c r="AM48" s="2">
        <f t="shared" si="0"/>
        <v>3</v>
      </c>
    </row>
    <row r="49" spans="1:39" x14ac:dyDescent="0.35">
      <c r="A49" s="5" t="s">
        <v>2141</v>
      </c>
      <c r="B49" s="5"/>
      <c r="C49" s="5"/>
      <c r="D49" s="5"/>
      <c r="E49" s="1"/>
      <c r="F49" s="1"/>
      <c r="G49" s="1"/>
      <c r="H49" s="12"/>
      <c r="I49" s="12"/>
      <c r="R49" s="53" t="s">
        <v>2142</v>
      </c>
      <c r="S49" s="53" t="s">
        <v>2143</v>
      </c>
      <c r="T49" s="1" t="s">
        <v>907</v>
      </c>
      <c r="AK49" s="2">
        <f t="shared" si="1"/>
        <v>3</v>
      </c>
      <c r="AM49" s="2">
        <f t="shared" si="0"/>
        <v>2</v>
      </c>
    </row>
    <row r="50" spans="1:39" x14ac:dyDescent="0.35">
      <c r="A50" s="5" t="s">
        <v>934</v>
      </c>
      <c r="B50" s="5"/>
      <c r="C50" s="5"/>
      <c r="D50" s="5"/>
      <c r="E50" s="1"/>
      <c r="F50" s="1"/>
      <c r="G50" s="1"/>
      <c r="H50" s="12"/>
      <c r="I50" s="12"/>
      <c r="K50" s="1" t="s">
        <v>935</v>
      </c>
      <c r="AK50" s="2">
        <f t="shared" si="1"/>
        <v>1</v>
      </c>
      <c r="AM50" s="2">
        <f t="shared" si="0"/>
        <v>1</v>
      </c>
    </row>
    <row r="51" spans="1:39" x14ac:dyDescent="0.35">
      <c r="A51" s="5" t="s">
        <v>1280</v>
      </c>
      <c r="B51" s="5"/>
      <c r="C51" s="5"/>
      <c r="D51" s="5"/>
      <c r="E51" s="1"/>
      <c r="F51" s="1"/>
      <c r="G51" s="1"/>
      <c r="H51" s="12"/>
      <c r="I51" s="12"/>
      <c r="N51" s="1" t="s">
        <v>441</v>
      </c>
      <c r="AK51" s="2">
        <f t="shared" si="1"/>
        <v>1</v>
      </c>
      <c r="AM51" s="2">
        <f t="shared" si="0"/>
        <v>1</v>
      </c>
    </row>
    <row r="52" spans="1:39" x14ac:dyDescent="0.35">
      <c r="A52" s="5" t="s">
        <v>1281</v>
      </c>
      <c r="B52" s="5"/>
      <c r="C52" s="5"/>
      <c r="D52" s="5"/>
      <c r="E52" s="1"/>
      <c r="F52" s="1"/>
      <c r="G52" s="1"/>
      <c r="H52" s="12"/>
      <c r="I52" s="12"/>
      <c r="N52" s="1" t="s">
        <v>62</v>
      </c>
      <c r="AK52" s="2">
        <f t="shared" si="1"/>
        <v>1</v>
      </c>
      <c r="AM52" s="2">
        <f t="shared" si="0"/>
        <v>1</v>
      </c>
    </row>
    <row r="53" spans="1:39" x14ac:dyDescent="0.35">
      <c r="A53" s="5" t="s">
        <v>2131</v>
      </c>
      <c r="B53" s="5"/>
      <c r="C53" s="5"/>
      <c r="D53" s="5"/>
      <c r="E53" s="1"/>
      <c r="F53" s="1"/>
      <c r="G53" s="1"/>
      <c r="H53" s="12"/>
      <c r="I53" s="12"/>
      <c r="R53" s="53" t="s">
        <v>2132</v>
      </c>
      <c r="S53" s="53" t="s">
        <v>2133</v>
      </c>
      <c r="T53" s="1" t="s">
        <v>901</v>
      </c>
      <c r="AK53" s="2">
        <f t="shared" si="1"/>
        <v>3</v>
      </c>
      <c r="AM53" s="2">
        <f t="shared" si="0"/>
        <v>2</v>
      </c>
    </row>
    <row r="54" spans="1:39" x14ac:dyDescent="0.35">
      <c r="A54" s="5" t="s">
        <v>2134</v>
      </c>
      <c r="B54" s="5"/>
      <c r="C54" s="5"/>
      <c r="D54" s="5"/>
      <c r="E54" s="1"/>
      <c r="F54" s="1"/>
      <c r="G54" s="1"/>
      <c r="H54" s="12"/>
      <c r="I54" s="12"/>
      <c r="R54" s="53" t="s">
        <v>2135</v>
      </c>
      <c r="S54" s="53" t="s">
        <v>2136</v>
      </c>
      <c r="T54" s="1" t="s">
        <v>902</v>
      </c>
      <c r="AK54" s="2">
        <f t="shared" si="1"/>
        <v>3</v>
      </c>
      <c r="AM54" s="2">
        <f t="shared" si="0"/>
        <v>2</v>
      </c>
    </row>
    <row r="55" spans="1:39" x14ac:dyDescent="0.35">
      <c r="A55" s="5" t="s">
        <v>87</v>
      </c>
      <c r="B55" s="5"/>
      <c r="C55" s="64" t="s">
        <v>3260</v>
      </c>
      <c r="D55" s="5" t="s">
        <v>88</v>
      </c>
      <c r="E55" s="54" t="s">
        <v>88</v>
      </c>
      <c r="F55" s="67" t="s">
        <v>375</v>
      </c>
      <c r="G55" s="12" t="s">
        <v>88</v>
      </c>
      <c r="H55" s="12"/>
      <c r="AK55" s="2">
        <f t="shared" si="1"/>
        <v>5</v>
      </c>
      <c r="AM55" s="2">
        <f t="shared" si="0"/>
        <v>1</v>
      </c>
    </row>
    <row r="56" spans="1:39" x14ac:dyDescent="0.35">
      <c r="A56" s="5" t="s">
        <v>89</v>
      </c>
      <c r="B56" s="5"/>
      <c r="C56" s="5"/>
      <c r="D56" s="5"/>
      <c r="E56" s="54" t="s">
        <v>90</v>
      </c>
      <c r="F56" s="67" t="s">
        <v>382</v>
      </c>
      <c r="G56" s="67" t="s">
        <v>90</v>
      </c>
      <c r="H56" s="67" t="s">
        <v>475</v>
      </c>
      <c r="I56" s="67" t="s">
        <v>635</v>
      </c>
      <c r="K56" s="1" t="s">
        <v>944</v>
      </c>
      <c r="AK56" s="2">
        <f t="shared" si="1"/>
        <v>6</v>
      </c>
      <c r="AM56" s="2">
        <f t="shared" si="0"/>
        <v>4</v>
      </c>
    </row>
    <row r="57" spans="1:39" x14ac:dyDescent="0.35">
      <c r="A57" s="5" t="s">
        <v>202</v>
      </c>
      <c r="B57" s="5"/>
      <c r="C57" s="64" t="s">
        <v>3261</v>
      </c>
      <c r="D57" s="76" t="s">
        <v>203</v>
      </c>
      <c r="E57" s="1"/>
      <c r="F57" s="1"/>
      <c r="G57" s="67" t="s">
        <v>203</v>
      </c>
      <c r="H57" s="67" t="s">
        <v>472</v>
      </c>
      <c r="I57" s="12" t="s">
        <v>636</v>
      </c>
      <c r="AK57" s="2">
        <f t="shared" si="1"/>
        <v>5</v>
      </c>
      <c r="AM57" s="2">
        <f t="shared" si="0"/>
        <v>3</v>
      </c>
    </row>
    <row r="58" spans="1:39" x14ac:dyDescent="0.35">
      <c r="A58" s="5" t="s">
        <v>1159</v>
      </c>
      <c r="B58" s="5"/>
      <c r="C58" s="5"/>
      <c r="D58" s="5"/>
      <c r="E58" s="1"/>
      <c r="F58" s="1"/>
      <c r="G58" s="12"/>
      <c r="H58" s="12"/>
      <c r="I58" s="12"/>
      <c r="L58" s="1" t="s">
        <v>906</v>
      </c>
      <c r="AK58" s="2">
        <f t="shared" si="1"/>
        <v>1</v>
      </c>
      <c r="AM58" s="2">
        <f t="shared" si="0"/>
        <v>1</v>
      </c>
    </row>
    <row r="59" spans="1:39" x14ac:dyDescent="0.35">
      <c r="A59" s="5" t="s">
        <v>1511</v>
      </c>
      <c r="B59" s="5"/>
      <c r="C59" s="5"/>
      <c r="D59" s="5"/>
      <c r="E59" s="1"/>
      <c r="F59" s="1"/>
      <c r="G59" s="12"/>
      <c r="H59" s="12"/>
      <c r="I59" s="12"/>
      <c r="O59" s="53" t="s">
        <v>1512</v>
      </c>
      <c r="P59" s="53" t="s">
        <v>1719</v>
      </c>
      <c r="R59" s="53" t="s">
        <v>2095</v>
      </c>
      <c r="S59" s="53" t="s">
        <v>2140</v>
      </c>
      <c r="T59" s="1" t="s">
        <v>906</v>
      </c>
      <c r="AK59" s="2">
        <f t="shared" si="1"/>
        <v>5</v>
      </c>
      <c r="AM59" s="2">
        <f t="shared" si="0"/>
        <v>4</v>
      </c>
    </row>
    <row r="60" spans="1:39" x14ac:dyDescent="0.35">
      <c r="A60" s="5" t="s">
        <v>939</v>
      </c>
      <c r="B60" s="5"/>
      <c r="C60" s="5"/>
      <c r="D60" s="5"/>
      <c r="E60" s="1"/>
      <c r="F60" s="1"/>
      <c r="G60" s="12"/>
      <c r="H60" s="12"/>
      <c r="I60" s="12"/>
      <c r="K60" s="53" t="s">
        <v>940</v>
      </c>
      <c r="M60" s="53" t="s">
        <v>1169</v>
      </c>
      <c r="N60" s="53" t="s">
        <v>110</v>
      </c>
      <c r="O60" s="53" t="s">
        <v>1100</v>
      </c>
      <c r="P60" s="53" t="s">
        <v>1720</v>
      </c>
      <c r="R60" s="53" t="s">
        <v>2118</v>
      </c>
      <c r="S60" s="53" t="s">
        <v>2119</v>
      </c>
      <c r="T60" s="1" t="s">
        <v>899</v>
      </c>
      <c r="AK60" s="2">
        <f t="shared" si="1"/>
        <v>8</v>
      </c>
      <c r="AM60" s="2">
        <f t="shared" si="0"/>
        <v>7</v>
      </c>
    </row>
    <row r="61" spans="1:39" x14ac:dyDescent="0.35">
      <c r="A61" s="5" t="s">
        <v>734</v>
      </c>
      <c r="B61" s="5"/>
      <c r="C61" s="5"/>
      <c r="D61" s="5"/>
      <c r="E61" s="1"/>
      <c r="F61" s="1"/>
      <c r="G61" s="12"/>
      <c r="H61" s="12"/>
      <c r="I61" s="12"/>
      <c r="J61" s="53" t="s">
        <v>241</v>
      </c>
      <c r="M61" s="53" t="s">
        <v>927</v>
      </c>
      <c r="N61" s="1" t="s">
        <v>64</v>
      </c>
      <c r="AK61" s="2">
        <f t="shared" si="1"/>
        <v>3</v>
      </c>
      <c r="AM61" s="2">
        <f t="shared" si="0"/>
        <v>3</v>
      </c>
    </row>
    <row r="62" spans="1:39" x14ac:dyDescent="0.35">
      <c r="A62" s="5" t="s">
        <v>631</v>
      </c>
      <c r="B62" s="5"/>
      <c r="C62" s="5"/>
      <c r="D62" s="5"/>
      <c r="E62" s="1"/>
      <c r="F62" s="1"/>
      <c r="G62" s="12"/>
      <c r="H62" s="12"/>
      <c r="I62" s="12" t="s">
        <v>632</v>
      </c>
      <c r="AK62" s="2">
        <f t="shared" si="1"/>
        <v>1</v>
      </c>
      <c r="AM62" s="2">
        <f t="shared" si="0"/>
        <v>1</v>
      </c>
    </row>
    <row r="63" spans="1:39" x14ac:dyDescent="0.35">
      <c r="A63" s="5" t="s">
        <v>465</v>
      </c>
      <c r="B63" s="5"/>
      <c r="C63" s="5"/>
      <c r="D63" s="5"/>
      <c r="E63" s="1"/>
      <c r="F63" s="1"/>
      <c r="G63" s="12"/>
      <c r="H63" s="12" t="s">
        <v>466</v>
      </c>
      <c r="I63" s="12"/>
      <c r="AK63" s="2">
        <f t="shared" si="1"/>
        <v>1</v>
      </c>
      <c r="AM63" s="2">
        <f t="shared" si="0"/>
        <v>1</v>
      </c>
    </row>
    <row r="64" spans="1:39" x14ac:dyDescent="0.35">
      <c r="A64" s="5" t="s">
        <v>467</v>
      </c>
      <c r="B64" s="5"/>
      <c r="C64" s="5"/>
      <c r="D64" s="5"/>
      <c r="E64" s="1"/>
      <c r="F64" s="1"/>
      <c r="G64" s="12"/>
      <c r="H64" s="67" t="s">
        <v>469</v>
      </c>
      <c r="I64" s="67" t="s">
        <v>633</v>
      </c>
      <c r="J64" s="1" t="s">
        <v>101</v>
      </c>
      <c r="AK64" s="2">
        <f t="shared" si="1"/>
        <v>3</v>
      </c>
      <c r="AM64" s="2">
        <f t="shared" si="0"/>
        <v>3</v>
      </c>
    </row>
    <row r="65" spans="1:39" x14ac:dyDescent="0.35">
      <c r="A65" s="5" t="s">
        <v>204</v>
      </c>
      <c r="B65" s="5"/>
      <c r="C65" s="5"/>
      <c r="D65" s="5"/>
      <c r="E65" s="1"/>
      <c r="F65" s="1"/>
      <c r="G65" s="12" t="s">
        <v>205</v>
      </c>
      <c r="H65" s="12"/>
      <c r="I65" s="12"/>
      <c r="AK65" s="2">
        <f t="shared" si="1"/>
        <v>1</v>
      </c>
      <c r="AM65" s="2">
        <f t="shared" si="0"/>
        <v>1</v>
      </c>
    </row>
    <row r="66" spans="1:39" x14ac:dyDescent="0.35">
      <c r="A66" s="5" t="s">
        <v>376</v>
      </c>
      <c r="B66" s="5"/>
      <c r="C66" s="5"/>
      <c r="D66" s="5"/>
      <c r="E66" s="1"/>
      <c r="F66" s="67" t="s">
        <v>377</v>
      </c>
      <c r="G66" s="12"/>
      <c r="H66" s="12"/>
      <c r="I66" s="12"/>
      <c r="K66" s="1" t="s">
        <v>937</v>
      </c>
      <c r="AK66" s="2">
        <f t="shared" si="1"/>
        <v>2</v>
      </c>
      <c r="AM66" s="2">
        <f t="shared" si="0"/>
        <v>1</v>
      </c>
    </row>
    <row r="67" spans="1:39" x14ac:dyDescent="0.35">
      <c r="A67" s="5" t="s">
        <v>3165</v>
      </c>
      <c r="B67" s="5"/>
      <c r="C67" s="5"/>
      <c r="D67" s="5" t="s">
        <v>205</v>
      </c>
      <c r="E67" s="1"/>
      <c r="F67" s="12"/>
      <c r="G67" s="12"/>
      <c r="H67" s="12"/>
      <c r="I67" s="12"/>
      <c r="AK67" s="2">
        <f t="shared" si="1"/>
        <v>1</v>
      </c>
      <c r="AM67" s="2">
        <f t="shared" si="0"/>
        <v>0</v>
      </c>
    </row>
    <row r="68" spans="1:39" x14ac:dyDescent="0.35">
      <c r="A68" s="5" t="s">
        <v>3163</v>
      </c>
      <c r="B68" s="5"/>
      <c r="C68" s="5"/>
      <c r="D68" s="5" t="s">
        <v>3164</v>
      </c>
      <c r="E68" s="1"/>
      <c r="F68" s="12"/>
      <c r="G68" s="12"/>
      <c r="H68" s="12"/>
      <c r="I68" s="12"/>
      <c r="AK68" s="2">
        <f t="shared" si="1"/>
        <v>1</v>
      </c>
      <c r="AM68" s="2">
        <f t="shared" si="0"/>
        <v>0</v>
      </c>
    </row>
    <row r="69" spans="1:39" x14ac:dyDescent="0.35">
      <c r="A69" s="5" t="s">
        <v>206</v>
      </c>
      <c r="B69" s="5"/>
      <c r="C69" s="5"/>
      <c r="D69" s="76" t="s">
        <v>207</v>
      </c>
      <c r="E69" s="1"/>
      <c r="F69" s="1"/>
      <c r="G69" s="67" t="s">
        <v>207</v>
      </c>
      <c r="H69" s="67" t="s">
        <v>468</v>
      </c>
      <c r="I69" s="12" t="s">
        <v>637</v>
      </c>
      <c r="AK69" s="2">
        <f t="shared" ref="AK69:AK132" si="2">COUNTA(C69:AI69)</f>
        <v>4</v>
      </c>
      <c r="AM69" s="2">
        <f t="shared" ref="AM69:AM132" si="3">COUNTA(G69:P69,S69:T69)</f>
        <v>3</v>
      </c>
    </row>
    <row r="70" spans="1:39" x14ac:dyDescent="0.35">
      <c r="A70" s="5" t="s">
        <v>378</v>
      </c>
      <c r="B70" s="5"/>
      <c r="C70" s="5"/>
      <c r="D70" s="5"/>
      <c r="E70" s="1"/>
      <c r="F70" s="12" t="s">
        <v>379</v>
      </c>
      <c r="G70" s="12"/>
      <c r="H70" s="12"/>
      <c r="I70" s="12"/>
      <c r="AK70" s="2">
        <f t="shared" si="2"/>
        <v>1</v>
      </c>
      <c r="AM70" s="2">
        <f t="shared" si="3"/>
        <v>0</v>
      </c>
    </row>
    <row r="71" spans="1:39" x14ac:dyDescent="0.35">
      <c r="A71" s="5" t="s">
        <v>947</v>
      </c>
      <c r="B71" s="5"/>
      <c r="C71" s="5"/>
      <c r="D71" s="5"/>
      <c r="E71" s="1"/>
      <c r="F71" s="12"/>
      <c r="G71" s="12"/>
      <c r="H71" s="12"/>
      <c r="I71" s="12"/>
      <c r="K71" s="1" t="s">
        <v>948</v>
      </c>
      <c r="AK71" s="2">
        <f t="shared" si="2"/>
        <v>1</v>
      </c>
      <c r="AM71" s="2">
        <f t="shared" si="3"/>
        <v>1</v>
      </c>
    </row>
    <row r="72" spans="1:39" x14ac:dyDescent="0.35">
      <c r="A72" s="5" t="s">
        <v>208</v>
      </c>
      <c r="B72" s="5"/>
      <c r="C72" s="5"/>
      <c r="D72" s="5"/>
      <c r="E72" s="1"/>
      <c r="F72" s="1"/>
      <c r="G72" s="12" t="s">
        <v>209</v>
      </c>
      <c r="H72" s="12"/>
      <c r="I72" s="12"/>
      <c r="AK72" s="2">
        <f t="shared" si="2"/>
        <v>1</v>
      </c>
      <c r="AM72" s="2">
        <f t="shared" si="3"/>
        <v>1</v>
      </c>
    </row>
    <row r="73" spans="1:39" x14ac:dyDescent="0.35">
      <c r="A73" s="5" t="s">
        <v>2148</v>
      </c>
      <c r="B73" s="5"/>
      <c r="C73" s="1"/>
      <c r="D73" s="5"/>
      <c r="E73" s="1"/>
      <c r="F73" s="1"/>
      <c r="G73" s="12"/>
      <c r="H73" s="12"/>
      <c r="I73" s="12"/>
      <c r="R73" s="53" t="s">
        <v>2150</v>
      </c>
      <c r="S73" s="1" t="s">
        <v>2149</v>
      </c>
      <c r="AK73" s="2">
        <f t="shared" si="2"/>
        <v>2</v>
      </c>
      <c r="AM73" s="2">
        <f t="shared" si="3"/>
        <v>1</v>
      </c>
    </row>
    <row r="74" spans="1:39" x14ac:dyDescent="0.35">
      <c r="A74" s="5" t="s">
        <v>945</v>
      </c>
      <c r="B74" s="5"/>
      <c r="C74" s="1"/>
      <c r="D74" s="5"/>
      <c r="E74" s="1"/>
      <c r="F74" s="1"/>
      <c r="G74" s="12"/>
      <c r="H74" s="12"/>
      <c r="I74" s="12"/>
      <c r="K74" s="1" t="s">
        <v>946</v>
      </c>
      <c r="AK74" s="2">
        <f t="shared" si="2"/>
        <v>1</v>
      </c>
      <c r="AM74" s="2">
        <f t="shared" si="3"/>
        <v>1</v>
      </c>
    </row>
    <row r="75" spans="1:39" x14ac:dyDescent="0.35">
      <c r="A75" s="5" t="s">
        <v>473</v>
      </c>
      <c r="B75" s="5"/>
      <c r="C75" s="1"/>
      <c r="D75" s="5"/>
      <c r="E75" s="1"/>
      <c r="F75" s="1"/>
      <c r="G75" s="12"/>
      <c r="H75" s="67" t="s">
        <v>474</v>
      </c>
      <c r="I75" s="12" t="s">
        <v>638</v>
      </c>
      <c r="AK75" s="2">
        <f t="shared" si="2"/>
        <v>2</v>
      </c>
      <c r="AM75" s="2">
        <f t="shared" si="3"/>
        <v>2</v>
      </c>
    </row>
    <row r="76" spans="1:39" x14ac:dyDescent="0.35">
      <c r="A76" s="5" t="s">
        <v>210</v>
      </c>
      <c r="B76" s="5"/>
      <c r="C76" s="1"/>
      <c r="D76" s="5"/>
      <c r="E76" s="1"/>
      <c r="F76" s="1"/>
      <c r="G76" s="12" t="s">
        <v>211</v>
      </c>
      <c r="H76" s="12"/>
      <c r="I76" s="12"/>
      <c r="AK76" s="2">
        <f t="shared" si="2"/>
        <v>1</v>
      </c>
      <c r="AM76" s="2">
        <f t="shared" si="3"/>
        <v>1</v>
      </c>
    </row>
    <row r="77" spans="1:39" x14ac:dyDescent="0.35">
      <c r="A77" s="5" t="s">
        <v>380</v>
      </c>
      <c r="B77" s="5"/>
      <c r="C77" s="1"/>
      <c r="D77" s="65" t="s">
        <v>211</v>
      </c>
      <c r="E77" s="1"/>
      <c r="F77" s="12" t="s">
        <v>381</v>
      </c>
      <c r="G77" s="12"/>
      <c r="H77" s="12"/>
      <c r="I77" s="12"/>
      <c r="AK77" s="2">
        <f t="shared" si="2"/>
        <v>2</v>
      </c>
      <c r="AM77" s="2">
        <f t="shared" si="3"/>
        <v>0</v>
      </c>
    </row>
    <row r="78" spans="1:39" x14ac:dyDescent="0.35">
      <c r="A78" s="5" t="s">
        <v>212</v>
      </c>
      <c r="B78" s="5"/>
      <c r="C78" s="1"/>
      <c r="D78" s="5"/>
      <c r="E78" s="1"/>
      <c r="F78" s="1"/>
      <c r="G78" s="67" t="s">
        <v>213</v>
      </c>
      <c r="H78" s="12" t="s">
        <v>470</v>
      </c>
      <c r="I78" s="12"/>
      <c r="AK78" s="2">
        <f t="shared" si="2"/>
        <v>2</v>
      </c>
      <c r="AM78" s="2">
        <f t="shared" si="3"/>
        <v>2</v>
      </c>
    </row>
    <row r="79" spans="1:39" x14ac:dyDescent="0.35">
      <c r="A79" s="5" t="s">
        <v>214</v>
      </c>
      <c r="B79" s="5"/>
      <c r="C79" s="1"/>
      <c r="D79" s="5"/>
      <c r="E79" s="1"/>
      <c r="F79" s="1"/>
      <c r="G79" s="67" t="s">
        <v>215</v>
      </c>
      <c r="H79" s="67" t="s">
        <v>471</v>
      </c>
      <c r="I79" s="12"/>
      <c r="M79" s="53" t="s">
        <v>921</v>
      </c>
      <c r="N79" s="1" t="s">
        <v>649</v>
      </c>
      <c r="AK79" s="2">
        <f t="shared" si="2"/>
        <v>4</v>
      </c>
      <c r="AM79" s="2">
        <f t="shared" si="3"/>
        <v>4</v>
      </c>
    </row>
    <row r="80" spans="1:39" x14ac:dyDescent="0.35">
      <c r="A80" s="5" t="s">
        <v>476</v>
      </c>
      <c r="B80" s="5"/>
      <c r="C80" s="1"/>
      <c r="D80" s="5"/>
      <c r="E80" s="1"/>
      <c r="F80" s="1"/>
      <c r="G80" s="12"/>
      <c r="H80" s="67" t="s">
        <v>477</v>
      </c>
      <c r="I80" s="67" t="s">
        <v>634</v>
      </c>
      <c r="K80" s="1" t="s">
        <v>941</v>
      </c>
      <c r="AK80" s="2">
        <f t="shared" si="2"/>
        <v>3</v>
      </c>
      <c r="AM80" s="2">
        <f t="shared" si="3"/>
        <v>3</v>
      </c>
    </row>
    <row r="81" spans="1:39" x14ac:dyDescent="0.35">
      <c r="A81" s="5" t="s">
        <v>949</v>
      </c>
      <c r="B81" s="5"/>
      <c r="C81" s="1"/>
      <c r="D81" s="5"/>
      <c r="E81" s="1"/>
      <c r="F81" s="1"/>
      <c r="G81" s="12"/>
      <c r="H81" s="12"/>
      <c r="I81" s="12"/>
      <c r="K81" s="1" t="s">
        <v>950</v>
      </c>
      <c r="AK81" s="2">
        <f t="shared" si="2"/>
        <v>1</v>
      </c>
      <c r="AM81" s="2">
        <f t="shared" si="3"/>
        <v>1</v>
      </c>
    </row>
    <row r="82" spans="1:39" x14ac:dyDescent="0.35">
      <c r="A82" s="5" t="s">
        <v>91</v>
      </c>
      <c r="B82" s="5"/>
      <c r="C82" s="5"/>
      <c r="D82" s="76" t="s">
        <v>92</v>
      </c>
      <c r="E82" s="53" t="s">
        <v>92</v>
      </c>
      <c r="F82" s="67" t="s">
        <v>383</v>
      </c>
      <c r="G82" s="67" t="s">
        <v>92</v>
      </c>
      <c r="H82" s="12" t="s">
        <v>478</v>
      </c>
      <c r="I82" s="12"/>
      <c r="AK82" s="2">
        <f t="shared" si="2"/>
        <v>5</v>
      </c>
      <c r="AM82" s="2">
        <f t="shared" si="3"/>
        <v>2</v>
      </c>
    </row>
    <row r="83" spans="1:39" x14ac:dyDescent="0.35">
      <c r="A83" s="5" t="s">
        <v>93</v>
      </c>
      <c r="B83" s="5"/>
      <c r="C83" s="1"/>
      <c r="D83" s="5"/>
      <c r="E83" s="1" t="s">
        <v>94</v>
      </c>
      <c r="F83" s="1"/>
      <c r="G83" s="67" t="s">
        <v>94</v>
      </c>
      <c r="H83" s="12" t="s">
        <v>479</v>
      </c>
      <c r="I83" s="12"/>
      <c r="AK83" s="2">
        <f t="shared" si="2"/>
        <v>3</v>
      </c>
      <c r="AM83" s="2">
        <f t="shared" si="3"/>
        <v>2</v>
      </c>
    </row>
    <row r="84" spans="1:39" x14ac:dyDescent="0.35">
      <c r="A84" s="5" t="s">
        <v>216</v>
      </c>
      <c r="B84" s="5"/>
      <c r="C84" s="1"/>
      <c r="D84" s="5" t="s">
        <v>217</v>
      </c>
      <c r="E84" s="1"/>
      <c r="F84" s="1"/>
      <c r="G84" s="12" t="s">
        <v>217</v>
      </c>
      <c r="H84" s="1"/>
      <c r="I84" s="12"/>
      <c r="AK84" s="2">
        <f t="shared" si="2"/>
        <v>2</v>
      </c>
      <c r="AM84" s="2">
        <f t="shared" si="3"/>
        <v>1</v>
      </c>
    </row>
    <row r="85" spans="1:39" x14ac:dyDescent="0.35">
      <c r="A85" s="5" t="s">
        <v>218</v>
      </c>
      <c r="B85" s="5"/>
      <c r="C85" s="1"/>
      <c r="D85" s="5"/>
      <c r="E85" s="1"/>
      <c r="F85" s="1"/>
      <c r="G85" s="12" t="s">
        <v>219</v>
      </c>
      <c r="H85" s="1"/>
      <c r="I85" s="12"/>
      <c r="AK85" s="2">
        <f t="shared" si="2"/>
        <v>1</v>
      </c>
      <c r="AM85" s="2">
        <f t="shared" si="3"/>
        <v>1</v>
      </c>
    </row>
    <row r="86" spans="1:39" x14ac:dyDescent="0.35">
      <c r="A86" s="5" t="s">
        <v>220</v>
      </c>
      <c r="B86" s="5"/>
      <c r="C86" s="1"/>
      <c r="D86" s="5"/>
      <c r="E86" s="1"/>
      <c r="F86" s="1"/>
      <c r="G86" s="67" t="s">
        <v>221</v>
      </c>
      <c r="H86" s="12" t="s">
        <v>486</v>
      </c>
      <c r="I86" s="12"/>
      <c r="AK86" s="2">
        <f t="shared" si="2"/>
        <v>2</v>
      </c>
      <c r="AM86" s="2">
        <f t="shared" si="3"/>
        <v>2</v>
      </c>
    </row>
    <row r="87" spans="1:39" x14ac:dyDescent="0.35">
      <c r="A87" s="5" t="s">
        <v>480</v>
      </c>
      <c r="B87" s="5"/>
      <c r="C87" s="1"/>
      <c r="D87" s="5"/>
      <c r="E87" s="1"/>
      <c r="F87" s="1"/>
      <c r="G87" s="12"/>
      <c r="H87" s="12" t="s">
        <v>481</v>
      </c>
      <c r="I87" s="12"/>
      <c r="AK87" s="2">
        <f t="shared" si="2"/>
        <v>1</v>
      </c>
      <c r="AM87" s="2">
        <f t="shared" si="3"/>
        <v>1</v>
      </c>
    </row>
    <row r="88" spans="1:39" x14ac:dyDescent="0.35">
      <c r="A88" s="5" t="s">
        <v>482</v>
      </c>
      <c r="B88" s="5"/>
      <c r="C88" s="1"/>
      <c r="D88" s="5"/>
      <c r="E88" s="1"/>
      <c r="F88" s="1"/>
      <c r="G88" s="12"/>
      <c r="H88" s="67" t="s">
        <v>483</v>
      </c>
      <c r="I88" s="12" t="s">
        <v>641</v>
      </c>
      <c r="AK88" s="2">
        <f t="shared" si="2"/>
        <v>2</v>
      </c>
      <c r="AM88" s="2">
        <f t="shared" si="3"/>
        <v>2</v>
      </c>
    </row>
    <row r="89" spans="1:39" x14ac:dyDescent="0.35">
      <c r="A89" s="5" t="s">
        <v>484</v>
      </c>
      <c r="B89" s="5"/>
      <c r="C89" s="1"/>
      <c r="D89" s="5"/>
      <c r="E89" s="1"/>
      <c r="F89" s="1"/>
      <c r="G89" s="12"/>
      <c r="H89" s="12" t="s">
        <v>485</v>
      </c>
      <c r="I89" s="12"/>
      <c r="AK89" s="2">
        <f t="shared" si="2"/>
        <v>1</v>
      </c>
      <c r="AM89" s="2">
        <f t="shared" si="3"/>
        <v>1</v>
      </c>
    </row>
    <row r="90" spans="1:39" x14ac:dyDescent="0.35">
      <c r="A90" s="5" t="s">
        <v>639</v>
      </c>
      <c r="B90" s="5"/>
      <c r="C90" s="1"/>
      <c r="D90" s="5"/>
      <c r="E90" s="1"/>
      <c r="F90" s="1"/>
      <c r="G90" s="12"/>
      <c r="H90" s="12"/>
      <c r="I90" s="12" t="s">
        <v>640</v>
      </c>
      <c r="AK90" s="2">
        <f t="shared" si="2"/>
        <v>1</v>
      </c>
      <c r="AM90" s="2">
        <f t="shared" si="3"/>
        <v>1</v>
      </c>
    </row>
    <row r="91" spans="1:39" x14ac:dyDescent="0.35">
      <c r="A91" s="5" t="s">
        <v>642</v>
      </c>
      <c r="B91" s="5"/>
      <c r="C91" s="1"/>
      <c r="D91" s="5"/>
      <c r="E91" s="1"/>
      <c r="F91" s="1"/>
      <c r="G91" s="12"/>
      <c r="H91" s="12"/>
      <c r="I91" s="12" t="s">
        <v>643</v>
      </c>
      <c r="AK91" s="2">
        <f t="shared" si="2"/>
        <v>1</v>
      </c>
      <c r="AM91" s="2">
        <f t="shared" si="3"/>
        <v>1</v>
      </c>
    </row>
    <row r="92" spans="1:39" x14ac:dyDescent="0.35">
      <c r="A92" s="5" t="s">
        <v>1282</v>
      </c>
      <c r="B92" s="5"/>
      <c r="C92" s="1"/>
      <c r="D92" s="5"/>
      <c r="E92" s="1"/>
      <c r="F92" s="1"/>
      <c r="G92" s="12"/>
      <c r="H92" s="12"/>
      <c r="I92" s="12"/>
      <c r="N92" s="1" t="s">
        <v>444</v>
      </c>
      <c r="AK92" s="2">
        <f t="shared" si="2"/>
        <v>1</v>
      </c>
      <c r="AM92" s="2">
        <f t="shared" si="3"/>
        <v>1</v>
      </c>
    </row>
    <row r="93" spans="1:39" x14ac:dyDescent="0.35">
      <c r="A93" s="5" t="s">
        <v>1227</v>
      </c>
      <c r="B93" s="5"/>
      <c r="C93" s="1"/>
      <c r="D93" s="5"/>
      <c r="E93" s="1"/>
      <c r="F93" s="1"/>
      <c r="G93" s="12"/>
      <c r="H93" s="12"/>
      <c r="I93" s="12"/>
      <c r="M93" s="54" t="s">
        <v>918</v>
      </c>
      <c r="N93" s="53" t="s">
        <v>63</v>
      </c>
      <c r="O93" s="1" t="s">
        <v>1096</v>
      </c>
      <c r="AK93" s="2">
        <f t="shared" si="2"/>
        <v>3</v>
      </c>
      <c r="AM93" s="2">
        <f t="shared" si="3"/>
        <v>3</v>
      </c>
    </row>
    <row r="94" spans="1:39" x14ac:dyDescent="0.35">
      <c r="A94" s="5" t="s">
        <v>246</v>
      </c>
      <c r="B94" s="5"/>
      <c r="C94" s="1"/>
      <c r="D94" s="5"/>
      <c r="E94" s="1"/>
      <c r="F94" s="1"/>
      <c r="G94" s="12" t="s">
        <v>247</v>
      </c>
      <c r="H94" s="1"/>
      <c r="AK94" s="2">
        <f t="shared" si="2"/>
        <v>1</v>
      </c>
      <c r="AM94" s="2">
        <f t="shared" si="3"/>
        <v>1</v>
      </c>
    </row>
    <row r="95" spans="1:39" ht="43.5" x14ac:dyDescent="0.35">
      <c r="A95" s="5" t="s">
        <v>248</v>
      </c>
      <c r="B95" s="5"/>
      <c r="C95" s="1"/>
      <c r="D95" s="5"/>
      <c r="E95" s="1"/>
      <c r="F95" s="1"/>
      <c r="G95" s="12" t="s">
        <v>249</v>
      </c>
      <c r="H95" s="1"/>
      <c r="AK95" s="2">
        <f t="shared" si="2"/>
        <v>1</v>
      </c>
      <c r="AM95" s="2">
        <f t="shared" si="3"/>
        <v>1</v>
      </c>
    </row>
    <row r="96" spans="1:39" x14ac:dyDescent="0.35">
      <c r="A96" s="5" t="s">
        <v>250</v>
      </c>
      <c r="B96" s="5"/>
      <c r="C96" s="1"/>
      <c r="D96" s="5"/>
      <c r="E96" s="1"/>
      <c r="F96" s="1"/>
      <c r="G96" s="12" t="s">
        <v>251</v>
      </c>
      <c r="H96" s="1"/>
      <c r="AK96" s="2">
        <f t="shared" si="2"/>
        <v>1</v>
      </c>
      <c r="AM96" s="2">
        <f t="shared" si="3"/>
        <v>1</v>
      </c>
    </row>
    <row r="97" spans="1:39" ht="29" x14ac:dyDescent="0.35">
      <c r="A97" s="5" t="s">
        <v>252</v>
      </c>
      <c r="B97" s="5"/>
      <c r="C97" s="1"/>
      <c r="D97" s="5"/>
      <c r="E97" s="1"/>
      <c r="F97" s="1"/>
      <c r="G97" s="12" t="s">
        <v>253</v>
      </c>
      <c r="H97" s="1"/>
      <c r="AK97" s="2">
        <f t="shared" si="2"/>
        <v>1</v>
      </c>
      <c r="AM97" s="2">
        <f t="shared" si="3"/>
        <v>1</v>
      </c>
    </row>
    <row r="98" spans="1:39" x14ac:dyDescent="0.35">
      <c r="A98" s="5" t="s">
        <v>334</v>
      </c>
      <c r="B98" s="5"/>
      <c r="C98" s="53" t="s">
        <v>3295</v>
      </c>
      <c r="D98" s="5"/>
      <c r="E98" s="1"/>
      <c r="F98" s="1"/>
      <c r="G98" s="1" t="s">
        <v>335</v>
      </c>
      <c r="H98" s="1"/>
      <c r="AK98" s="2">
        <f t="shared" si="2"/>
        <v>2</v>
      </c>
      <c r="AM98" s="2">
        <f t="shared" si="3"/>
        <v>1</v>
      </c>
    </row>
    <row r="99" spans="1:39" x14ac:dyDescent="0.35">
      <c r="A99" s="5" t="s">
        <v>540</v>
      </c>
      <c r="B99" s="5"/>
      <c r="C99" s="1"/>
      <c r="D99" s="5"/>
      <c r="E99" s="1"/>
      <c r="F99" s="1"/>
      <c r="G99" s="1"/>
      <c r="H99" s="12" t="s">
        <v>541</v>
      </c>
      <c r="AK99" s="2">
        <f t="shared" si="2"/>
        <v>1</v>
      </c>
      <c r="AM99" s="2">
        <f t="shared" si="3"/>
        <v>1</v>
      </c>
    </row>
    <row r="100" spans="1:39" ht="29" x14ac:dyDescent="0.35">
      <c r="A100" s="5" t="s">
        <v>560</v>
      </c>
      <c r="B100" s="5"/>
      <c r="C100" s="1"/>
      <c r="D100" s="5"/>
      <c r="E100" s="1"/>
      <c r="F100" s="1"/>
      <c r="G100" s="1"/>
      <c r="H100" s="10" t="s">
        <v>154</v>
      </c>
      <c r="AK100" s="2">
        <f t="shared" si="2"/>
        <v>1</v>
      </c>
      <c r="AM100" s="2">
        <f t="shared" si="3"/>
        <v>1</v>
      </c>
    </row>
    <row r="101" spans="1:39" x14ac:dyDescent="0.35">
      <c r="A101" s="5" t="s">
        <v>561</v>
      </c>
      <c r="B101" s="5"/>
      <c r="C101" s="1"/>
      <c r="D101" s="5"/>
      <c r="E101" s="1"/>
      <c r="F101" s="1"/>
      <c r="G101" s="1"/>
      <c r="H101" s="10" t="s">
        <v>156</v>
      </c>
      <c r="AK101" s="2">
        <f t="shared" si="2"/>
        <v>1</v>
      </c>
      <c r="AM101" s="2">
        <f t="shared" si="3"/>
        <v>1</v>
      </c>
    </row>
    <row r="102" spans="1:39" x14ac:dyDescent="0.35">
      <c r="A102" s="5" t="s">
        <v>562</v>
      </c>
      <c r="B102" s="5"/>
      <c r="C102" s="1"/>
      <c r="D102" s="5"/>
      <c r="E102" s="1"/>
      <c r="F102" s="1"/>
      <c r="G102" s="1"/>
      <c r="H102" s="10" t="s">
        <v>304</v>
      </c>
      <c r="AK102" s="2">
        <f t="shared" si="2"/>
        <v>1</v>
      </c>
      <c r="AM102" s="2">
        <f t="shared" si="3"/>
        <v>1</v>
      </c>
    </row>
    <row r="103" spans="1:39" x14ac:dyDescent="0.35">
      <c r="A103" s="5" t="s">
        <v>563</v>
      </c>
      <c r="B103" s="5"/>
      <c r="C103" s="1"/>
      <c r="D103" s="5"/>
      <c r="E103" s="1"/>
      <c r="F103" s="1"/>
      <c r="G103" s="1"/>
      <c r="H103" s="10" t="s">
        <v>566</v>
      </c>
      <c r="AK103" s="2">
        <f t="shared" si="2"/>
        <v>1</v>
      </c>
      <c r="AM103" s="2">
        <f t="shared" si="3"/>
        <v>1</v>
      </c>
    </row>
    <row r="104" spans="1:39" ht="29" x14ac:dyDescent="0.35">
      <c r="A104" s="5" t="s">
        <v>564</v>
      </c>
      <c r="B104" s="5"/>
      <c r="C104" s="1"/>
      <c r="D104" s="5"/>
      <c r="E104" s="1"/>
      <c r="F104" s="1"/>
      <c r="G104" s="1"/>
      <c r="H104" s="10" t="s">
        <v>160</v>
      </c>
      <c r="AK104" s="2">
        <f t="shared" si="2"/>
        <v>1</v>
      </c>
      <c r="AM104" s="2">
        <f t="shared" si="3"/>
        <v>1</v>
      </c>
    </row>
    <row r="105" spans="1:39" x14ac:dyDescent="0.35">
      <c r="A105" s="5" t="s">
        <v>565</v>
      </c>
      <c r="B105" s="5"/>
      <c r="C105" s="1"/>
      <c r="D105" s="5"/>
      <c r="E105" s="1"/>
      <c r="F105" s="1"/>
      <c r="G105" s="1"/>
      <c r="H105" s="10" t="s">
        <v>567</v>
      </c>
      <c r="AK105" s="2">
        <f t="shared" si="2"/>
        <v>1</v>
      </c>
      <c r="AM105" s="2">
        <f t="shared" si="3"/>
        <v>1</v>
      </c>
    </row>
    <row r="106" spans="1:39" ht="58" x14ac:dyDescent="0.35">
      <c r="A106" s="5" t="s">
        <v>342</v>
      </c>
      <c r="B106" s="5"/>
      <c r="C106" s="1"/>
      <c r="D106" s="5"/>
      <c r="E106" s="1"/>
      <c r="F106" s="1" t="s">
        <v>343</v>
      </c>
      <c r="G106" s="1"/>
      <c r="H106" s="1"/>
      <c r="AK106" s="2">
        <f t="shared" si="2"/>
        <v>1</v>
      </c>
      <c r="AM106" s="2">
        <f t="shared" si="3"/>
        <v>0</v>
      </c>
    </row>
    <row r="107" spans="1:39" ht="29" x14ac:dyDescent="0.35">
      <c r="A107" s="5" t="s">
        <v>344</v>
      </c>
      <c r="B107" s="5"/>
      <c r="C107" s="1"/>
      <c r="D107" s="5"/>
      <c r="E107" s="1"/>
      <c r="F107" s="1" t="s">
        <v>345</v>
      </c>
      <c r="G107" s="1"/>
      <c r="H107" s="1"/>
      <c r="AK107" s="2">
        <f t="shared" si="2"/>
        <v>1</v>
      </c>
      <c r="AM107" s="2">
        <f t="shared" si="3"/>
        <v>0</v>
      </c>
    </row>
    <row r="108" spans="1:39" ht="29" x14ac:dyDescent="0.35">
      <c r="A108" s="5" t="s">
        <v>346</v>
      </c>
      <c r="B108" s="5"/>
      <c r="C108" s="1"/>
      <c r="D108" s="5"/>
      <c r="E108" s="1"/>
      <c r="F108" s="1" t="s">
        <v>347</v>
      </c>
      <c r="G108" s="1"/>
      <c r="H108" s="1"/>
      <c r="AK108" s="2">
        <f t="shared" si="2"/>
        <v>1</v>
      </c>
      <c r="AM108" s="2">
        <f t="shared" si="3"/>
        <v>0</v>
      </c>
    </row>
    <row r="109" spans="1:39" ht="29" x14ac:dyDescent="0.35">
      <c r="A109" s="5" t="s">
        <v>348</v>
      </c>
      <c r="B109" s="5"/>
      <c r="C109" s="1"/>
      <c r="D109" s="5"/>
      <c r="E109" s="1"/>
      <c r="F109" s="1" t="s">
        <v>349</v>
      </c>
      <c r="G109" s="1"/>
      <c r="H109" s="1"/>
      <c r="AK109" s="2">
        <f t="shared" si="2"/>
        <v>1</v>
      </c>
      <c r="AM109" s="2">
        <f t="shared" si="3"/>
        <v>0</v>
      </c>
    </row>
    <row r="110" spans="1:39" ht="29" x14ac:dyDescent="0.35">
      <c r="A110" s="5" t="s">
        <v>350</v>
      </c>
      <c r="B110" s="5"/>
      <c r="C110" s="1"/>
      <c r="D110" s="5"/>
      <c r="E110" s="1"/>
      <c r="F110" s="1" t="s">
        <v>351</v>
      </c>
      <c r="G110" s="1"/>
      <c r="H110" s="1"/>
      <c r="AK110" s="2">
        <f t="shared" si="2"/>
        <v>1</v>
      </c>
      <c r="AM110" s="2">
        <f t="shared" si="3"/>
        <v>0</v>
      </c>
    </row>
    <row r="111" spans="1:39" ht="29" x14ac:dyDescent="0.35">
      <c r="A111" s="5" t="s">
        <v>352</v>
      </c>
      <c r="B111" s="5"/>
      <c r="C111" s="1"/>
      <c r="D111" s="5"/>
      <c r="E111" s="1"/>
      <c r="F111" s="1" t="s">
        <v>353</v>
      </c>
      <c r="G111" s="1"/>
      <c r="H111" s="1"/>
      <c r="AK111" s="2">
        <f t="shared" si="2"/>
        <v>1</v>
      </c>
      <c r="AM111" s="2">
        <f t="shared" si="3"/>
        <v>0</v>
      </c>
    </row>
    <row r="112" spans="1:39" ht="29" x14ac:dyDescent="0.35">
      <c r="A112" s="5" t="s">
        <v>357</v>
      </c>
      <c r="B112" s="5"/>
      <c r="C112" s="1"/>
      <c r="D112" s="5"/>
      <c r="E112" s="1"/>
      <c r="F112" s="1" t="s">
        <v>354</v>
      </c>
      <c r="G112" s="1"/>
      <c r="H112" s="1"/>
      <c r="AK112" s="2">
        <f t="shared" si="2"/>
        <v>1</v>
      </c>
      <c r="AM112" s="2">
        <f t="shared" si="3"/>
        <v>0</v>
      </c>
    </row>
    <row r="113" spans="1:39" ht="29" x14ac:dyDescent="0.35">
      <c r="A113" s="5" t="s">
        <v>358</v>
      </c>
      <c r="B113" s="5"/>
      <c r="C113" s="1"/>
      <c r="D113" s="5"/>
      <c r="E113" s="1"/>
      <c r="F113" s="1" t="s">
        <v>355</v>
      </c>
      <c r="G113" s="1"/>
      <c r="H113" s="1"/>
      <c r="AK113" s="2">
        <f t="shared" si="2"/>
        <v>1</v>
      </c>
      <c r="AM113" s="2">
        <f t="shared" si="3"/>
        <v>0</v>
      </c>
    </row>
    <row r="114" spans="1:39" ht="29" x14ac:dyDescent="0.35">
      <c r="A114" s="5" t="s">
        <v>359</v>
      </c>
      <c r="B114" s="5"/>
      <c r="C114" s="1"/>
      <c r="D114" s="5"/>
      <c r="E114" s="1"/>
      <c r="F114" s="1" t="s">
        <v>356</v>
      </c>
      <c r="G114" s="1"/>
      <c r="H114" s="1"/>
      <c r="AK114" s="2">
        <f t="shared" si="2"/>
        <v>1</v>
      </c>
      <c r="AM114" s="2">
        <f t="shared" si="3"/>
        <v>0</v>
      </c>
    </row>
    <row r="115" spans="1:39" x14ac:dyDescent="0.35">
      <c r="A115" s="5" t="s">
        <v>1229</v>
      </c>
      <c r="B115" s="5"/>
      <c r="C115" s="1"/>
      <c r="D115" s="5"/>
      <c r="E115" s="1"/>
      <c r="F115" s="1"/>
      <c r="G115" s="1"/>
      <c r="H115" s="1"/>
      <c r="M115" s="1" t="s">
        <v>1021</v>
      </c>
      <c r="AK115" s="2">
        <f t="shared" si="2"/>
        <v>1</v>
      </c>
      <c r="AM115" s="2">
        <f t="shared" si="3"/>
        <v>1</v>
      </c>
    </row>
    <row r="116" spans="1:39" x14ac:dyDescent="0.35">
      <c r="A116" s="5" t="s">
        <v>1230</v>
      </c>
      <c r="B116" s="5"/>
      <c r="C116" s="1"/>
      <c r="D116" s="5"/>
      <c r="E116" s="1"/>
      <c r="F116" s="1"/>
      <c r="G116" s="1"/>
      <c r="H116" s="1"/>
      <c r="M116" s="1" t="s">
        <v>1023</v>
      </c>
      <c r="AK116" s="2">
        <f t="shared" si="2"/>
        <v>1</v>
      </c>
      <c r="AM116" s="2">
        <f t="shared" si="3"/>
        <v>1</v>
      </c>
    </row>
    <row r="117" spans="1:39" x14ac:dyDescent="0.35">
      <c r="A117" s="5" t="s">
        <v>1231</v>
      </c>
      <c r="B117" s="5"/>
      <c r="C117" s="1"/>
      <c r="D117" s="5"/>
      <c r="E117" s="1"/>
      <c r="F117" s="1"/>
      <c r="G117" s="1"/>
      <c r="H117" s="1"/>
      <c r="M117" s="1" t="s">
        <v>1196</v>
      </c>
      <c r="AK117" s="2">
        <f t="shared" si="2"/>
        <v>1</v>
      </c>
      <c r="AM117" s="2">
        <f t="shared" si="3"/>
        <v>1</v>
      </c>
    </row>
    <row r="118" spans="1:39" x14ac:dyDescent="0.35">
      <c r="A118" s="5" t="s">
        <v>1232</v>
      </c>
      <c r="B118" s="5"/>
      <c r="C118" s="1"/>
      <c r="D118" s="5"/>
      <c r="E118" s="1"/>
      <c r="F118" s="1"/>
      <c r="G118" s="1"/>
      <c r="H118" s="1"/>
      <c r="M118" s="1" t="s">
        <v>1024</v>
      </c>
      <c r="AK118" s="2">
        <f t="shared" si="2"/>
        <v>1</v>
      </c>
      <c r="AM118" s="2">
        <f t="shared" si="3"/>
        <v>1</v>
      </c>
    </row>
    <row r="119" spans="1:39" x14ac:dyDescent="0.35">
      <c r="A119" s="5" t="s">
        <v>1233</v>
      </c>
      <c r="B119" s="5"/>
      <c r="C119" s="1"/>
      <c r="D119" s="5"/>
      <c r="E119" s="1"/>
      <c r="F119" s="1"/>
      <c r="G119" s="1"/>
      <c r="H119" s="1"/>
      <c r="M119" s="53" t="s">
        <v>1026</v>
      </c>
      <c r="N119" s="1" t="s">
        <v>1316</v>
      </c>
      <c r="AK119" s="2">
        <f t="shared" si="2"/>
        <v>2</v>
      </c>
      <c r="AM119" s="2">
        <f t="shared" si="3"/>
        <v>2</v>
      </c>
    </row>
    <row r="120" spans="1:39" x14ac:dyDescent="0.35">
      <c r="A120" s="5" t="s">
        <v>1234</v>
      </c>
      <c r="B120" s="5"/>
      <c r="C120" s="1"/>
      <c r="D120" s="5"/>
      <c r="E120" s="1"/>
      <c r="F120" s="1"/>
      <c r="G120" s="1"/>
      <c r="H120" s="1"/>
      <c r="M120" s="53" t="s">
        <v>1027</v>
      </c>
      <c r="N120" s="1" t="s">
        <v>1317</v>
      </c>
      <c r="AK120" s="2">
        <f t="shared" si="2"/>
        <v>2</v>
      </c>
      <c r="AM120" s="2">
        <f t="shared" si="3"/>
        <v>2</v>
      </c>
    </row>
    <row r="121" spans="1:39" x14ac:dyDescent="0.35">
      <c r="A121" s="5" t="s">
        <v>1235</v>
      </c>
      <c r="B121" s="5"/>
      <c r="C121" s="1"/>
      <c r="D121" s="5"/>
      <c r="E121" s="1"/>
      <c r="F121" s="1"/>
      <c r="G121" s="1"/>
      <c r="H121" s="1"/>
      <c r="M121" s="53" t="s">
        <v>1029</v>
      </c>
      <c r="N121" s="1" t="s">
        <v>1318</v>
      </c>
      <c r="AK121" s="2">
        <f t="shared" si="2"/>
        <v>2</v>
      </c>
      <c r="AM121" s="2">
        <f t="shared" si="3"/>
        <v>2</v>
      </c>
    </row>
    <row r="122" spans="1:39" x14ac:dyDescent="0.35">
      <c r="A122" s="5" t="s">
        <v>1236</v>
      </c>
      <c r="B122" s="5"/>
      <c r="C122" s="1"/>
      <c r="D122" s="5"/>
      <c r="E122" s="1"/>
      <c r="F122" s="1"/>
      <c r="G122" s="1"/>
      <c r="H122" s="1"/>
      <c r="M122" s="53" t="s">
        <v>1030</v>
      </c>
      <c r="N122" s="1" t="s">
        <v>1319</v>
      </c>
      <c r="AK122" s="2">
        <f t="shared" si="2"/>
        <v>2</v>
      </c>
      <c r="AM122" s="2">
        <f t="shared" si="3"/>
        <v>2</v>
      </c>
    </row>
    <row r="123" spans="1:39" x14ac:dyDescent="0.35">
      <c r="A123" s="5" t="s">
        <v>1237</v>
      </c>
      <c r="B123" s="5"/>
      <c r="C123" s="1"/>
      <c r="D123" s="5"/>
      <c r="E123" s="1"/>
      <c r="F123" s="1"/>
      <c r="G123" s="1"/>
      <c r="H123" s="1"/>
      <c r="M123" s="1" t="s">
        <v>1197</v>
      </c>
      <c r="AK123" s="2">
        <f t="shared" si="2"/>
        <v>1</v>
      </c>
      <c r="AM123" s="2">
        <f t="shared" si="3"/>
        <v>1</v>
      </c>
    </row>
    <row r="124" spans="1:39" x14ac:dyDescent="0.35">
      <c r="A124" s="5" t="s">
        <v>1238</v>
      </c>
      <c r="B124" s="5"/>
      <c r="C124" s="1"/>
      <c r="D124" s="5"/>
      <c r="E124" s="1"/>
      <c r="F124" s="1"/>
      <c r="G124" s="1"/>
      <c r="H124" s="1"/>
      <c r="M124" s="1" t="s">
        <v>1035</v>
      </c>
      <c r="AK124" s="2">
        <f t="shared" si="2"/>
        <v>1</v>
      </c>
      <c r="AM124" s="2">
        <f t="shared" si="3"/>
        <v>1</v>
      </c>
    </row>
    <row r="125" spans="1:39" x14ac:dyDescent="0.35">
      <c r="A125" s="5" t="s">
        <v>1239</v>
      </c>
      <c r="B125" s="5"/>
      <c r="C125" s="1"/>
      <c r="D125" s="5"/>
      <c r="E125" s="1"/>
      <c r="F125" s="1"/>
      <c r="G125" s="1"/>
      <c r="H125" s="1"/>
      <c r="M125" s="1" t="s">
        <v>1198</v>
      </c>
      <c r="AK125" s="2">
        <f t="shared" si="2"/>
        <v>1</v>
      </c>
      <c r="AM125" s="2">
        <f t="shared" si="3"/>
        <v>1</v>
      </c>
    </row>
    <row r="126" spans="1:39" x14ac:dyDescent="0.35">
      <c r="A126" s="5" t="s">
        <v>1240</v>
      </c>
      <c r="B126" s="5"/>
      <c r="C126" s="1"/>
      <c r="D126" s="5"/>
      <c r="E126" s="1"/>
      <c r="F126" s="1"/>
      <c r="G126" s="1"/>
      <c r="H126" s="1"/>
      <c r="M126" s="1" t="s">
        <v>1199</v>
      </c>
      <c r="AK126" s="2">
        <f t="shared" si="2"/>
        <v>1</v>
      </c>
      <c r="AM126" s="2">
        <f t="shared" si="3"/>
        <v>1</v>
      </c>
    </row>
    <row r="127" spans="1:39" x14ac:dyDescent="0.35">
      <c r="A127" s="5" t="s">
        <v>1304</v>
      </c>
      <c r="B127" s="5"/>
      <c r="C127" s="1"/>
      <c r="D127" s="5"/>
      <c r="E127" s="1"/>
      <c r="F127" s="1"/>
      <c r="G127" s="1"/>
      <c r="H127" s="1"/>
      <c r="N127" s="1" t="s">
        <v>1312</v>
      </c>
      <c r="AK127" s="2">
        <f t="shared" si="2"/>
        <v>1</v>
      </c>
      <c r="AM127" s="2">
        <f t="shared" si="3"/>
        <v>1</v>
      </c>
    </row>
    <row r="128" spans="1:39" x14ac:dyDescent="0.35">
      <c r="A128" s="5" t="s">
        <v>1305</v>
      </c>
      <c r="B128" s="5"/>
      <c r="C128" s="1"/>
      <c r="D128" s="5"/>
      <c r="E128" s="1"/>
      <c r="F128" s="1"/>
      <c r="G128" s="1"/>
      <c r="H128" s="1"/>
      <c r="N128" s="1" t="s">
        <v>1313</v>
      </c>
      <c r="AK128" s="2">
        <f t="shared" si="2"/>
        <v>1</v>
      </c>
      <c r="AM128" s="2">
        <f t="shared" si="3"/>
        <v>1</v>
      </c>
    </row>
    <row r="129" spans="1:39" x14ac:dyDescent="0.35">
      <c r="A129" s="5" t="s">
        <v>1306</v>
      </c>
      <c r="B129" s="5"/>
      <c r="C129" s="1"/>
      <c r="D129" s="5"/>
      <c r="E129" s="1"/>
      <c r="F129" s="1"/>
      <c r="G129" s="1"/>
      <c r="H129" s="1"/>
      <c r="N129" s="1" t="s">
        <v>1314</v>
      </c>
      <c r="AK129" s="2">
        <f t="shared" si="2"/>
        <v>1</v>
      </c>
      <c r="AM129" s="2">
        <f t="shared" si="3"/>
        <v>1</v>
      </c>
    </row>
    <row r="130" spans="1:39" x14ac:dyDescent="0.35">
      <c r="A130" s="5" t="s">
        <v>1307</v>
      </c>
      <c r="B130" s="5"/>
      <c r="C130" s="1"/>
      <c r="D130" s="5"/>
      <c r="E130" s="1"/>
      <c r="F130" s="1"/>
      <c r="G130" s="1"/>
      <c r="H130" s="1"/>
      <c r="N130" s="1" t="s">
        <v>1315</v>
      </c>
      <c r="AK130" s="2">
        <f t="shared" si="2"/>
        <v>1</v>
      </c>
      <c r="AM130" s="2">
        <f t="shared" si="3"/>
        <v>1</v>
      </c>
    </row>
    <row r="131" spans="1:39" x14ac:dyDescent="0.35">
      <c r="A131" s="5" t="s">
        <v>1308</v>
      </c>
      <c r="B131" s="5"/>
      <c r="C131" s="1"/>
      <c r="D131" s="5"/>
      <c r="E131" s="1"/>
      <c r="F131" s="1"/>
      <c r="G131" s="1"/>
      <c r="H131" s="1"/>
      <c r="N131" s="1" t="s">
        <v>1320</v>
      </c>
      <c r="AK131" s="2">
        <f t="shared" si="2"/>
        <v>1</v>
      </c>
      <c r="AM131" s="2">
        <f t="shared" si="3"/>
        <v>1</v>
      </c>
    </row>
    <row r="132" spans="1:39" x14ac:dyDescent="0.35">
      <c r="A132" s="5" t="s">
        <v>1309</v>
      </c>
      <c r="B132" s="5"/>
      <c r="C132" s="1"/>
      <c r="D132" s="5"/>
      <c r="E132" s="1"/>
      <c r="F132" s="1"/>
      <c r="G132" s="1"/>
      <c r="H132" s="1"/>
      <c r="N132" s="1" t="s">
        <v>1321</v>
      </c>
      <c r="AK132" s="2">
        <f t="shared" si="2"/>
        <v>1</v>
      </c>
      <c r="AM132" s="2">
        <f t="shared" si="3"/>
        <v>1</v>
      </c>
    </row>
    <row r="133" spans="1:39" x14ac:dyDescent="0.35">
      <c r="A133" s="5" t="s">
        <v>1310</v>
      </c>
      <c r="B133" s="5"/>
      <c r="C133" s="1"/>
      <c r="D133" s="5"/>
      <c r="E133" s="1"/>
      <c r="F133" s="1"/>
      <c r="G133" s="1"/>
      <c r="H133" s="1"/>
      <c r="N133" s="1" t="s">
        <v>1322</v>
      </c>
      <c r="AK133" s="2">
        <f t="shared" ref="AK133:AK184" si="4">COUNTA(C133:AI133)</f>
        <v>1</v>
      </c>
      <c r="AM133" s="2">
        <f t="shared" ref="AM133:AM179" si="5">COUNTA(G133:P133,S133:T133)</f>
        <v>1</v>
      </c>
    </row>
    <row r="134" spans="1:39" x14ac:dyDescent="0.35">
      <c r="A134" s="5" t="s">
        <v>1311</v>
      </c>
      <c r="B134" s="5"/>
      <c r="C134" s="1"/>
      <c r="D134" s="5"/>
      <c r="E134" s="1"/>
      <c r="F134" s="1"/>
      <c r="G134" s="1"/>
      <c r="H134" s="1"/>
      <c r="N134" s="1" t="s">
        <v>1323</v>
      </c>
      <c r="AK134" s="2">
        <f t="shared" si="4"/>
        <v>1</v>
      </c>
      <c r="AM134" s="2">
        <f t="shared" si="5"/>
        <v>1</v>
      </c>
    </row>
    <row r="135" spans="1:39" x14ac:dyDescent="0.35">
      <c r="A135" s="5" t="s">
        <v>1659</v>
      </c>
      <c r="B135" s="5"/>
      <c r="C135" s="1"/>
      <c r="D135" s="5"/>
      <c r="E135" s="1"/>
      <c r="F135" s="1"/>
      <c r="G135" s="1"/>
      <c r="H135" s="1"/>
      <c r="O135" s="1" t="s">
        <v>1663</v>
      </c>
      <c r="AK135" s="2">
        <f t="shared" si="4"/>
        <v>1</v>
      </c>
      <c r="AM135" s="2">
        <f t="shared" si="5"/>
        <v>1</v>
      </c>
    </row>
    <row r="136" spans="1:39" x14ac:dyDescent="0.35">
      <c r="A136" s="5" t="s">
        <v>1660</v>
      </c>
      <c r="B136" s="5"/>
      <c r="C136" s="1"/>
      <c r="D136" s="5"/>
      <c r="E136" s="1"/>
      <c r="F136" s="1"/>
      <c r="G136" s="1"/>
      <c r="H136" s="1"/>
      <c r="O136" s="1" t="s">
        <v>1664</v>
      </c>
      <c r="AK136" s="2">
        <f t="shared" si="4"/>
        <v>1</v>
      </c>
      <c r="AM136" s="2">
        <f t="shared" si="5"/>
        <v>1</v>
      </c>
    </row>
    <row r="137" spans="1:39" x14ac:dyDescent="0.35">
      <c r="A137" s="5" t="s">
        <v>1661</v>
      </c>
      <c r="B137" s="5"/>
      <c r="C137" s="1"/>
      <c r="D137" s="5"/>
      <c r="E137" s="1"/>
      <c r="F137" s="1"/>
      <c r="G137" s="1"/>
      <c r="H137" s="1"/>
      <c r="O137" s="1" t="s">
        <v>1665</v>
      </c>
      <c r="AK137" s="2">
        <f t="shared" si="4"/>
        <v>1</v>
      </c>
      <c r="AM137" s="2">
        <f t="shared" si="5"/>
        <v>1</v>
      </c>
    </row>
    <row r="138" spans="1:39" x14ac:dyDescent="0.35">
      <c r="A138" s="5" t="s">
        <v>1662</v>
      </c>
      <c r="B138" s="5"/>
      <c r="C138" s="1"/>
      <c r="D138" s="5"/>
      <c r="E138" s="1"/>
      <c r="F138" s="1"/>
      <c r="G138" s="1"/>
      <c r="H138" s="1"/>
      <c r="O138" s="1" t="s">
        <v>1666</v>
      </c>
      <c r="AK138" s="2">
        <f t="shared" si="4"/>
        <v>1</v>
      </c>
      <c r="AM138" s="2">
        <f t="shared" si="5"/>
        <v>1</v>
      </c>
    </row>
    <row r="139" spans="1:39" x14ac:dyDescent="0.35">
      <c r="A139" s="5" t="s">
        <v>1660</v>
      </c>
      <c r="B139" s="5"/>
      <c r="C139" s="1"/>
      <c r="D139" s="5"/>
      <c r="E139" s="1"/>
      <c r="F139" s="1"/>
      <c r="G139" s="1"/>
      <c r="H139" s="1"/>
      <c r="O139" s="1" t="s">
        <v>1667</v>
      </c>
      <c r="AK139" s="2">
        <f t="shared" si="4"/>
        <v>1</v>
      </c>
      <c r="AM139" s="2">
        <f t="shared" si="5"/>
        <v>1</v>
      </c>
    </row>
    <row r="140" spans="1:39" x14ac:dyDescent="0.35">
      <c r="A140" s="5" t="s">
        <v>1661</v>
      </c>
      <c r="B140" s="5"/>
      <c r="C140" s="1"/>
      <c r="D140" s="5"/>
      <c r="E140" s="1"/>
      <c r="F140" s="1"/>
      <c r="G140" s="1"/>
      <c r="H140" s="1"/>
      <c r="O140" s="1" t="s">
        <v>1668</v>
      </c>
      <c r="AK140" s="2">
        <f t="shared" si="4"/>
        <v>1</v>
      </c>
      <c r="AM140" s="2">
        <f t="shared" si="5"/>
        <v>1</v>
      </c>
    </row>
    <row r="141" spans="1:39" ht="43.5" x14ac:dyDescent="0.35">
      <c r="A141" s="5" t="s">
        <v>2045</v>
      </c>
      <c r="B141" s="5"/>
      <c r="C141" s="1"/>
      <c r="D141" s="5"/>
      <c r="E141" s="1"/>
      <c r="F141" s="1"/>
      <c r="G141" s="1"/>
      <c r="H141" s="1"/>
      <c r="R141" s="54" t="s">
        <v>1197</v>
      </c>
      <c r="S141" s="1" t="s">
        <v>2046</v>
      </c>
      <c r="AK141" s="2">
        <f t="shared" si="4"/>
        <v>2</v>
      </c>
      <c r="AM141" s="2">
        <f t="shared" si="5"/>
        <v>1</v>
      </c>
    </row>
    <row r="142" spans="1:39" ht="29" x14ac:dyDescent="0.35">
      <c r="A142" s="5" t="s">
        <v>2551</v>
      </c>
      <c r="B142" s="5"/>
      <c r="C142" s="1"/>
      <c r="D142" s="5"/>
      <c r="E142" s="1"/>
      <c r="F142" s="1"/>
      <c r="G142" s="1"/>
      <c r="H142" s="1"/>
      <c r="W142" s="1" t="s">
        <v>524</v>
      </c>
      <c r="AK142" s="2">
        <f t="shared" si="4"/>
        <v>1</v>
      </c>
      <c r="AM142" s="2">
        <f t="shared" si="5"/>
        <v>0</v>
      </c>
    </row>
    <row r="143" spans="1:39" ht="29" x14ac:dyDescent="0.35">
      <c r="A143" s="5" t="s">
        <v>2659</v>
      </c>
      <c r="B143" s="5"/>
      <c r="C143" s="1"/>
      <c r="D143" s="5"/>
      <c r="E143" s="1"/>
      <c r="F143" s="1"/>
      <c r="G143" s="1"/>
      <c r="H143" s="1"/>
      <c r="AB143" s="1" t="s">
        <v>2660</v>
      </c>
      <c r="AK143" s="2">
        <f t="shared" si="4"/>
        <v>1</v>
      </c>
      <c r="AM143" s="2">
        <f t="shared" si="5"/>
        <v>0</v>
      </c>
    </row>
    <row r="144" spans="1:39" ht="29" x14ac:dyDescent="0.35">
      <c r="A144" s="5" t="s">
        <v>2666</v>
      </c>
      <c r="B144" s="5"/>
      <c r="C144" s="1"/>
      <c r="D144" s="5"/>
      <c r="E144" s="1"/>
      <c r="F144" s="1"/>
      <c r="G144" s="1"/>
      <c r="H144" s="1"/>
      <c r="AB144" s="1" t="s">
        <v>2661</v>
      </c>
      <c r="AK144" s="2">
        <f t="shared" si="4"/>
        <v>1</v>
      </c>
      <c r="AM144" s="2">
        <f t="shared" si="5"/>
        <v>0</v>
      </c>
    </row>
    <row r="145" spans="1:39" ht="29" x14ac:dyDescent="0.35">
      <c r="A145" s="5" t="s">
        <v>2667</v>
      </c>
      <c r="B145" s="5"/>
      <c r="C145" s="1"/>
      <c r="D145" s="5"/>
      <c r="E145" s="1"/>
      <c r="F145" s="1"/>
      <c r="G145" s="1"/>
      <c r="H145" s="1"/>
      <c r="AB145" s="1" t="s">
        <v>2662</v>
      </c>
      <c r="AK145" s="2">
        <f t="shared" si="4"/>
        <v>1</v>
      </c>
      <c r="AM145" s="2">
        <f t="shared" si="5"/>
        <v>0</v>
      </c>
    </row>
    <row r="146" spans="1:39" ht="29" x14ac:dyDescent="0.35">
      <c r="A146" s="5" t="s">
        <v>2668</v>
      </c>
      <c r="B146" s="5"/>
      <c r="C146" s="1"/>
      <c r="D146" s="5"/>
      <c r="E146" s="1"/>
      <c r="F146" s="1"/>
      <c r="G146" s="1"/>
      <c r="H146" s="1"/>
      <c r="AB146" s="1" t="s">
        <v>2663</v>
      </c>
      <c r="AK146" s="2">
        <f t="shared" si="4"/>
        <v>1</v>
      </c>
      <c r="AM146" s="2">
        <f t="shared" si="5"/>
        <v>0</v>
      </c>
    </row>
    <row r="147" spans="1:39" ht="29" x14ac:dyDescent="0.35">
      <c r="A147" s="5" t="s">
        <v>2669</v>
      </c>
      <c r="B147" s="5"/>
      <c r="C147" s="1"/>
      <c r="D147" s="5"/>
      <c r="E147" s="1"/>
      <c r="F147" s="1"/>
      <c r="G147" s="1"/>
      <c r="H147" s="1"/>
      <c r="AB147" s="1" t="s">
        <v>2664</v>
      </c>
      <c r="AK147" s="2">
        <f t="shared" si="4"/>
        <v>1</v>
      </c>
      <c r="AM147" s="2">
        <f t="shared" si="5"/>
        <v>0</v>
      </c>
    </row>
    <row r="148" spans="1:39" ht="29" x14ac:dyDescent="0.35">
      <c r="A148" s="5" t="s">
        <v>2670</v>
      </c>
      <c r="B148" s="5"/>
      <c r="C148" s="1"/>
      <c r="D148" s="5"/>
      <c r="E148" s="1"/>
      <c r="F148" s="1"/>
      <c r="G148" s="1"/>
      <c r="H148" s="1"/>
      <c r="AB148" s="1" t="s">
        <v>2665</v>
      </c>
      <c r="AK148" s="2">
        <f t="shared" si="4"/>
        <v>1</v>
      </c>
      <c r="AM148" s="2">
        <f t="shared" si="5"/>
        <v>0</v>
      </c>
    </row>
    <row r="149" spans="1:39" ht="29" x14ac:dyDescent="0.35">
      <c r="A149" s="5" t="s">
        <v>2808</v>
      </c>
      <c r="B149" s="5"/>
      <c r="C149" s="1"/>
      <c r="D149" s="5"/>
      <c r="E149" s="1"/>
      <c r="F149" s="1"/>
      <c r="G149" s="1"/>
      <c r="H149" s="1"/>
      <c r="AD149" s="1" t="s">
        <v>1992</v>
      </c>
      <c r="AK149" s="2">
        <f t="shared" si="4"/>
        <v>1</v>
      </c>
      <c r="AM149" s="2">
        <f t="shared" si="5"/>
        <v>0</v>
      </c>
    </row>
    <row r="150" spans="1:39" ht="29" x14ac:dyDescent="0.35">
      <c r="A150" s="5" t="s">
        <v>2809</v>
      </c>
      <c r="B150" s="5"/>
      <c r="C150" s="1"/>
      <c r="D150" s="5"/>
      <c r="E150" s="1"/>
      <c r="F150" s="1"/>
      <c r="G150" s="1"/>
      <c r="H150" s="1"/>
      <c r="AD150" s="1" t="s">
        <v>1993</v>
      </c>
      <c r="AK150" s="2">
        <f t="shared" si="4"/>
        <v>1</v>
      </c>
      <c r="AM150" s="2">
        <f t="shared" si="5"/>
        <v>0</v>
      </c>
    </row>
    <row r="151" spans="1:39" ht="29" x14ac:dyDescent="0.35">
      <c r="A151" s="5" t="s">
        <v>2810</v>
      </c>
      <c r="B151" s="5"/>
      <c r="C151" s="1"/>
      <c r="D151" s="5"/>
      <c r="E151" s="1"/>
      <c r="F151" s="1"/>
      <c r="G151" s="1"/>
      <c r="H151" s="1"/>
      <c r="AD151" s="1" t="s">
        <v>1984</v>
      </c>
      <c r="AK151" s="2">
        <f t="shared" si="4"/>
        <v>1</v>
      </c>
      <c r="AM151" s="2">
        <f t="shared" si="5"/>
        <v>0</v>
      </c>
    </row>
    <row r="152" spans="1:39" ht="29" x14ac:dyDescent="0.35">
      <c r="A152" s="5" t="s">
        <v>2811</v>
      </c>
      <c r="B152" s="5"/>
      <c r="C152" s="1"/>
      <c r="D152" s="5"/>
      <c r="E152" s="1"/>
      <c r="F152" s="1"/>
      <c r="G152" s="1"/>
      <c r="H152" s="1"/>
      <c r="AD152" s="1" t="s">
        <v>1994</v>
      </c>
      <c r="AK152" s="2">
        <f t="shared" si="4"/>
        <v>1</v>
      </c>
      <c r="AM152" s="2">
        <f t="shared" si="5"/>
        <v>0</v>
      </c>
    </row>
    <row r="153" spans="1:39" ht="29" x14ac:dyDescent="0.35">
      <c r="A153" s="5" t="s">
        <v>2812</v>
      </c>
      <c r="B153" s="5"/>
      <c r="C153" s="1"/>
      <c r="D153" s="5"/>
      <c r="E153" s="1"/>
      <c r="F153" s="1"/>
      <c r="G153" s="1"/>
      <c r="H153" s="1"/>
      <c r="AD153" s="1" t="s">
        <v>1995</v>
      </c>
      <c r="AK153" s="2">
        <f t="shared" si="4"/>
        <v>1</v>
      </c>
      <c r="AM153" s="2">
        <f t="shared" si="5"/>
        <v>0</v>
      </c>
    </row>
    <row r="154" spans="1:39" ht="29" x14ac:dyDescent="0.35">
      <c r="A154" s="5" t="s">
        <v>2813</v>
      </c>
      <c r="B154" s="5"/>
      <c r="C154" s="1"/>
      <c r="D154" s="5"/>
      <c r="E154" s="1"/>
      <c r="F154" s="1"/>
      <c r="G154" s="1"/>
      <c r="H154" s="1"/>
      <c r="AD154" s="1" t="s">
        <v>1987</v>
      </c>
      <c r="AK154" s="2">
        <f t="shared" si="4"/>
        <v>1</v>
      </c>
      <c r="AM154" s="2">
        <f t="shared" si="5"/>
        <v>0</v>
      </c>
    </row>
    <row r="155" spans="1:39" ht="29" x14ac:dyDescent="0.35">
      <c r="A155" s="5" t="s">
        <v>2814</v>
      </c>
      <c r="B155" s="5"/>
      <c r="C155" s="1"/>
      <c r="D155" s="5"/>
      <c r="E155" s="1"/>
      <c r="F155" s="1"/>
      <c r="G155" s="1"/>
      <c r="H155" s="1"/>
      <c r="AD155" s="1" t="s">
        <v>1996</v>
      </c>
      <c r="AK155" s="2">
        <f t="shared" si="4"/>
        <v>1</v>
      </c>
      <c r="AM155" s="2">
        <f t="shared" si="5"/>
        <v>0</v>
      </c>
    </row>
    <row r="156" spans="1:39" ht="29" x14ac:dyDescent="0.35">
      <c r="A156" s="5" t="s">
        <v>2815</v>
      </c>
      <c r="B156" s="5"/>
      <c r="C156" s="1"/>
      <c r="D156" s="5"/>
      <c r="E156" s="1"/>
      <c r="F156" s="1"/>
      <c r="G156" s="1"/>
      <c r="H156" s="1"/>
      <c r="AD156" s="1" t="s">
        <v>1985</v>
      </c>
      <c r="AK156" s="2">
        <f t="shared" si="4"/>
        <v>1</v>
      </c>
      <c r="AM156" s="2">
        <f t="shared" si="5"/>
        <v>0</v>
      </c>
    </row>
    <row r="157" spans="1:39" x14ac:dyDescent="0.35">
      <c r="A157" s="5" t="s">
        <v>2856</v>
      </c>
      <c r="B157" s="5"/>
      <c r="C157" s="1"/>
      <c r="D157" s="5"/>
      <c r="E157" s="1"/>
      <c r="F157" s="1"/>
      <c r="G157" s="1"/>
      <c r="H157" s="1"/>
      <c r="AE157" s="1" t="s">
        <v>1078</v>
      </c>
      <c r="AK157" s="2">
        <f t="shared" si="4"/>
        <v>1</v>
      </c>
      <c r="AM157" s="2">
        <f t="shared" si="5"/>
        <v>0</v>
      </c>
    </row>
    <row r="158" spans="1:39" ht="29" x14ac:dyDescent="0.35">
      <c r="A158" s="5" t="s">
        <v>2875</v>
      </c>
      <c r="B158" s="5"/>
      <c r="C158" s="1"/>
      <c r="D158" s="5"/>
      <c r="E158" s="1"/>
      <c r="F158" s="1"/>
      <c r="G158" s="1"/>
      <c r="H158" s="1"/>
      <c r="AE158" s="1" t="s">
        <v>1138</v>
      </c>
      <c r="AK158" s="2">
        <f t="shared" si="4"/>
        <v>1</v>
      </c>
      <c r="AM158" s="2">
        <f t="shared" si="5"/>
        <v>0</v>
      </c>
    </row>
    <row r="159" spans="1:39" x14ac:dyDescent="0.35">
      <c r="A159" s="5" t="s">
        <v>2858</v>
      </c>
      <c r="B159" s="5"/>
      <c r="C159" s="1"/>
      <c r="D159" s="5"/>
      <c r="E159" s="1"/>
      <c r="F159" s="1"/>
      <c r="G159" s="1"/>
      <c r="H159" s="1"/>
      <c r="AE159" s="1" t="s">
        <v>1080</v>
      </c>
      <c r="AK159" s="2">
        <f t="shared" si="4"/>
        <v>1</v>
      </c>
      <c r="AM159" s="2">
        <f t="shared" si="5"/>
        <v>0</v>
      </c>
    </row>
    <row r="160" spans="1:39" ht="29" x14ac:dyDescent="0.35">
      <c r="A160" s="5" t="s">
        <v>2876</v>
      </c>
      <c r="B160" s="5"/>
      <c r="C160" s="1"/>
      <c r="D160" s="5"/>
      <c r="E160" s="1"/>
      <c r="F160" s="1"/>
      <c r="G160" s="1"/>
      <c r="H160" s="1"/>
      <c r="AE160" s="1" t="s">
        <v>1141</v>
      </c>
      <c r="AK160" s="2">
        <f t="shared" si="4"/>
        <v>1</v>
      </c>
      <c r="AM160" s="2">
        <f t="shared" si="5"/>
        <v>0</v>
      </c>
    </row>
    <row r="161" spans="1:39" ht="29" x14ac:dyDescent="0.35">
      <c r="A161" s="5" t="s">
        <v>2739</v>
      </c>
      <c r="B161" s="5"/>
      <c r="C161" s="1"/>
      <c r="D161" s="5"/>
      <c r="E161" s="1"/>
      <c r="F161" s="1"/>
      <c r="G161" s="1"/>
      <c r="H161" s="1"/>
      <c r="AC161" s="53" t="s">
        <v>2161</v>
      </c>
      <c r="AE161" s="1" t="s">
        <v>1127</v>
      </c>
      <c r="AK161" s="2">
        <f t="shared" si="4"/>
        <v>2</v>
      </c>
      <c r="AM161" s="2">
        <f t="shared" si="5"/>
        <v>0</v>
      </c>
    </row>
    <row r="162" spans="1:39" x14ac:dyDescent="0.35">
      <c r="A162" s="5" t="s">
        <v>2853</v>
      </c>
      <c r="B162" s="5"/>
      <c r="C162" s="1"/>
      <c r="D162" s="5"/>
      <c r="E162" s="1"/>
      <c r="F162" s="1"/>
      <c r="G162" s="1"/>
      <c r="H162" s="1"/>
      <c r="AE162" s="1" t="s">
        <v>1083</v>
      </c>
      <c r="AK162" s="2">
        <f t="shared" si="4"/>
        <v>1</v>
      </c>
      <c r="AM162" s="2">
        <f t="shared" si="5"/>
        <v>0</v>
      </c>
    </row>
    <row r="163" spans="1:39" x14ac:dyDescent="0.35">
      <c r="A163" s="5" t="s">
        <v>598</v>
      </c>
      <c r="B163" s="5"/>
      <c r="C163" s="1"/>
      <c r="D163" s="5"/>
      <c r="E163" s="1"/>
      <c r="F163" s="1"/>
      <c r="G163" s="1"/>
      <c r="H163" s="1" t="s">
        <v>599</v>
      </c>
      <c r="AK163" s="2">
        <f t="shared" si="4"/>
        <v>1</v>
      </c>
      <c r="AM163" s="2">
        <f t="shared" si="5"/>
        <v>1</v>
      </c>
    </row>
    <row r="164" spans="1:39" x14ac:dyDescent="0.35">
      <c r="A164" s="5" t="s">
        <v>600</v>
      </c>
      <c r="B164" s="5"/>
      <c r="C164" s="1"/>
      <c r="D164" s="5"/>
      <c r="E164" s="1"/>
      <c r="F164" s="1"/>
      <c r="G164" s="1"/>
      <c r="H164" s="53" t="s">
        <v>601</v>
      </c>
      <c r="J164" s="53" t="s">
        <v>100</v>
      </c>
      <c r="K164" s="77" t="s">
        <v>936</v>
      </c>
      <c r="U164" s="53" t="s">
        <v>2073</v>
      </c>
      <c r="V164" s="53" t="s">
        <v>2493</v>
      </c>
      <c r="AE164" s="1" t="s">
        <v>2916</v>
      </c>
      <c r="AK164" s="2">
        <f t="shared" si="4"/>
        <v>6</v>
      </c>
      <c r="AM164" s="2">
        <f t="shared" si="5"/>
        <v>3</v>
      </c>
    </row>
    <row r="165" spans="1:39" x14ac:dyDescent="0.35">
      <c r="A165" s="5" t="s">
        <v>602</v>
      </c>
      <c r="B165" s="5"/>
      <c r="C165" s="1"/>
      <c r="D165" s="5"/>
      <c r="E165" s="1"/>
      <c r="F165" s="1"/>
      <c r="G165" s="1"/>
      <c r="H165" s="1" t="s">
        <v>603</v>
      </c>
      <c r="AK165" s="2">
        <f t="shared" si="4"/>
        <v>1</v>
      </c>
      <c r="AM165" s="2">
        <f t="shared" si="5"/>
        <v>1</v>
      </c>
    </row>
    <row r="166" spans="1:39" x14ac:dyDescent="0.35">
      <c r="A166" s="5" t="s">
        <v>2919</v>
      </c>
      <c r="B166" s="5"/>
      <c r="C166" s="1"/>
      <c r="D166" s="5"/>
      <c r="E166" s="1"/>
      <c r="F166" s="1"/>
      <c r="G166" s="1"/>
      <c r="H166" s="1"/>
      <c r="AE166" s="1" t="s">
        <v>2917</v>
      </c>
      <c r="AK166" s="2">
        <f t="shared" si="4"/>
        <v>1</v>
      </c>
      <c r="AM166" s="2">
        <f t="shared" si="5"/>
        <v>0</v>
      </c>
    </row>
    <row r="167" spans="1:39" x14ac:dyDescent="0.35">
      <c r="A167" s="5" t="s">
        <v>2920</v>
      </c>
      <c r="B167" s="5"/>
      <c r="C167" s="1"/>
      <c r="D167" s="5"/>
      <c r="E167" s="1"/>
      <c r="F167" s="1"/>
      <c r="G167" s="1"/>
      <c r="H167" s="1"/>
      <c r="AE167" s="1" t="s">
        <v>2918</v>
      </c>
      <c r="AK167" s="2">
        <f t="shared" si="4"/>
        <v>1</v>
      </c>
      <c r="AM167" s="2">
        <f t="shared" si="5"/>
        <v>0</v>
      </c>
    </row>
    <row r="168" spans="1:39" x14ac:dyDescent="0.35">
      <c r="A168" s="5" t="s">
        <v>2930</v>
      </c>
      <c r="B168" s="5"/>
      <c r="C168" s="1"/>
      <c r="D168" s="5"/>
      <c r="E168" s="1"/>
      <c r="F168" s="1"/>
      <c r="G168" s="1"/>
      <c r="H168" s="1"/>
      <c r="AE168" s="1" t="s">
        <v>2923</v>
      </c>
      <c r="AK168" s="2">
        <f t="shared" si="4"/>
        <v>1</v>
      </c>
      <c r="AM168" s="2">
        <f t="shared" si="5"/>
        <v>0</v>
      </c>
    </row>
    <row r="169" spans="1:39" x14ac:dyDescent="0.35">
      <c r="A169" s="5" t="s">
        <v>2922</v>
      </c>
      <c r="B169" s="5"/>
      <c r="C169" s="1"/>
      <c r="D169" s="5"/>
      <c r="E169" s="1"/>
      <c r="F169" s="1"/>
      <c r="G169" s="1"/>
      <c r="H169" s="1"/>
      <c r="AE169" s="1" t="s">
        <v>2924</v>
      </c>
      <c r="AK169" s="2">
        <f t="shared" si="4"/>
        <v>1</v>
      </c>
      <c r="AM169" s="2">
        <f t="shared" si="5"/>
        <v>0</v>
      </c>
    </row>
    <row r="170" spans="1:39" x14ac:dyDescent="0.35">
      <c r="A170" s="5" t="s">
        <v>2921</v>
      </c>
      <c r="B170" s="5"/>
      <c r="C170" s="1"/>
      <c r="D170" s="5"/>
      <c r="E170" s="1"/>
      <c r="F170" s="1"/>
      <c r="G170" s="1"/>
      <c r="H170" s="1"/>
      <c r="AE170" s="1" t="s">
        <v>2925</v>
      </c>
      <c r="AK170" s="2">
        <f t="shared" si="4"/>
        <v>1</v>
      </c>
      <c r="AM170" s="2">
        <f t="shared" si="5"/>
        <v>0</v>
      </c>
    </row>
    <row r="171" spans="1:39" ht="29" x14ac:dyDescent="0.35">
      <c r="A171" s="5" t="s">
        <v>2926</v>
      </c>
      <c r="B171" s="5"/>
      <c r="C171" s="1"/>
      <c r="D171" s="5"/>
      <c r="E171" s="1"/>
      <c r="F171" s="1"/>
      <c r="G171" s="1"/>
      <c r="H171" s="1"/>
      <c r="AE171" s="1" t="s">
        <v>2931</v>
      </c>
      <c r="AK171" s="2">
        <f t="shared" si="4"/>
        <v>1</v>
      </c>
      <c r="AM171" s="2">
        <f t="shared" si="5"/>
        <v>0</v>
      </c>
    </row>
    <row r="172" spans="1:39" ht="29" x14ac:dyDescent="0.35">
      <c r="A172" s="5" t="s">
        <v>2927</v>
      </c>
      <c r="B172" s="5"/>
      <c r="C172" s="1"/>
      <c r="D172" s="5"/>
      <c r="E172" s="1"/>
      <c r="F172" s="1"/>
      <c r="G172" s="1"/>
      <c r="H172" s="1"/>
      <c r="AE172" s="1" t="s">
        <v>2932</v>
      </c>
      <c r="AK172" s="2">
        <f t="shared" si="4"/>
        <v>1</v>
      </c>
      <c r="AM172" s="2">
        <f t="shared" si="5"/>
        <v>0</v>
      </c>
    </row>
    <row r="173" spans="1:39" ht="29" x14ac:dyDescent="0.35">
      <c r="A173" s="5" t="s">
        <v>2928</v>
      </c>
      <c r="B173" s="5"/>
      <c r="C173" s="1"/>
      <c r="D173" s="5"/>
      <c r="E173" s="1"/>
      <c r="F173" s="1"/>
      <c r="G173" s="1"/>
      <c r="H173" s="1"/>
      <c r="AE173" s="1" t="s">
        <v>2933</v>
      </c>
      <c r="AK173" s="2">
        <f t="shared" si="4"/>
        <v>1</v>
      </c>
      <c r="AM173" s="2">
        <f t="shared" si="5"/>
        <v>0</v>
      </c>
    </row>
    <row r="174" spans="1:39" ht="29" x14ac:dyDescent="0.35">
      <c r="A174" s="5" t="s">
        <v>2929</v>
      </c>
      <c r="B174" s="5"/>
      <c r="C174" s="1"/>
      <c r="D174" s="5"/>
      <c r="E174" s="1"/>
      <c r="F174" s="1"/>
      <c r="G174" s="1"/>
      <c r="H174" s="1"/>
      <c r="AE174" s="1" t="s">
        <v>2934</v>
      </c>
      <c r="AK174" s="2">
        <f t="shared" si="4"/>
        <v>1</v>
      </c>
      <c r="AM174" s="2">
        <f t="shared" si="5"/>
        <v>0</v>
      </c>
    </row>
    <row r="175" spans="1:39" ht="29" x14ac:dyDescent="0.35">
      <c r="A175" s="5" t="s">
        <v>2970</v>
      </c>
      <c r="B175" s="5"/>
      <c r="C175" s="1"/>
      <c r="D175" s="5"/>
      <c r="E175" s="1"/>
      <c r="F175" s="1"/>
      <c r="G175" s="1"/>
      <c r="H175" s="1"/>
      <c r="AF175" s="1" t="s">
        <v>974</v>
      </c>
      <c r="AK175" s="2">
        <f t="shared" si="4"/>
        <v>1</v>
      </c>
      <c r="AM175" s="2">
        <f t="shared" si="5"/>
        <v>0</v>
      </c>
    </row>
    <row r="176" spans="1:39" ht="29" x14ac:dyDescent="0.35">
      <c r="A176" s="5" t="s">
        <v>2971</v>
      </c>
      <c r="B176" s="5"/>
      <c r="C176" s="1"/>
      <c r="D176" s="5"/>
      <c r="E176" s="1"/>
      <c r="F176" s="1"/>
      <c r="G176" s="1"/>
      <c r="H176" s="1"/>
      <c r="AF176" s="1" t="s">
        <v>1252</v>
      </c>
      <c r="AK176" s="2">
        <f t="shared" si="4"/>
        <v>1</v>
      </c>
      <c r="AM176" s="2">
        <f t="shared" si="5"/>
        <v>0</v>
      </c>
    </row>
    <row r="177" spans="1:39" ht="29" x14ac:dyDescent="0.35">
      <c r="A177" s="5" t="s">
        <v>2972</v>
      </c>
      <c r="B177" s="5"/>
      <c r="C177" s="1"/>
      <c r="D177" s="5"/>
      <c r="E177" s="1"/>
      <c r="F177" s="1"/>
      <c r="G177" s="1"/>
      <c r="H177" s="1"/>
      <c r="AF177" s="1" t="s">
        <v>975</v>
      </c>
      <c r="AK177" s="2">
        <f t="shared" si="4"/>
        <v>1</v>
      </c>
      <c r="AM177" s="2">
        <f t="shared" si="5"/>
        <v>0</v>
      </c>
    </row>
    <row r="178" spans="1:39" ht="29" x14ac:dyDescent="0.35">
      <c r="A178" s="5" t="s">
        <v>3029</v>
      </c>
      <c r="B178" s="5"/>
      <c r="C178" s="1"/>
      <c r="D178" s="5"/>
      <c r="E178" s="1"/>
      <c r="F178" s="1"/>
      <c r="G178" s="1"/>
      <c r="H178" s="1"/>
      <c r="AH178" s="54" t="s">
        <v>988</v>
      </c>
      <c r="AI178" s="1" t="s">
        <v>995</v>
      </c>
      <c r="AK178" s="2">
        <f t="shared" si="4"/>
        <v>2</v>
      </c>
      <c r="AM178" s="2">
        <f t="shared" si="5"/>
        <v>0</v>
      </c>
    </row>
    <row r="179" spans="1:39" x14ac:dyDescent="0.35">
      <c r="A179" s="5" t="s">
        <v>3030</v>
      </c>
      <c r="B179" s="5"/>
      <c r="C179" s="1"/>
      <c r="D179" s="5"/>
      <c r="E179" s="1"/>
      <c r="F179" s="1"/>
      <c r="G179" s="1"/>
      <c r="H179" s="1"/>
      <c r="AH179" s="54" t="s">
        <v>993</v>
      </c>
      <c r="AI179" s="1" t="s">
        <v>999</v>
      </c>
      <c r="AK179" s="2">
        <f t="shared" si="4"/>
        <v>2</v>
      </c>
      <c r="AM179" s="2">
        <f t="shared" si="5"/>
        <v>0</v>
      </c>
    </row>
    <row r="180" spans="1:39" x14ac:dyDescent="0.35">
      <c r="A180" s="48" t="s">
        <v>3297</v>
      </c>
      <c r="B180" s="5"/>
      <c r="C180" s="1" t="s">
        <v>3298</v>
      </c>
      <c r="D180" s="5"/>
      <c r="E180" s="1"/>
      <c r="F180" s="1"/>
      <c r="G180" s="1"/>
      <c r="H180" s="1"/>
      <c r="AK180" s="2">
        <f t="shared" si="4"/>
        <v>1</v>
      </c>
    </row>
    <row r="181" spans="1:39" x14ac:dyDescent="0.35">
      <c r="A181" s="48" t="s">
        <v>3296</v>
      </c>
      <c r="B181" s="5"/>
      <c r="C181" s="1" t="s">
        <v>3299</v>
      </c>
      <c r="D181" s="5"/>
      <c r="E181" s="1"/>
      <c r="F181" s="1"/>
      <c r="G181" s="1"/>
      <c r="H181" s="1"/>
      <c r="AK181" s="2">
        <f t="shared" si="4"/>
        <v>1</v>
      </c>
    </row>
    <row r="182" spans="1:39" x14ac:dyDescent="0.35">
      <c r="A182" s="48" t="s">
        <v>3301</v>
      </c>
      <c r="B182" s="5"/>
      <c r="C182" s="1" t="s">
        <v>3300</v>
      </c>
      <c r="D182" s="5"/>
      <c r="E182" s="1"/>
      <c r="F182" s="1"/>
      <c r="G182" s="1"/>
      <c r="H182" s="1"/>
      <c r="AK182" s="2">
        <f t="shared" si="4"/>
        <v>1</v>
      </c>
    </row>
    <row r="183" spans="1:39" x14ac:dyDescent="0.35">
      <c r="A183" s="49" t="s">
        <v>3302</v>
      </c>
      <c r="B183" s="5"/>
      <c r="C183" s="1" t="s">
        <v>3303</v>
      </c>
      <c r="D183" s="5"/>
      <c r="E183" s="1"/>
      <c r="F183" s="1"/>
      <c r="G183" s="1"/>
      <c r="H183" s="1"/>
      <c r="AK183" s="2">
        <f t="shared" si="4"/>
        <v>1</v>
      </c>
    </row>
    <row r="184" spans="1:39" x14ac:dyDescent="0.35">
      <c r="A184" s="48" t="s">
        <v>3304</v>
      </c>
      <c r="B184" s="5"/>
      <c r="C184" s="1" t="s">
        <v>3305</v>
      </c>
      <c r="D184" s="5"/>
      <c r="E184" s="1"/>
      <c r="F184" s="1"/>
      <c r="G184" s="1"/>
      <c r="H184" s="1"/>
      <c r="AK184" s="2">
        <f t="shared" si="4"/>
        <v>1</v>
      </c>
    </row>
    <row r="185" spans="1:39" x14ac:dyDescent="0.35">
      <c r="A185" s="5"/>
      <c r="B185" s="1"/>
      <c r="C185" s="1"/>
      <c r="D185" s="5"/>
      <c r="E185" s="1"/>
      <c r="F185" s="1"/>
      <c r="G185" s="1"/>
      <c r="H185" s="1"/>
    </row>
    <row r="186" spans="1:39" x14ac:dyDescent="0.35">
      <c r="A186" s="5"/>
      <c r="B186" s="1"/>
      <c r="C186" s="1"/>
      <c r="D186" s="5"/>
      <c r="E186" s="1"/>
      <c r="F186" s="1"/>
      <c r="G186" s="1"/>
      <c r="H186" s="1"/>
    </row>
    <row r="187" spans="1:39" x14ac:dyDescent="0.35">
      <c r="A187" s="5"/>
      <c r="B187" s="1"/>
      <c r="C187" s="1"/>
      <c r="D187" s="5"/>
      <c r="E187" s="1"/>
      <c r="F187" s="1"/>
      <c r="G187" s="1"/>
      <c r="H187" s="1"/>
    </row>
    <row r="188" spans="1:39" x14ac:dyDescent="0.35">
      <c r="A188" s="5"/>
      <c r="B188" s="1"/>
      <c r="C188" s="1"/>
      <c r="D188" s="5"/>
      <c r="E188" s="1"/>
      <c r="F188" s="1"/>
      <c r="G188" s="1"/>
      <c r="H188" s="1"/>
    </row>
    <row r="189" spans="1:39" x14ac:dyDescent="0.35">
      <c r="A189" s="5"/>
      <c r="B189" s="1"/>
      <c r="C189" s="1"/>
      <c r="D189" s="5"/>
      <c r="E189" s="1"/>
      <c r="F189" s="1"/>
      <c r="G189" s="1"/>
      <c r="H189" s="1"/>
    </row>
    <row r="190" spans="1:39" x14ac:dyDescent="0.35">
      <c r="A190" s="5"/>
      <c r="B190" s="1"/>
      <c r="C190" s="1"/>
      <c r="D190" s="5"/>
      <c r="E190" s="1"/>
      <c r="F190" s="1"/>
      <c r="G190" s="1"/>
      <c r="H190" s="1"/>
    </row>
    <row r="191" spans="1:39" x14ac:dyDescent="0.35">
      <c r="A191" s="5"/>
      <c r="B191" s="1"/>
      <c r="C191" s="1"/>
      <c r="D191" s="5"/>
      <c r="E191" s="1"/>
      <c r="F191" s="1"/>
      <c r="G191" s="1"/>
      <c r="H191" s="1"/>
    </row>
    <row r="192" spans="1:39" x14ac:dyDescent="0.35">
      <c r="A192" s="5"/>
      <c r="B192" s="1"/>
      <c r="C192" s="1"/>
      <c r="D192" s="5"/>
      <c r="E192" s="1"/>
      <c r="F192" s="1"/>
      <c r="G192" s="1"/>
      <c r="H192" s="1"/>
    </row>
    <row r="193" spans="1:8" x14ac:dyDescent="0.35">
      <c r="A193" s="5"/>
      <c r="B193" s="1"/>
      <c r="C193" s="1"/>
      <c r="D193" s="5"/>
      <c r="E193" s="1"/>
      <c r="F193" s="1"/>
      <c r="G193" s="1"/>
      <c r="H193" s="1"/>
    </row>
    <row r="194" spans="1:8" x14ac:dyDescent="0.35">
      <c r="A194" s="5"/>
      <c r="B194" s="1"/>
      <c r="C194" s="1"/>
      <c r="D194" s="5"/>
      <c r="E194" s="1"/>
      <c r="F194" s="1"/>
      <c r="G194" s="1"/>
      <c r="H194" s="1"/>
    </row>
    <row r="195" spans="1:8" x14ac:dyDescent="0.35">
      <c r="A195" s="5"/>
      <c r="B195" s="1"/>
      <c r="C195" s="1"/>
      <c r="D195" s="5"/>
      <c r="E195" s="1"/>
      <c r="F195" s="1"/>
      <c r="G195" s="1"/>
      <c r="H195" s="1"/>
    </row>
    <row r="196" spans="1:8" x14ac:dyDescent="0.35">
      <c r="A196" s="5"/>
      <c r="B196" s="1"/>
      <c r="C196" s="1"/>
      <c r="D196" s="5"/>
      <c r="E196" s="1"/>
      <c r="F196" s="1"/>
      <c r="G196" s="1"/>
      <c r="H196" s="1"/>
    </row>
    <row r="197" spans="1:8" x14ac:dyDescent="0.35">
      <c r="A197" s="5"/>
      <c r="B197" s="1"/>
      <c r="C197" s="1"/>
      <c r="D197" s="5"/>
      <c r="E197" s="1"/>
      <c r="F197" s="1"/>
      <c r="G197" s="1"/>
      <c r="H197" s="1"/>
    </row>
    <row r="198" spans="1:8" x14ac:dyDescent="0.35">
      <c r="A198" s="5"/>
      <c r="B198" s="1"/>
      <c r="C198" s="1"/>
      <c r="D198" s="5"/>
      <c r="E198" s="1"/>
      <c r="F198" s="1"/>
      <c r="G198" s="1"/>
      <c r="H198" s="1"/>
    </row>
    <row r="199" spans="1:8" x14ac:dyDescent="0.35">
      <c r="A199" s="5"/>
      <c r="B199" s="1"/>
      <c r="C199" s="1"/>
      <c r="D199" s="5"/>
      <c r="E199" s="1"/>
      <c r="F199" s="1"/>
      <c r="G199" s="1"/>
      <c r="H199" s="1"/>
    </row>
    <row r="200" spans="1:8" x14ac:dyDescent="0.35">
      <c r="A200" s="5"/>
      <c r="B200" s="1"/>
      <c r="C200" s="1"/>
      <c r="D200" s="5"/>
      <c r="E200" s="1"/>
      <c r="F200" s="1"/>
      <c r="G200" s="1"/>
      <c r="H200" s="1"/>
    </row>
    <row r="201" spans="1:8" x14ac:dyDescent="0.35">
      <c r="A201" s="5"/>
      <c r="B201" s="1"/>
      <c r="C201" s="1"/>
      <c r="D201" s="5"/>
      <c r="E201" s="1"/>
      <c r="F201" s="1"/>
      <c r="G201" s="1"/>
      <c r="H201" s="1"/>
    </row>
    <row r="202" spans="1:8" x14ac:dyDescent="0.35">
      <c r="A202" s="5"/>
      <c r="B202" s="1"/>
      <c r="C202" s="1"/>
      <c r="D202" s="5"/>
      <c r="E202" s="1"/>
      <c r="F202" s="1"/>
      <c r="G202" s="1"/>
      <c r="H202" s="1"/>
    </row>
    <row r="203" spans="1:8" x14ac:dyDescent="0.35">
      <c r="A203" s="5"/>
      <c r="B203" s="1"/>
      <c r="C203" s="1"/>
      <c r="D203" s="5"/>
      <c r="E203" s="1"/>
      <c r="F203" s="1"/>
      <c r="G203" s="1"/>
      <c r="H203" s="1"/>
    </row>
    <row r="204" spans="1:8" x14ac:dyDescent="0.35">
      <c r="A204" s="5"/>
      <c r="B204" s="1"/>
      <c r="C204" s="1"/>
      <c r="D204" s="5"/>
      <c r="E204" s="1"/>
      <c r="F204" s="1"/>
      <c r="G204" s="1"/>
      <c r="H204" s="1"/>
    </row>
    <row r="205" spans="1:8" x14ac:dyDescent="0.35">
      <c r="A205" s="5"/>
      <c r="B205" s="1"/>
      <c r="C205" s="1"/>
      <c r="D205" s="5"/>
      <c r="E205" s="1"/>
      <c r="F205" s="1"/>
      <c r="G205" s="1"/>
      <c r="H205" s="1"/>
    </row>
    <row r="206" spans="1:8" x14ac:dyDescent="0.35">
      <c r="A206" s="5"/>
      <c r="B206" s="1"/>
      <c r="C206" s="1"/>
      <c r="D206" s="5"/>
      <c r="E206" s="1"/>
      <c r="F206" s="1"/>
      <c r="G206" s="1"/>
      <c r="H206" s="1"/>
    </row>
    <row r="207" spans="1:8" x14ac:dyDescent="0.35">
      <c r="A207" s="5"/>
      <c r="B207" s="1"/>
      <c r="C207" s="1"/>
      <c r="D207" s="5"/>
      <c r="E207" s="1"/>
      <c r="F207" s="1"/>
      <c r="G207" s="1"/>
      <c r="H207" s="1"/>
    </row>
    <row r="208" spans="1:8" x14ac:dyDescent="0.35">
      <c r="A208" s="5"/>
      <c r="B208" s="1"/>
      <c r="C208" s="1"/>
      <c r="D208" s="5"/>
      <c r="E208" s="1"/>
      <c r="F208" s="1"/>
      <c r="G208" s="1"/>
      <c r="H208" s="1"/>
    </row>
    <row r="209" spans="1:8" x14ac:dyDescent="0.35">
      <c r="A209" s="5"/>
      <c r="B209" s="1"/>
      <c r="C209" s="1"/>
      <c r="D209" s="5"/>
      <c r="E209" s="1"/>
      <c r="F209" s="1"/>
      <c r="G209" s="1"/>
      <c r="H209" s="1"/>
    </row>
    <row r="210" spans="1:8" x14ac:dyDescent="0.35">
      <c r="A210" s="5"/>
      <c r="B210" s="1"/>
      <c r="C210" s="1"/>
      <c r="D210" s="5"/>
      <c r="E210" s="1"/>
      <c r="F210" s="1"/>
      <c r="G210" s="1"/>
      <c r="H210" s="1"/>
    </row>
    <row r="211" spans="1:8" x14ac:dyDescent="0.35">
      <c r="A211" s="5"/>
      <c r="B211" s="1"/>
      <c r="C211" s="1"/>
      <c r="D211" s="5"/>
      <c r="E211" s="1"/>
      <c r="F211" s="1"/>
      <c r="G211" s="1"/>
      <c r="H211" s="1"/>
    </row>
    <row r="212" spans="1:8" x14ac:dyDescent="0.35">
      <c r="A212" s="5"/>
      <c r="B212" s="1"/>
      <c r="C212" s="1"/>
      <c r="D212" s="5"/>
      <c r="E212" s="1"/>
      <c r="F212" s="1"/>
      <c r="G212" s="1"/>
      <c r="H212" s="1"/>
    </row>
    <row r="213" spans="1:8" x14ac:dyDescent="0.35">
      <c r="A213" s="5"/>
      <c r="B213" s="1"/>
      <c r="C213" s="1"/>
      <c r="D213" s="5"/>
      <c r="E213" s="1"/>
      <c r="F213" s="1"/>
      <c r="G213" s="1"/>
      <c r="H213" s="1"/>
    </row>
    <row r="214" spans="1:8" x14ac:dyDescent="0.35">
      <c r="A214" s="5"/>
      <c r="B214" s="1"/>
      <c r="C214" s="1"/>
      <c r="D214" s="5"/>
      <c r="E214" s="1"/>
      <c r="F214" s="1"/>
      <c r="G214" s="1"/>
      <c r="H214" s="1"/>
    </row>
    <row r="215" spans="1:8" x14ac:dyDescent="0.35">
      <c r="A215" s="5"/>
      <c r="B215" s="1"/>
      <c r="C215" s="1"/>
      <c r="D215" s="5"/>
      <c r="E215" s="1"/>
      <c r="F215" s="1"/>
      <c r="G215" s="1"/>
      <c r="H215" s="1"/>
    </row>
    <row r="216" spans="1:8" x14ac:dyDescent="0.35">
      <c r="A216" s="5"/>
      <c r="B216" s="1"/>
      <c r="C216" s="1"/>
      <c r="D216" s="5"/>
      <c r="E216" s="1"/>
      <c r="F216" s="1"/>
      <c r="G216" s="1"/>
      <c r="H216" s="1"/>
    </row>
    <row r="217" spans="1:8" x14ac:dyDescent="0.35">
      <c r="A217" s="5"/>
      <c r="B217" s="1"/>
      <c r="C217" s="1"/>
      <c r="D217" s="5"/>
      <c r="E217" s="1"/>
      <c r="F217" s="1"/>
      <c r="G217" s="1"/>
      <c r="H217" s="1"/>
    </row>
    <row r="218" spans="1:8" x14ac:dyDescent="0.35">
      <c r="A218" s="5"/>
      <c r="B218" s="1"/>
      <c r="C218" s="1"/>
      <c r="D218" s="5"/>
      <c r="E218" s="1"/>
      <c r="F218" s="1"/>
      <c r="G218" s="1"/>
      <c r="H218" s="1"/>
    </row>
    <row r="219" spans="1:8" x14ac:dyDescent="0.35">
      <c r="A219" s="5"/>
      <c r="B219" s="1"/>
      <c r="C219" s="1"/>
      <c r="D219" s="5"/>
      <c r="E219" s="1"/>
      <c r="F219" s="1"/>
      <c r="G219" s="1"/>
      <c r="H219" s="1"/>
    </row>
    <row r="220" spans="1:8" x14ac:dyDescent="0.35">
      <c r="A220" s="5"/>
      <c r="B220" s="1"/>
      <c r="C220" s="1"/>
      <c r="D220" s="5"/>
      <c r="E220" s="1"/>
      <c r="F220" s="1"/>
      <c r="G220" s="1"/>
      <c r="H220" s="1"/>
    </row>
    <row r="221" spans="1:8" x14ac:dyDescent="0.35">
      <c r="A221" s="5"/>
      <c r="B221" s="1"/>
      <c r="C221" s="1"/>
      <c r="D221" s="5"/>
      <c r="E221" s="1"/>
      <c r="F221" s="1"/>
      <c r="G221" s="1"/>
      <c r="H221" s="1"/>
    </row>
    <row r="222" spans="1:8" x14ac:dyDescent="0.35">
      <c r="A222" s="5"/>
      <c r="B222" s="1"/>
      <c r="C222" s="1"/>
      <c r="D222" s="5"/>
      <c r="E222" s="1"/>
      <c r="F222" s="1"/>
      <c r="G222" s="1"/>
      <c r="H222" s="1"/>
    </row>
    <row r="223" spans="1:8" x14ac:dyDescent="0.35">
      <c r="A223" s="5"/>
      <c r="B223" s="1"/>
      <c r="C223" s="1"/>
      <c r="D223" s="5"/>
      <c r="E223" s="1"/>
      <c r="F223" s="1"/>
      <c r="G223" s="1"/>
      <c r="H223" s="1"/>
    </row>
    <row r="224" spans="1:8" x14ac:dyDescent="0.35">
      <c r="A224" s="5"/>
      <c r="B224" s="1"/>
      <c r="C224" s="1"/>
      <c r="D224" s="5"/>
      <c r="E224" s="1"/>
      <c r="F224" s="1"/>
      <c r="G224" s="1"/>
      <c r="H224" s="1"/>
    </row>
    <row r="225" spans="1:8" x14ac:dyDescent="0.35">
      <c r="A225" s="5"/>
      <c r="B225" s="1"/>
      <c r="C225" s="1"/>
      <c r="D225" s="5"/>
      <c r="E225" s="1"/>
      <c r="F225" s="1"/>
      <c r="G225" s="1"/>
      <c r="H225" s="1"/>
    </row>
    <row r="226" spans="1:8" x14ac:dyDescent="0.35">
      <c r="A226" s="5"/>
      <c r="B226" s="1"/>
      <c r="C226" s="1"/>
      <c r="D226" s="5"/>
      <c r="E226" s="1"/>
      <c r="F226" s="1"/>
      <c r="G226" s="1"/>
      <c r="H226" s="1"/>
    </row>
    <row r="227" spans="1:8" x14ac:dyDescent="0.35">
      <c r="A227" s="5"/>
      <c r="B227" s="1"/>
      <c r="C227" s="1"/>
      <c r="D227" s="5"/>
      <c r="E227" s="1"/>
      <c r="F227" s="1"/>
      <c r="G227" s="1"/>
      <c r="H227" s="1"/>
    </row>
    <row r="228" spans="1:8" x14ac:dyDescent="0.35">
      <c r="A228" s="5"/>
      <c r="B228" s="1"/>
      <c r="C228" s="1"/>
      <c r="D228" s="5"/>
      <c r="E228" s="1"/>
      <c r="F228" s="1"/>
      <c r="G228" s="1"/>
      <c r="H228" s="1"/>
    </row>
    <row r="229" spans="1:8" x14ac:dyDescent="0.35">
      <c r="A229" s="5"/>
      <c r="B229" s="1"/>
      <c r="C229" s="1"/>
      <c r="D229" s="5"/>
      <c r="E229" s="1"/>
      <c r="F229" s="1"/>
      <c r="G229" s="1"/>
      <c r="H229" s="1"/>
    </row>
    <row r="230" spans="1:8" x14ac:dyDescent="0.35">
      <c r="A230" s="5"/>
      <c r="B230" s="1"/>
      <c r="C230" s="1"/>
      <c r="D230" s="5"/>
      <c r="E230" s="1"/>
      <c r="F230" s="1"/>
      <c r="G230" s="1"/>
      <c r="H230" s="1"/>
    </row>
    <row r="231" spans="1:8" x14ac:dyDescent="0.35">
      <c r="A231" s="5"/>
      <c r="B231" s="1"/>
      <c r="C231" s="1"/>
      <c r="D231" s="5"/>
      <c r="E231" s="1"/>
      <c r="F231" s="1"/>
      <c r="G231" s="1"/>
      <c r="H231" s="1"/>
    </row>
    <row r="232" spans="1:8" x14ac:dyDescent="0.35">
      <c r="A232" s="5"/>
      <c r="B232" s="1"/>
      <c r="C232" s="1"/>
      <c r="D232" s="5"/>
      <c r="E232" s="1"/>
      <c r="F232" s="1"/>
      <c r="G232" s="1"/>
      <c r="H232" s="1"/>
    </row>
    <row r="233" spans="1:8" x14ac:dyDescent="0.35">
      <c r="A233" s="5"/>
      <c r="B233" s="1"/>
      <c r="C233" s="1"/>
      <c r="D233" s="5"/>
      <c r="E233" s="1"/>
      <c r="F233" s="1"/>
      <c r="G233" s="1"/>
      <c r="H233" s="1"/>
    </row>
    <row r="234" spans="1:8" x14ac:dyDescent="0.35">
      <c r="A234" s="5"/>
      <c r="B234" s="1"/>
      <c r="C234" s="1"/>
      <c r="D234" s="5"/>
      <c r="E234" s="1"/>
      <c r="F234" s="1"/>
      <c r="G234" s="1"/>
      <c r="H234" s="1"/>
    </row>
    <row r="235" spans="1:8" x14ac:dyDescent="0.35">
      <c r="A235" s="5"/>
      <c r="B235" s="1"/>
      <c r="C235" s="1"/>
      <c r="D235" s="5"/>
      <c r="E235" s="1"/>
      <c r="F235" s="1"/>
      <c r="G235" s="1"/>
      <c r="H235" s="1"/>
    </row>
    <row r="236" spans="1:8" x14ac:dyDescent="0.35">
      <c r="A236" s="5"/>
      <c r="B236" s="1"/>
      <c r="C236" s="1"/>
      <c r="D236" s="5"/>
      <c r="E236" s="1"/>
      <c r="F236" s="1"/>
      <c r="G236" s="1"/>
      <c r="H236" s="1"/>
    </row>
    <row r="237" spans="1:8" x14ac:dyDescent="0.35">
      <c r="A237" s="5"/>
      <c r="B237" s="1"/>
      <c r="C237" s="1"/>
      <c r="D237" s="5"/>
      <c r="E237" s="1"/>
      <c r="F237" s="1"/>
      <c r="G237" s="1"/>
      <c r="H237" s="1"/>
    </row>
    <row r="238" spans="1:8" x14ac:dyDescent="0.35">
      <c r="A238" s="5"/>
      <c r="B238" s="1"/>
      <c r="C238" s="1"/>
      <c r="D238" s="5"/>
      <c r="E238" s="1"/>
      <c r="F238" s="1"/>
      <c r="G238" s="1"/>
      <c r="H238" s="1"/>
    </row>
    <row r="239" spans="1:8" x14ac:dyDescent="0.35">
      <c r="A239" s="5"/>
      <c r="B239" s="1"/>
      <c r="C239" s="1"/>
      <c r="D239" s="5"/>
      <c r="E239" s="1"/>
      <c r="F239" s="1"/>
      <c r="G239" s="1"/>
      <c r="H239" s="1"/>
    </row>
    <row r="240" spans="1:8" x14ac:dyDescent="0.35">
      <c r="A240" s="5"/>
      <c r="B240" s="1"/>
      <c r="C240" s="1"/>
      <c r="D240" s="5"/>
      <c r="E240" s="1"/>
      <c r="F240" s="1"/>
      <c r="G240" s="1"/>
      <c r="H240" s="1"/>
    </row>
    <row r="241" spans="1:8" x14ac:dyDescent="0.35">
      <c r="A241" s="5"/>
      <c r="B241" s="1"/>
      <c r="C241" s="1"/>
      <c r="D241" s="5"/>
      <c r="E241" s="1"/>
      <c r="F241" s="1"/>
      <c r="G241" s="1"/>
      <c r="H241" s="1"/>
    </row>
    <row r="242" spans="1:8" x14ac:dyDescent="0.35">
      <c r="A242" s="5"/>
      <c r="B242" s="1"/>
      <c r="C242" s="1"/>
      <c r="D242" s="5"/>
      <c r="E242" s="1"/>
      <c r="F242" s="1"/>
      <c r="G242" s="1"/>
      <c r="H242" s="1"/>
    </row>
    <row r="243" spans="1:8" x14ac:dyDescent="0.35">
      <c r="A243" s="5"/>
      <c r="B243" s="1"/>
      <c r="C243" s="1"/>
      <c r="D243" s="5"/>
      <c r="E243" s="1"/>
      <c r="F243" s="1"/>
      <c r="G243" s="1"/>
      <c r="H243" s="1"/>
    </row>
    <row r="244" spans="1:8" x14ac:dyDescent="0.35">
      <c r="A244" s="5"/>
      <c r="B244" s="1"/>
      <c r="C244" s="1"/>
      <c r="D244" s="5"/>
      <c r="E244" s="1"/>
      <c r="F244" s="1"/>
      <c r="G244" s="1"/>
      <c r="H244" s="1"/>
    </row>
    <row r="245" spans="1:8" x14ac:dyDescent="0.35">
      <c r="A245" s="5"/>
      <c r="B245" s="1"/>
      <c r="C245" s="1"/>
      <c r="D245" s="5"/>
      <c r="E245" s="1"/>
      <c r="F245" s="1"/>
      <c r="G245" s="1"/>
      <c r="H245" s="1"/>
    </row>
    <row r="246" spans="1:8" x14ac:dyDescent="0.35">
      <c r="A246" s="5"/>
      <c r="B246" s="1"/>
      <c r="C246" s="1"/>
      <c r="D246" s="5"/>
      <c r="E246" s="1"/>
      <c r="F246" s="1"/>
      <c r="G246" s="1"/>
      <c r="H246" s="1"/>
    </row>
    <row r="247" spans="1:8" x14ac:dyDescent="0.35">
      <c r="A247" s="5"/>
      <c r="B247" s="1"/>
      <c r="C247" s="1"/>
      <c r="D247" s="5"/>
      <c r="E247" s="1"/>
      <c r="F247" s="1"/>
      <c r="G247" s="1"/>
      <c r="H247" s="1"/>
    </row>
    <row r="248" spans="1:8" x14ac:dyDescent="0.35">
      <c r="A248" s="5"/>
      <c r="B248" s="1"/>
      <c r="C248" s="1"/>
      <c r="D248" s="5"/>
      <c r="E248" s="1"/>
      <c r="F248" s="1"/>
      <c r="G248" s="1"/>
      <c r="H248" s="1"/>
    </row>
    <row r="249" spans="1:8" x14ac:dyDescent="0.35">
      <c r="A249" s="5"/>
      <c r="B249" s="1"/>
      <c r="C249" s="1"/>
      <c r="D249" s="5"/>
      <c r="E249" s="1"/>
      <c r="F249" s="1"/>
      <c r="G249" s="1"/>
      <c r="H249" s="1"/>
    </row>
    <row r="250" spans="1:8" x14ac:dyDescent="0.35">
      <c r="A250" s="5"/>
      <c r="B250" s="1"/>
      <c r="C250" s="1"/>
      <c r="D250" s="5"/>
      <c r="E250" s="1"/>
      <c r="F250" s="1"/>
      <c r="G250" s="1"/>
      <c r="H250" s="1"/>
    </row>
    <row r="251" spans="1:8" x14ac:dyDescent="0.35">
      <c r="A251" s="5"/>
      <c r="B251" s="1"/>
      <c r="C251" s="1"/>
      <c r="D251" s="5"/>
      <c r="E251" s="1"/>
      <c r="F251" s="1"/>
      <c r="G251" s="1"/>
      <c r="H251" s="1"/>
    </row>
    <row r="252" spans="1:8" x14ac:dyDescent="0.35">
      <c r="A252" s="5"/>
      <c r="B252" s="1"/>
      <c r="C252" s="1"/>
      <c r="D252" s="5"/>
      <c r="E252" s="1"/>
      <c r="F252" s="1"/>
      <c r="G252" s="1"/>
      <c r="H252" s="1"/>
    </row>
    <row r="253" spans="1:8" x14ac:dyDescent="0.35">
      <c r="A253" s="5"/>
      <c r="B253" s="1"/>
      <c r="C253" s="1"/>
      <c r="D253" s="5"/>
      <c r="E253" s="1"/>
      <c r="F253" s="1"/>
      <c r="G253" s="1"/>
      <c r="H253" s="1"/>
    </row>
    <row r="254" spans="1:8" x14ac:dyDescent="0.35">
      <c r="A254" s="5"/>
      <c r="B254" s="1"/>
      <c r="C254" s="1"/>
      <c r="D254" s="5"/>
      <c r="E254" s="1"/>
      <c r="F254" s="1"/>
      <c r="G254" s="1"/>
      <c r="H254" s="1"/>
    </row>
    <row r="255" spans="1:8" x14ac:dyDescent="0.35">
      <c r="A255" s="5"/>
      <c r="B255" s="1"/>
      <c r="C255" s="1"/>
      <c r="D255" s="5"/>
      <c r="E255" s="1"/>
      <c r="F255" s="1"/>
      <c r="G255" s="1"/>
      <c r="H255" s="1"/>
    </row>
    <row r="256" spans="1:8" x14ac:dyDescent="0.35">
      <c r="A256" s="5"/>
      <c r="B256" s="1"/>
      <c r="C256" s="1"/>
      <c r="D256" s="5"/>
      <c r="E256" s="1"/>
      <c r="F256" s="1"/>
      <c r="G256" s="1"/>
      <c r="H256" s="1"/>
    </row>
    <row r="257" spans="1:8" x14ac:dyDescent="0.35">
      <c r="A257" s="5"/>
      <c r="B257" s="1"/>
      <c r="C257" s="1"/>
      <c r="D257" s="5"/>
      <c r="E257" s="1"/>
      <c r="F257" s="1"/>
      <c r="G257" s="1"/>
      <c r="H257" s="1"/>
    </row>
    <row r="258" spans="1:8" x14ac:dyDescent="0.35">
      <c r="A258" s="5"/>
      <c r="B258" s="1"/>
      <c r="C258" s="1"/>
      <c r="D258" s="5"/>
      <c r="E258" s="1"/>
      <c r="F258" s="1"/>
      <c r="G258" s="1"/>
      <c r="H258" s="1"/>
    </row>
    <row r="259" spans="1:8" x14ac:dyDescent="0.35">
      <c r="A259" s="5"/>
      <c r="B259" s="1"/>
      <c r="C259" s="1"/>
      <c r="D259" s="5"/>
      <c r="E259" s="1"/>
      <c r="F259" s="1"/>
      <c r="G259" s="1"/>
      <c r="H259" s="1"/>
    </row>
    <row r="260" spans="1:8" x14ac:dyDescent="0.35">
      <c r="A260" s="5"/>
      <c r="B260" s="1"/>
      <c r="C260" s="1"/>
      <c r="D260" s="5"/>
      <c r="E260" s="1"/>
      <c r="F260" s="1"/>
      <c r="G260" s="1"/>
      <c r="H260" s="1"/>
    </row>
    <row r="261" spans="1:8" x14ac:dyDescent="0.35">
      <c r="A261" s="5"/>
      <c r="B261" s="1"/>
      <c r="C261" s="1"/>
      <c r="D261" s="5"/>
      <c r="E261" s="1"/>
      <c r="F261" s="1"/>
      <c r="G261" s="1"/>
      <c r="H261" s="1"/>
    </row>
    <row r="262" spans="1:8" x14ac:dyDescent="0.35">
      <c r="A262" s="5"/>
      <c r="B262" s="1"/>
      <c r="C262" s="1"/>
      <c r="D262" s="5"/>
      <c r="E262" s="1"/>
      <c r="F262" s="1"/>
      <c r="G262" s="1"/>
      <c r="H262" s="1"/>
    </row>
    <row r="263" spans="1:8" x14ac:dyDescent="0.35">
      <c r="A263" s="5"/>
      <c r="B263" s="1"/>
      <c r="C263" s="1"/>
      <c r="D263" s="5"/>
      <c r="E263" s="1"/>
      <c r="F263" s="1"/>
      <c r="G263" s="1"/>
      <c r="H263" s="1"/>
    </row>
    <row r="264" spans="1:8" x14ac:dyDescent="0.35">
      <c r="A264" s="5"/>
      <c r="B264" s="1"/>
      <c r="C264" s="1"/>
      <c r="D264" s="5"/>
      <c r="E264" s="1"/>
      <c r="F264" s="1"/>
      <c r="G264" s="1"/>
      <c r="H264" s="1"/>
    </row>
    <row r="265" spans="1:8" x14ac:dyDescent="0.35">
      <c r="A265" s="5"/>
      <c r="B265" s="1"/>
      <c r="C265" s="1"/>
      <c r="D265" s="5"/>
      <c r="E265" s="1"/>
      <c r="F265" s="1"/>
      <c r="G265" s="1"/>
      <c r="H265" s="1"/>
    </row>
    <row r="266" spans="1:8" x14ac:dyDescent="0.35">
      <c r="A266" s="5"/>
      <c r="B266" s="1"/>
      <c r="C266" s="1"/>
      <c r="D266" s="5"/>
      <c r="E266" s="1"/>
      <c r="F266" s="1"/>
      <c r="G266" s="1"/>
      <c r="H266" s="1"/>
    </row>
    <row r="267" spans="1:8" x14ac:dyDescent="0.35">
      <c r="A267" s="5"/>
      <c r="B267" s="1"/>
      <c r="C267" s="1"/>
      <c r="D267" s="5"/>
      <c r="E267" s="1"/>
      <c r="F267" s="1"/>
      <c r="G267" s="1"/>
      <c r="H267" s="1"/>
    </row>
    <row r="268" spans="1:8" x14ac:dyDescent="0.35">
      <c r="A268" s="5"/>
      <c r="B268" s="1"/>
      <c r="C268" s="1"/>
      <c r="D268" s="5"/>
      <c r="E268" s="1"/>
      <c r="F268" s="1"/>
      <c r="G268" s="1"/>
      <c r="H268" s="1"/>
    </row>
    <row r="269" spans="1:8" x14ac:dyDescent="0.35">
      <c r="A269" s="1"/>
      <c r="B269" s="1"/>
      <c r="C269" s="1"/>
      <c r="D269" s="1"/>
      <c r="E269" s="1"/>
      <c r="F269" s="1"/>
      <c r="G269" s="1"/>
      <c r="H269" s="1"/>
    </row>
    <row r="270" spans="1:8" x14ac:dyDescent="0.35">
      <c r="A270" s="1"/>
      <c r="B270" s="1"/>
      <c r="C270" s="1"/>
      <c r="D270" s="1"/>
      <c r="E270" s="1"/>
      <c r="F270" s="1"/>
      <c r="G270" s="1"/>
      <c r="H270" s="1"/>
    </row>
    <row r="271" spans="1:8" x14ac:dyDescent="0.35">
      <c r="A271" s="1"/>
      <c r="B271" s="1"/>
      <c r="C271" s="1"/>
      <c r="D271" s="1"/>
      <c r="E271" s="1"/>
      <c r="F271" s="1"/>
      <c r="G271" s="1"/>
      <c r="H271" s="1"/>
    </row>
    <row r="272" spans="1:8" x14ac:dyDescent="0.35">
      <c r="A272" s="1"/>
      <c r="B272" s="1"/>
      <c r="C272" s="1"/>
      <c r="D272" s="1"/>
      <c r="E272" s="1"/>
      <c r="F272" s="1"/>
      <c r="G272" s="1"/>
      <c r="H272" s="1"/>
    </row>
    <row r="273" spans="1:8" x14ac:dyDescent="0.35">
      <c r="A273" s="1"/>
      <c r="B273" s="1"/>
      <c r="C273" s="1"/>
      <c r="D273" s="1"/>
      <c r="E273" s="1"/>
      <c r="F273" s="1"/>
      <c r="G273" s="1"/>
      <c r="H273" s="1"/>
    </row>
    <row r="274" spans="1:8" x14ac:dyDescent="0.35">
      <c r="A274" s="1"/>
      <c r="B274" s="1"/>
      <c r="C274" s="1"/>
      <c r="D274" s="1"/>
      <c r="E274" s="1"/>
      <c r="F274" s="1"/>
      <c r="G274" s="1"/>
      <c r="H274" s="1"/>
    </row>
    <row r="275" spans="1:8" x14ac:dyDescent="0.35">
      <c r="A275" s="1"/>
      <c r="B275" s="1"/>
      <c r="C275" s="1"/>
      <c r="D275" s="1"/>
      <c r="E275" s="1"/>
      <c r="F275" s="1"/>
      <c r="G275" s="1"/>
      <c r="H275" s="1"/>
    </row>
    <row r="276" spans="1:8" x14ac:dyDescent="0.35">
      <c r="B276" s="1"/>
      <c r="C276" s="1"/>
    </row>
    <row r="277" spans="1:8" x14ac:dyDescent="0.35">
      <c r="B277" s="1"/>
      <c r="C277" s="1"/>
    </row>
    <row r="278" spans="1:8" x14ac:dyDescent="0.35">
      <c r="B278" s="1"/>
      <c r="C278" s="1"/>
    </row>
    <row r="279" spans="1:8" x14ac:dyDescent="0.35">
      <c r="B279" s="1"/>
      <c r="C279" s="1"/>
    </row>
    <row r="280" spans="1:8" x14ac:dyDescent="0.35">
      <c r="B280" s="1"/>
      <c r="C280" s="1"/>
    </row>
    <row r="281" spans="1:8" x14ac:dyDescent="0.35">
      <c r="B281" s="1"/>
      <c r="C281" s="1"/>
    </row>
    <row r="282" spans="1:8" x14ac:dyDescent="0.35">
      <c r="B282" s="1"/>
      <c r="C282" s="1"/>
    </row>
    <row r="283" spans="1:8" x14ac:dyDescent="0.35">
      <c r="B283" s="1"/>
      <c r="C283" s="1"/>
    </row>
    <row r="284" spans="1:8" x14ac:dyDescent="0.35">
      <c r="B284" s="1"/>
      <c r="C284" s="1"/>
    </row>
    <row r="285" spans="1:8" x14ac:dyDescent="0.35">
      <c r="B285" s="1"/>
      <c r="C285" s="1"/>
    </row>
    <row r="286" spans="1:8" x14ac:dyDescent="0.35">
      <c r="B286" s="1"/>
      <c r="C286" s="1"/>
    </row>
    <row r="287" spans="1:8" x14ac:dyDescent="0.35">
      <c r="B287" s="1"/>
      <c r="C287" s="1"/>
    </row>
    <row r="288" spans="1:8" x14ac:dyDescent="0.35">
      <c r="B288" s="1"/>
      <c r="C288" s="1"/>
    </row>
    <row r="289" spans="2:3" x14ac:dyDescent="0.35">
      <c r="B289" s="1"/>
      <c r="C289" s="1"/>
    </row>
    <row r="290" spans="2:3" x14ac:dyDescent="0.35">
      <c r="B290" s="1"/>
      <c r="C290" s="1"/>
    </row>
  </sheetData>
  <phoneticPr fontId="10"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8AF3-74D3-4327-AA3E-4DE821383E87}">
  <sheetPr codeName="Sheet9"/>
  <dimension ref="A1:AN337"/>
  <sheetViews>
    <sheetView rightToLeft="1" workbookViewId="0">
      <pane xSplit="1" ySplit="1" topLeftCell="AD142" activePane="bottomRight" state="frozen"/>
      <selection activeCell="D96" sqref="D96"/>
      <selection pane="topRight" activeCell="D96" sqref="D96"/>
      <selection pane="bottomLeft" activeCell="D96" sqref="D96"/>
      <selection pane="bottomRight" activeCell="AJ145" sqref="AJ145"/>
    </sheetView>
  </sheetViews>
  <sheetFormatPr defaultColWidth="8.81640625" defaultRowHeight="14.5" x14ac:dyDescent="0.35"/>
  <cols>
    <col min="1" max="1" width="52.1796875" style="8" customWidth="1"/>
    <col min="2" max="2" width="10" style="2" customWidth="1"/>
    <col min="3" max="3" width="12" style="8" customWidth="1"/>
    <col min="4" max="4" width="11.81640625" style="2" customWidth="1"/>
    <col min="5" max="7" width="8.81640625" style="2"/>
    <col min="8" max="15" width="8.81640625" style="1" customWidth="1"/>
    <col min="16" max="17" width="8.81640625" style="30" customWidth="1"/>
    <col min="18" max="34" width="8.81640625" style="1" customWidth="1"/>
    <col min="35" max="35" width="8.81640625" style="2"/>
    <col min="36" max="36" width="10.08984375" style="2" bestFit="1" customWidth="1"/>
    <col min="37" max="37" width="8.81640625" style="2"/>
    <col min="38" max="38" width="10.54296875" style="2" bestFit="1" customWidth="1"/>
    <col min="39" max="39" width="8.81640625" style="2"/>
    <col min="40" max="40" width="17" style="2" bestFit="1" customWidth="1"/>
    <col min="41" max="16384" width="8.81640625" style="2"/>
  </cols>
  <sheetData>
    <row r="1" spans="1:40" ht="15" thickBot="1" x14ac:dyDescent="0.4">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43.5" x14ac:dyDescent="0.35">
      <c r="A2" s="5" t="s">
        <v>753</v>
      </c>
      <c r="B2" s="6"/>
      <c r="C2" s="5"/>
      <c r="D2" s="1"/>
      <c r="E2" s="1"/>
      <c r="F2" s="1"/>
      <c r="G2" s="1"/>
      <c r="I2" s="70" t="s">
        <v>532</v>
      </c>
      <c r="J2" s="78" t="s">
        <v>991</v>
      </c>
      <c r="K2" s="54" t="s">
        <v>951</v>
      </c>
      <c r="L2" s="54" t="s">
        <v>954</v>
      </c>
      <c r="M2" s="54" t="s">
        <v>1393</v>
      </c>
      <c r="N2" s="50" t="s">
        <v>1564</v>
      </c>
      <c r="O2" s="56" t="s">
        <v>965</v>
      </c>
      <c r="P2" s="29"/>
      <c r="Q2" s="50" t="s">
        <v>2093</v>
      </c>
      <c r="R2" s="50" t="s">
        <v>2096</v>
      </c>
      <c r="S2" s="3" t="s">
        <v>877</v>
      </c>
      <c r="T2" s="3"/>
      <c r="U2" s="3"/>
      <c r="V2" s="3"/>
      <c r="W2" s="3"/>
      <c r="X2" s="3"/>
      <c r="Y2" s="3"/>
      <c r="Z2" s="3"/>
      <c r="AA2" s="3"/>
      <c r="AB2" s="3"/>
      <c r="AC2" s="3"/>
      <c r="AD2" s="3"/>
      <c r="AE2" s="3"/>
      <c r="AF2" s="3"/>
      <c r="AG2" s="3"/>
      <c r="AH2" s="3"/>
      <c r="AI2" s="3"/>
      <c r="AJ2" s="2">
        <f>COUNTA(B2:AH2)</f>
        <v>10</v>
      </c>
      <c r="AL2" s="2">
        <f>COUNTA(F2:O2,R2:S2)</f>
        <v>9</v>
      </c>
      <c r="AN2" s="2">
        <f>COUNTIF(AL2:AL235,"&gt;=2")</f>
        <v>40</v>
      </c>
    </row>
    <row r="3" spans="1:40" x14ac:dyDescent="0.35">
      <c r="A3" s="5" t="s">
        <v>754</v>
      </c>
      <c r="B3" s="6"/>
      <c r="C3" s="5"/>
      <c r="D3" s="1"/>
      <c r="E3" s="1"/>
      <c r="F3" s="1"/>
      <c r="G3" s="1"/>
      <c r="I3" s="70" t="s">
        <v>533</v>
      </c>
      <c r="J3" s="18" t="s">
        <v>992</v>
      </c>
      <c r="AJ3" s="2">
        <f t="shared" ref="AJ3:AJ66" si="0">COUNTA(B3:AH3)</f>
        <v>2</v>
      </c>
      <c r="AL3" s="2">
        <f t="shared" ref="AL3:AL66" si="1">COUNTA(F3:O3,R3:S3)</f>
        <v>2</v>
      </c>
    </row>
    <row r="4" spans="1:40" ht="43.5" x14ac:dyDescent="0.35">
      <c r="A4" s="5" t="s">
        <v>755</v>
      </c>
      <c r="B4" s="6"/>
      <c r="C4" s="5"/>
      <c r="D4" s="1"/>
      <c r="E4" s="1"/>
      <c r="F4" s="1"/>
      <c r="G4" s="1"/>
      <c r="I4" s="70" t="s">
        <v>127</v>
      </c>
      <c r="J4" s="78" t="s">
        <v>993</v>
      </c>
      <c r="K4" s="54" t="s">
        <v>952</v>
      </c>
      <c r="M4" s="54" t="s">
        <v>1394</v>
      </c>
      <c r="N4" s="53" t="s">
        <v>1565</v>
      </c>
      <c r="O4" s="54" t="s">
        <v>966</v>
      </c>
      <c r="Q4" s="53" t="s">
        <v>2097</v>
      </c>
      <c r="R4" s="53" t="s">
        <v>2098</v>
      </c>
      <c r="S4" s="1" t="s">
        <v>884</v>
      </c>
      <c r="AJ4" s="2">
        <f t="shared" si="0"/>
        <v>9</v>
      </c>
      <c r="AL4" s="2">
        <f t="shared" si="1"/>
        <v>8</v>
      </c>
    </row>
    <row r="5" spans="1:40" x14ac:dyDescent="0.35">
      <c r="A5" s="5" t="s">
        <v>754</v>
      </c>
      <c r="B5" s="5"/>
      <c r="C5" s="5"/>
      <c r="D5" s="1"/>
      <c r="E5" s="1"/>
      <c r="F5" s="1"/>
      <c r="G5" s="1"/>
      <c r="I5" s="70" t="s">
        <v>283</v>
      </c>
      <c r="J5" s="18" t="s">
        <v>994</v>
      </c>
      <c r="AJ5" s="2">
        <f t="shared" si="0"/>
        <v>2</v>
      </c>
      <c r="AL5" s="2">
        <f t="shared" si="1"/>
        <v>2</v>
      </c>
    </row>
    <row r="6" spans="1:40" ht="43.5" x14ac:dyDescent="0.35">
      <c r="A6" s="5" t="s">
        <v>756</v>
      </c>
      <c r="B6" s="6"/>
      <c r="C6" s="5"/>
      <c r="D6" s="1"/>
      <c r="E6" s="1"/>
      <c r="F6" s="1"/>
      <c r="G6" s="1"/>
      <c r="I6" s="70" t="s">
        <v>285</v>
      </c>
      <c r="J6" s="78" t="s">
        <v>995</v>
      </c>
      <c r="K6" s="54" t="s">
        <v>953</v>
      </c>
      <c r="L6" s="54" t="s">
        <v>956</v>
      </c>
      <c r="M6" s="54" t="s">
        <v>1395</v>
      </c>
      <c r="N6" s="53" t="s">
        <v>1566</v>
      </c>
      <c r="O6" s="54" t="s">
        <v>967</v>
      </c>
      <c r="Q6" s="53" t="s">
        <v>2105</v>
      </c>
      <c r="R6" s="1" t="s">
        <v>2106</v>
      </c>
      <c r="AJ6" s="2">
        <f t="shared" si="0"/>
        <v>9</v>
      </c>
      <c r="AL6" s="2">
        <f t="shared" si="1"/>
        <v>8</v>
      </c>
    </row>
    <row r="7" spans="1:40" x14ac:dyDescent="0.35">
      <c r="A7" s="5" t="s">
        <v>754</v>
      </c>
      <c r="B7" s="6"/>
      <c r="C7" s="5"/>
      <c r="D7" s="1"/>
      <c r="E7" s="1"/>
      <c r="F7" s="1"/>
      <c r="G7" s="1"/>
      <c r="I7" s="70" t="s">
        <v>287</v>
      </c>
      <c r="J7" s="18" t="s">
        <v>996</v>
      </c>
      <c r="AJ7" s="2">
        <f t="shared" si="0"/>
        <v>2</v>
      </c>
      <c r="AL7" s="2">
        <f t="shared" si="1"/>
        <v>2</v>
      </c>
    </row>
    <row r="8" spans="1:40" ht="29" x14ac:dyDescent="0.35">
      <c r="A8" s="5" t="s">
        <v>757</v>
      </c>
      <c r="B8" s="6"/>
      <c r="C8" s="5"/>
      <c r="D8" s="1"/>
      <c r="E8" s="1"/>
      <c r="F8" s="1"/>
      <c r="G8" s="1"/>
      <c r="I8" s="70" t="s">
        <v>59</v>
      </c>
      <c r="J8" s="78" t="s">
        <v>997</v>
      </c>
      <c r="K8" s="54" t="s">
        <v>954</v>
      </c>
      <c r="L8" s="54" t="s">
        <v>955</v>
      </c>
      <c r="M8" s="54" t="s">
        <v>1396</v>
      </c>
      <c r="N8" s="53" t="s">
        <v>1567</v>
      </c>
      <c r="O8" s="54" t="s">
        <v>968</v>
      </c>
      <c r="Q8" s="53" t="s">
        <v>2107</v>
      </c>
      <c r="R8" s="1" t="s">
        <v>2108</v>
      </c>
      <c r="AJ8" s="2">
        <f t="shared" si="0"/>
        <v>9</v>
      </c>
      <c r="AL8" s="2">
        <f t="shared" si="1"/>
        <v>8</v>
      </c>
    </row>
    <row r="9" spans="1:40" x14ac:dyDescent="0.35">
      <c r="A9" s="5" t="s">
        <v>754</v>
      </c>
      <c r="B9" s="6"/>
      <c r="C9" s="5"/>
      <c r="D9" s="1"/>
      <c r="E9" s="1"/>
      <c r="F9" s="1"/>
      <c r="G9" s="1"/>
      <c r="I9" s="70" t="s">
        <v>133</v>
      </c>
      <c r="J9" s="18" t="s">
        <v>998</v>
      </c>
      <c r="AJ9" s="2">
        <f t="shared" si="0"/>
        <v>2</v>
      </c>
      <c r="AL9" s="2">
        <f t="shared" si="1"/>
        <v>2</v>
      </c>
    </row>
    <row r="10" spans="1:40" ht="29" x14ac:dyDescent="0.35">
      <c r="A10" s="5" t="s">
        <v>758</v>
      </c>
      <c r="B10" s="6"/>
      <c r="C10" s="5"/>
      <c r="D10" s="1"/>
      <c r="E10" s="1"/>
      <c r="F10" s="1"/>
      <c r="G10" s="1"/>
      <c r="I10" s="70" t="s">
        <v>289</v>
      </c>
      <c r="J10" s="78" t="s">
        <v>999</v>
      </c>
      <c r="M10" s="54" t="s">
        <v>1392</v>
      </c>
      <c r="N10" s="53" t="s">
        <v>1563</v>
      </c>
      <c r="O10" s="54" t="s">
        <v>961</v>
      </c>
      <c r="Q10" s="53" t="s">
        <v>2085</v>
      </c>
      <c r="R10" s="53" t="s">
        <v>2086</v>
      </c>
      <c r="S10" s="53" t="s">
        <v>874</v>
      </c>
      <c r="T10" s="1" t="s">
        <v>997</v>
      </c>
      <c r="AJ10" s="2">
        <f t="shared" si="0"/>
        <v>9</v>
      </c>
      <c r="AL10" s="2">
        <f t="shared" si="1"/>
        <v>7</v>
      </c>
    </row>
    <row r="11" spans="1:40" x14ac:dyDescent="0.35">
      <c r="A11" s="5" t="s">
        <v>754</v>
      </c>
      <c r="B11" s="6"/>
      <c r="C11" s="5"/>
      <c r="D11" s="1"/>
      <c r="E11" s="1"/>
      <c r="F11" s="1"/>
      <c r="G11" s="1"/>
      <c r="I11" s="70" t="s">
        <v>290</v>
      </c>
      <c r="J11" s="18" t="s">
        <v>1000</v>
      </c>
      <c r="AJ11" s="2">
        <f t="shared" si="0"/>
        <v>2</v>
      </c>
      <c r="AL11" s="2">
        <f t="shared" si="1"/>
        <v>2</v>
      </c>
    </row>
    <row r="12" spans="1:40" ht="29" x14ac:dyDescent="0.35">
      <c r="A12" s="5" t="s">
        <v>759</v>
      </c>
      <c r="B12" s="1"/>
      <c r="C12" s="5"/>
      <c r="D12" s="1"/>
      <c r="E12" s="1"/>
      <c r="F12" s="1"/>
      <c r="G12" s="1"/>
      <c r="I12" s="70" t="s">
        <v>660</v>
      </c>
      <c r="J12" s="78" t="s">
        <v>1001</v>
      </c>
      <c r="K12" s="54" t="s">
        <v>956</v>
      </c>
      <c r="M12" s="54" t="s">
        <v>1401</v>
      </c>
      <c r="N12" s="53" t="s">
        <v>1570</v>
      </c>
      <c r="O12" s="1" t="s">
        <v>1713</v>
      </c>
      <c r="AJ12" s="2">
        <f t="shared" si="0"/>
        <v>6</v>
      </c>
      <c r="AL12" s="2">
        <f t="shared" si="1"/>
        <v>6</v>
      </c>
    </row>
    <row r="13" spans="1:40" x14ac:dyDescent="0.35">
      <c r="A13" s="5" t="s">
        <v>754</v>
      </c>
      <c r="B13" s="1"/>
      <c r="C13" s="5"/>
      <c r="D13" s="1"/>
      <c r="E13" s="1"/>
      <c r="F13" s="1"/>
      <c r="G13" s="1"/>
      <c r="I13" s="70" t="s">
        <v>539</v>
      </c>
      <c r="J13" s="18" t="s">
        <v>1002</v>
      </c>
      <c r="AJ13" s="2">
        <f t="shared" si="0"/>
        <v>2</v>
      </c>
      <c r="AL13" s="2">
        <f t="shared" si="1"/>
        <v>2</v>
      </c>
    </row>
    <row r="14" spans="1:40" ht="29" x14ac:dyDescent="0.35">
      <c r="A14" s="5" t="s">
        <v>760</v>
      </c>
      <c r="B14" s="1"/>
      <c r="C14" s="5"/>
      <c r="D14" s="1"/>
      <c r="E14" s="1"/>
      <c r="F14" s="1"/>
      <c r="G14" s="1"/>
      <c r="I14" s="70" t="s">
        <v>541</v>
      </c>
      <c r="J14" s="78" t="s">
        <v>1003</v>
      </c>
      <c r="K14" s="54" t="s">
        <v>957</v>
      </c>
      <c r="M14" s="54" t="s">
        <v>1402</v>
      </c>
      <c r="N14" s="1" t="s">
        <v>1574</v>
      </c>
      <c r="AJ14" s="2">
        <f t="shared" si="0"/>
        <v>5</v>
      </c>
      <c r="AL14" s="2">
        <f t="shared" si="1"/>
        <v>5</v>
      </c>
    </row>
    <row r="15" spans="1:40" x14ac:dyDescent="0.35">
      <c r="A15" s="5" t="s">
        <v>754</v>
      </c>
      <c r="B15" s="5"/>
      <c r="C15" s="5"/>
      <c r="D15" s="1"/>
      <c r="E15" s="1"/>
      <c r="F15" s="1"/>
      <c r="G15" s="1"/>
      <c r="I15" s="70" t="s">
        <v>543</v>
      </c>
      <c r="J15" s="18" t="s">
        <v>1004</v>
      </c>
      <c r="AJ15" s="2">
        <f t="shared" si="0"/>
        <v>2</v>
      </c>
      <c r="AL15" s="2">
        <f t="shared" si="1"/>
        <v>2</v>
      </c>
    </row>
    <row r="16" spans="1:40" ht="43.5" x14ac:dyDescent="0.35">
      <c r="A16" s="5" t="s">
        <v>1171</v>
      </c>
      <c r="B16" s="1"/>
      <c r="C16" s="5"/>
      <c r="D16" s="1"/>
      <c r="E16" s="1"/>
      <c r="F16" s="1"/>
      <c r="G16" s="1"/>
      <c r="K16" s="54" t="s">
        <v>955</v>
      </c>
      <c r="M16" s="54" t="s">
        <v>1400</v>
      </c>
      <c r="N16" s="1" t="s">
        <v>1569</v>
      </c>
      <c r="AJ16" s="2">
        <f t="shared" si="0"/>
        <v>3</v>
      </c>
      <c r="AL16" s="2">
        <f t="shared" si="1"/>
        <v>3</v>
      </c>
    </row>
    <row r="17" spans="1:38" ht="29" x14ac:dyDescent="0.35">
      <c r="A17" s="5" t="s">
        <v>1397</v>
      </c>
      <c r="B17" s="1"/>
      <c r="C17" s="5"/>
      <c r="D17" s="1"/>
      <c r="E17" s="1"/>
      <c r="F17" s="1"/>
      <c r="G17" s="1"/>
      <c r="L17" s="54" t="s">
        <v>957</v>
      </c>
      <c r="M17" s="1" t="s">
        <v>1403</v>
      </c>
      <c r="AJ17" s="2">
        <f t="shared" si="0"/>
        <v>2</v>
      </c>
      <c r="AL17" s="2">
        <f t="shared" si="1"/>
        <v>2</v>
      </c>
    </row>
    <row r="18" spans="1:38" ht="29" x14ac:dyDescent="0.35">
      <c r="A18" s="5" t="s">
        <v>1398</v>
      </c>
      <c r="B18" s="1"/>
      <c r="C18" s="5"/>
      <c r="D18" s="1"/>
      <c r="E18" s="1"/>
      <c r="F18" s="1"/>
      <c r="G18" s="1"/>
      <c r="M18" s="54" t="s">
        <v>1399</v>
      </c>
      <c r="N18" s="53" t="s">
        <v>1568</v>
      </c>
      <c r="O18" s="54" t="s">
        <v>962</v>
      </c>
      <c r="Q18" s="53" t="s">
        <v>2087</v>
      </c>
      <c r="R18" s="53" t="s">
        <v>2088</v>
      </c>
      <c r="S18" s="1" t="s">
        <v>875</v>
      </c>
      <c r="AJ18" s="2">
        <f t="shared" si="0"/>
        <v>6</v>
      </c>
      <c r="AL18" s="2">
        <f t="shared" si="1"/>
        <v>5</v>
      </c>
    </row>
    <row r="19" spans="1:38" ht="43.5" x14ac:dyDescent="0.35">
      <c r="A19" s="5" t="s">
        <v>1710</v>
      </c>
      <c r="B19" s="1"/>
      <c r="C19" s="5"/>
      <c r="D19" s="1"/>
      <c r="E19" s="1"/>
      <c r="F19" s="1"/>
      <c r="G19" s="1"/>
      <c r="O19" s="54" t="s">
        <v>964</v>
      </c>
      <c r="Q19" s="53" t="s">
        <v>2092</v>
      </c>
      <c r="R19" s="53" t="s">
        <v>2091</v>
      </c>
      <c r="S19" s="1" t="s">
        <v>876</v>
      </c>
      <c r="AJ19" s="2">
        <f t="shared" si="0"/>
        <v>4</v>
      </c>
      <c r="AL19" s="2">
        <f t="shared" si="1"/>
        <v>3</v>
      </c>
    </row>
    <row r="20" spans="1:38" ht="43.5" x14ac:dyDescent="0.35">
      <c r="A20" s="5" t="s">
        <v>1404</v>
      </c>
      <c r="B20" s="1"/>
      <c r="C20" s="5"/>
      <c r="D20" s="1"/>
      <c r="E20" s="1"/>
      <c r="F20" s="1"/>
      <c r="G20" s="1"/>
      <c r="M20" s="54" t="s">
        <v>1405</v>
      </c>
      <c r="N20" s="53" t="s">
        <v>1573</v>
      </c>
      <c r="O20" s="1" t="s">
        <v>1714</v>
      </c>
      <c r="AJ20" s="2">
        <f t="shared" si="0"/>
        <v>3</v>
      </c>
      <c r="AL20" s="2">
        <f t="shared" si="1"/>
        <v>3</v>
      </c>
    </row>
    <row r="21" spans="1:38" ht="29" x14ac:dyDescent="0.35">
      <c r="A21" s="5" t="s">
        <v>1571</v>
      </c>
      <c r="B21" s="1"/>
      <c r="C21" s="5"/>
      <c r="D21" s="1"/>
      <c r="E21" s="1"/>
      <c r="F21" s="1"/>
      <c r="G21" s="1"/>
      <c r="N21" s="1" t="s">
        <v>1572</v>
      </c>
      <c r="O21" s="54" t="s">
        <v>959</v>
      </c>
      <c r="Q21" s="53" t="s">
        <v>2079</v>
      </c>
      <c r="R21" s="53" t="s">
        <v>2080</v>
      </c>
      <c r="S21" s="53" t="s">
        <v>1676</v>
      </c>
      <c r="T21" s="1" t="s">
        <v>995</v>
      </c>
      <c r="AJ21" s="2">
        <f t="shared" si="0"/>
        <v>6</v>
      </c>
      <c r="AL21" s="2">
        <f t="shared" si="1"/>
        <v>4</v>
      </c>
    </row>
    <row r="22" spans="1:38" ht="29" x14ac:dyDescent="0.35">
      <c r="A22" s="5" t="s">
        <v>1708</v>
      </c>
      <c r="B22" s="1"/>
      <c r="C22" s="5"/>
      <c r="D22" s="1"/>
      <c r="E22" s="1"/>
      <c r="F22" s="1"/>
      <c r="G22" s="1"/>
      <c r="O22" s="1" t="s">
        <v>960</v>
      </c>
      <c r="AJ22" s="2">
        <f t="shared" si="0"/>
        <v>1</v>
      </c>
      <c r="AL22" s="2">
        <f t="shared" si="1"/>
        <v>1</v>
      </c>
    </row>
    <row r="23" spans="1:38" ht="29" x14ac:dyDescent="0.35">
      <c r="A23" s="5" t="s">
        <v>1709</v>
      </c>
      <c r="B23" s="1"/>
      <c r="C23" s="5"/>
      <c r="D23" s="1"/>
      <c r="E23" s="1"/>
      <c r="F23" s="1"/>
      <c r="G23" s="1"/>
      <c r="O23" s="54" t="s">
        <v>963</v>
      </c>
      <c r="Q23" s="53" t="s">
        <v>1206</v>
      </c>
      <c r="R23" s="53" t="s">
        <v>2089</v>
      </c>
      <c r="S23" s="53" t="s">
        <v>1678</v>
      </c>
      <c r="T23" s="1" t="s">
        <v>998</v>
      </c>
      <c r="AJ23" s="2">
        <f t="shared" si="0"/>
        <v>5</v>
      </c>
      <c r="AL23" s="2">
        <f t="shared" si="1"/>
        <v>3</v>
      </c>
    </row>
    <row r="24" spans="1:38" ht="29" x14ac:dyDescent="0.35">
      <c r="A24" s="5" t="s">
        <v>1711</v>
      </c>
      <c r="B24" s="1"/>
      <c r="C24" s="5"/>
      <c r="D24" s="1"/>
      <c r="E24" s="1"/>
      <c r="F24" s="1"/>
      <c r="G24" s="1"/>
      <c r="O24" s="1" t="s">
        <v>969</v>
      </c>
      <c r="AJ24" s="2">
        <f t="shared" si="0"/>
        <v>1</v>
      </c>
      <c r="AL24" s="2">
        <f t="shared" si="1"/>
        <v>1</v>
      </c>
    </row>
    <row r="25" spans="1:38" ht="29" x14ac:dyDescent="0.35">
      <c r="A25" s="5" t="s">
        <v>1712</v>
      </c>
      <c r="B25" s="1"/>
      <c r="C25" s="5"/>
      <c r="D25" s="1"/>
      <c r="E25" s="1"/>
      <c r="F25" s="1"/>
      <c r="G25" s="1"/>
      <c r="O25" s="1" t="s">
        <v>970</v>
      </c>
      <c r="AJ25" s="2">
        <f t="shared" si="0"/>
        <v>1</v>
      </c>
      <c r="AL25" s="2">
        <f t="shared" si="1"/>
        <v>1</v>
      </c>
    </row>
    <row r="26" spans="1:38" ht="43.5" x14ac:dyDescent="0.35">
      <c r="A26" s="5" t="s">
        <v>2090</v>
      </c>
      <c r="B26" s="5"/>
      <c r="C26" s="5"/>
      <c r="D26" s="1"/>
      <c r="E26" s="1"/>
      <c r="F26" s="1"/>
      <c r="G26" s="1"/>
      <c r="Q26" s="53" t="s">
        <v>2081</v>
      </c>
      <c r="R26" s="53" t="s">
        <v>2084</v>
      </c>
      <c r="S26" s="1" t="s">
        <v>1677</v>
      </c>
      <c r="AJ26" s="2">
        <f t="shared" si="0"/>
        <v>3</v>
      </c>
      <c r="AL26" s="2">
        <f t="shared" si="1"/>
        <v>2</v>
      </c>
    </row>
    <row r="27" spans="1:38" ht="29" x14ac:dyDescent="0.35">
      <c r="A27" s="5" t="s">
        <v>2082</v>
      </c>
      <c r="B27" s="5"/>
      <c r="C27" s="5"/>
      <c r="D27" s="1"/>
      <c r="E27" s="1"/>
      <c r="F27" s="1"/>
      <c r="G27" s="1"/>
      <c r="Q27" s="53" t="s">
        <v>2083</v>
      </c>
      <c r="R27" s="53" t="s">
        <v>2084</v>
      </c>
      <c r="S27" s="53" t="s">
        <v>873</v>
      </c>
      <c r="T27" s="1" t="s">
        <v>996</v>
      </c>
      <c r="AJ27" s="2">
        <f t="shared" si="0"/>
        <v>4</v>
      </c>
      <c r="AL27" s="2">
        <f t="shared" si="1"/>
        <v>2</v>
      </c>
    </row>
    <row r="28" spans="1:38" ht="29" x14ac:dyDescent="0.35">
      <c r="A28" s="5" t="s">
        <v>2099</v>
      </c>
      <c r="B28" s="5"/>
      <c r="C28" s="5"/>
      <c r="D28" s="1"/>
      <c r="E28" s="1"/>
      <c r="F28" s="1"/>
      <c r="G28" s="1"/>
      <c r="Q28" s="53" t="s">
        <v>2100</v>
      </c>
      <c r="R28" s="1" t="s">
        <v>2101</v>
      </c>
      <c r="AJ28" s="2">
        <f t="shared" si="0"/>
        <v>2</v>
      </c>
      <c r="AL28" s="2">
        <f t="shared" si="1"/>
        <v>1</v>
      </c>
    </row>
    <row r="29" spans="1:38" ht="43.5" x14ac:dyDescent="0.35">
      <c r="A29" s="5" t="s">
        <v>2102</v>
      </c>
      <c r="B29" s="5"/>
      <c r="C29" s="5"/>
      <c r="D29" s="1"/>
      <c r="E29" s="1"/>
      <c r="F29" s="1"/>
      <c r="G29" s="1"/>
      <c r="Q29" s="53" t="s">
        <v>2103</v>
      </c>
      <c r="R29" s="1" t="s">
        <v>2104</v>
      </c>
      <c r="AJ29" s="2">
        <f t="shared" si="0"/>
        <v>2</v>
      </c>
      <c r="AL29" s="2">
        <f t="shared" si="1"/>
        <v>1</v>
      </c>
    </row>
    <row r="30" spans="1:38" ht="43.5" x14ac:dyDescent="0.35">
      <c r="A30" s="5" t="s">
        <v>2109</v>
      </c>
      <c r="B30" s="5"/>
      <c r="C30" s="5"/>
      <c r="D30" s="1"/>
      <c r="E30" s="1"/>
      <c r="F30" s="1"/>
      <c r="G30" s="1"/>
      <c r="Q30" s="53" t="s">
        <v>2110</v>
      </c>
      <c r="R30" s="1" t="s">
        <v>2111</v>
      </c>
      <c r="AJ30" s="2">
        <f t="shared" si="0"/>
        <v>2</v>
      </c>
      <c r="AL30" s="2">
        <f t="shared" si="1"/>
        <v>1</v>
      </c>
    </row>
    <row r="31" spans="1:38" ht="29" x14ac:dyDescent="0.35">
      <c r="A31" s="5" t="s">
        <v>2112</v>
      </c>
      <c r="B31" s="5"/>
      <c r="C31" s="5"/>
      <c r="D31" s="1"/>
      <c r="E31" s="1"/>
      <c r="F31" s="1"/>
      <c r="G31" s="1"/>
      <c r="Q31" s="53" t="s">
        <v>2113</v>
      </c>
      <c r="R31" s="1" t="s">
        <v>2114</v>
      </c>
      <c r="AJ31" s="2">
        <f t="shared" si="0"/>
        <v>2</v>
      </c>
      <c r="AL31" s="2">
        <f t="shared" si="1"/>
        <v>1</v>
      </c>
    </row>
    <row r="32" spans="1:38" ht="43.5" x14ac:dyDescent="0.35">
      <c r="A32" s="5" t="s">
        <v>2283</v>
      </c>
      <c r="B32" s="5"/>
      <c r="C32" s="5"/>
      <c r="D32" s="1"/>
      <c r="E32" s="1"/>
      <c r="F32" s="1"/>
      <c r="G32" s="1"/>
      <c r="S32" s="1" t="s">
        <v>878</v>
      </c>
      <c r="AJ32" s="2">
        <f t="shared" si="0"/>
        <v>1</v>
      </c>
      <c r="AL32" s="2">
        <f t="shared" si="1"/>
        <v>1</v>
      </c>
    </row>
    <row r="33" spans="1:38" ht="43.5" x14ac:dyDescent="0.35">
      <c r="A33" s="5" t="s">
        <v>2284</v>
      </c>
      <c r="B33" s="5"/>
      <c r="C33" s="5"/>
      <c r="D33" s="1"/>
      <c r="E33" s="1"/>
      <c r="F33" s="1"/>
      <c r="G33" s="1"/>
      <c r="S33" s="1" t="s">
        <v>879</v>
      </c>
      <c r="AJ33" s="2">
        <f t="shared" si="0"/>
        <v>1</v>
      </c>
      <c r="AL33" s="2">
        <f t="shared" si="1"/>
        <v>1</v>
      </c>
    </row>
    <row r="34" spans="1:38" ht="43.5" x14ac:dyDescent="0.35">
      <c r="A34" s="5" t="s">
        <v>2285</v>
      </c>
      <c r="B34" s="5"/>
      <c r="C34" s="5"/>
      <c r="D34" s="1"/>
      <c r="E34" s="1"/>
      <c r="F34" s="1"/>
      <c r="G34" s="1"/>
      <c r="S34" s="1" t="s">
        <v>883</v>
      </c>
      <c r="AJ34" s="2">
        <f t="shared" si="0"/>
        <v>1</v>
      </c>
      <c r="AL34" s="2">
        <f t="shared" si="1"/>
        <v>1</v>
      </c>
    </row>
    <row r="35" spans="1:38" ht="29" x14ac:dyDescent="0.35">
      <c r="A35" s="5" t="s">
        <v>2313</v>
      </c>
      <c r="B35" s="5"/>
      <c r="C35" s="5"/>
      <c r="D35" s="1"/>
      <c r="E35" s="1"/>
      <c r="F35" s="1"/>
      <c r="G35" s="1"/>
      <c r="T35" s="1" t="s">
        <v>987</v>
      </c>
      <c r="AJ35" s="2">
        <f t="shared" si="0"/>
        <v>1</v>
      </c>
      <c r="AL35" s="2">
        <f t="shared" si="1"/>
        <v>0</v>
      </c>
    </row>
    <row r="36" spans="1:38" ht="29" x14ac:dyDescent="0.35">
      <c r="A36" s="5" t="s">
        <v>2314</v>
      </c>
      <c r="B36" s="5"/>
      <c r="C36" s="5"/>
      <c r="D36" s="1"/>
      <c r="E36" s="1"/>
      <c r="F36" s="1"/>
      <c r="G36" s="1"/>
      <c r="T36" s="1" t="s">
        <v>988</v>
      </c>
      <c r="AJ36" s="2">
        <f t="shared" si="0"/>
        <v>1</v>
      </c>
      <c r="AL36" s="2">
        <f t="shared" si="1"/>
        <v>0</v>
      </c>
    </row>
    <row r="37" spans="1:38" ht="29" x14ac:dyDescent="0.35">
      <c r="A37" s="5" t="s">
        <v>2315</v>
      </c>
      <c r="B37" s="5"/>
      <c r="C37" s="5"/>
      <c r="D37" s="1"/>
      <c r="E37" s="1"/>
      <c r="F37" s="1"/>
      <c r="G37" s="1"/>
      <c r="T37" s="1" t="s">
        <v>989</v>
      </c>
      <c r="AJ37" s="2">
        <f t="shared" si="0"/>
        <v>1</v>
      </c>
      <c r="AL37" s="2">
        <f t="shared" si="1"/>
        <v>0</v>
      </c>
    </row>
    <row r="38" spans="1:38" ht="29" x14ac:dyDescent="0.35">
      <c r="A38" s="5" t="s">
        <v>2316</v>
      </c>
      <c r="B38" s="5"/>
      <c r="C38" s="5"/>
      <c r="D38" s="1"/>
      <c r="E38" s="1"/>
      <c r="F38" s="1"/>
      <c r="G38" s="1"/>
      <c r="T38" s="1" t="s">
        <v>990</v>
      </c>
      <c r="AJ38" s="2">
        <f t="shared" si="0"/>
        <v>1</v>
      </c>
      <c r="AL38" s="2">
        <f t="shared" si="1"/>
        <v>0</v>
      </c>
    </row>
    <row r="39" spans="1:38" ht="29" x14ac:dyDescent="0.35">
      <c r="A39" s="5" t="s">
        <v>2317</v>
      </c>
      <c r="B39" s="5"/>
      <c r="C39" s="5"/>
      <c r="D39" s="1"/>
      <c r="E39" s="1"/>
      <c r="F39" s="1"/>
      <c r="G39" s="1"/>
      <c r="T39" s="1" t="s">
        <v>991</v>
      </c>
      <c r="AJ39" s="2">
        <f t="shared" si="0"/>
        <v>1</v>
      </c>
      <c r="AL39" s="2">
        <f t="shared" si="1"/>
        <v>0</v>
      </c>
    </row>
    <row r="40" spans="1:38" ht="43.5" x14ac:dyDescent="0.35">
      <c r="A40" s="5" t="s">
        <v>2318</v>
      </c>
      <c r="B40" s="5"/>
      <c r="C40" s="5"/>
      <c r="D40" s="1"/>
      <c r="E40" s="1"/>
      <c r="F40" s="1"/>
      <c r="G40" s="1"/>
      <c r="T40" s="1" t="s">
        <v>992</v>
      </c>
      <c r="AJ40" s="2">
        <f t="shared" si="0"/>
        <v>1</v>
      </c>
      <c r="AL40" s="2">
        <f t="shared" si="1"/>
        <v>0</v>
      </c>
    </row>
    <row r="41" spans="1:38" ht="29" x14ac:dyDescent="0.35">
      <c r="A41" s="5" t="s">
        <v>2319</v>
      </c>
      <c r="B41" s="5"/>
      <c r="C41" s="5"/>
      <c r="D41" s="1"/>
      <c r="E41" s="1"/>
      <c r="F41" s="1"/>
      <c r="G41" s="1"/>
      <c r="T41" s="1" t="s">
        <v>993</v>
      </c>
      <c r="AJ41" s="2">
        <f t="shared" si="0"/>
        <v>1</v>
      </c>
      <c r="AL41" s="2">
        <f t="shared" si="1"/>
        <v>0</v>
      </c>
    </row>
    <row r="42" spans="1:38" ht="29" x14ac:dyDescent="0.35">
      <c r="A42" s="5" t="s">
        <v>2320</v>
      </c>
      <c r="B42" s="5"/>
      <c r="C42" s="5"/>
      <c r="D42" s="1"/>
      <c r="E42" s="1"/>
      <c r="F42" s="1"/>
      <c r="G42" s="1"/>
      <c r="T42" s="1" t="s">
        <v>994</v>
      </c>
      <c r="AJ42" s="2">
        <f t="shared" si="0"/>
        <v>1</v>
      </c>
      <c r="AL42" s="2">
        <f t="shared" si="1"/>
        <v>0</v>
      </c>
    </row>
    <row r="43" spans="1:38" ht="29" x14ac:dyDescent="0.35">
      <c r="A43" s="5" t="s">
        <v>767</v>
      </c>
      <c r="B43" s="5"/>
      <c r="C43" s="5"/>
      <c r="D43" s="1"/>
      <c r="E43" s="1"/>
      <c r="F43" s="63" t="s">
        <v>241</v>
      </c>
      <c r="G43" s="63" t="s">
        <v>500</v>
      </c>
      <c r="H43" s="63" t="s">
        <v>502</v>
      </c>
      <c r="I43" s="54" t="s">
        <v>545</v>
      </c>
      <c r="J43" s="54" t="s">
        <v>1005</v>
      </c>
      <c r="K43" s="54" t="s">
        <v>958</v>
      </c>
      <c r="M43" s="54" t="s">
        <v>1406</v>
      </c>
      <c r="N43" s="54" t="s">
        <v>1578</v>
      </c>
      <c r="O43" s="1" t="s">
        <v>1728</v>
      </c>
      <c r="AJ43" s="2">
        <f t="shared" si="0"/>
        <v>9</v>
      </c>
      <c r="AL43" s="2">
        <f t="shared" si="1"/>
        <v>9</v>
      </c>
    </row>
    <row r="44" spans="1:38" x14ac:dyDescent="0.35">
      <c r="A44" s="5" t="s">
        <v>754</v>
      </c>
      <c r="B44" s="5"/>
      <c r="C44" s="5"/>
      <c r="D44" s="1"/>
      <c r="E44" s="1"/>
      <c r="F44" s="12"/>
      <c r="G44" s="12"/>
      <c r="H44" s="12"/>
      <c r="I44" s="54" t="s">
        <v>547</v>
      </c>
      <c r="J44" s="54" t="s">
        <v>1006</v>
      </c>
      <c r="M44" s="1" t="s">
        <v>1407</v>
      </c>
      <c r="AJ44" s="2">
        <f t="shared" si="0"/>
        <v>3</v>
      </c>
      <c r="AL44" s="2">
        <f t="shared" si="1"/>
        <v>3</v>
      </c>
    </row>
    <row r="45" spans="1:38" x14ac:dyDescent="0.35">
      <c r="A45" s="5" t="s">
        <v>761</v>
      </c>
      <c r="B45" s="5"/>
      <c r="C45" s="5"/>
      <c r="D45" s="1"/>
      <c r="E45" s="1"/>
      <c r="F45" s="63" t="s">
        <v>242</v>
      </c>
      <c r="G45" s="63" t="s">
        <v>501</v>
      </c>
      <c r="H45" s="12" t="s">
        <v>504</v>
      </c>
      <c r="AJ45" s="2">
        <f t="shared" si="0"/>
        <v>3</v>
      </c>
      <c r="AL45" s="2">
        <f t="shared" si="1"/>
        <v>3</v>
      </c>
    </row>
    <row r="46" spans="1:38" x14ac:dyDescent="0.35">
      <c r="A46" s="5" t="s">
        <v>762</v>
      </c>
      <c r="B46" s="5"/>
      <c r="C46" s="5"/>
      <c r="D46" s="1"/>
      <c r="E46" s="1"/>
      <c r="F46" s="63" t="s">
        <v>243</v>
      </c>
      <c r="G46" s="63" t="s">
        <v>502</v>
      </c>
      <c r="H46" s="12" t="s">
        <v>656</v>
      </c>
      <c r="AJ46" s="2">
        <f t="shared" si="0"/>
        <v>3</v>
      </c>
      <c r="AL46" s="2">
        <f t="shared" si="1"/>
        <v>3</v>
      </c>
    </row>
    <row r="47" spans="1:38" x14ac:dyDescent="0.35">
      <c r="A47" s="5" t="s">
        <v>763</v>
      </c>
      <c r="B47" s="5"/>
      <c r="C47" s="5"/>
      <c r="D47" s="1"/>
      <c r="E47" s="1"/>
      <c r="F47" s="12"/>
      <c r="G47" s="12"/>
      <c r="H47" s="12"/>
      <c r="I47" s="54" t="s">
        <v>549</v>
      </c>
      <c r="J47" s="54" t="s">
        <v>1006</v>
      </c>
      <c r="K47" s="54" t="s">
        <v>959</v>
      </c>
      <c r="L47" s="54" t="s">
        <v>950</v>
      </c>
      <c r="M47" s="54" t="s">
        <v>1411</v>
      </c>
      <c r="N47" s="54" t="s">
        <v>1582</v>
      </c>
      <c r="O47" s="1" t="s">
        <v>1730</v>
      </c>
      <c r="AJ47" s="2">
        <f t="shared" si="0"/>
        <v>7</v>
      </c>
      <c r="AL47" s="2">
        <f t="shared" si="1"/>
        <v>7</v>
      </c>
    </row>
    <row r="48" spans="1:38" x14ac:dyDescent="0.35">
      <c r="A48" s="5" t="s">
        <v>754</v>
      </c>
      <c r="B48" s="5"/>
      <c r="C48" s="5"/>
      <c r="D48" s="1"/>
      <c r="E48" s="1"/>
      <c r="F48" s="12"/>
      <c r="G48" s="12"/>
      <c r="H48" s="12"/>
      <c r="I48" s="54" t="s">
        <v>551</v>
      </c>
      <c r="J48" s="54" t="s">
        <v>1007</v>
      </c>
      <c r="M48" s="1" t="s">
        <v>1412</v>
      </c>
      <c r="AJ48" s="2">
        <f t="shared" si="0"/>
        <v>3</v>
      </c>
      <c r="AL48" s="2">
        <f t="shared" si="1"/>
        <v>3</v>
      </c>
    </row>
    <row r="49" spans="1:38" ht="29" x14ac:dyDescent="0.35">
      <c r="A49" s="5" t="s">
        <v>764</v>
      </c>
      <c r="B49" s="5"/>
      <c r="C49" s="5"/>
      <c r="D49" s="1"/>
      <c r="E49" s="1"/>
      <c r="F49" s="12"/>
      <c r="G49" s="12"/>
      <c r="H49" s="12"/>
      <c r="I49" s="54" t="s">
        <v>552</v>
      </c>
      <c r="J49" s="54" t="s">
        <v>1008</v>
      </c>
      <c r="K49" s="54" t="s">
        <v>960</v>
      </c>
      <c r="L49" s="54" t="s">
        <v>951</v>
      </c>
      <c r="M49" s="54" t="s">
        <v>1419</v>
      </c>
      <c r="N49" s="54" t="s">
        <v>1584</v>
      </c>
      <c r="O49" s="1" t="s">
        <v>1732</v>
      </c>
      <c r="AJ49" s="2">
        <f t="shared" si="0"/>
        <v>7</v>
      </c>
      <c r="AL49" s="2">
        <f t="shared" si="1"/>
        <v>7</v>
      </c>
    </row>
    <row r="50" spans="1:38" x14ac:dyDescent="0.35">
      <c r="A50" s="5" t="s">
        <v>754</v>
      </c>
      <c r="B50" s="5"/>
      <c r="C50" s="5"/>
      <c r="D50" s="1"/>
      <c r="E50" s="1"/>
      <c r="F50" s="12"/>
      <c r="G50" s="12"/>
      <c r="H50" s="12"/>
      <c r="I50" s="54" t="s">
        <v>553</v>
      </c>
      <c r="J50" s="54" t="s">
        <v>1009</v>
      </c>
      <c r="M50" s="1" t="s">
        <v>1420</v>
      </c>
      <c r="AJ50" s="2">
        <f t="shared" si="0"/>
        <v>3</v>
      </c>
      <c r="AL50" s="2">
        <f t="shared" si="1"/>
        <v>3</v>
      </c>
    </row>
    <row r="51" spans="1:38" x14ac:dyDescent="0.35">
      <c r="A51" s="5" t="s">
        <v>765</v>
      </c>
      <c r="B51" s="5"/>
      <c r="C51" s="5"/>
      <c r="D51" s="1"/>
      <c r="E51" s="1"/>
      <c r="F51" s="12"/>
      <c r="G51" s="12"/>
      <c r="H51" s="12"/>
      <c r="I51" s="54" t="s">
        <v>293</v>
      </c>
      <c r="J51" s="54" t="s">
        <v>1010</v>
      </c>
      <c r="K51" s="54" t="s">
        <v>961</v>
      </c>
      <c r="M51" s="54" t="s">
        <v>1424</v>
      </c>
      <c r="N51" s="54" t="s">
        <v>1587</v>
      </c>
      <c r="O51" s="1" t="s">
        <v>1734</v>
      </c>
      <c r="AJ51" s="2">
        <f t="shared" si="0"/>
        <v>6</v>
      </c>
      <c r="AL51" s="2">
        <f t="shared" si="1"/>
        <v>6</v>
      </c>
    </row>
    <row r="52" spans="1:38" x14ac:dyDescent="0.35">
      <c r="A52" s="5" t="s">
        <v>754</v>
      </c>
      <c r="B52" s="5"/>
      <c r="C52" s="5"/>
      <c r="D52" s="1"/>
      <c r="E52" s="1"/>
      <c r="F52" s="12"/>
      <c r="G52" s="12"/>
      <c r="H52" s="12"/>
      <c r="I52" s="54" t="s">
        <v>295</v>
      </c>
      <c r="J52" s="54" t="s">
        <v>1011</v>
      </c>
      <c r="M52" s="1" t="s">
        <v>1425</v>
      </c>
      <c r="AJ52" s="2">
        <f t="shared" si="0"/>
        <v>3</v>
      </c>
      <c r="AL52" s="2">
        <f t="shared" si="1"/>
        <v>3</v>
      </c>
    </row>
    <row r="53" spans="1:38" x14ac:dyDescent="0.35">
      <c r="A53" s="5" t="s">
        <v>766</v>
      </c>
      <c r="B53" s="5"/>
      <c r="C53" s="5"/>
      <c r="D53" s="1"/>
      <c r="E53" s="1"/>
      <c r="F53" s="12"/>
      <c r="G53" s="12"/>
      <c r="H53" s="12"/>
      <c r="I53" s="54" t="s">
        <v>296</v>
      </c>
      <c r="J53" s="54" t="s">
        <v>1012</v>
      </c>
      <c r="K53" s="54" t="s">
        <v>962</v>
      </c>
      <c r="L53" s="54" t="s">
        <v>953</v>
      </c>
      <c r="M53" s="1" t="s">
        <v>1428</v>
      </c>
      <c r="AJ53" s="2">
        <f t="shared" si="0"/>
        <v>5</v>
      </c>
      <c r="AL53" s="2">
        <f t="shared" si="1"/>
        <v>5</v>
      </c>
    </row>
    <row r="54" spans="1:38" x14ac:dyDescent="0.35">
      <c r="A54" s="5" t="s">
        <v>754</v>
      </c>
      <c r="B54" s="5"/>
      <c r="C54" s="5"/>
      <c r="D54" s="1"/>
      <c r="E54" s="1"/>
      <c r="F54" s="12"/>
      <c r="G54" s="12"/>
      <c r="H54" s="12"/>
      <c r="I54" s="54" t="s">
        <v>298</v>
      </c>
      <c r="J54" s="54" t="s">
        <v>1013</v>
      </c>
      <c r="M54" s="1" t="s">
        <v>1429</v>
      </c>
      <c r="AJ54" s="2">
        <f t="shared" si="0"/>
        <v>3</v>
      </c>
      <c r="AL54" s="2">
        <f t="shared" si="1"/>
        <v>3</v>
      </c>
    </row>
    <row r="55" spans="1:38" x14ac:dyDescent="0.35">
      <c r="A55" s="5" t="s">
        <v>1242</v>
      </c>
      <c r="B55" s="5"/>
      <c r="C55" s="5"/>
      <c r="D55" s="1"/>
      <c r="E55" s="1"/>
      <c r="F55" s="12"/>
      <c r="G55" s="12"/>
      <c r="H55" s="12"/>
      <c r="L55" s="54" t="s">
        <v>952</v>
      </c>
      <c r="M55" s="54" t="s">
        <v>1426</v>
      </c>
      <c r="N55" s="54" t="s">
        <v>1588</v>
      </c>
      <c r="O55" s="1" t="s">
        <v>1735</v>
      </c>
      <c r="AJ55" s="2">
        <f t="shared" si="0"/>
        <v>4</v>
      </c>
      <c r="AL55" s="2">
        <f t="shared" si="1"/>
        <v>4</v>
      </c>
    </row>
    <row r="56" spans="1:38" x14ac:dyDescent="0.35">
      <c r="A56" s="5" t="s">
        <v>754</v>
      </c>
      <c r="B56" s="5"/>
      <c r="C56" s="5"/>
      <c r="D56" s="1"/>
      <c r="E56" s="1"/>
      <c r="F56" s="12"/>
      <c r="G56" s="12"/>
      <c r="H56" s="12"/>
      <c r="M56" s="1" t="s">
        <v>1427</v>
      </c>
      <c r="AJ56" s="2">
        <f t="shared" si="0"/>
        <v>1</v>
      </c>
      <c r="AL56" s="2">
        <f t="shared" si="1"/>
        <v>1</v>
      </c>
    </row>
    <row r="57" spans="1:38" x14ac:dyDescent="0.35">
      <c r="A57" s="5" t="s">
        <v>1409</v>
      </c>
      <c r="B57" s="5"/>
      <c r="C57" s="5"/>
      <c r="D57" s="1"/>
      <c r="E57" s="1"/>
      <c r="F57" s="12"/>
      <c r="G57" s="12"/>
      <c r="H57" s="12"/>
      <c r="M57" s="54" t="s">
        <v>1408</v>
      </c>
      <c r="N57" s="1" t="s">
        <v>1585</v>
      </c>
      <c r="AJ57" s="2">
        <f t="shared" si="0"/>
        <v>2</v>
      </c>
      <c r="AL57" s="2">
        <f t="shared" si="1"/>
        <v>2</v>
      </c>
    </row>
    <row r="58" spans="1:38" x14ac:dyDescent="0.35">
      <c r="A58" s="5" t="s">
        <v>754</v>
      </c>
      <c r="B58" s="5"/>
      <c r="C58" s="5"/>
      <c r="D58" s="1"/>
      <c r="E58" s="1"/>
      <c r="F58" s="12"/>
      <c r="G58" s="12"/>
      <c r="H58" s="12"/>
      <c r="M58" s="1" t="s">
        <v>1410</v>
      </c>
      <c r="AJ58" s="2">
        <f t="shared" si="0"/>
        <v>1</v>
      </c>
      <c r="AL58" s="2">
        <f t="shared" si="1"/>
        <v>1</v>
      </c>
    </row>
    <row r="59" spans="1:38" x14ac:dyDescent="0.35">
      <c r="A59" s="5" t="s">
        <v>1413</v>
      </c>
      <c r="B59" s="5"/>
      <c r="C59" s="5"/>
      <c r="D59" s="1"/>
      <c r="E59" s="1"/>
      <c r="F59" s="12"/>
      <c r="G59" s="12"/>
      <c r="H59" s="12"/>
      <c r="M59" s="1" t="s">
        <v>1414</v>
      </c>
      <c r="AJ59" s="2">
        <f t="shared" si="0"/>
        <v>1</v>
      </c>
      <c r="AL59" s="2">
        <f t="shared" si="1"/>
        <v>1</v>
      </c>
    </row>
    <row r="60" spans="1:38" x14ac:dyDescent="0.35">
      <c r="A60" s="5" t="s">
        <v>754</v>
      </c>
      <c r="B60" s="5"/>
      <c r="C60" s="5"/>
      <c r="D60" s="1"/>
      <c r="E60" s="1"/>
      <c r="F60" s="12"/>
      <c r="G60" s="12"/>
      <c r="H60" s="12"/>
      <c r="M60" s="1" t="s">
        <v>1415</v>
      </c>
      <c r="AJ60" s="2">
        <f t="shared" si="0"/>
        <v>1</v>
      </c>
      <c r="AL60" s="2">
        <f t="shared" si="1"/>
        <v>1</v>
      </c>
    </row>
    <row r="61" spans="1:38" x14ac:dyDescent="0.35">
      <c r="A61" s="5" t="s">
        <v>1416</v>
      </c>
      <c r="B61" s="5"/>
      <c r="C61" s="5"/>
      <c r="D61" s="1"/>
      <c r="E61" s="1"/>
      <c r="F61" s="12"/>
      <c r="G61" s="12"/>
      <c r="H61" s="12"/>
      <c r="M61" s="54" t="s">
        <v>1417</v>
      </c>
      <c r="N61" s="54" t="s">
        <v>1583</v>
      </c>
      <c r="O61" s="1" t="s">
        <v>1731</v>
      </c>
      <c r="AJ61" s="2">
        <f t="shared" si="0"/>
        <v>3</v>
      </c>
      <c r="AL61" s="2">
        <f t="shared" si="1"/>
        <v>3</v>
      </c>
    </row>
    <row r="62" spans="1:38" x14ac:dyDescent="0.35">
      <c r="A62" s="5" t="s">
        <v>754</v>
      </c>
      <c r="B62" s="5"/>
      <c r="C62" s="5"/>
      <c r="D62" s="1"/>
      <c r="E62" s="1"/>
      <c r="F62" s="12"/>
      <c r="G62" s="12"/>
      <c r="H62" s="12"/>
      <c r="M62" s="1" t="s">
        <v>1418</v>
      </c>
      <c r="AJ62" s="2">
        <f t="shared" si="0"/>
        <v>1</v>
      </c>
      <c r="AL62" s="2">
        <f t="shared" si="1"/>
        <v>1</v>
      </c>
    </row>
    <row r="63" spans="1:38" x14ac:dyDescent="0.35">
      <c r="A63" s="5" t="s">
        <v>1421</v>
      </c>
      <c r="B63" s="5"/>
      <c r="C63" s="5"/>
      <c r="D63" s="1"/>
      <c r="E63" s="1"/>
      <c r="F63" s="12"/>
      <c r="G63" s="12"/>
      <c r="H63" s="12"/>
      <c r="M63" s="54" t="s">
        <v>1422</v>
      </c>
      <c r="N63" s="54" t="s">
        <v>1586</v>
      </c>
      <c r="O63" s="1" t="s">
        <v>1733</v>
      </c>
      <c r="AJ63" s="2">
        <f t="shared" si="0"/>
        <v>3</v>
      </c>
      <c r="AL63" s="2">
        <f t="shared" si="1"/>
        <v>3</v>
      </c>
    </row>
    <row r="64" spans="1:38" x14ac:dyDescent="0.35">
      <c r="A64" s="5" t="s">
        <v>754</v>
      </c>
      <c r="B64" s="5"/>
      <c r="C64" s="5"/>
      <c r="D64" s="1"/>
      <c r="E64" s="1"/>
      <c r="F64" s="12"/>
      <c r="G64" s="12"/>
      <c r="H64" s="12"/>
      <c r="M64" s="1" t="s">
        <v>1423</v>
      </c>
      <c r="AJ64" s="2">
        <f t="shared" si="0"/>
        <v>1</v>
      </c>
      <c r="AL64" s="2">
        <f t="shared" si="1"/>
        <v>1</v>
      </c>
    </row>
    <row r="65" spans="1:38" x14ac:dyDescent="0.35">
      <c r="A65" s="5" t="s">
        <v>1579</v>
      </c>
      <c r="B65" s="5"/>
      <c r="C65" s="5"/>
      <c r="D65" s="1"/>
      <c r="E65" s="1"/>
      <c r="F65" s="12"/>
      <c r="G65" s="12"/>
      <c r="H65" s="12"/>
      <c r="M65" s="1" t="s">
        <v>1430</v>
      </c>
      <c r="AJ65" s="2">
        <f t="shared" si="0"/>
        <v>1</v>
      </c>
      <c r="AL65" s="2">
        <f t="shared" si="1"/>
        <v>1</v>
      </c>
    </row>
    <row r="66" spans="1:38" x14ac:dyDescent="0.35">
      <c r="A66" s="5" t="s">
        <v>754</v>
      </c>
      <c r="B66" s="5"/>
      <c r="C66" s="5"/>
      <c r="D66" s="1"/>
      <c r="E66" s="1"/>
      <c r="F66" s="12"/>
      <c r="G66" s="12"/>
      <c r="H66" s="12"/>
      <c r="M66" s="1" t="s">
        <v>1431</v>
      </c>
      <c r="AJ66" s="2">
        <f t="shared" si="0"/>
        <v>1</v>
      </c>
      <c r="AL66" s="2">
        <f t="shared" si="1"/>
        <v>1</v>
      </c>
    </row>
    <row r="67" spans="1:38" x14ac:dyDescent="0.35">
      <c r="A67" s="5" t="s">
        <v>1580</v>
      </c>
      <c r="B67" s="5"/>
      <c r="C67" s="5"/>
      <c r="D67" s="1"/>
      <c r="E67" s="1"/>
      <c r="F67" s="1"/>
      <c r="G67" s="1"/>
      <c r="N67" s="54" t="s">
        <v>1581</v>
      </c>
      <c r="O67" s="1" t="s">
        <v>1729</v>
      </c>
      <c r="AJ67" s="2">
        <f t="shared" ref="AJ67:AJ130" si="2">COUNTA(B67:AH67)</f>
        <v>2</v>
      </c>
      <c r="AL67" s="2">
        <f t="shared" ref="AL67:AL130" si="3">COUNTA(F67:O67,R67:S67)</f>
        <v>2</v>
      </c>
    </row>
    <row r="68" spans="1:38" ht="43.5" x14ac:dyDescent="0.35">
      <c r="A68" s="5" t="s">
        <v>2252</v>
      </c>
      <c r="B68" s="5"/>
      <c r="C68" s="5"/>
      <c r="D68" s="1"/>
      <c r="E68" s="1"/>
      <c r="F68" s="1"/>
      <c r="G68" s="1"/>
      <c r="S68" s="53" t="s">
        <v>63</v>
      </c>
      <c r="U68" s="1" t="s">
        <v>935</v>
      </c>
      <c r="AJ68" s="2">
        <f t="shared" si="2"/>
        <v>2</v>
      </c>
      <c r="AL68" s="2">
        <f t="shared" si="3"/>
        <v>1</v>
      </c>
    </row>
    <row r="69" spans="1:38" ht="43.5" x14ac:dyDescent="0.35">
      <c r="A69" s="5" t="s">
        <v>2253</v>
      </c>
      <c r="B69" s="5"/>
      <c r="C69" s="5"/>
      <c r="D69" s="1"/>
      <c r="E69" s="1"/>
      <c r="F69" s="1"/>
      <c r="G69" s="1"/>
      <c r="S69" s="53" t="s">
        <v>64</v>
      </c>
      <c r="U69" s="53" t="s">
        <v>932</v>
      </c>
      <c r="AE69" s="1" t="s">
        <v>17</v>
      </c>
      <c r="AJ69" s="2">
        <f t="shared" si="2"/>
        <v>3</v>
      </c>
      <c r="AL69" s="2">
        <f t="shared" si="3"/>
        <v>1</v>
      </c>
    </row>
    <row r="70" spans="1:38" ht="43.5" x14ac:dyDescent="0.35">
      <c r="A70" s="5" t="s">
        <v>2254</v>
      </c>
      <c r="B70" s="5"/>
      <c r="C70" s="5"/>
      <c r="D70" s="1"/>
      <c r="E70" s="1"/>
      <c r="F70" s="1"/>
      <c r="G70" s="1"/>
      <c r="S70" s="53" t="s">
        <v>444</v>
      </c>
      <c r="U70" s="53" t="s">
        <v>933</v>
      </c>
      <c r="AE70" s="1" t="s">
        <v>192</v>
      </c>
      <c r="AJ70" s="2">
        <f t="shared" si="2"/>
        <v>3</v>
      </c>
      <c r="AL70" s="2">
        <f t="shared" si="3"/>
        <v>1</v>
      </c>
    </row>
    <row r="71" spans="1:38" ht="43.5" x14ac:dyDescent="0.35">
      <c r="A71" s="5" t="s">
        <v>2255</v>
      </c>
      <c r="B71" s="1"/>
      <c r="C71" s="5"/>
      <c r="D71" s="1"/>
      <c r="E71" s="1"/>
      <c r="F71" s="1"/>
      <c r="G71" s="1"/>
      <c r="S71" s="53" t="s">
        <v>82</v>
      </c>
      <c r="U71" s="53" t="s">
        <v>936</v>
      </c>
      <c r="AE71" s="1" t="s">
        <v>194</v>
      </c>
      <c r="AJ71" s="2">
        <f t="shared" si="2"/>
        <v>3</v>
      </c>
      <c r="AL71" s="2">
        <f t="shared" si="3"/>
        <v>1</v>
      </c>
    </row>
    <row r="72" spans="1:38" ht="43.5" x14ac:dyDescent="0.35">
      <c r="A72" s="5" t="s">
        <v>2256</v>
      </c>
      <c r="B72" s="1"/>
      <c r="C72" s="5"/>
      <c r="D72" s="1"/>
      <c r="E72" s="1"/>
      <c r="F72" s="1"/>
      <c r="G72" s="1"/>
      <c r="S72" s="53" t="s">
        <v>110</v>
      </c>
      <c r="U72" s="53" t="s">
        <v>1170</v>
      </c>
      <c r="AE72" s="1" t="s">
        <v>44</v>
      </c>
      <c r="AJ72" s="2">
        <f t="shared" si="2"/>
        <v>3</v>
      </c>
      <c r="AL72" s="2">
        <f t="shared" si="3"/>
        <v>1</v>
      </c>
    </row>
    <row r="73" spans="1:38" ht="43.5" x14ac:dyDescent="0.35">
      <c r="A73" s="5" t="s">
        <v>2257</v>
      </c>
      <c r="B73" s="1"/>
      <c r="C73" s="5"/>
      <c r="D73" s="1"/>
      <c r="E73" s="1"/>
      <c r="F73" s="1"/>
      <c r="G73" s="1"/>
      <c r="S73" s="53" t="s">
        <v>649</v>
      </c>
      <c r="U73" s="1" t="s">
        <v>937</v>
      </c>
      <c r="AJ73" s="2">
        <f t="shared" si="2"/>
        <v>2</v>
      </c>
      <c r="AL73" s="2">
        <f t="shared" si="3"/>
        <v>1</v>
      </c>
    </row>
    <row r="74" spans="1:38" ht="43.5" x14ac:dyDescent="0.35">
      <c r="A74" s="5" t="s">
        <v>2258</v>
      </c>
      <c r="B74" s="1"/>
      <c r="C74" s="5"/>
      <c r="D74" s="1"/>
      <c r="E74" s="1"/>
      <c r="F74" s="1"/>
      <c r="G74" s="1"/>
      <c r="S74" s="53" t="s">
        <v>222</v>
      </c>
      <c r="U74" s="1" t="s">
        <v>938</v>
      </c>
      <c r="AJ74" s="2">
        <f t="shared" si="2"/>
        <v>2</v>
      </c>
      <c r="AL74" s="2">
        <f t="shared" si="3"/>
        <v>1</v>
      </c>
    </row>
    <row r="75" spans="1:38" ht="43.5" x14ac:dyDescent="0.35">
      <c r="A75" s="5" t="s">
        <v>2259</v>
      </c>
      <c r="B75" s="1"/>
      <c r="C75" s="5"/>
      <c r="D75" s="1"/>
      <c r="E75" s="1"/>
      <c r="F75" s="1"/>
      <c r="G75" s="1"/>
      <c r="S75" s="53" t="s">
        <v>224</v>
      </c>
      <c r="U75" s="53" t="s">
        <v>940</v>
      </c>
      <c r="AE75" s="1" t="s">
        <v>33</v>
      </c>
      <c r="AJ75" s="2">
        <f t="shared" si="2"/>
        <v>3</v>
      </c>
      <c r="AL75" s="2">
        <f t="shared" si="3"/>
        <v>1</v>
      </c>
    </row>
    <row r="76" spans="1:38" ht="43.5" x14ac:dyDescent="0.35">
      <c r="A76" s="5" t="s">
        <v>2260</v>
      </c>
      <c r="B76" s="1"/>
      <c r="C76" s="5"/>
      <c r="D76" s="1"/>
      <c r="E76" s="1"/>
      <c r="F76" s="1"/>
      <c r="G76" s="1"/>
      <c r="S76" s="1" t="s">
        <v>226</v>
      </c>
      <c r="AJ76" s="2">
        <f t="shared" si="2"/>
        <v>1</v>
      </c>
      <c r="AL76" s="2">
        <f t="shared" si="3"/>
        <v>1</v>
      </c>
    </row>
    <row r="77" spans="1:38" x14ac:dyDescent="0.35">
      <c r="A77" s="5" t="s">
        <v>2261</v>
      </c>
      <c r="B77" s="1"/>
      <c r="C77" s="5"/>
      <c r="D77" s="1"/>
      <c r="E77" s="1"/>
      <c r="F77" s="1"/>
      <c r="G77" s="1"/>
      <c r="S77" s="53" t="s">
        <v>230</v>
      </c>
      <c r="U77" s="53" t="s">
        <v>950</v>
      </c>
      <c r="AE77" s="1" t="s">
        <v>243</v>
      </c>
      <c r="AJ77" s="2">
        <f t="shared" si="2"/>
        <v>3</v>
      </c>
      <c r="AL77" s="2">
        <f t="shared" si="3"/>
        <v>1</v>
      </c>
    </row>
    <row r="78" spans="1:38" x14ac:dyDescent="0.35">
      <c r="A78" s="5" t="s">
        <v>2262</v>
      </c>
      <c r="B78" s="1"/>
      <c r="C78" s="5"/>
      <c r="D78" s="1"/>
      <c r="E78" s="1"/>
      <c r="F78" s="1"/>
      <c r="G78" s="1"/>
      <c r="S78" s="53" t="s">
        <v>232</v>
      </c>
      <c r="U78" s="53" t="s">
        <v>943</v>
      </c>
      <c r="AE78" s="1" t="s">
        <v>242</v>
      </c>
      <c r="AJ78" s="2">
        <f t="shared" si="2"/>
        <v>3</v>
      </c>
      <c r="AL78" s="2">
        <f t="shared" si="3"/>
        <v>1</v>
      </c>
    </row>
    <row r="79" spans="1:38" x14ac:dyDescent="0.35">
      <c r="A79" s="5" t="s">
        <v>2263</v>
      </c>
      <c r="B79" s="1"/>
      <c r="C79" s="5"/>
      <c r="D79" s="1"/>
      <c r="E79" s="1"/>
      <c r="F79" s="1"/>
      <c r="G79" s="1"/>
      <c r="S79" s="53" t="s">
        <v>234</v>
      </c>
      <c r="U79" s="53" t="s">
        <v>944</v>
      </c>
      <c r="AE79" s="1" t="s">
        <v>104</v>
      </c>
      <c r="AJ79" s="2">
        <f t="shared" si="2"/>
        <v>3</v>
      </c>
      <c r="AL79" s="2">
        <f t="shared" si="3"/>
        <v>1</v>
      </c>
    </row>
    <row r="80" spans="1:38" ht="29" x14ac:dyDescent="0.35">
      <c r="A80" s="5" t="s">
        <v>2264</v>
      </c>
      <c r="B80" s="5"/>
      <c r="C80" s="5"/>
      <c r="D80" s="1"/>
      <c r="E80" s="1"/>
      <c r="F80" s="1"/>
      <c r="G80" s="1"/>
      <c r="S80" s="53" t="s">
        <v>238</v>
      </c>
      <c r="U80" s="53" t="s">
        <v>946</v>
      </c>
      <c r="AE80" s="1" t="s">
        <v>490</v>
      </c>
      <c r="AJ80" s="2">
        <f t="shared" si="2"/>
        <v>3</v>
      </c>
      <c r="AL80" s="2">
        <f t="shared" si="3"/>
        <v>1</v>
      </c>
    </row>
    <row r="81" spans="1:38" ht="29" x14ac:dyDescent="0.35">
      <c r="A81" s="5" t="s">
        <v>2265</v>
      </c>
      <c r="B81" s="1"/>
      <c r="C81" s="5"/>
      <c r="D81" s="1"/>
      <c r="E81" s="1"/>
      <c r="F81" s="1"/>
      <c r="G81" s="1"/>
      <c r="S81" s="53" t="s">
        <v>239</v>
      </c>
      <c r="U81" s="53" t="s">
        <v>948</v>
      </c>
      <c r="AE81" s="1" t="s">
        <v>2301</v>
      </c>
      <c r="AJ81" s="2">
        <f t="shared" si="2"/>
        <v>3</v>
      </c>
      <c r="AL81" s="2">
        <f t="shared" si="3"/>
        <v>1</v>
      </c>
    </row>
    <row r="82" spans="1:38" ht="29" x14ac:dyDescent="0.35">
      <c r="A82" s="5" t="s">
        <v>2266</v>
      </c>
      <c r="B82" s="1"/>
      <c r="C82" s="5"/>
      <c r="D82" s="1"/>
      <c r="E82" s="1"/>
      <c r="F82" s="1"/>
      <c r="G82" s="1"/>
      <c r="S82" s="53" t="s">
        <v>240</v>
      </c>
      <c r="U82" s="53" t="s">
        <v>951</v>
      </c>
      <c r="AE82" s="1" t="s">
        <v>1964</v>
      </c>
      <c r="AJ82" s="2">
        <f t="shared" si="2"/>
        <v>3</v>
      </c>
      <c r="AL82" s="2">
        <f t="shared" si="3"/>
        <v>1</v>
      </c>
    </row>
    <row r="83" spans="1:38" ht="29" x14ac:dyDescent="0.35">
      <c r="A83" s="5" t="s">
        <v>2267</v>
      </c>
      <c r="B83" s="1"/>
      <c r="C83" s="5"/>
      <c r="D83" s="1"/>
      <c r="E83" s="1"/>
      <c r="F83" s="1"/>
      <c r="G83" s="1"/>
      <c r="S83" s="53" t="s">
        <v>96</v>
      </c>
      <c r="U83" s="1" t="s">
        <v>952</v>
      </c>
      <c r="AJ83" s="2">
        <f t="shared" si="2"/>
        <v>2</v>
      </c>
      <c r="AL83" s="2">
        <f t="shared" si="3"/>
        <v>1</v>
      </c>
    </row>
    <row r="84" spans="1:38" ht="29" x14ac:dyDescent="0.35">
      <c r="A84" s="5" t="s">
        <v>2268</v>
      </c>
      <c r="B84" s="1"/>
      <c r="C84" s="5"/>
      <c r="D84" s="1"/>
      <c r="E84" s="1"/>
      <c r="F84" s="1"/>
      <c r="G84" s="1"/>
      <c r="S84" s="53" t="s">
        <v>97</v>
      </c>
      <c r="U84" s="53" t="s">
        <v>953</v>
      </c>
      <c r="AE84" s="1" t="s">
        <v>1966</v>
      </c>
      <c r="AJ84" s="2">
        <f t="shared" si="2"/>
        <v>3</v>
      </c>
      <c r="AL84" s="2">
        <f t="shared" si="3"/>
        <v>1</v>
      </c>
    </row>
    <row r="85" spans="1:38" ht="29" x14ac:dyDescent="0.35">
      <c r="A85" s="5" t="s">
        <v>2269</v>
      </c>
      <c r="B85" s="1"/>
      <c r="C85" s="5"/>
      <c r="D85" s="1"/>
      <c r="E85" s="1"/>
      <c r="F85" s="1"/>
      <c r="G85" s="1"/>
      <c r="S85" s="53" t="s">
        <v>58</v>
      </c>
      <c r="U85" s="53" t="s">
        <v>954</v>
      </c>
      <c r="AE85" s="1" t="s">
        <v>971</v>
      </c>
      <c r="AJ85" s="2">
        <f t="shared" si="2"/>
        <v>3</v>
      </c>
      <c r="AL85" s="2">
        <f t="shared" si="3"/>
        <v>1</v>
      </c>
    </row>
    <row r="86" spans="1:38" ht="29" x14ac:dyDescent="0.35">
      <c r="A86" s="5" t="s">
        <v>2270</v>
      </c>
      <c r="B86" s="1"/>
      <c r="C86" s="5"/>
      <c r="D86" s="1"/>
      <c r="E86" s="1"/>
      <c r="F86" s="1"/>
      <c r="G86" s="1"/>
      <c r="S86" s="53" t="s">
        <v>98</v>
      </c>
      <c r="U86" s="1" t="s">
        <v>955</v>
      </c>
      <c r="AJ86" s="2">
        <f t="shared" si="2"/>
        <v>2</v>
      </c>
      <c r="AL86" s="2">
        <f t="shared" si="3"/>
        <v>1</v>
      </c>
    </row>
    <row r="87" spans="1:38" x14ac:dyDescent="0.35">
      <c r="A87" s="5" t="s">
        <v>2271</v>
      </c>
      <c r="B87" s="1"/>
      <c r="C87" s="5"/>
      <c r="D87" s="1"/>
      <c r="E87" s="1"/>
      <c r="F87" s="1"/>
      <c r="G87" s="1"/>
      <c r="S87" s="1" t="s">
        <v>99</v>
      </c>
      <c r="AJ87" s="2">
        <f t="shared" si="2"/>
        <v>1</v>
      </c>
      <c r="AL87" s="2">
        <f t="shared" si="3"/>
        <v>1</v>
      </c>
    </row>
    <row r="88" spans="1:38" x14ac:dyDescent="0.35">
      <c r="A88" s="5" t="s">
        <v>2272</v>
      </c>
      <c r="B88" s="1"/>
      <c r="C88" s="5"/>
      <c r="D88" s="1"/>
      <c r="E88" s="1"/>
      <c r="F88" s="1"/>
      <c r="G88" s="1"/>
      <c r="S88" s="53" t="s">
        <v>101</v>
      </c>
      <c r="U88" s="53" t="s">
        <v>961</v>
      </c>
      <c r="AE88" s="1" t="s">
        <v>232</v>
      </c>
      <c r="AJ88" s="2">
        <f t="shared" si="2"/>
        <v>3</v>
      </c>
      <c r="AL88" s="2">
        <f t="shared" si="3"/>
        <v>1</v>
      </c>
    </row>
    <row r="89" spans="1:38" x14ac:dyDescent="0.35">
      <c r="A89" s="5" t="s">
        <v>2273</v>
      </c>
      <c r="B89" s="1"/>
      <c r="C89" s="5"/>
      <c r="D89" s="1"/>
      <c r="E89" s="1"/>
      <c r="F89" s="1"/>
      <c r="G89" s="1"/>
      <c r="S89" s="53" t="s">
        <v>241</v>
      </c>
      <c r="U89" s="53" t="s">
        <v>957</v>
      </c>
      <c r="AE89" s="1" t="s">
        <v>230</v>
      </c>
      <c r="AJ89" s="2">
        <f t="shared" si="2"/>
        <v>3</v>
      </c>
      <c r="AL89" s="2">
        <f t="shared" si="3"/>
        <v>1</v>
      </c>
    </row>
    <row r="90" spans="1:38" x14ac:dyDescent="0.35">
      <c r="A90" s="5" t="s">
        <v>2274</v>
      </c>
      <c r="B90" s="1"/>
      <c r="C90" s="5"/>
      <c r="D90" s="1"/>
      <c r="E90" s="1"/>
      <c r="F90" s="1"/>
      <c r="G90" s="1"/>
      <c r="S90" s="53" t="s">
        <v>242</v>
      </c>
      <c r="U90" s="53" t="s">
        <v>958</v>
      </c>
      <c r="AE90" s="1" t="s">
        <v>234</v>
      </c>
      <c r="AJ90" s="2">
        <f t="shared" si="2"/>
        <v>3</v>
      </c>
      <c r="AL90" s="2">
        <f t="shared" si="3"/>
        <v>1</v>
      </c>
    </row>
    <row r="91" spans="1:38" ht="29" x14ac:dyDescent="0.35">
      <c r="A91" s="5" t="s">
        <v>2275</v>
      </c>
      <c r="B91" s="1"/>
      <c r="C91" s="5"/>
      <c r="D91" s="1"/>
      <c r="E91" s="1"/>
      <c r="F91" s="1"/>
      <c r="G91" s="1"/>
      <c r="S91" s="53" t="s">
        <v>243</v>
      </c>
      <c r="U91" s="53" t="s">
        <v>959</v>
      </c>
      <c r="AE91" s="1" t="s">
        <v>238</v>
      </c>
      <c r="AJ91" s="2">
        <f t="shared" si="2"/>
        <v>3</v>
      </c>
      <c r="AL91" s="2">
        <f t="shared" si="3"/>
        <v>1</v>
      </c>
    </row>
    <row r="92" spans="1:38" ht="29" x14ac:dyDescent="0.35">
      <c r="A92" s="5" t="s">
        <v>2276</v>
      </c>
      <c r="B92" s="1"/>
      <c r="C92" s="5"/>
      <c r="D92" s="1"/>
      <c r="E92" s="1"/>
      <c r="F92" s="1"/>
      <c r="G92" s="1"/>
      <c r="S92" s="53" t="s">
        <v>104</v>
      </c>
      <c r="U92" s="53" t="s">
        <v>960</v>
      </c>
      <c r="AE92" s="1" t="s">
        <v>240</v>
      </c>
      <c r="AJ92" s="2">
        <f t="shared" si="2"/>
        <v>3</v>
      </c>
      <c r="AL92" s="2">
        <f t="shared" si="3"/>
        <v>1</v>
      </c>
    </row>
    <row r="93" spans="1:38" ht="29" x14ac:dyDescent="0.35">
      <c r="A93" s="5" t="s">
        <v>2277</v>
      </c>
      <c r="B93" s="1"/>
      <c r="C93" s="5"/>
      <c r="D93" s="1"/>
      <c r="E93" s="1"/>
      <c r="F93" s="1"/>
      <c r="G93" s="1"/>
      <c r="S93" s="53" t="s">
        <v>490</v>
      </c>
      <c r="U93" s="53" t="s">
        <v>962</v>
      </c>
      <c r="AE93" s="1" t="s">
        <v>239</v>
      </c>
      <c r="AJ93" s="2">
        <f t="shared" si="2"/>
        <v>3</v>
      </c>
      <c r="AL93" s="2">
        <f t="shared" si="3"/>
        <v>1</v>
      </c>
    </row>
    <row r="94" spans="1:38" ht="29" x14ac:dyDescent="0.35">
      <c r="A94" s="5" t="s">
        <v>2278</v>
      </c>
      <c r="B94" s="1"/>
      <c r="C94" s="5"/>
      <c r="D94" s="1"/>
      <c r="E94" s="1"/>
      <c r="F94" s="1"/>
      <c r="G94" s="1"/>
      <c r="S94" s="53" t="s">
        <v>245</v>
      </c>
      <c r="U94" s="1" t="s">
        <v>963</v>
      </c>
      <c r="AJ94" s="2">
        <f t="shared" si="2"/>
        <v>2</v>
      </c>
      <c r="AL94" s="2">
        <f t="shared" si="3"/>
        <v>1</v>
      </c>
    </row>
    <row r="95" spans="1:38" x14ac:dyDescent="0.35">
      <c r="A95" s="5" t="s">
        <v>2279</v>
      </c>
      <c r="B95" s="1"/>
      <c r="C95" s="5"/>
      <c r="D95" s="1"/>
      <c r="E95" s="1"/>
      <c r="F95" s="1"/>
      <c r="G95" s="1"/>
      <c r="S95" s="53" t="s">
        <v>247</v>
      </c>
      <c r="U95" s="53" t="s">
        <v>964</v>
      </c>
      <c r="AE95" s="1" t="s">
        <v>96</v>
      </c>
      <c r="AJ95" s="2">
        <f t="shared" si="2"/>
        <v>3</v>
      </c>
      <c r="AL95" s="2">
        <f t="shared" si="3"/>
        <v>1</v>
      </c>
    </row>
    <row r="96" spans="1:38" ht="29" x14ac:dyDescent="0.35">
      <c r="A96" s="5" t="s">
        <v>2280</v>
      </c>
      <c r="B96" s="1"/>
      <c r="C96" s="5"/>
      <c r="D96" s="1"/>
      <c r="E96" s="1"/>
      <c r="F96" s="1"/>
      <c r="G96" s="1"/>
      <c r="S96" s="53" t="s">
        <v>249</v>
      </c>
      <c r="U96" s="53" t="s">
        <v>965</v>
      </c>
      <c r="AE96" s="1" t="s">
        <v>97</v>
      </c>
      <c r="AJ96" s="2">
        <f t="shared" si="2"/>
        <v>3</v>
      </c>
      <c r="AL96" s="2">
        <f t="shared" si="3"/>
        <v>1</v>
      </c>
    </row>
    <row r="97" spans="1:38" ht="29" x14ac:dyDescent="0.35">
      <c r="A97" s="5" t="s">
        <v>2281</v>
      </c>
      <c r="B97" s="1"/>
      <c r="C97" s="5"/>
      <c r="D97" s="1"/>
      <c r="E97" s="1"/>
      <c r="F97" s="1"/>
      <c r="G97" s="1"/>
      <c r="S97" s="53" t="s">
        <v>251</v>
      </c>
      <c r="U97" s="1" t="s">
        <v>966</v>
      </c>
      <c r="AJ97" s="2">
        <f t="shared" si="2"/>
        <v>2</v>
      </c>
      <c r="AL97" s="2">
        <f t="shared" si="3"/>
        <v>1</v>
      </c>
    </row>
    <row r="98" spans="1:38" x14ac:dyDescent="0.35">
      <c r="A98" s="5" t="s">
        <v>2282</v>
      </c>
      <c r="B98" s="1"/>
      <c r="C98" s="5"/>
      <c r="D98" s="1"/>
      <c r="E98" s="1"/>
      <c r="F98" s="1"/>
      <c r="G98" s="1"/>
      <c r="S98" s="1" t="s">
        <v>1674</v>
      </c>
      <c r="AJ98" s="2">
        <f t="shared" si="2"/>
        <v>1</v>
      </c>
      <c r="AL98" s="2">
        <f t="shared" si="3"/>
        <v>1</v>
      </c>
    </row>
    <row r="99" spans="1:38" ht="29" x14ac:dyDescent="0.35">
      <c r="A99" s="5" t="s">
        <v>2357</v>
      </c>
      <c r="B99" s="1"/>
      <c r="C99" s="5"/>
      <c r="D99" s="1"/>
      <c r="E99" s="1"/>
      <c r="F99" s="1"/>
      <c r="G99" s="1"/>
      <c r="T99" s="1" t="s">
        <v>2115</v>
      </c>
      <c r="AJ99" s="2">
        <f t="shared" si="2"/>
        <v>1</v>
      </c>
      <c r="AL99" s="2">
        <f t="shared" si="3"/>
        <v>0</v>
      </c>
    </row>
    <row r="100" spans="1:38" ht="29" x14ac:dyDescent="0.35">
      <c r="A100" s="5" t="s">
        <v>2358</v>
      </c>
      <c r="B100" s="1"/>
      <c r="C100" s="5"/>
      <c r="D100" s="1"/>
      <c r="E100" s="1"/>
      <c r="F100" s="1"/>
      <c r="G100" s="1"/>
      <c r="T100" s="1" t="s">
        <v>2094</v>
      </c>
      <c r="AJ100" s="2">
        <f t="shared" si="2"/>
        <v>1</v>
      </c>
      <c r="AL100" s="2">
        <f t="shared" si="3"/>
        <v>0</v>
      </c>
    </row>
    <row r="101" spans="1:38" ht="29" x14ac:dyDescent="0.35">
      <c r="A101" s="5" t="s">
        <v>2367</v>
      </c>
      <c r="B101" s="1"/>
      <c r="C101" s="5"/>
      <c r="D101" s="1"/>
      <c r="E101" s="1"/>
      <c r="F101" s="1"/>
      <c r="G101" s="1"/>
      <c r="T101" s="1" t="s">
        <v>2118</v>
      </c>
      <c r="AJ101" s="2">
        <f t="shared" si="2"/>
        <v>1</v>
      </c>
      <c r="AL101" s="2">
        <f t="shared" si="3"/>
        <v>0</v>
      </c>
    </row>
    <row r="102" spans="1:38" ht="43.5" x14ac:dyDescent="0.35">
      <c r="A102" s="5" t="s">
        <v>2359</v>
      </c>
      <c r="B102" s="1"/>
      <c r="C102" s="5"/>
      <c r="D102" s="1"/>
      <c r="E102" s="1"/>
      <c r="F102" s="1"/>
      <c r="G102" s="1"/>
      <c r="T102" s="1" t="s">
        <v>2120</v>
      </c>
      <c r="AJ102" s="2">
        <f t="shared" si="2"/>
        <v>1</v>
      </c>
      <c r="AL102" s="2">
        <f t="shared" si="3"/>
        <v>0</v>
      </c>
    </row>
    <row r="103" spans="1:38" ht="43.5" x14ac:dyDescent="0.35">
      <c r="A103" s="5" t="s">
        <v>2360</v>
      </c>
      <c r="B103" s="1"/>
      <c r="C103" s="5"/>
      <c r="D103" s="1"/>
      <c r="E103" s="1"/>
      <c r="F103" s="1"/>
      <c r="G103" s="1"/>
      <c r="T103" s="1" t="s">
        <v>2122</v>
      </c>
      <c r="AJ103" s="2">
        <f t="shared" si="2"/>
        <v>1</v>
      </c>
      <c r="AL103" s="2">
        <f t="shared" si="3"/>
        <v>0</v>
      </c>
    </row>
    <row r="104" spans="1:38" ht="43.5" x14ac:dyDescent="0.35">
      <c r="A104" s="5" t="s">
        <v>2361</v>
      </c>
      <c r="B104" s="1"/>
      <c r="C104" s="5"/>
      <c r="D104" s="1"/>
      <c r="E104" s="1"/>
      <c r="F104" s="1"/>
      <c r="G104" s="1"/>
      <c r="T104" s="1" t="s">
        <v>2124</v>
      </c>
      <c r="AJ104" s="2">
        <f t="shared" si="2"/>
        <v>1</v>
      </c>
      <c r="AL104" s="2">
        <f t="shared" si="3"/>
        <v>0</v>
      </c>
    </row>
    <row r="105" spans="1:38" ht="29" x14ac:dyDescent="0.35">
      <c r="A105" s="5" t="s">
        <v>2362</v>
      </c>
      <c r="B105" s="1"/>
      <c r="C105" s="5"/>
      <c r="D105" s="1"/>
      <c r="E105" s="1"/>
      <c r="F105" s="1"/>
      <c r="G105" s="1"/>
      <c r="T105" s="1" t="s">
        <v>2126</v>
      </c>
      <c r="AJ105" s="2">
        <f t="shared" si="2"/>
        <v>1</v>
      </c>
      <c r="AL105" s="2">
        <f t="shared" si="3"/>
        <v>0</v>
      </c>
    </row>
    <row r="106" spans="1:38" ht="43.5" x14ac:dyDescent="0.35">
      <c r="A106" s="5" t="s">
        <v>2363</v>
      </c>
      <c r="B106" s="1"/>
      <c r="C106" s="5"/>
      <c r="D106" s="1"/>
      <c r="E106" s="1"/>
      <c r="F106" s="1"/>
      <c r="G106" s="1"/>
      <c r="T106" s="1" t="s">
        <v>2129</v>
      </c>
      <c r="AJ106" s="2">
        <f t="shared" si="2"/>
        <v>1</v>
      </c>
      <c r="AL106" s="2">
        <f t="shared" si="3"/>
        <v>0</v>
      </c>
    </row>
    <row r="107" spans="1:38" ht="43.5" x14ac:dyDescent="0.35">
      <c r="A107" s="5" t="s">
        <v>2364</v>
      </c>
      <c r="B107" s="1"/>
      <c r="C107" s="5"/>
      <c r="D107" s="1"/>
      <c r="E107" s="1"/>
      <c r="F107" s="1"/>
      <c r="G107" s="1"/>
      <c r="T107" s="1" t="s">
        <v>2132</v>
      </c>
      <c r="AJ107" s="2">
        <f t="shared" si="2"/>
        <v>1</v>
      </c>
      <c r="AL107" s="2">
        <f t="shared" si="3"/>
        <v>0</v>
      </c>
    </row>
    <row r="108" spans="1:38" ht="29" x14ac:dyDescent="0.35">
      <c r="A108" s="5" t="s">
        <v>2365</v>
      </c>
      <c r="B108" s="1"/>
      <c r="C108" s="5"/>
      <c r="D108" s="1"/>
      <c r="E108" s="1"/>
      <c r="F108" s="1"/>
      <c r="G108" s="1"/>
      <c r="T108" s="1" t="s">
        <v>2135</v>
      </c>
      <c r="AJ108" s="2">
        <f t="shared" si="2"/>
        <v>1</v>
      </c>
      <c r="AL108" s="2">
        <f t="shared" si="3"/>
        <v>0</v>
      </c>
    </row>
    <row r="109" spans="1:38" ht="29" x14ac:dyDescent="0.35">
      <c r="A109" s="5" t="s">
        <v>2366</v>
      </c>
      <c r="B109" s="1"/>
      <c r="C109" s="5"/>
      <c r="D109" s="1"/>
      <c r="E109" s="1"/>
      <c r="F109" s="1"/>
      <c r="G109" s="1"/>
      <c r="T109" s="1" t="s">
        <v>2138</v>
      </c>
      <c r="AJ109" s="2">
        <f t="shared" si="2"/>
        <v>1</v>
      </c>
      <c r="AL109" s="2">
        <f t="shared" si="3"/>
        <v>0</v>
      </c>
    </row>
    <row r="110" spans="1:38" ht="29" x14ac:dyDescent="0.35">
      <c r="A110" s="5" t="s">
        <v>2368</v>
      </c>
      <c r="B110" s="1"/>
      <c r="C110" s="5"/>
      <c r="D110" s="1"/>
      <c r="E110" s="1"/>
      <c r="F110" s="1"/>
      <c r="G110" s="1"/>
      <c r="T110" s="1" t="s">
        <v>2095</v>
      </c>
      <c r="AJ110" s="2">
        <f t="shared" si="2"/>
        <v>1</v>
      </c>
      <c r="AL110" s="2">
        <f t="shared" si="3"/>
        <v>0</v>
      </c>
    </row>
    <row r="111" spans="1:38" ht="29" x14ac:dyDescent="0.35">
      <c r="A111" s="5" t="s">
        <v>2379</v>
      </c>
      <c r="B111" s="1"/>
      <c r="C111" s="5"/>
      <c r="D111" s="1"/>
      <c r="E111" s="1"/>
      <c r="F111" s="1"/>
      <c r="G111" s="1"/>
      <c r="T111" s="1" t="s">
        <v>2151</v>
      </c>
      <c r="AJ111" s="2">
        <f t="shared" si="2"/>
        <v>1</v>
      </c>
      <c r="AL111" s="2">
        <f t="shared" si="3"/>
        <v>0</v>
      </c>
    </row>
    <row r="112" spans="1:38" ht="29" x14ac:dyDescent="0.35">
      <c r="A112" s="5" t="s">
        <v>2380</v>
      </c>
      <c r="B112" s="1"/>
      <c r="C112" s="5"/>
      <c r="D112" s="1"/>
      <c r="E112" s="1"/>
      <c r="F112" s="1"/>
      <c r="G112" s="1"/>
      <c r="T112" s="1" t="s">
        <v>2370</v>
      </c>
      <c r="AJ112" s="2">
        <f t="shared" si="2"/>
        <v>1</v>
      </c>
      <c r="AL112" s="2">
        <f t="shared" si="3"/>
        <v>0</v>
      </c>
    </row>
    <row r="113" spans="1:38" ht="29" x14ac:dyDescent="0.35">
      <c r="A113" s="5" t="s">
        <v>2386</v>
      </c>
      <c r="B113" s="1"/>
      <c r="C113" s="5"/>
      <c r="D113" s="1"/>
      <c r="E113" s="1"/>
      <c r="F113" s="1"/>
      <c r="G113" s="1"/>
      <c r="T113" s="1" t="s">
        <v>2371</v>
      </c>
      <c r="AJ113" s="2">
        <f t="shared" si="2"/>
        <v>1</v>
      </c>
      <c r="AL113" s="2">
        <f t="shared" si="3"/>
        <v>0</v>
      </c>
    </row>
    <row r="114" spans="1:38" ht="43.5" x14ac:dyDescent="0.35">
      <c r="A114" s="5" t="s">
        <v>2381</v>
      </c>
      <c r="B114" s="1"/>
      <c r="C114" s="5"/>
      <c r="D114" s="1"/>
      <c r="E114" s="1"/>
      <c r="F114" s="1"/>
      <c r="G114" s="1"/>
      <c r="T114" s="1" t="s">
        <v>2372</v>
      </c>
      <c r="AJ114" s="2">
        <f t="shared" si="2"/>
        <v>1</v>
      </c>
      <c r="AL114" s="2">
        <f t="shared" si="3"/>
        <v>0</v>
      </c>
    </row>
    <row r="115" spans="1:38" ht="43.5" x14ac:dyDescent="0.35">
      <c r="A115" s="5" t="s">
        <v>2382</v>
      </c>
      <c r="B115" s="1"/>
      <c r="C115" s="5"/>
      <c r="D115" s="1"/>
      <c r="E115" s="1"/>
      <c r="F115" s="1"/>
      <c r="G115" s="1"/>
      <c r="T115" s="1" t="s">
        <v>2373</v>
      </c>
      <c r="AJ115" s="2">
        <f t="shared" si="2"/>
        <v>1</v>
      </c>
      <c r="AL115" s="2">
        <f t="shared" si="3"/>
        <v>0</v>
      </c>
    </row>
    <row r="116" spans="1:38" ht="29" x14ac:dyDescent="0.35">
      <c r="A116" s="5" t="s">
        <v>2383</v>
      </c>
      <c r="B116" s="1"/>
      <c r="C116" s="5"/>
      <c r="D116" s="1"/>
      <c r="E116" s="1"/>
      <c r="F116" s="1"/>
      <c r="G116" s="1"/>
      <c r="T116" s="1" t="s">
        <v>2374</v>
      </c>
      <c r="AJ116" s="2">
        <f t="shared" si="2"/>
        <v>1</v>
      </c>
      <c r="AL116" s="2">
        <f t="shared" si="3"/>
        <v>0</v>
      </c>
    </row>
    <row r="117" spans="1:38" ht="29" x14ac:dyDescent="0.35">
      <c r="A117" s="5" t="s">
        <v>2384</v>
      </c>
      <c r="B117" s="1"/>
      <c r="C117" s="5"/>
      <c r="D117" s="1"/>
      <c r="E117" s="1"/>
      <c r="F117" s="1"/>
      <c r="G117" s="1"/>
      <c r="T117" s="1" t="s">
        <v>2375</v>
      </c>
      <c r="AJ117" s="2">
        <f t="shared" si="2"/>
        <v>1</v>
      </c>
      <c r="AL117" s="2">
        <f t="shared" si="3"/>
        <v>0</v>
      </c>
    </row>
    <row r="118" spans="1:38" ht="43.5" x14ac:dyDescent="0.35">
      <c r="A118" s="5" t="s">
        <v>2385</v>
      </c>
      <c r="B118" s="1"/>
      <c r="C118" s="5"/>
      <c r="D118" s="1"/>
      <c r="E118" s="1"/>
      <c r="F118" s="1"/>
      <c r="G118" s="1"/>
      <c r="T118" s="1" t="s">
        <v>2376</v>
      </c>
      <c r="AJ118" s="2">
        <f t="shared" si="2"/>
        <v>1</v>
      </c>
      <c r="AL118" s="2">
        <f t="shared" si="3"/>
        <v>0</v>
      </c>
    </row>
    <row r="119" spans="1:38" ht="29" x14ac:dyDescent="0.35">
      <c r="A119" s="5" t="s">
        <v>2387</v>
      </c>
      <c r="B119" s="1"/>
      <c r="C119" s="5"/>
      <c r="D119" s="1"/>
      <c r="E119" s="1"/>
      <c r="F119" s="1"/>
      <c r="G119" s="1"/>
      <c r="T119" s="1" t="s">
        <v>2377</v>
      </c>
      <c r="AJ119" s="2">
        <f t="shared" si="2"/>
        <v>1</v>
      </c>
      <c r="AL119" s="2">
        <f t="shared" si="3"/>
        <v>0</v>
      </c>
    </row>
    <row r="120" spans="1:38" ht="29" x14ac:dyDescent="0.35">
      <c r="A120" s="5" t="s">
        <v>2432</v>
      </c>
      <c r="B120" s="1"/>
      <c r="C120" s="5"/>
      <c r="D120" s="1"/>
      <c r="E120" s="1"/>
      <c r="F120" s="1"/>
      <c r="G120" s="1"/>
      <c r="T120" s="1" t="s">
        <v>2378</v>
      </c>
      <c r="AJ120" s="2">
        <f t="shared" si="2"/>
        <v>1</v>
      </c>
      <c r="AL120" s="2">
        <f t="shared" si="3"/>
        <v>0</v>
      </c>
    </row>
    <row r="121" spans="1:38" ht="29" x14ac:dyDescent="0.35">
      <c r="A121" s="5" t="s">
        <v>2433</v>
      </c>
      <c r="B121" s="1"/>
      <c r="C121" s="5"/>
      <c r="D121" s="1"/>
      <c r="E121" s="1"/>
      <c r="F121" s="1"/>
      <c r="G121" s="1"/>
      <c r="U121" s="54" t="s">
        <v>908</v>
      </c>
      <c r="V121" s="53" t="s">
        <v>440</v>
      </c>
      <c r="Z121" s="1" t="s">
        <v>437</v>
      </c>
      <c r="AJ121" s="2">
        <f t="shared" si="2"/>
        <v>3</v>
      </c>
      <c r="AL121" s="2">
        <f t="shared" si="3"/>
        <v>0</v>
      </c>
    </row>
    <row r="122" spans="1:38" ht="43.5" x14ac:dyDescent="0.35">
      <c r="A122" s="5" t="s">
        <v>2434</v>
      </c>
      <c r="B122" s="1"/>
      <c r="C122" s="5"/>
      <c r="D122" s="1"/>
      <c r="E122" s="1"/>
      <c r="F122" s="1"/>
      <c r="G122" s="1"/>
      <c r="U122" s="1" t="s">
        <v>909</v>
      </c>
      <c r="AJ122" s="2">
        <f t="shared" si="2"/>
        <v>1</v>
      </c>
      <c r="AL122" s="2">
        <f t="shared" si="3"/>
        <v>0</v>
      </c>
    </row>
    <row r="123" spans="1:38" ht="29" x14ac:dyDescent="0.35">
      <c r="A123" s="5" t="s">
        <v>2435</v>
      </c>
      <c r="B123" s="1"/>
      <c r="C123" s="5"/>
      <c r="D123" s="1"/>
      <c r="E123" s="1"/>
      <c r="F123" s="1"/>
      <c r="G123" s="1"/>
      <c r="U123" s="1" t="s">
        <v>910</v>
      </c>
      <c r="AJ123" s="2">
        <f t="shared" si="2"/>
        <v>1</v>
      </c>
      <c r="AL123" s="2">
        <f t="shared" si="3"/>
        <v>0</v>
      </c>
    </row>
    <row r="124" spans="1:38" ht="29" x14ac:dyDescent="0.35">
      <c r="A124" s="5" t="s">
        <v>2436</v>
      </c>
      <c r="B124" s="1"/>
      <c r="C124" s="5"/>
      <c r="D124" s="1"/>
      <c r="E124" s="1"/>
      <c r="F124" s="1"/>
      <c r="G124" s="1"/>
      <c r="U124" s="1" t="s">
        <v>911</v>
      </c>
      <c r="AJ124" s="2">
        <f t="shared" si="2"/>
        <v>1</v>
      </c>
      <c r="AL124" s="2">
        <f t="shared" si="3"/>
        <v>0</v>
      </c>
    </row>
    <row r="125" spans="1:38" ht="29" x14ac:dyDescent="0.35">
      <c r="A125" s="5" t="s">
        <v>2437</v>
      </c>
      <c r="B125" s="1"/>
      <c r="C125" s="5"/>
      <c r="D125" s="1"/>
      <c r="E125" s="1"/>
      <c r="F125" s="1"/>
      <c r="G125" s="1"/>
      <c r="U125" s="1" t="s">
        <v>912</v>
      </c>
      <c r="AJ125" s="2">
        <f t="shared" si="2"/>
        <v>1</v>
      </c>
      <c r="AL125" s="2">
        <f t="shared" si="3"/>
        <v>0</v>
      </c>
    </row>
    <row r="126" spans="1:38" ht="43.5" x14ac:dyDescent="0.35">
      <c r="A126" s="5" t="s">
        <v>2438</v>
      </c>
      <c r="B126" s="1"/>
      <c r="C126" s="5"/>
      <c r="D126" s="1"/>
      <c r="E126" s="1"/>
      <c r="F126" s="1"/>
      <c r="G126" s="1"/>
      <c r="U126" s="1" t="s">
        <v>913</v>
      </c>
      <c r="AJ126" s="2">
        <f t="shared" si="2"/>
        <v>1</v>
      </c>
      <c r="AL126" s="2">
        <f t="shared" si="3"/>
        <v>0</v>
      </c>
    </row>
    <row r="127" spans="1:38" ht="43.5" x14ac:dyDescent="0.35">
      <c r="A127" s="5" t="s">
        <v>2439</v>
      </c>
      <c r="B127" s="1"/>
      <c r="C127" s="5"/>
      <c r="D127" s="1"/>
      <c r="E127" s="1"/>
      <c r="F127" s="1"/>
      <c r="G127" s="1"/>
      <c r="U127" s="53" t="s">
        <v>914</v>
      </c>
      <c r="V127" s="1" t="s">
        <v>442</v>
      </c>
      <c r="Z127" s="53" t="s">
        <v>442</v>
      </c>
      <c r="AA127" s="1" t="s">
        <v>2644</v>
      </c>
      <c r="AJ127" s="2">
        <f t="shared" si="2"/>
        <v>4</v>
      </c>
      <c r="AL127" s="2">
        <f t="shared" si="3"/>
        <v>0</v>
      </c>
    </row>
    <row r="128" spans="1:38" ht="43.5" x14ac:dyDescent="0.35">
      <c r="A128" s="5" t="s">
        <v>2520</v>
      </c>
      <c r="B128" s="1"/>
      <c r="C128" s="5"/>
      <c r="D128" s="1"/>
      <c r="E128" s="1"/>
      <c r="F128" s="1"/>
      <c r="G128" s="1"/>
      <c r="V128" s="1" t="s">
        <v>437</v>
      </c>
      <c r="AJ128" s="2">
        <f t="shared" si="2"/>
        <v>1</v>
      </c>
      <c r="AL128" s="2">
        <f t="shared" si="3"/>
        <v>0</v>
      </c>
    </row>
    <row r="129" spans="1:38" ht="43.5" x14ac:dyDescent="0.35">
      <c r="A129" s="5" t="s">
        <v>2521</v>
      </c>
      <c r="B129" s="1"/>
      <c r="C129" s="5"/>
      <c r="D129" s="1"/>
      <c r="E129" s="1"/>
      <c r="F129" s="1"/>
      <c r="G129" s="1"/>
      <c r="V129" s="1" t="s">
        <v>441</v>
      </c>
      <c r="Z129" s="1" t="s">
        <v>441</v>
      </c>
      <c r="AJ129" s="2">
        <f t="shared" si="2"/>
        <v>2</v>
      </c>
      <c r="AL129" s="2">
        <f t="shared" si="3"/>
        <v>0</v>
      </c>
    </row>
    <row r="130" spans="1:38" ht="43.5" x14ac:dyDescent="0.35">
      <c r="A130" s="5" t="s">
        <v>2522</v>
      </c>
      <c r="B130" s="1"/>
      <c r="C130" s="5"/>
      <c r="D130" s="1"/>
      <c r="E130" s="1"/>
      <c r="F130" s="1"/>
      <c r="G130" s="1"/>
      <c r="V130" s="1" t="s">
        <v>443</v>
      </c>
      <c r="Z130" s="1" t="s">
        <v>443</v>
      </c>
      <c r="AJ130" s="2">
        <f t="shared" si="2"/>
        <v>2</v>
      </c>
      <c r="AL130" s="2">
        <f t="shared" si="3"/>
        <v>0</v>
      </c>
    </row>
    <row r="131" spans="1:38" ht="43.5" x14ac:dyDescent="0.35">
      <c r="A131" s="5" t="s">
        <v>2523</v>
      </c>
      <c r="B131" s="1"/>
      <c r="C131" s="5"/>
      <c r="D131" s="1"/>
      <c r="E131" s="1"/>
      <c r="F131" s="1"/>
      <c r="G131" s="1"/>
      <c r="V131" s="53" t="s">
        <v>57</v>
      </c>
      <c r="Z131" s="53" t="s">
        <v>63</v>
      </c>
      <c r="AA131" s="1" t="s">
        <v>2641</v>
      </c>
      <c r="AJ131" s="2">
        <f t="shared" ref="AJ131:AJ194" si="4">COUNTA(B131:AH131)</f>
        <v>3</v>
      </c>
      <c r="AL131" s="2">
        <f t="shared" ref="AL131:AL194" si="5">COUNTA(F131:O131,R131:S131)</f>
        <v>0</v>
      </c>
    </row>
    <row r="132" spans="1:38" ht="29" x14ac:dyDescent="0.35">
      <c r="A132" s="5" t="s">
        <v>2524</v>
      </c>
      <c r="B132" s="1"/>
      <c r="C132" s="5"/>
      <c r="D132" s="1"/>
      <c r="E132" s="1"/>
      <c r="F132" s="1"/>
      <c r="G132" s="1"/>
      <c r="V132" s="53" t="s">
        <v>62</v>
      </c>
      <c r="Z132" s="1" t="s">
        <v>64</v>
      </c>
      <c r="AJ132" s="2">
        <f t="shared" si="4"/>
        <v>2</v>
      </c>
      <c r="AL132" s="2">
        <f t="shared" si="5"/>
        <v>0</v>
      </c>
    </row>
    <row r="133" spans="1:38" ht="43.5" x14ac:dyDescent="0.35">
      <c r="A133" s="5" t="s">
        <v>2525</v>
      </c>
      <c r="B133" s="1"/>
      <c r="C133" s="5"/>
      <c r="D133" s="1"/>
      <c r="E133" s="1"/>
      <c r="F133" s="1"/>
      <c r="G133" s="1"/>
      <c r="V133" s="1" t="s">
        <v>63</v>
      </c>
      <c r="AJ133" s="2">
        <f t="shared" si="4"/>
        <v>1</v>
      </c>
      <c r="AL133" s="2">
        <f t="shared" si="5"/>
        <v>0</v>
      </c>
    </row>
    <row r="134" spans="1:38" ht="43.5" x14ac:dyDescent="0.35">
      <c r="A134" s="5" t="s">
        <v>2526</v>
      </c>
      <c r="B134" s="1"/>
      <c r="C134" s="5"/>
      <c r="D134" s="1"/>
      <c r="E134" s="1"/>
      <c r="F134" s="1"/>
      <c r="G134" s="1"/>
      <c r="V134" s="53" t="s">
        <v>64</v>
      </c>
      <c r="Z134" s="53" t="s">
        <v>82</v>
      </c>
      <c r="AA134" s="1" t="s">
        <v>2645</v>
      </c>
      <c r="AJ134" s="2">
        <f t="shared" si="4"/>
        <v>3</v>
      </c>
      <c r="AL134" s="2">
        <f t="shared" si="5"/>
        <v>0</v>
      </c>
    </row>
    <row r="135" spans="1:38" ht="43.5" x14ac:dyDescent="0.35">
      <c r="A135" s="5" t="s">
        <v>2527</v>
      </c>
      <c r="B135" s="1"/>
      <c r="C135" s="5"/>
      <c r="D135" s="1"/>
      <c r="E135" s="1"/>
      <c r="F135" s="1"/>
      <c r="G135" s="1"/>
      <c r="V135" s="1" t="s">
        <v>444</v>
      </c>
      <c r="AJ135" s="2">
        <f t="shared" si="4"/>
        <v>1</v>
      </c>
      <c r="AL135" s="2">
        <f t="shared" si="5"/>
        <v>0</v>
      </c>
    </row>
    <row r="136" spans="1:38" ht="43.5" x14ac:dyDescent="0.35">
      <c r="A136" s="5" t="s">
        <v>2597</v>
      </c>
      <c r="B136" s="1"/>
      <c r="C136" s="5"/>
      <c r="D136" s="1"/>
      <c r="E136" s="1"/>
      <c r="F136" s="1"/>
      <c r="G136" s="1"/>
      <c r="Z136" s="1" t="s">
        <v>433</v>
      </c>
      <c r="AJ136" s="2">
        <f t="shared" si="4"/>
        <v>1</v>
      </c>
      <c r="AL136" s="2">
        <f t="shared" si="5"/>
        <v>0</v>
      </c>
    </row>
    <row r="137" spans="1:38" ht="29" x14ac:dyDescent="0.35">
      <c r="A137" s="5" t="s">
        <v>2598</v>
      </c>
      <c r="B137" s="1"/>
      <c r="C137" s="5"/>
      <c r="D137" s="1"/>
      <c r="E137" s="1"/>
      <c r="F137" s="1"/>
      <c r="G137" s="1"/>
      <c r="Z137" s="1" t="s">
        <v>440</v>
      </c>
      <c r="AJ137" s="2">
        <f t="shared" si="4"/>
        <v>1</v>
      </c>
      <c r="AL137" s="2">
        <f t="shared" si="5"/>
        <v>0</v>
      </c>
    </row>
    <row r="138" spans="1:38" ht="43.5" x14ac:dyDescent="0.35">
      <c r="A138" s="5" t="s">
        <v>2599</v>
      </c>
      <c r="B138" s="1"/>
      <c r="C138" s="5"/>
      <c r="D138" s="1"/>
      <c r="E138" s="1"/>
      <c r="F138" s="1"/>
      <c r="G138" s="1"/>
      <c r="Z138" s="1" t="s">
        <v>57</v>
      </c>
      <c r="AJ138" s="2">
        <f t="shared" si="4"/>
        <v>1</v>
      </c>
      <c r="AL138" s="2">
        <f t="shared" si="5"/>
        <v>0</v>
      </c>
    </row>
    <row r="139" spans="1:38" ht="29" x14ac:dyDescent="0.35">
      <c r="A139" s="5" t="s">
        <v>2600</v>
      </c>
      <c r="B139" s="1"/>
      <c r="C139" s="5"/>
      <c r="D139" s="1"/>
      <c r="E139" s="1"/>
      <c r="F139" s="1"/>
      <c r="G139" s="1"/>
      <c r="Z139" s="1" t="s">
        <v>62</v>
      </c>
      <c r="AJ139" s="2">
        <f t="shared" si="4"/>
        <v>1</v>
      </c>
      <c r="AL139" s="2">
        <f t="shared" si="5"/>
        <v>0</v>
      </c>
    </row>
    <row r="140" spans="1:38" ht="43.5" x14ac:dyDescent="0.35">
      <c r="A140" s="5" t="s">
        <v>2601</v>
      </c>
      <c r="B140" s="1"/>
      <c r="C140" s="5"/>
      <c r="D140" s="1"/>
      <c r="E140" s="1"/>
      <c r="F140" s="1"/>
      <c r="G140" s="1"/>
      <c r="Z140" s="1" t="s">
        <v>444</v>
      </c>
      <c r="AJ140" s="2">
        <f t="shared" si="4"/>
        <v>1</v>
      </c>
      <c r="AL140" s="2">
        <f t="shared" si="5"/>
        <v>0</v>
      </c>
    </row>
    <row r="141" spans="1:38" ht="43.5" x14ac:dyDescent="0.35">
      <c r="A141" s="5" t="s">
        <v>2602</v>
      </c>
      <c r="B141" s="1"/>
      <c r="C141" s="5"/>
      <c r="D141" s="1"/>
      <c r="E141" s="1"/>
      <c r="F141" s="1"/>
      <c r="G141" s="1"/>
      <c r="Z141" s="1" t="s">
        <v>110</v>
      </c>
      <c r="AJ141" s="2">
        <f t="shared" si="4"/>
        <v>1</v>
      </c>
      <c r="AL141" s="2">
        <f t="shared" si="5"/>
        <v>0</v>
      </c>
    </row>
    <row r="142" spans="1:38" ht="43.5" x14ac:dyDescent="0.35">
      <c r="A142" s="5" t="s">
        <v>2603</v>
      </c>
      <c r="B142" s="1"/>
      <c r="C142" s="5"/>
      <c r="D142" s="1"/>
      <c r="E142" s="1"/>
      <c r="F142" s="1"/>
      <c r="G142" s="1"/>
      <c r="Z142" s="1" t="s">
        <v>649</v>
      </c>
      <c r="AJ142" s="2">
        <f t="shared" si="4"/>
        <v>1</v>
      </c>
      <c r="AL142" s="2">
        <f t="shared" si="5"/>
        <v>0</v>
      </c>
    </row>
    <row r="143" spans="1:38" ht="43.5" x14ac:dyDescent="0.35">
      <c r="A143" s="5" t="s">
        <v>2637</v>
      </c>
      <c r="B143" s="1"/>
      <c r="C143" s="5"/>
      <c r="D143" s="1"/>
      <c r="E143" s="1"/>
      <c r="F143" s="1"/>
      <c r="G143" s="1"/>
      <c r="AA143" s="1" t="s">
        <v>2638</v>
      </c>
      <c r="AJ143" s="2">
        <f t="shared" si="4"/>
        <v>1</v>
      </c>
      <c r="AL143" s="2">
        <f t="shared" si="5"/>
        <v>0</v>
      </c>
    </row>
    <row r="144" spans="1:38" ht="29" x14ac:dyDescent="0.35">
      <c r="A144" s="5" t="s">
        <v>2639</v>
      </c>
      <c r="B144" s="1"/>
      <c r="C144" s="5"/>
      <c r="D144" s="1"/>
      <c r="E144" s="1"/>
      <c r="F144" s="1"/>
      <c r="G144" s="1"/>
      <c r="AA144" s="1" t="s">
        <v>2640</v>
      </c>
      <c r="AJ144" s="2">
        <f t="shared" si="4"/>
        <v>1</v>
      </c>
      <c r="AL144" s="2">
        <f t="shared" si="5"/>
        <v>0</v>
      </c>
    </row>
    <row r="145" spans="1:38" ht="29" x14ac:dyDescent="0.35">
      <c r="A145" s="5" t="s">
        <v>2642</v>
      </c>
      <c r="B145" s="1"/>
      <c r="C145" s="5"/>
      <c r="D145" s="1"/>
      <c r="E145" s="1"/>
      <c r="F145" s="1"/>
      <c r="G145" s="1"/>
      <c r="AA145" s="1" t="s">
        <v>2643</v>
      </c>
      <c r="AJ145" s="2">
        <f t="shared" si="4"/>
        <v>1</v>
      </c>
      <c r="AL145" s="2">
        <f t="shared" si="5"/>
        <v>0</v>
      </c>
    </row>
    <row r="146" spans="1:38" ht="29" x14ac:dyDescent="0.35">
      <c r="A146" s="5" t="s">
        <v>2646</v>
      </c>
      <c r="B146" s="1"/>
      <c r="C146" s="5"/>
      <c r="D146" s="1"/>
      <c r="E146" s="1"/>
      <c r="F146" s="1"/>
      <c r="G146" s="1"/>
      <c r="AA146" s="1" t="s">
        <v>2647</v>
      </c>
      <c r="AJ146" s="2">
        <f t="shared" si="4"/>
        <v>1</v>
      </c>
      <c r="AL146" s="2">
        <f t="shared" si="5"/>
        <v>0</v>
      </c>
    </row>
    <row r="147" spans="1:38" ht="43.5" x14ac:dyDescent="0.35">
      <c r="A147" s="5" t="s">
        <v>2648</v>
      </c>
      <c r="B147" s="1"/>
      <c r="C147" s="5"/>
      <c r="D147" s="1"/>
      <c r="E147" s="1"/>
      <c r="F147" s="1"/>
      <c r="G147" s="1"/>
      <c r="AA147" s="1" t="s">
        <v>2649</v>
      </c>
      <c r="AJ147" s="2">
        <f t="shared" si="4"/>
        <v>1</v>
      </c>
      <c r="AL147" s="2">
        <f t="shared" si="5"/>
        <v>0</v>
      </c>
    </row>
    <row r="148" spans="1:38" ht="29" x14ac:dyDescent="0.35">
      <c r="A148" s="5" t="s">
        <v>2440</v>
      </c>
      <c r="B148" s="1"/>
      <c r="C148" s="5"/>
      <c r="D148" s="1"/>
      <c r="E148" s="1"/>
      <c r="F148" s="1"/>
      <c r="G148" s="1"/>
      <c r="U148" s="53" t="s">
        <v>917</v>
      </c>
      <c r="V148" s="53" t="s">
        <v>649</v>
      </c>
      <c r="Z148" s="1" t="s">
        <v>226</v>
      </c>
      <c r="AJ148" s="2">
        <f t="shared" si="4"/>
        <v>3</v>
      </c>
      <c r="AL148" s="2">
        <f t="shared" si="5"/>
        <v>0</v>
      </c>
    </row>
    <row r="149" spans="1:38" ht="43.5" x14ac:dyDescent="0.35">
      <c r="A149" s="5" t="s">
        <v>2441</v>
      </c>
      <c r="B149" s="1"/>
      <c r="C149" s="5"/>
      <c r="D149" s="1"/>
      <c r="E149" s="1"/>
      <c r="F149" s="1"/>
      <c r="G149" s="1"/>
      <c r="U149" s="1" t="s">
        <v>916</v>
      </c>
      <c r="AJ149" s="2">
        <f t="shared" si="4"/>
        <v>1</v>
      </c>
      <c r="AL149" s="2">
        <f t="shared" si="5"/>
        <v>0</v>
      </c>
    </row>
    <row r="150" spans="1:38" ht="29" x14ac:dyDescent="0.35">
      <c r="A150" s="5" t="s">
        <v>2442</v>
      </c>
      <c r="B150" s="1"/>
      <c r="C150" s="5"/>
      <c r="D150" s="1"/>
      <c r="E150" s="1"/>
      <c r="F150" s="1"/>
      <c r="G150" s="1"/>
      <c r="U150" s="1" t="s">
        <v>918</v>
      </c>
      <c r="AJ150" s="2">
        <f t="shared" si="4"/>
        <v>1</v>
      </c>
      <c r="AL150" s="2">
        <f t="shared" si="5"/>
        <v>0</v>
      </c>
    </row>
    <row r="151" spans="1:38" ht="29" x14ac:dyDescent="0.35">
      <c r="A151" s="5" t="s">
        <v>2443</v>
      </c>
      <c r="B151" s="1"/>
      <c r="C151" s="5"/>
      <c r="D151" s="1"/>
      <c r="E151" s="1"/>
      <c r="F151" s="1"/>
      <c r="G151" s="1"/>
      <c r="U151" s="1" t="s">
        <v>919</v>
      </c>
      <c r="AJ151" s="2">
        <f t="shared" si="4"/>
        <v>1</v>
      </c>
      <c r="AL151" s="2">
        <f t="shared" si="5"/>
        <v>0</v>
      </c>
    </row>
    <row r="152" spans="1:38" ht="29" x14ac:dyDescent="0.35">
      <c r="A152" s="5" t="s">
        <v>2444</v>
      </c>
      <c r="B152" s="1"/>
      <c r="C152" s="5"/>
      <c r="D152" s="1"/>
      <c r="E152" s="1"/>
      <c r="F152" s="1"/>
      <c r="G152" s="1"/>
      <c r="U152" s="1" t="s">
        <v>920</v>
      </c>
      <c r="AJ152" s="2">
        <f t="shared" si="4"/>
        <v>1</v>
      </c>
      <c r="AL152" s="2">
        <f t="shared" si="5"/>
        <v>0</v>
      </c>
    </row>
    <row r="153" spans="1:38" ht="43.5" x14ac:dyDescent="0.35">
      <c r="A153" s="5" t="s">
        <v>2445</v>
      </c>
      <c r="B153" s="1"/>
      <c r="C153" s="5"/>
      <c r="D153" s="1"/>
      <c r="E153" s="1"/>
      <c r="F153" s="1"/>
      <c r="G153" s="1"/>
      <c r="U153" s="1" t="s">
        <v>1169</v>
      </c>
      <c r="AJ153" s="2">
        <f t="shared" si="4"/>
        <v>1</v>
      </c>
      <c r="AL153" s="2">
        <f t="shared" si="5"/>
        <v>0</v>
      </c>
    </row>
    <row r="154" spans="1:38" ht="43.5" x14ac:dyDescent="0.35">
      <c r="A154" s="5" t="s">
        <v>2446</v>
      </c>
      <c r="B154" s="1"/>
      <c r="C154" s="5"/>
      <c r="D154" s="1"/>
      <c r="E154" s="1"/>
      <c r="F154" s="1"/>
      <c r="G154" s="1"/>
      <c r="U154" s="1" t="s">
        <v>921</v>
      </c>
      <c r="AJ154" s="2">
        <f t="shared" si="4"/>
        <v>1</v>
      </c>
      <c r="AL154" s="2">
        <f t="shared" si="5"/>
        <v>0</v>
      </c>
    </row>
    <row r="155" spans="1:38" ht="29" x14ac:dyDescent="0.35">
      <c r="A155" s="5" t="s">
        <v>2528</v>
      </c>
      <c r="B155" s="1"/>
      <c r="C155" s="5"/>
      <c r="D155" s="1"/>
      <c r="E155" s="1"/>
      <c r="F155" s="1"/>
      <c r="G155" s="1"/>
      <c r="V155" s="53" t="s">
        <v>110</v>
      </c>
      <c r="Z155" s="53" t="s">
        <v>224</v>
      </c>
      <c r="AA155" s="1" t="s">
        <v>2650</v>
      </c>
      <c r="AJ155" s="2">
        <f t="shared" si="4"/>
        <v>3</v>
      </c>
      <c r="AL155" s="2">
        <f t="shared" si="5"/>
        <v>0</v>
      </c>
    </row>
    <row r="156" spans="1:38" ht="43.5" x14ac:dyDescent="0.35">
      <c r="A156" s="5" t="s">
        <v>2529</v>
      </c>
      <c r="B156" s="1"/>
      <c r="C156" s="5"/>
      <c r="D156" s="1"/>
      <c r="E156" s="1"/>
      <c r="F156" s="1"/>
      <c r="G156" s="1"/>
      <c r="V156" s="1" t="s">
        <v>222</v>
      </c>
      <c r="AJ156" s="2">
        <f t="shared" si="4"/>
        <v>1</v>
      </c>
      <c r="AL156" s="2">
        <f t="shared" si="5"/>
        <v>0</v>
      </c>
    </row>
    <row r="157" spans="1:38" ht="43.5" x14ac:dyDescent="0.35">
      <c r="A157" s="5" t="s">
        <v>2530</v>
      </c>
      <c r="B157" s="1"/>
      <c r="C157" s="5"/>
      <c r="D157" s="1"/>
      <c r="E157" s="1"/>
      <c r="F157" s="1"/>
      <c r="G157" s="1"/>
      <c r="V157" s="53" t="s">
        <v>224</v>
      </c>
      <c r="Z157" s="53" t="s">
        <v>230</v>
      </c>
      <c r="AA157" s="1" t="s">
        <v>2652</v>
      </c>
      <c r="AJ157" s="2">
        <f t="shared" si="4"/>
        <v>3</v>
      </c>
      <c r="AL157" s="2">
        <f t="shared" si="5"/>
        <v>0</v>
      </c>
    </row>
    <row r="158" spans="1:38" ht="43.5" x14ac:dyDescent="0.35">
      <c r="A158" s="5" t="s">
        <v>2531</v>
      </c>
      <c r="B158" s="1"/>
      <c r="C158" s="5"/>
      <c r="D158" s="1"/>
      <c r="E158" s="1"/>
      <c r="F158" s="1"/>
      <c r="G158" s="1"/>
      <c r="V158" s="53" t="s">
        <v>226</v>
      </c>
      <c r="Z158" s="53" t="s">
        <v>234</v>
      </c>
      <c r="AA158" s="1" t="s">
        <v>2654</v>
      </c>
      <c r="AJ158" s="2">
        <f t="shared" si="4"/>
        <v>3</v>
      </c>
      <c r="AL158" s="2">
        <f t="shared" si="5"/>
        <v>0</v>
      </c>
    </row>
    <row r="159" spans="1:38" ht="29" x14ac:dyDescent="0.35">
      <c r="A159" s="5" t="s">
        <v>2532</v>
      </c>
      <c r="B159" s="1"/>
      <c r="C159" s="5"/>
      <c r="D159" s="1"/>
      <c r="E159" s="1"/>
      <c r="F159" s="1"/>
      <c r="G159" s="1"/>
      <c r="V159" s="53" t="s">
        <v>228</v>
      </c>
      <c r="Z159" s="1" t="s">
        <v>240</v>
      </c>
      <c r="AJ159" s="2">
        <f t="shared" si="4"/>
        <v>2</v>
      </c>
      <c r="AL159" s="2">
        <f t="shared" si="5"/>
        <v>0</v>
      </c>
    </row>
    <row r="160" spans="1:38" ht="29" x14ac:dyDescent="0.35">
      <c r="A160" s="5" t="s">
        <v>2533</v>
      </c>
      <c r="B160" s="1"/>
      <c r="C160" s="5"/>
      <c r="D160" s="1"/>
      <c r="E160" s="1"/>
      <c r="F160" s="1"/>
      <c r="G160" s="1"/>
      <c r="V160" s="53" t="s">
        <v>230</v>
      </c>
      <c r="Z160" s="53" t="s">
        <v>96</v>
      </c>
      <c r="AA160" s="1" t="s">
        <v>2651</v>
      </c>
      <c r="AJ160" s="2">
        <f t="shared" si="4"/>
        <v>3</v>
      </c>
      <c r="AL160" s="2">
        <f t="shared" si="5"/>
        <v>0</v>
      </c>
    </row>
    <row r="161" spans="1:38" ht="43.5" x14ac:dyDescent="0.35">
      <c r="A161" s="5" t="s">
        <v>2534</v>
      </c>
      <c r="B161" s="1"/>
      <c r="C161" s="5"/>
      <c r="D161" s="1"/>
      <c r="E161" s="1"/>
      <c r="F161" s="1"/>
      <c r="G161" s="1"/>
      <c r="V161" s="1" t="s">
        <v>232</v>
      </c>
      <c r="AJ161" s="2">
        <f t="shared" si="4"/>
        <v>1</v>
      </c>
      <c r="AL161" s="2">
        <f t="shared" si="5"/>
        <v>0</v>
      </c>
    </row>
    <row r="162" spans="1:38" ht="43.5" x14ac:dyDescent="0.35">
      <c r="A162" s="5" t="s">
        <v>2535</v>
      </c>
      <c r="B162" s="1"/>
      <c r="C162" s="5"/>
      <c r="D162" s="1"/>
      <c r="E162" s="1"/>
      <c r="F162" s="1"/>
      <c r="G162" s="1"/>
      <c r="V162" s="1" t="s">
        <v>234</v>
      </c>
      <c r="AJ162" s="2">
        <f t="shared" si="4"/>
        <v>1</v>
      </c>
      <c r="AL162" s="2">
        <f t="shared" si="5"/>
        <v>0</v>
      </c>
    </row>
    <row r="163" spans="1:38" ht="43.5" x14ac:dyDescent="0.35">
      <c r="A163" s="5" t="s">
        <v>2536</v>
      </c>
      <c r="B163" s="1"/>
      <c r="C163" s="5"/>
      <c r="D163" s="1"/>
      <c r="E163" s="1"/>
      <c r="F163" s="1"/>
      <c r="G163" s="1"/>
      <c r="V163" s="1" t="s">
        <v>238</v>
      </c>
      <c r="AJ163" s="2">
        <f t="shared" si="4"/>
        <v>1</v>
      </c>
      <c r="AL163" s="2">
        <f t="shared" si="5"/>
        <v>0</v>
      </c>
    </row>
    <row r="164" spans="1:38" ht="29" x14ac:dyDescent="0.35">
      <c r="A164" s="5" t="s">
        <v>2604</v>
      </c>
      <c r="B164" s="1"/>
      <c r="C164" s="5"/>
      <c r="D164" s="1"/>
      <c r="E164" s="1"/>
      <c r="F164" s="1"/>
      <c r="G164" s="1"/>
      <c r="Z164" s="1" t="s">
        <v>228</v>
      </c>
      <c r="AJ164" s="2">
        <f t="shared" si="4"/>
        <v>1</v>
      </c>
      <c r="AL164" s="2">
        <f t="shared" si="5"/>
        <v>0</v>
      </c>
    </row>
    <row r="165" spans="1:38" ht="43.5" x14ac:dyDescent="0.35">
      <c r="A165" s="5" t="s">
        <v>2605</v>
      </c>
      <c r="B165" s="1"/>
      <c r="C165" s="5"/>
      <c r="D165" s="1"/>
      <c r="E165" s="1"/>
      <c r="F165" s="1"/>
      <c r="G165" s="1"/>
      <c r="Z165" s="1" t="s">
        <v>232</v>
      </c>
      <c r="AJ165" s="2">
        <f t="shared" si="4"/>
        <v>1</v>
      </c>
      <c r="AL165" s="2">
        <f t="shared" si="5"/>
        <v>0</v>
      </c>
    </row>
    <row r="166" spans="1:38" ht="43.5" x14ac:dyDescent="0.35">
      <c r="A166" s="5" t="s">
        <v>2606</v>
      </c>
      <c r="B166" s="1"/>
      <c r="C166" s="5"/>
      <c r="D166" s="1"/>
      <c r="E166" s="1"/>
      <c r="F166" s="1"/>
      <c r="G166" s="1"/>
      <c r="Z166" s="1" t="s">
        <v>238</v>
      </c>
      <c r="AJ166" s="2">
        <f t="shared" si="4"/>
        <v>1</v>
      </c>
      <c r="AL166" s="2">
        <f t="shared" si="5"/>
        <v>0</v>
      </c>
    </row>
    <row r="167" spans="1:38" ht="29" x14ac:dyDescent="0.35">
      <c r="A167" s="5" t="s">
        <v>2607</v>
      </c>
      <c r="B167" s="1"/>
      <c r="C167" s="5"/>
      <c r="D167" s="1"/>
      <c r="E167" s="1"/>
      <c r="F167" s="1"/>
      <c r="G167" s="1"/>
      <c r="Z167" s="1" t="s">
        <v>239</v>
      </c>
      <c r="AJ167" s="2">
        <f t="shared" si="4"/>
        <v>1</v>
      </c>
      <c r="AL167" s="2">
        <f t="shared" si="5"/>
        <v>0</v>
      </c>
    </row>
    <row r="168" spans="1:38" ht="29" x14ac:dyDescent="0.35">
      <c r="A168" s="5" t="s">
        <v>2608</v>
      </c>
      <c r="B168" s="1"/>
      <c r="C168" s="5"/>
      <c r="D168" s="1"/>
      <c r="E168" s="1"/>
      <c r="F168" s="1"/>
      <c r="G168" s="1"/>
      <c r="Z168" s="53" t="s">
        <v>97</v>
      </c>
      <c r="AA168" s="1" t="s">
        <v>2653</v>
      </c>
      <c r="AJ168" s="2">
        <f t="shared" si="4"/>
        <v>2</v>
      </c>
      <c r="AL168" s="2">
        <f t="shared" si="5"/>
        <v>0</v>
      </c>
    </row>
    <row r="169" spans="1:38" ht="43.5" x14ac:dyDescent="0.35">
      <c r="A169" s="5" t="s">
        <v>2609</v>
      </c>
      <c r="B169" s="1"/>
      <c r="C169" s="5"/>
      <c r="D169" s="1"/>
      <c r="E169" s="1"/>
      <c r="F169" s="1"/>
      <c r="G169" s="1"/>
      <c r="Z169" s="1" t="s">
        <v>58</v>
      </c>
      <c r="AJ169" s="2">
        <f t="shared" si="4"/>
        <v>1</v>
      </c>
      <c r="AL169" s="2">
        <f t="shared" si="5"/>
        <v>0</v>
      </c>
    </row>
    <row r="170" spans="1:38" ht="29" x14ac:dyDescent="0.35">
      <c r="A170" s="5" t="s">
        <v>2610</v>
      </c>
      <c r="B170" s="1"/>
      <c r="C170" s="5"/>
      <c r="D170" s="1"/>
      <c r="E170" s="1"/>
      <c r="F170" s="1"/>
      <c r="G170" s="1"/>
      <c r="Z170" s="1" t="s">
        <v>98</v>
      </c>
      <c r="AJ170" s="2">
        <f t="shared" si="4"/>
        <v>1</v>
      </c>
      <c r="AL170" s="2">
        <f t="shared" si="5"/>
        <v>0</v>
      </c>
    </row>
    <row r="171" spans="1:38" ht="43.5" x14ac:dyDescent="0.35">
      <c r="A171" s="5" t="s">
        <v>2611</v>
      </c>
      <c r="B171" s="1"/>
      <c r="C171" s="5"/>
      <c r="D171" s="1"/>
      <c r="E171" s="1"/>
      <c r="F171" s="1"/>
      <c r="G171" s="1"/>
      <c r="Z171" s="1" t="s">
        <v>99</v>
      </c>
      <c r="AJ171" s="2">
        <f t="shared" si="4"/>
        <v>1</v>
      </c>
      <c r="AL171" s="2">
        <f t="shared" si="5"/>
        <v>0</v>
      </c>
    </row>
    <row r="172" spans="1:38" ht="43.5" x14ac:dyDescent="0.35">
      <c r="A172" s="5" t="s">
        <v>2612</v>
      </c>
      <c r="B172" s="1"/>
      <c r="C172" s="5"/>
      <c r="D172" s="1"/>
      <c r="E172" s="1"/>
      <c r="F172" s="1"/>
      <c r="G172" s="1"/>
      <c r="Z172" s="1" t="s">
        <v>100</v>
      </c>
      <c r="AJ172" s="2">
        <f t="shared" si="4"/>
        <v>1</v>
      </c>
      <c r="AL172" s="2">
        <f t="shared" si="5"/>
        <v>0</v>
      </c>
    </row>
    <row r="173" spans="1:38" ht="29" x14ac:dyDescent="0.35">
      <c r="A173" s="5" t="s">
        <v>2655</v>
      </c>
      <c r="B173" s="1"/>
      <c r="C173" s="5"/>
      <c r="D173" s="1"/>
      <c r="E173" s="1"/>
      <c r="F173" s="1"/>
      <c r="G173" s="1"/>
      <c r="AA173" s="1" t="s">
        <v>2656</v>
      </c>
      <c r="AJ173" s="2">
        <f t="shared" si="4"/>
        <v>1</v>
      </c>
      <c r="AL173" s="2">
        <f t="shared" si="5"/>
        <v>0</v>
      </c>
    </row>
    <row r="174" spans="1:38" ht="29" x14ac:dyDescent="0.35">
      <c r="A174" s="5" t="s">
        <v>2657</v>
      </c>
      <c r="B174" s="1"/>
      <c r="C174" s="5"/>
      <c r="D174" s="1"/>
      <c r="E174" s="1"/>
      <c r="F174" s="1"/>
      <c r="G174" s="1"/>
      <c r="AA174" s="1" t="s">
        <v>2658</v>
      </c>
      <c r="AJ174" s="2">
        <f t="shared" si="4"/>
        <v>1</v>
      </c>
      <c r="AL174" s="2">
        <f t="shared" si="5"/>
        <v>0</v>
      </c>
    </row>
    <row r="175" spans="1:38" ht="29" x14ac:dyDescent="0.35">
      <c r="A175" s="5" t="s">
        <v>2447</v>
      </c>
      <c r="B175" s="1"/>
      <c r="C175" s="5"/>
      <c r="D175" s="1"/>
      <c r="E175" s="1"/>
      <c r="F175" s="1"/>
      <c r="G175" s="1"/>
      <c r="U175" s="53" t="s">
        <v>923</v>
      </c>
      <c r="V175" s="1" t="s">
        <v>240</v>
      </c>
      <c r="AJ175" s="2">
        <f t="shared" si="4"/>
        <v>2</v>
      </c>
      <c r="AL175" s="2">
        <f t="shared" si="5"/>
        <v>0</v>
      </c>
    </row>
    <row r="176" spans="1:38" ht="43.5" x14ac:dyDescent="0.35">
      <c r="A176" s="5" t="s">
        <v>2448</v>
      </c>
      <c r="B176" s="1"/>
      <c r="C176" s="5"/>
      <c r="D176" s="1"/>
      <c r="E176" s="1"/>
      <c r="F176" s="1"/>
      <c r="G176" s="1"/>
      <c r="U176" s="1" t="s">
        <v>924</v>
      </c>
      <c r="AJ176" s="2">
        <f t="shared" si="4"/>
        <v>1</v>
      </c>
      <c r="AL176" s="2">
        <f t="shared" si="5"/>
        <v>0</v>
      </c>
    </row>
    <row r="177" spans="1:38" ht="29" x14ac:dyDescent="0.35">
      <c r="A177" s="5" t="s">
        <v>2449</v>
      </c>
      <c r="B177" s="1"/>
      <c r="C177" s="5"/>
      <c r="D177" s="1"/>
      <c r="E177" s="1"/>
      <c r="F177" s="1"/>
      <c r="G177" s="1"/>
      <c r="U177" s="1" t="s">
        <v>925</v>
      </c>
      <c r="AJ177" s="2">
        <f t="shared" si="4"/>
        <v>1</v>
      </c>
      <c r="AL177" s="2">
        <f t="shared" si="5"/>
        <v>0</v>
      </c>
    </row>
    <row r="178" spans="1:38" ht="43.5" x14ac:dyDescent="0.35">
      <c r="A178" s="5" t="s">
        <v>2450</v>
      </c>
      <c r="B178" s="1"/>
      <c r="C178" s="5"/>
      <c r="D178" s="1"/>
      <c r="E178" s="1"/>
      <c r="F178" s="1"/>
      <c r="G178" s="1"/>
      <c r="U178" s="1" t="s">
        <v>926</v>
      </c>
      <c r="AJ178" s="2">
        <f t="shared" si="4"/>
        <v>1</v>
      </c>
      <c r="AL178" s="2">
        <f t="shared" si="5"/>
        <v>0</v>
      </c>
    </row>
    <row r="179" spans="1:38" ht="29" x14ac:dyDescent="0.35">
      <c r="A179" s="5" t="s">
        <v>2451</v>
      </c>
      <c r="B179" s="1"/>
      <c r="C179" s="5"/>
      <c r="D179" s="1"/>
      <c r="E179" s="1"/>
      <c r="F179" s="1"/>
      <c r="G179" s="1"/>
      <c r="U179" s="1" t="s">
        <v>927</v>
      </c>
      <c r="AJ179" s="2">
        <f t="shared" si="4"/>
        <v>1</v>
      </c>
      <c r="AL179" s="2">
        <f t="shared" si="5"/>
        <v>0</v>
      </c>
    </row>
    <row r="180" spans="1:38" ht="43.5" x14ac:dyDescent="0.35">
      <c r="A180" s="5" t="s">
        <v>2452</v>
      </c>
      <c r="B180" s="1"/>
      <c r="C180" s="5"/>
      <c r="D180" s="1"/>
      <c r="E180" s="1"/>
      <c r="F180" s="1"/>
      <c r="G180" s="1"/>
      <c r="U180" s="1" t="s">
        <v>928</v>
      </c>
      <c r="AJ180" s="2">
        <f t="shared" si="4"/>
        <v>1</v>
      </c>
      <c r="AL180" s="2">
        <f t="shared" si="5"/>
        <v>0</v>
      </c>
    </row>
    <row r="181" spans="1:38" ht="43.5" x14ac:dyDescent="0.35">
      <c r="A181" s="5" t="s">
        <v>2453</v>
      </c>
      <c r="B181" s="1"/>
      <c r="C181" s="5"/>
      <c r="D181" s="1"/>
      <c r="E181" s="1"/>
      <c r="F181" s="1"/>
      <c r="G181" s="1"/>
      <c r="U181" s="1" t="s">
        <v>929</v>
      </c>
      <c r="AJ181" s="2">
        <f t="shared" si="4"/>
        <v>1</v>
      </c>
      <c r="AL181" s="2">
        <f t="shared" si="5"/>
        <v>0</v>
      </c>
    </row>
    <row r="182" spans="1:38" ht="43.5" x14ac:dyDescent="0.35">
      <c r="A182" s="5" t="s">
        <v>2537</v>
      </c>
      <c r="B182" s="1"/>
      <c r="C182" s="5"/>
      <c r="D182" s="1"/>
      <c r="E182" s="1"/>
      <c r="F182" s="1"/>
      <c r="G182" s="1"/>
      <c r="V182" s="1" t="s">
        <v>96</v>
      </c>
      <c r="AJ182" s="2">
        <f t="shared" si="4"/>
        <v>1</v>
      </c>
      <c r="AL182" s="2">
        <f t="shared" si="5"/>
        <v>0</v>
      </c>
    </row>
    <row r="183" spans="1:38" ht="43.5" x14ac:dyDescent="0.35">
      <c r="A183" s="5" t="s">
        <v>2538</v>
      </c>
      <c r="B183" s="1"/>
      <c r="C183" s="5"/>
      <c r="D183" s="1"/>
      <c r="E183" s="1"/>
      <c r="F183" s="1"/>
      <c r="G183" s="1"/>
      <c r="V183" s="1" t="s">
        <v>97</v>
      </c>
      <c r="AJ183" s="2">
        <f t="shared" si="4"/>
        <v>1</v>
      </c>
      <c r="AL183" s="2">
        <f t="shared" si="5"/>
        <v>0</v>
      </c>
    </row>
    <row r="184" spans="1:38" ht="43.5" x14ac:dyDescent="0.35">
      <c r="A184" s="5" t="s">
        <v>2539</v>
      </c>
      <c r="B184" s="1"/>
      <c r="C184" s="5"/>
      <c r="D184" s="1"/>
      <c r="E184" s="1"/>
      <c r="F184" s="1"/>
      <c r="G184" s="1"/>
      <c r="V184" s="1" t="s">
        <v>58</v>
      </c>
      <c r="AJ184" s="2">
        <f t="shared" si="4"/>
        <v>1</v>
      </c>
      <c r="AL184" s="2">
        <f t="shared" si="5"/>
        <v>0</v>
      </c>
    </row>
    <row r="185" spans="1:38" ht="43.5" x14ac:dyDescent="0.35">
      <c r="A185" s="5" t="s">
        <v>2540</v>
      </c>
      <c r="B185" s="1"/>
      <c r="C185" s="5"/>
      <c r="D185" s="1"/>
      <c r="E185" s="1"/>
      <c r="F185" s="1"/>
      <c r="G185" s="1"/>
      <c r="V185" s="1" t="s">
        <v>98</v>
      </c>
      <c r="AJ185" s="2">
        <f t="shared" si="4"/>
        <v>1</v>
      </c>
      <c r="AL185" s="2">
        <f t="shared" si="5"/>
        <v>0</v>
      </c>
    </row>
    <row r="186" spans="1:38" ht="43.5" x14ac:dyDescent="0.35">
      <c r="A186" s="5" t="s">
        <v>2541</v>
      </c>
      <c r="B186" s="1"/>
      <c r="C186" s="5"/>
      <c r="D186" s="1"/>
      <c r="E186" s="1"/>
      <c r="F186" s="1"/>
      <c r="G186" s="1"/>
      <c r="V186" s="1" t="s">
        <v>99</v>
      </c>
      <c r="AJ186" s="2">
        <f t="shared" si="4"/>
        <v>1</v>
      </c>
      <c r="AL186" s="2">
        <f t="shared" si="5"/>
        <v>0</v>
      </c>
    </row>
    <row r="187" spans="1:38" ht="43.5" x14ac:dyDescent="0.35">
      <c r="A187" s="5" t="s">
        <v>2542</v>
      </c>
      <c r="B187" s="1"/>
      <c r="C187" s="5"/>
      <c r="D187" s="1"/>
      <c r="E187" s="1"/>
      <c r="F187" s="1"/>
      <c r="G187" s="1"/>
      <c r="V187" s="1" t="s">
        <v>100</v>
      </c>
      <c r="AJ187" s="2">
        <f t="shared" si="4"/>
        <v>1</v>
      </c>
      <c r="AL187" s="2">
        <f t="shared" si="5"/>
        <v>0</v>
      </c>
    </row>
    <row r="188" spans="1:38" ht="58" x14ac:dyDescent="0.35">
      <c r="A188" s="5" t="s">
        <v>2543</v>
      </c>
      <c r="B188" s="1"/>
      <c r="C188" s="5"/>
      <c r="D188" s="1"/>
      <c r="E188" s="1"/>
      <c r="F188" s="1"/>
      <c r="G188" s="1"/>
      <c r="V188" s="1" t="s">
        <v>101</v>
      </c>
      <c r="AJ188" s="2">
        <f t="shared" si="4"/>
        <v>1</v>
      </c>
      <c r="AL188" s="2">
        <f t="shared" si="5"/>
        <v>0</v>
      </c>
    </row>
    <row r="189" spans="1:38" ht="43.5" x14ac:dyDescent="0.35">
      <c r="A189" s="5" t="s">
        <v>2614</v>
      </c>
      <c r="B189" s="1"/>
      <c r="C189" s="5"/>
      <c r="D189" s="1"/>
      <c r="E189" s="1"/>
      <c r="F189" s="1"/>
      <c r="G189" s="1"/>
      <c r="Z189" s="1" t="s">
        <v>241</v>
      </c>
      <c r="AJ189" s="2">
        <f t="shared" si="4"/>
        <v>1</v>
      </c>
      <c r="AL189" s="2">
        <f t="shared" si="5"/>
        <v>0</v>
      </c>
    </row>
    <row r="190" spans="1:38" ht="29" x14ac:dyDescent="0.35">
      <c r="A190" s="5" t="s">
        <v>2613</v>
      </c>
      <c r="B190" s="1"/>
      <c r="C190" s="5"/>
      <c r="D190" s="1"/>
      <c r="E190" s="1"/>
      <c r="F190" s="1"/>
      <c r="G190" s="1"/>
      <c r="Z190" s="1" t="s">
        <v>242</v>
      </c>
      <c r="AJ190" s="2">
        <f t="shared" si="4"/>
        <v>1</v>
      </c>
      <c r="AL190" s="2">
        <f t="shared" si="5"/>
        <v>0</v>
      </c>
    </row>
    <row r="191" spans="1:38" ht="29" x14ac:dyDescent="0.35">
      <c r="A191" s="5" t="s">
        <v>2615</v>
      </c>
      <c r="B191" s="1"/>
      <c r="C191" s="5"/>
      <c r="D191" s="1"/>
      <c r="E191" s="1"/>
      <c r="F191" s="1"/>
      <c r="G191" s="1"/>
      <c r="Z191" s="1" t="s">
        <v>243</v>
      </c>
      <c r="AJ191" s="2">
        <f t="shared" si="4"/>
        <v>1</v>
      </c>
      <c r="AL191" s="2">
        <f t="shared" si="5"/>
        <v>0</v>
      </c>
    </row>
    <row r="192" spans="1:38" ht="43.5" x14ac:dyDescent="0.35">
      <c r="A192" s="5" t="s">
        <v>2616</v>
      </c>
      <c r="B192" s="1"/>
      <c r="C192" s="5"/>
      <c r="D192" s="1"/>
      <c r="E192" s="1"/>
      <c r="F192" s="1"/>
      <c r="G192" s="1"/>
      <c r="Z192" s="1" t="s">
        <v>490</v>
      </c>
      <c r="AJ192" s="2">
        <f t="shared" si="4"/>
        <v>1</v>
      </c>
      <c r="AL192" s="2">
        <f t="shared" si="5"/>
        <v>0</v>
      </c>
    </row>
    <row r="193" spans="1:38" ht="43.5" x14ac:dyDescent="0.35">
      <c r="A193" s="5" t="s">
        <v>2617</v>
      </c>
      <c r="B193" s="1"/>
      <c r="C193" s="5"/>
      <c r="D193" s="1"/>
      <c r="E193" s="1"/>
      <c r="F193" s="1"/>
      <c r="G193" s="1"/>
      <c r="Z193" s="1" t="s">
        <v>245</v>
      </c>
      <c r="AJ193" s="2">
        <f t="shared" si="4"/>
        <v>1</v>
      </c>
      <c r="AL193" s="2">
        <f t="shared" si="5"/>
        <v>0</v>
      </c>
    </row>
    <row r="194" spans="1:38" ht="43.5" x14ac:dyDescent="0.35">
      <c r="A194" s="5" t="s">
        <v>2618</v>
      </c>
      <c r="B194" s="1"/>
      <c r="C194" s="5"/>
      <c r="D194" s="1"/>
      <c r="E194" s="1"/>
      <c r="F194" s="1"/>
      <c r="G194" s="1"/>
      <c r="Z194" s="1" t="s">
        <v>247</v>
      </c>
      <c r="AJ194" s="2">
        <f t="shared" si="4"/>
        <v>1</v>
      </c>
      <c r="AL194" s="2">
        <f t="shared" si="5"/>
        <v>0</v>
      </c>
    </row>
    <row r="195" spans="1:38" ht="43.5" x14ac:dyDescent="0.35">
      <c r="A195" s="5" t="s">
        <v>2619</v>
      </c>
      <c r="B195" s="1"/>
      <c r="C195" s="5"/>
      <c r="D195" s="1"/>
      <c r="E195" s="1"/>
      <c r="F195" s="1"/>
      <c r="G195" s="1"/>
      <c r="Z195" s="1" t="s">
        <v>249</v>
      </c>
      <c r="AJ195" s="2">
        <f t="shared" ref="AJ195:AJ235" si="6">COUNTA(B195:AH195)</f>
        <v>1</v>
      </c>
      <c r="AL195" s="2">
        <f t="shared" ref="AL195:AL235" si="7">COUNTA(F195:O195,R195:S195)</f>
        <v>0</v>
      </c>
    </row>
    <row r="196" spans="1:38" ht="29" x14ac:dyDescent="0.35">
      <c r="A196" s="5" t="s">
        <v>2620</v>
      </c>
      <c r="B196" s="1"/>
      <c r="C196" s="5"/>
      <c r="D196" s="1"/>
      <c r="E196" s="1"/>
      <c r="F196" s="1"/>
      <c r="G196" s="1"/>
      <c r="Z196" s="1" t="s">
        <v>251</v>
      </c>
      <c r="AJ196" s="2">
        <f t="shared" si="6"/>
        <v>1</v>
      </c>
      <c r="AL196" s="2">
        <f t="shared" si="7"/>
        <v>0</v>
      </c>
    </row>
    <row r="197" spans="1:38" ht="29" x14ac:dyDescent="0.35">
      <c r="A197" s="5" t="s">
        <v>2621</v>
      </c>
      <c r="B197" s="1"/>
      <c r="C197" s="5"/>
      <c r="D197" s="1"/>
      <c r="E197" s="1"/>
      <c r="F197" s="1"/>
      <c r="G197" s="1"/>
      <c r="Z197" s="1" t="s">
        <v>253</v>
      </c>
      <c r="AJ197" s="2">
        <f t="shared" si="6"/>
        <v>1</v>
      </c>
      <c r="AL197" s="2">
        <f t="shared" si="7"/>
        <v>0</v>
      </c>
    </row>
    <row r="198" spans="1:38" ht="29" x14ac:dyDescent="0.35">
      <c r="A198" s="5" t="s">
        <v>2622</v>
      </c>
      <c r="B198" s="1"/>
      <c r="C198" s="5"/>
      <c r="D198" s="1"/>
      <c r="E198" s="1"/>
      <c r="F198" s="1"/>
      <c r="G198" s="1"/>
      <c r="Z198" s="1" t="s">
        <v>497</v>
      </c>
      <c r="AJ198" s="2">
        <f t="shared" si="6"/>
        <v>1</v>
      </c>
      <c r="AL198" s="2">
        <f t="shared" si="7"/>
        <v>0</v>
      </c>
    </row>
    <row r="199" spans="1:38" ht="29" x14ac:dyDescent="0.35">
      <c r="A199" s="5" t="s">
        <v>2623</v>
      </c>
      <c r="B199" s="1"/>
      <c r="C199" s="5"/>
      <c r="D199" s="1"/>
      <c r="E199" s="1"/>
      <c r="F199" s="1"/>
      <c r="G199" s="1"/>
      <c r="Z199" s="1" t="s">
        <v>499</v>
      </c>
      <c r="AJ199" s="2">
        <f t="shared" si="6"/>
        <v>1</v>
      </c>
      <c r="AL199" s="2">
        <f t="shared" si="7"/>
        <v>0</v>
      </c>
    </row>
    <row r="200" spans="1:38" ht="43.5" x14ac:dyDescent="0.35">
      <c r="A200" s="5" t="s">
        <v>2624</v>
      </c>
      <c r="B200" s="1"/>
      <c r="C200" s="5"/>
      <c r="D200" s="1"/>
      <c r="E200" s="1"/>
      <c r="F200" s="1"/>
      <c r="G200" s="1"/>
      <c r="Z200" s="1" t="s">
        <v>500</v>
      </c>
      <c r="AJ200" s="2">
        <f t="shared" si="6"/>
        <v>1</v>
      </c>
      <c r="AL200" s="2">
        <f t="shared" si="7"/>
        <v>0</v>
      </c>
    </row>
    <row r="201" spans="1:38" ht="43.5" x14ac:dyDescent="0.35">
      <c r="A201" s="5" t="s">
        <v>2625</v>
      </c>
      <c r="B201" s="1"/>
      <c r="C201" s="5"/>
      <c r="D201" s="1"/>
      <c r="E201" s="1"/>
      <c r="F201" s="1"/>
      <c r="G201" s="1"/>
      <c r="Z201" s="1" t="s">
        <v>501</v>
      </c>
      <c r="AJ201" s="2">
        <f t="shared" si="6"/>
        <v>1</v>
      </c>
      <c r="AL201" s="2">
        <f t="shared" si="7"/>
        <v>0</v>
      </c>
    </row>
    <row r="202" spans="1:38" ht="43.5" x14ac:dyDescent="0.35">
      <c r="A202" s="5" t="s">
        <v>2626</v>
      </c>
      <c r="B202" s="1"/>
      <c r="C202" s="5"/>
      <c r="D202" s="1"/>
      <c r="E202" s="1"/>
      <c r="F202" s="1"/>
      <c r="G202" s="1"/>
      <c r="Z202" s="1" t="s">
        <v>502</v>
      </c>
      <c r="AJ202" s="2">
        <f t="shared" si="6"/>
        <v>1</v>
      </c>
      <c r="AL202" s="2">
        <f t="shared" si="7"/>
        <v>0</v>
      </c>
    </row>
    <row r="203" spans="1:38" ht="43.5" x14ac:dyDescent="0.35">
      <c r="A203" s="5" t="s">
        <v>2627</v>
      </c>
      <c r="B203" s="1"/>
      <c r="C203" s="5"/>
      <c r="D203" s="1"/>
      <c r="E203" s="1"/>
      <c r="F203" s="1"/>
      <c r="G203" s="1"/>
      <c r="Z203" s="1" t="s">
        <v>503</v>
      </c>
      <c r="AJ203" s="2">
        <f t="shared" si="6"/>
        <v>1</v>
      </c>
      <c r="AL203" s="2">
        <f t="shared" si="7"/>
        <v>0</v>
      </c>
    </row>
    <row r="204" spans="1:38" ht="43.5" x14ac:dyDescent="0.35">
      <c r="A204" s="5" t="s">
        <v>2628</v>
      </c>
      <c r="B204" s="1"/>
      <c r="C204" s="5"/>
      <c r="D204" s="1"/>
      <c r="E204" s="1"/>
      <c r="F204" s="1"/>
      <c r="G204" s="1"/>
      <c r="Z204" s="1" t="s">
        <v>504</v>
      </c>
      <c r="AJ204" s="2">
        <f t="shared" si="6"/>
        <v>1</v>
      </c>
      <c r="AL204" s="2">
        <f t="shared" si="7"/>
        <v>0</v>
      </c>
    </row>
    <row r="205" spans="1:38" ht="29" x14ac:dyDescent="0.35">
      <c r="A205" s="5" t="s">
        <v>2323</v>
      </c>
      <c r="B205" s="1"/>
      <c r="C205" s="5"/>
      <c r="D205" s="1"/>
      <c r="E205" s="1"/>
      <c r="F205" s="1"/>
      <c r="G205" s="1"/>
      <c r="T205" s="1" t="s">
        <v>1002</v>
      </c>
      <c r="AJ205" s="2">
        <f t="shared" si="6"/>
        <v>1</v>
      </c>
      <c r="AL205" s="2">
        <f t="shared" si="7"/>
        <v>0</v>
      </c>
    </row>
    <row r="206" spans="1:38" ht="29" x14ac:dyDescent="0.35">
      <c r="A206" s="5" t="s">
        <v>2324</v>
      </c>
      <c r="B206" s="1"/>
      <c r="C206" s="5"/>
      <c r="D206" s="1"/>
      <c r="E206" s="1"/>
      <c r="F206" s="1"/>
      <c r="G206" s="1"/>
      <c r="T206" s="1" t="s">
        <v>1003</v>
      </c>
      <c r="AJ206" s="2">
        <f t="shared" si="6"/>
        <v>1</v>
      </c>
      <c r="AL206" s="2">
        <f t="shared" si="7"/>
        <v>0</v>
      </c>
    </row>
    <row r="207" spans="1:38" ht="29" x14ac:dyDescent="0.35">
      <c r="A207" s="5" t="s">
        <v>2325</v>
      </c>
      <c r="B207" s="1"/>
      <c r="C207" s="5"/>
      <c r="D207" s="1"/>
      <c r="E207" s="1"/>
      <c r="F207" s="1"/>
      <c r="G207" s="1"/>
      <c r="T207" s="1" t="s">
        <v>1004</v>
      </c>
      <c r="AJ207" s="2">
        <f t="shared" si="6"/>
        <v>1</v>
      </c>
      <c r="AL207" s="2">
        <f t="shared" si="7"/>
        <v>0</v>
      </c>
    </row>
    <row r="208" spans="1:38" ht="29" x14ac:dyDescent="0.35">
      <c r="A208" s="5" t="s">
        <v>2326</v>
      </c>
      <c r="B208" s="1"/>
      <c r="C208" s="5"/>
      <c r="D208" s="1"/>
      <c r="E208" s="1"/>
      <c r="F208" s="1"/>
      <c r="G208" s="1"/>
      <c r="T208" s="1" t="s">
        <v>1190</v>
      </c>
      <c r="AJ208" s="2">
        <f t="shared" si="6"/>
        <v>1</v>
      </c>
      <c r="AL208" s="2">
        <f t="shared" si="7"/>
        <v>0</v>
      </c>
    </row>
    <row r="209" spans="1:38" ht="29" x14ac:dyDescent="0.35">
      <c r="A209" s="5" t="s">
        <v>2327</v>
      </c>
      <c r="B209" s="1"/>
      <c r="C209" s="5"/>
      <c r="D209" s="1"/>
      <c r="E209" s="1"/>
      <c r="F209" s="1"/>
      <c r="G209" s="1"/>
      <c r="T209" s="1" t="s">
        <v>1005</v>
      </c>
      <c r="AJ209" s="2">
        <f t="shared" si="6"/>
        <v>1</v>
      </c>
      <c r="AL209" s="2">
        <f t="shared" si="7"/>
        <v>0</v>
      </c>
    </row>
    <row r="210" spans="1:38" ht="29" x14ac:dyDescent="0.35">
      <c r="A210" s="5" t="s">
        <v>2328</v>
      </c>
      <c r="B210" s="1"/>
      <c r="C210" s="5"/>
      <c r="D210" s="1"/>
      <c r="E210" s="1"/>
      <c r="F210" s="1"/>
      <c r="G210" s="1"/>
      <c r="T210" s="1" t="s">
        <v>1006</v>
      </c>
      <c r="AJ210" s="2">
        <f t="shared" si="6"/>
        <v>1</v>
      </c>
      <c r="AL210" s="2">
        <f t="shared" si="7"/>
        <v>0</v>
      </c>
    </row>
    <row r="211" spans="1:38" ht="29" x14ac:dyDescent="0.35">
      <c r="A211" s="5" t="s">
        <v>2329</v>
      </c>
      <c r="B211" s="1"/>
      <c r="C211" s="5"/>
      <c r="D211" s="1"/>
      <c r="E211" s="1"/>
      <c r="F211" s="1"/>
      <c r="G211" s="1"/>
      <c r="T211" s="1" t="s">
        <v>1007</v>
      </c>
      <c r="AJ211" s="2">
        <f t="shared" si="6"/>
        <v>1</v>
      </c>
      <c r="AL211" s="2">
        <f t="shared" si="7"/>
        <v>0</v>
      </c>
    </row>
    <row r="212" spans="1:38" ht="43.5" x14ac:dyDescent="0.35">
      <c r="A212" s="5" t="s">
        <v>2330</v>
      </c>
      <c r="B212" s="1"/>
      <c r="C212" s="5"/>
      <c r="D212" s="1"/>
      <c r="E212" s="1"/>
      <c r="F212" s="1"/>
      <c r="G212" s="1"/>
      <c r="T212" s="1" t="s">
        <v>1008</v>
      </c>
      <c r="AJ212" s="2">
        <f t="shared" si="6"/>
        <v>1</v>
      </c>
      <c r="AL212" s="2">
        <f t="shared" si="7"/>
        <v>0</v>
      </c>
    </row>
    <row r="213" spans="1:38" ht="29" x14ac:dyDescent="0.35">
      <c r="A213" s="5" t="s">
        <v>2331</v>
      </c>
      <c r="B213" s="1"/>
      <c r="C213" s="5"/>
      <c r="D213" s="1"/>
      <c r="E213" s="1"/>
      <c r="F213" s="1"/>
      <c r="G213" s="1"/>
      <c r="T213" s="1" t="s">
        <v>1009</v>
      </c>
      <c r="AJ213" s="2">
        <f t="shared" si="6"/>
        <v>1</v>
      </c>
      <c r="AL213" s="2">
        <f t="shared" si="7"/>
        <v>0</v>
      </c>
    </row>
    <row r="214" spans="1:38" ht="29" x14ac:dyDescent="0.35">
      <c r="A214" s="5" t="s">
        <v>2332</v>
      </c>
      <c r="B214" s="1"/>
      <c r="C214" s="5"/>
      <c r="D214" s="1"/>
      <c r="E214" s="1"/>
      <c r="F214" s="1"/>
      <c r="G214" s="1"/>
      <c r="T214" s="1" t="s">
        <v>1010</v>
      </c>
      <c r="AJ214" s="2">
        <f t="shared" si="6"/>
        <v>1</v>
      </c>
      <c r="AL214" s="2">
        <f t="shared" si="7"/>
        <v>0</v>
      </c>
    </row>
    <row r="215" spans="1:38" ht="29" x14ac:dyDescent="0.35">
      <c r="A215" s="5" t="s">
        <v>2454</v>
      </c>
      <c r="B215" s="1"/>
      <c r="C215" s="5"/>
      <c r="D215" s="1"/>
      <c r="E215" s="1"/>
      <c r="F215" s="1"/>
      <c r="G215" s="1"/>
      <c r="U215" s="54" t="s">
        <v>968</v>
      </c>
      <c r="V215" s="1" t="s">
        <v>499</v>
      </c>
      <c r="AJ215" s="2">
        <f t="shared" si="6"/>
        <v>2</v>
      </c>
      <c r="AL215" s="2">
        <f t="shared" si="7"/>
        <v>0</v>
      </c>
    </row>
    <row r="216" spans="1:38" ht="29" x14ac:dyDescent="0.35">
      <c r="A216" s="5" t="s">
        <v>2455</v>
      </c>
      <c r="B216" s="1"/>
      <c r="C216" s="5"/>
      <c r="D216" s="1"/>
      <c r="E216" s="1"/>
      <c r="F216" s="1"/>
      <c r="G216" s="1"/>
      <c r="U216" s="54" t="s">
        <v>969</v>
      </c>
      <c r="V216" s="1" t="s">
        <v>500</v>
      </c>
      <c r="AJ216" s="2">
        <f t="shared" si="6"/>
        <v>2</v>
      </c>
      <c r="AL216" s="2">
        <f t="shared" si="7"/>
        <v>0</v>
      </c>
    </row>
    <row r="217" spans="1:38" ht="29" x14ac:dyDescent="0.35">
      <c r="A217" s="5" t="s">
        <v>2456</v>
      </c>
      <c r="B217" s="1"/>
      <c r="C217" s="5"/>
      <c r="D217" s="1"/>
      <c r="E217" s="1"/>
      <c r="F217" s="1"/>
      <c r="G217" s="1"/>
      <c r="U217" s="54" t="s">
        <v>970</v>
      </c>
      <c r="V217" s="1" t="s">
        <v>501</v>
      </c>
      <c r="AJ217" s="2">
        <f t="shared" si="6"/>
        <v>2</v>
      </c>
      <c r="AL217" s="2">
        <f t="shared" si="7"/>
        <v>0</v>
      </c>
    </row>
    <row r="218" spans="1:38" ht="29" x14ac:dyDescent="0.35">
      <c r="A218" s="5" t="s">
        <v>2457</v>
      </c>
      <c r="B218" s="1"/>
      <c r="C218" s="5"/>
      <c r="D218" s="1"/>
      <c r="E218" s="1"/>
      <c r="F218" s="1"/>
      <c r="G218" s="1"/>
      <c r="U218" s="54" t="s">
        <v>1713</v>
      </c>
      <c r="V218" s="1" t="s">
        <v>502</v>
      </c>
      <c r="AJ218" s="2">
        <f t="shared" si="6"/>
        <v>2</v>
      </c>
      <c r="AL218" s="2">
        <f t="shared" si="7"/>
        <v>0</v>
      </c>
    </row>
    <row r="219" spans="1:38" ht="29" x14ac:dyDescent="0.35">
      <c r="A219" s="5" t="s">
        <v>2458</v>
      </c>
      <c r="B219" s="1"/>
      <c r="C219" s="5"/>
      <c r="D219" s="1"/>
      <c r="E219" s="1"/>
      <c r="F219" s="1"/>
      <c r="G219" s="1"/>
      <c r="U219" s="54" t="s">
        <v>1714</v>
      </c>
      <c r="V219" s="1" t="s">
        <v>503</v>
      </c>
      <c r="AJ219" s="2">
        <f t="shared" si="6"/>
        <v>2</v>
      </c>
      <c r="AL219" s="2">
        <f t="shared" si="7"/>
        <v>0</v>
      </c>
    </row>
    <row r="220" spans="1:38" ht="29" x14ac:dyDescent="0.35">
      <c r="A220" s="5" t="s">
        <v>2459</v>
      </c>
      <c r="B220" s="1"/>
      <c r="C220" s="5"/>
      <c r="D220" s="1"/>
      <c r="E220" s="1"/>
      <c r="F220" s="1"/>
      <c r="G220" s="1"/>
      <c r="U220" s="54" t="s">
        <v>1716</v>
      </c>
      <c r="V220" s="1" t="s">
        <v>245</v>
      </c>
      <c r="AJ220" s="2">
        <f t="shared" si="6"/>
        <v>2</v>
      </c>
      <c r="AL220" s="2">
        <f t="shared" si="7"/>
        <v>0</v>
      </c>
    </row>
    <row r="221" spans="1:38" ht="29" x14ac:dyDescent="0.35">
      <c r="A221" s="5" t="s">
        <v>2460</v>
      </c>
      <c r="B221" s="1"/>
      <c r="C221" s="5"/>
      <c r="D221" s="1"/>
      <c r="E221" s="1"/>
      <c r="F221" s="1"/>
      <c r="G221" s="1"/>
      <c r="U221" s="54" t="s">
        <v>1715</v>
      </c>
      <c r="V221" s="1" t="s">
        <v>247</v>
      </c>
      <c r="AJ221" s="2">
        <f t="shared" si="6"/>
        <v>2</v>
      </c>
      <c r="AL221" s="2">
        <f t="shared" si="7"/>
        <v>0</v>
      </c>
    </row>
    <row r="222" spans="1:38" ht="29" x14ac:dyDescent="0.35">
      <c r="A222" s="5" t="s">
        <v>2461</v>
      </c>
      <c r="B222" s="1"/>
      <c r="C222" s="5"/>
      <c r="D222" s="1"/>
      <c r="E222" s="1"/>
      <c r="F222" s="1"/>
      <c r="G222" s="1"/>
      <c r="U222" s="54" t="s">
        <v>1718</v>
      </c>
      <c r="V222" s="1" t="s">
        <v>249</v>
      </c>
      <c r="AJ222" s="2">
        <f t="shared" si="6"/>
        <v>2</v>
      </c>
      <c r="AL222" s="2">
        <f t="shared" si="7"/>
        <v>0</v>
      </c>
    </row>
    <row r="223" spans="1:38" ht="29" x14ac:dyDescent="0.35">
      <c r="A223" s="5" t="s">
        <v>2462</v>
      </c>
      <c r="B223" s="1"/>
      <c r="C223" s="5"/>
      <c r="D223" s="1"/>
      <c r="E223" s="1"/>
      <c r="F223" s="1"/>
      <c r="G223" s="1"/>
      <c r="U223" s="54" t="s">
        <v>1719</v>
      </c>
      <c r="V223" s="1" t="s">
        <v>251</v>
      </c>
      <c r="AJ223" s="2">
        <f t="shared" si="6"/>
        <v>2</v>
      </c>
      <c r="AL223" s="2">
        <f t="shared" si="7"/>
        <v>0</v>
      </c>
    </row>
    <row r="224" spans="1:38" ht="29" x14ac:dyDescent="0.35">
      <c r="A224" s="5" t="s">
        <v>2463</v>
      </c>
      <c r="B224" s="1"/>
      <c r="C224" s="5"/>
      <c r="D224" s="1"/>
      <c r="E224" s="1"/>
      <c r="F224" s="1"/>
      <c r="G224" s="1"/>
      <c r="U224" s="54" t="s">
        <v>1720</v>
      </c>
      <c r="V224" s="1" t="s">
        <v>253</v>
      </c>
      <c r="AJ224" s="2">
        <f t="shared" si="6"/>
        <v>2</v>
      </c>
      <c r="AL224" s="2">
        <f t="shared" si="7"/>
        <v>0</v>
      </c>
    </row>
    <row r="225" spans="1:38" ht="29" x14ac:dyDescent="0.35">
      <c r="A225" s="5" t="s">
        <v>2464</v>
      </c>
      <c r="B225" s="1"/>
      <c r="C225" s="5"/>
      <c r="D225" s="1"/>
      <c r="E225" s="1"/>
      <c r="F225" s="1"/>
      <c r="G225" s="1"/>
      <c r="U225" s="1" t="s">
        <v>1721</v>
      </c>
      <c r="AJ225" s="2">
        <f t="shared" si="6"/>
        <v>1</v>
      </c>
      <c r="AL225" s="2">
        <f t="shared" si="7"/>
        <v>0</v>
      </c>
    </row>
    <row r="226" spans="1:38" ht="29" x14ac:dyDescent="0.35">
      <c r="A226" s="5" t="s">
        <v>2465</v>
      </c>
      <c r="B226" s="1"/>
      <c r="C226" s="5"/>
      <c r="D226" s="1"/>
      <c r="E226" s="1"/>
      <c r="F226" s="1"/>
      <c r="G226" s="1"/>
      <c r="U226" s="1" t="s">
        <v>1722</v>
      </c>
      <c r="AJ226" s="2">
        <f t="shared" si="6"/>
        <v>1</v>
      </c>
      <c r="AL226" s="2">
        <f t="shared" si="7"/>
        <v>0</v>
      </c>
    </row>
    <row r="227" spans="1:38" ht="29" x14ac:dyDescent="0.35">
      <c r="A227" s="5" t="s">
        <v>2466</v>
      </c>
      <c r="B227" s="1"/>
      <c r="C227" s="5"/>
      <c r="D227" s="1"/>
      <c r="E227" s="1"/>
      <c r="F227" s="1"/>
      <c r="G227" s="1"/>
      <c r="U227" s="1" t="s">
        <v>1725</v>
      </c>
      <c r="AJ227" s="2">
        <f t="shared" si="6"/>
        <v>1</v>
      </c>
      <c r="AL227" s="2">
        <f t="shared" si="7"/>
        <v>0</v>
      </c>
    </row>
    <row r="228" spans="1:38" ht="29" x14ac:dyDescent="0.35">
      <c r="A228" s="5" t="s">
        <v>2467</v>
      </c>
      <c r="B228" s="1"/>
      <c r="C228" s="5"/>
      <c r="D228" s="1"/>
      <c r="E228" s="1"/>
      <c r="F228" s="1"/>
      <c r="G228" s="1"/>
      <c r="U228" s="54" t="s">
        <v>1727</v>
      </c>
      <c r="V228" s="1" t="s">
        <v>656</v>
      </c>
      <c r="AJ228" s="2">
        <f t="shared" si="6"/>
        <v>2</v>
      </c>
      <c r="AL228" s="2">
        <f t="shared" si="7"/>
        <v>0</v>
      </c>
    </row>
    <row r="229" spans="1:38" ht="29" x14ac:dyDescent="0.35">
      <c r="A229" s="5" t="s">
        <v>2468</v>
      </c>
      <c r="B229" s="1"/>
      <c r="C229" s="5"/>
      <c r="D229" s="1"/>
      <c r="E229" s="1"/>
      <c r="F229" s="1"/>
      <c r="G229" s="1"/>
      <c r="U229" s="54" t="s">
        <v>1953</v>
      </c>
      <c r="V229" s="1" t="s">
        <v>506</v>
      </c>
      <c r="AJ229" s="2">
        <f t="shared" si="6"/>
        <v>2</v>
      </c>
      <c r="AL229" s="2">
        <f t="shared" si="7"/>
        <v>0</v>
      </c>
    </row>
    <row r="230" spans="1:38" ht="29" x14ac:dyDescent="0.35">
      <c r="A230" s="5" t="s">
        <v>2469</v>
      </c>
      <c r="B230" s="1"/>
      <c r="C230" s="5"/>
      <c r="D230" s="1"/>
      <c r="E230" s="1"/>
      <c r="F230" s="1"/>
      <c r="G230" s="1"/>
      <c r="U230" s="54" t="s">
        <v>1728</v>
      </c>
      <c r="V230" s="1" t="s">
        <v>508</v>
      </c>
      <c r="AJ230" s="2">
        <f t="shared" si="6"/>
        <v>2</v>
      </c>
      <c r="AL230" s="2">
        <f t="shared" si="7"/>
        <v>0</v>
      </c>
    </row>
    <row r="231" spans="1:38" ht="29" x14ac:dyDescent="0.35">
      <c r="A231" s="5" t="s">
        <v>2470</v>
      </c>
      <c r="B231" s="1"/>
      <c r="C231" s="5"/>
      <c r="D231" s="1"/>
      <c r="E231" s="1"/>
      <c r="F231" s="1"/>
      <c r="G231" s="1"/>
      <c r="U231" s="54" t="s">
        <v>1729</v>
      </c>
      <c r="V231" s="1" t="s">
        <v>510</v>
      </c>
      <c r="AJ231" s="2">
        <f t="shared" si="6"/>
        <v>2</v>
      </c>
      <c r="AL231" s="2">
        <f t="shared" si="7"/>
        <v>0</v>
      </c>
    </row>
    <row r="232" spans="1:38" ht="29" x14ac:dyDescent="0.35">
      <c r="A232" s="5" t="s">
        <v>2471</v>
      </c>
      <c r="B232" s="1"/>
      <c r="C232" s="5"/>
      <c r="D232" s="1"/>
      <c r="E232" s="1"/>
      <c r="F232" s="1"/>
      <c r="G232" s="1"/>
      <c r="U232" s="54" t="s">
        <v>1730</v>
      </c>
      <c r="V232" s="1" t="s">
        <v>512</v>
      </c>
      <c r="AJ232" s="2">
        <f t="shared" si="6"/>
        <v>2</v>
      </c>
      <c r="AL232" s="2">
        <f t="shared" si="7"/>
        <v>0</v>
      </c>
    </row>
    <row r="233" spans="1:38" x14ac:dyDescent="0.35">
      <c r="A233" s="5" t="s">
        <v>2780</v>
      </c>
      <c r="B233" s="1"/>
      <c r="C233" s="5"/>
      <c r="D233" s="1"/>
      <c r="E233" s="1"/>
      <c r="F233" s="1"/>
      <c r="G233" s="1"/>
      <c r="AB233" s="54" t="s">
        <v>2781</v>
      </c>
      <c r="AC233" s="1" t="s">
        <v>1999</v>
      </c>
      <c r="AJ233" s="2">
        <f t="shared" si="6"/>
        <v>2</v>
      </c>
      <c r="AL233" s="2">
        <f t="shared" si="7"/>
        <v>0</v>
      </c>
    </row>
    <row r="234" spans="1:38" x14ac:dyDescent="0.35">
      <c r="A234" s="5" t="s">
        <v>2819</v>
      </c>
      <c r="B234" s="1"/>
      <c r="C234" s="5"/>
      <c r="D234" s="1"/>
      <c r="E234" s="1"/>
      <c r="F234" s="1"/>
      <c r="G234" s="1"/>
      <c r="AC234" s="1" t="s">
        <v>2000</v>
      </c>
      <c r="AJ234" s="2">
        <f t="shared" si="6"/>
        <v>1</v>
      </c>
      <c r="AL234" s="2">
        <f t="shared" si="7"/>
        <v>0</v>
      </c>
    </row>
    <row r="235" spans="1:38" x14ac:dyDescent="0.35">
      <c r="A235" s="5" t="s">
        <v>2820</v>
      </c>
      <c r="B235" s="1"/>
      <c r="C235" s="5"/>
      <c r="D235" s="1"/>
      <c r="E235" s="1"/>
      <c r="F235" s="1"/>
      <c r="G235" s="1"/>
      <c r="AC235" s="1" t="s">
        <v>2001</v>
      </c>
      <c r="AJ235" s="2">
        <f t="shared" si="6"/>
        <v>1</v>
      </c>
      <c r="AL235" s="2">
        <f t="shared" si="7"/>
        <v>0</v>
      </c>
    </row>
    <row r="236" spans="1:38" x14ac:dyDescent="0.35">
      <c r="A236" s="5"/>
      <c r="B236" s="1"/>
      <c r="C236" s="5"/>
      <c r="D236" s="1"/>
      <c r="E236" s="1"/>
      <c r="F236" s="1"/>
      <c r="G236" s="1"/>
    </row>
    <row r="237" spans="1:38" x14ac:dyDescent="0.35">
      <c r="A237" s="5"/>
      <c r="B237" s="1"/>
      <c r="C237" s="5"/>
      <c r="D237" s="1"/>
      <c r="E237" s="1"/>
      <c r="F237" s="1"/>
      <c r="G237" s="1"/>
    </row>
    <row r="238" spans="1:38" x14ac:dyDescent="0.35">
      <c r="A238" s="5"/>
      <c r="B238" s="1"/>
      <c r="C238" s="5"/>
      <c r="D238" s="1"/>
      <c r="E238" s="1"/>
      <c r="F238" s="1"/>
      <c r="G238" s="1"/>
    </row>
    <row r="239" spans="1:38" x14ac:dyDescent="0.35">
      <c r="A239" s="5"/>
      <c r="B239" s="1"/>
      <c r="C239" s="5"/>
      <c r="D239" s="1"/>
      <c r="E239" s="1"/>
      <c r="F239" s="1"/>
      <c r="G239" s="1"/>
    </row>
    <row r="240" spans="1:38" x14ac:dyDescent="0.35">
      <c r="A240" s="5"/>
      <c r="B240" s="1"/>
      <c r="C240" s="5"/>
      <c r="D240" s="1"/>
      <c r="E240" s="1"/>
      <c r="F240" s="1"/>
      <c r="G240" s="1"/>
    </row>
    <row r="241" spans="1:7" x14ac:dyDescent="0.35">
      <c r="A241" s="5"/>
      <c r="B241" s="1"/>
      <c r="C241" s="5"/>
      <c r="D241" s="1"/>
      <c r="E241" s="1"/>
      <c r="F241" s="1"/>
      <c r="G241" s="1"/>
    </row>
    <row r="242" spans="1:7" x14ac:dyDescent="0.35">
      <c r="A242" s="5"/>
      <c r="B242" s="1"/>
      <c r="C242" s="5"/>
      <c r="D242" s="1"/>
      <c r="E242" s="1"/>
      <c r="F242" s="1"/>
      <c r="G242" s="1"/>
    </row>
    <row r="243" spans="1:7" x14ac:dyDescent="0.35">
      <c r="A243" s="5"/>
      <c r="B243" s="1"/>
      <c r="C243" s="5"/>
      <c r="D243" s="1"/>
      <c r="E243" s="1"/>
      <c r="F243" s="1"/>
      <c r="G243" s="1"/>
    </row>
    <row r="244" spans="1:7" x14ac:dyDescent="0.35">
      <c r="A244" s="5"/>
      <c r="B244" s="1"/>
      <c r="C244" s="5"/>
      <c r="D244" s="1"/>
      <c r="E244" s="1"/>
      <c r="F244" s="1"/>
      <c r="G244" s="1"/>
    </row>
    <row r="245" spans="1:7" x14ac:dyDescent="0.35">
      <c r="A245" s="5"/>
      <c r="B245" s="1"/>
      <c r="C245" s="5"/>
      <c r="D245" s="1"/>
      <c r="E245" s="1"/>
      <c r="F245" s="1"/>
      <c r="G245" s="1"/>
    </row>
    <row r="246" spans="1:7" x14ac:dyDescent="0.35">
      <c r="A246" s="5"/>
      <c r="B246" s="1"/>
      <c r="C246" s="5"/>
      <c r="D246" s="1"/>
      <c r="E246" s="1"/>
      <c r="F246" s="1"/>
      <c r="G246" s="1"/>
    </row>
    <row r="247" spans="1:7" x14ac:dyDescent="0.35">
      <c r="A247" s="5"/>
      <c r="B247" s="1"/>
      <c r="C247" s="5"/>
      <c r="D247" s="1"/>
      <c r="E247" s="1"/>
      <c r="F247" s="1"/>
      <c r="G247" s="1"/>
    </row>
    <row r="248" spans="1:7" x14ac:dyDescent="0.35">
      <c r="A248" s="5"/>
      <c r="B248" s="1"/>
      <c r="C248" s="5"/>
      <c r="D248" s="1"/>
      <c r="E248" s="1"/>
      <c r="F248" s="1"/>
      <c r="G248" s="1"/>
    </row>
    <row r="249" spans="1:7" x14ac:dyDescent="0.35">
      <c r="A249" s="5"/>
      <c r="B249" s="1"/>
      <c r="C249" s="5"/>
      <c r="D249" s="1"/>
      <c r="E249" s="1"/>
      <c r="F249" s="1"/>
      <c r="G249" s="1"/>
    </row>
    <row r="250" spans="1:7" x14ac:dyDescent="0.35">
      <c r="A250" s="5"/>
      <c r="B250" s="1"/>
      <c r="C250" s="5"/>
      <c r="D250" s="1"/>
      <c r="E250" s="1"/>
      <c r="F250" s="1"/>
      <c r="G250" s="1"/>
    </row>
    <row r="251" spans="1:7" x14ac:dyDescent="0.35">
      <c r="A251" s="5"/>
      <c r="B251" s="1"/>
      <c r="C251" s="5"/>
      <c r="D251" s="1"/>
      <c r="E251" s="1"/>
      <c r="F251" s="1"/>
      <c r="G251" s="1"/>
    </row>
    <row r="252" spans="1:7" x14ac:dyDescent="0.35">
      <c r="A252" s="5"/>
      <c r="B252" s="1"/>
      <c r="C252" s="5"/>
      <c r="D252" s="1"/>
      <c r="E252" s="1"/>
      <c r="F252" s="1"/>
      <c r="G252" s="1"/>
    </row>
    <row r="253" spans="1:7" x14ac:dyDescent="0.35">
      <c r="A253" s="5"/>
      <c r="B253" s="1"/>
      <c r="C253" s="5"/>
      <c r="D253" s="1"/>
      <c r="E253" s="1"/>
      <c r="F253" s="1"/>
      <c r="G253" s="1"/>
    </row>
    <row r="254" spans="1:7" x14ac:dyDescent="0.35">
      <c r="A254" s="5"/>
      <c r="B254" s="1"/>
      <c r="C254" s="5"/>
      <c r="D254" s="1"/>
      <c r="E254" s="1"/>
      <c r="F254" s="1"/>
      <c r="G254" s="1"/>
    </row>
    <row r="255" spans="1:7" x14ac:dyDescent="0.35">
      <c r="A255" s="5"/>
      <c r="B255" s="1"/>
      <c r="C255" s="5"/>
      <c r="D255" s="1"/>
      <c r="E255" s="1"/>
      <c r="F255" s="1"/>
      <c r="G255" s="1"/>
    </row>
    <row r="256" spans="1:7" x14ac:dyDescent="0.35">
      <c r="A256" s="5"/>
      <c r="B256" s="1"/>
      <c r="C256" s="5"/>
      <c r="D256" s="1"/>
      <c r="E256" s="1"/>
      <c r="F256" s="1"/>
      <c r="G256" s="1"/>
    </row>
    <row r="257" spans="1:7" x14ac:dyDescent="0.35">
      <c r="A257" s="5"/>
      <c r="B257" s="1"/>
      <c r="C257" s="5"/>
      <c r="D257" s="1"/>
      <c r="E257" s="1"/>
      <c r="F257" s="1"/>
      <c r="G257" s="1"/>
    </row>
    <row r="258" spans="1:7" x14ac:dyDescent="0.35">
      <c r="A258" s="5"/>
      <c r="B258" s="1"/>
      <c r="C258" s="5"/>
      <c r="D258" s="1"/>
      <c r="E258" s="1"/>
      <c r="F258" s="1"/>
      <c r="G258" s="1"/>
    </row>
    <row r="259" spans="1:7" x14ac:dyDescent="0.35">
      <c r="A259" s="5"/>
      <c r="B259" s="1"/>
      <c r="C259" s="5"/>
      <c r="D259" s="1"/>
      <c r="E259" s="1"/>
      <c r="F259" s="1"/>
      <c r="G259" s="1"/>
    </row>
    <row r="260" spans="1:7" x14ac:dyDescent="0.35">
      <c r="A260" s="5"/>
      <c r="B260" s="1"/>
      <c r="C260" s="5"/>
      <c r="D260" s="1"/>
      <c r="E260" s="1"/>
      <c r="F260" s="1"/>
      <c r="G260" s="1"/>
    </row>
    <row r="261" spans="1:7" x14ac:dyDescent="0.35">
      <c r="A261" s="5"/>
      <c r="B261" s="1"/>
      <c r="C261" s="5"/>
      <c r="D261" s="1"/>
      <c r="E261" s="1"/>
      <c r="F261" s="1"/>
      <c r="G261" s="1"/>
    </row>
    <row r="262" spans="1:7" x14ac:dyDescent="0.35">
      <c r="A262" s="5"/>
      <c r="B262" s="1"/>
      <c r="C262" s="5"/>
      <c r="D262" s="1"/>
      <c r="E262" s="1"/>
      <c r="F262" s="1"/>
      <c r="G262" s="1"/>
    </row>
    <row r="263" spans="1:7" x14ac:dyDescent="0.35">
      <c r="A263" s="5"/>
      <c r="B263" s="1"/>
      <c r="C263" s="5"/>
      <c r="D263" s="1"/>
      <c r="E263" s="1"/>
      <c r="F263" s="1"/>
      <c r="G263" s="1"/>
    </row>
    <row r="264" spans="1:7" x14ac:dyDescent="0.35">
      <c r="A264" s="5"/>
      <c r="B264" s="1"/>
      <c r="C264" s="5"/>
      <c r="D264" s="1"/>
      <c r="E264" s="1"/>
      <c r="F264" s="1"/>
      <c r="G264" s="1"/>
    </row>
    <row r="265" spans="1:7" x14ac:dyDescent="0.35">
      <c r="A265" s="5"/>
      <c r="B265" s="1"/>
      <c r="C265" s="5"/>
      <c r="D265" s="1"/>
      <c r="E265" s="1"/>
      <c r="F265" s="1"/>
      <c r="G265" s="1"/>
    </row>
    <row r="266" spans="1:7" x14ac:dyDescent="0.35">
      <c r="A266" s="5"/>
      <c r="B266" s="1"/>
      <c r="C266" s="5"/>
      <c r="D266" s="1"/>
      <c r="E266" s="1"/>
      <c r="F266" s="1"/>
      <c r="G266" s="1"/>
    </row>
    <row r="267" spans="1:7" x14ac:dyDescent="0.35">
      <c r="A267" s="5"/>
      <c r="B267" s="1"/>
      <c r="C267" s="5"/>
      <c r="D267" s="1"/>
      <c r="E267" s="1"/>
      <c r="F267" s="1"/>
      <c r="G267" s="1"/>
    </row>
    <row r="268" spans="1:7" x14ac:dyDescent="0.35">
      <c r="A268" s="5"/>
      <c r="B268" s="1"/>
      <c r="C268" s="5"/>
      <c r="D268" s="1"/>
      <c r="E268" s="1"/>
      <c r="F268" s="1"/>
      <c r="G268" s="1"/>
    </row>
    <row r="269" spans="1:7" x14ac:dyDescent="0.35">
      <c r="A269" s="5"/>
      <c r="B269" s="1"/>
      <c r="C269" s="5"/>
      <c r="D269" s="1"/>
      <c r="E269" s="1"/>
      <c r="F269" s="1"/>
      <c r="G269" s="1"/>
    </row>
    <row r="270" spans="1:7" x14ac:dyDescent="0.35">
      <c r="A270" s="5"/>
      <c r="B270" s="1"/>
      <c r="C270" s="5"/>
      <c r="D270" s="1"/>
      <c r="E270" s="1"/>
      <c r="F270" s="1"/>
      <c r="G270" s="1"/>
    </row>
    <row r="271" spans="1:7" x14ac:dyDescent="0.35">
      <c r="A271" s="5"/>
      <c r="B271" s="1"/>
      <c r="C271" s="5"/>
      <c r="D271" s="1"/>
      <c r="E271" s="1"/>
      <c r="F271" s="1"/>
      <c r="G271" s="1"/>
    </row>
    <row r="272" spans="1:7" x14ac:dyDescent="0.35">
      <c r="A272" s="5"/>
      <c r="B272" s="1"/>
      <c r="C272" s="5"/>
      <c r="D272" s="1"/>
      <c r="E272" s="1"/>
      <c r="F272" s="1"/>
      <c r="G272" s="1"/>
    </row>
    <row r="273" spans="1:7" x14ac:dyDescent="0.35">
      <c r="A273" s="5"/>
      <c r="B273" s="1"/>
      <c r="C273" s="5"/>
      <c r="D273" s="1"/>
      <c r="E273" s="1"/>
      <c r="F273" s="1"/>
      <c r="G273" s="1"/>
    </row>
    <row r="274" spans="1:7" x14ac:dyDescent="0.35">
      <c r="A274" s="5"/>
      <c r="B274" s="1"/>
      <c r="C274" s="5"/>
      <c r="D274" s="1"/>
      <c r="E274" s="1"/>
      <c r="F274" s="1"/>
      <c r="G274" s="1"/>
    </row>
    <row r="275" spans="1:7" x14ac:dyDescent="0.35">
      <c r="A275" s="5"/>
      <c r="B275" s="1"/>
      <c r="C275" s="5"/>
      <c r="D275" s="1"/>
      <c r="E275" s="1"/>
      <c r="F275" s="1"/>
      <c r="G275" s="1"/>
    </row>
    <row r="276" spans="1:7" x14ac:dyDescent="0.35">
      <c r="A276" s="5"/>
      <c r="B276" s="1"/>
      <c r="C276" s="5"/>
      <c r="D276" s="1"/>
      <c r="E276" s="1"/>
      <c r="F276" s="1"/>
      <c r="G276" s="1"/>
    </row>
    <row r="277" spans="1:7" x14ac:dyDescent="0.35">
      <c r="A277" s="5"/>
      <c r="B277" s="1"/>
      <c r="C277" s="5"/>
      <c r="D277" s="1"/>
      <c r="E277" s="1"/>
      <c r="F277" s="1"/>
      <c r="G277" s="1"/>
    </row>
    <row r="278" spans="1:7" x14ac:dyDescent="0.35">
      <c r="A278" s="5"/>
      <c r="B278" s="1"/>
      <c r="C278" s="5"/>
      <c r="D278" s="1"/>
      <c r="E278" s="1"/>
      <c r="F278" s="1"/>
      <c r="G278" s="1"/>
    </row>
    <row r="279" spans="1:7" x14ac:dyDescent="0.35">
      <c r="A279" s="5"/>
      <c r="B279" s="1"/>
      <c r="C279" s="5"/>
      <c r="D279" s="1"/>
      <c r="E279" s="1"/>
      <c r="F279" s="1"/>
      <c r="G279" s="1"/>
    </row>
    <row r="280" spans="1:7" x14ac:dyDescent="0.35">
      <c r="A280" s="5"/>
      <c r="B280" s="1"/>
      <c r="C280" s="5"/>
      <c r="D280" s="1"/>
      <c r="E280" s="1"/>
      <c r="F280" s="1"/>
      <c r="G280" s="1"/>
    </row>
    <row r="281" spans="1:7" x14ac:dyDescent="0.35">
      <c r="A281" s="5"/>
      <c r="B281" s="1"/>
      <c r="C281" s="5"/>
      <c r="D281" s="1"/>
      <c r="E281" s="1"/>
      <c r="F281" s="1"/>
      <c r="G281" s="1"/>
    </row>
    <row r="282" spans="1:7" x14ac:dyDescent="0.35">
      <c r="A282" s="5"/>
      <c r="B282" s="1"/>
      <c r="C282" s="5"/>
      <c r="D282" s="1"/>
      <c r="E282" s="1"/>
      <c r="F282" s="1"/>
      <c r="G282" s="1"/>
    </row>
    <row r="283" spans="1:7" x14ac:dyDescent="0.35">
      <c r="A283" s="5"/>
      <c r="B283" s="1"/>
      <c r="C283" s="5"/>
      <c r="D283" s="1"/>
      <c r="E283" s="1"/>
      <c r="F283" s="1"/>
      <c r="G283" s="1"/>
    </row>
    <row r="284" spans="1:7" x14ac:dyDescent="0.35">
      <c r="A284" s="5"/>
      <c r="B284" s="1"/>
      <c r="C284" s="5"/>
      <c r="D284" s="1"/>
      <c r="E284" s="1"/>
      <c r="F284" s="1"/>
      <c r="G284" s="1"/>
    </row>
    <row r="285" spans="1:7" x14ac:dyDescent="0.35">
      <c r="A285" s="5"/>
      <c r="B285" s="1"/>
      <c r="C285" s="5"/>
      <c r="D285" s="1"/>
      <c r="E285" s="1"/>
      <c r="F285" s="1"/>
      <c r="G285" s="1"/>
    </row>
    <row r="286" spans="1:7" x14ac:dyDescent="0.35">
      <c r="A286" s="5"/>
      <c r="B286" s="1"/>
      <c r="C286" s="5"/>
      <c r="D286" s="1"/>
      <c r="E286" s="1"/>
      <c r="F286" s="1"/>
      <c r="G286" s="1"/>
    </row>
    <row r="287" spans="1:7" x14ac:dyDescent="0.35">
      <c r="A287" s="5"/>
      <c r="B287" s="1"/>
      <c r="C287" s="5"/>
      <c r="D287" s="1"/>
      <c r="E287" s="1"/>
      <c r="F287" s="1"/>
      <c r="G287" s="1"/>
    </row>
    <row r="288" spans="1:7" x14ac:dyDescent="0.35">
      <c r="A288" s="5"/>
      <c r="B288" s="1"/>
      <c r="C288" s="5"/>
      <c r="D288" s="1"/>
      <c r="E288" s="1"/>
      <c r="F288" s="1"/>
      <c r="G288" s="1"/>
    </row>
    <row r="289" spans="1:7" x14ac:dyDescent="0.35">
      <c r="A289" s="5"/>
      <c r="C289" s="5"/>
      <c r="D289" s="1"/>
      <c r="E289" s="1"/>
      <c r="F289" s="1"/>
      <c r="G289" s="1"/>
    </row>
    <row r="290" spans="1:7" x14ac:dyDescent="0.35">
      <c r="A290" s="5"/>
      <c r="C290" s="5"/>
      <c r="D290" s="1"/>
      <c r="E290" s="1"/>
      <c r="F290" s="1"/>
      <c r="G290" s="1"/>
    </row>
    <row r="291" spans="1:7" x14ac:dyDescent="0.35">
      <c r="A291" s="5"/>
      <c r="C291" s="5"/>
      <c r="D291" s="1"/>
      <c r="E291" s="1"/>
      <c r="F291" s="1"/>
      <c r="G291" s="1"/>
    </row>
    <row r="292" spans="1:7" x14ac:dyDescent="0.35">
      <c r="A292" s="5"/>
      <c r="C292" s="5"/>
      <c r="D292" s="1"/>
      <c r="E292" s="1"/>
      <c r="F292" s="1"/>
      <c r="G292" s="1"/>
    </row>
    <row r="293" spans="1:7" x14ac:dyDescent="0.35">
      <c r="A293" s="5"/>
      <c r="C293" s="5"/>
      <c r="D293" s="1"/>
      <c r="E293" s="1"/>
      <c r="F293" s="1"/>
      <c r="G293" s="1"/>
    </row>
    <row r="294" spans="1:7" x14ac:dyDescent="0.35">
      <c r="A294" s="5"/>
      <c r="C294" s="5"/>
      <c r="D294" s="1"/>
      <c r="E294" s="1"/>
      <c r="F294" s="1"/>
      <c r="G294" s="1"/>
    </row>
    <row r="295" spans="1:7" x14ac:dyDescent="0.35">
      <c r="A295" s="5"/>
      <c r="C295" s="5"/>
      <c r="D295" s="1"/>
      <c r="E295" s="1"/>
      <c r="F295" s="1"/>
      <c r="G295" s="1"/>
    </row>
    <row r="296" spans="1:7" x14ac:dyDescent="0.35">
      <c r="A296" s="5"/>
      <c r="C296" s="5"/>
      <c r="D296" s="1"/>
      <c r="E296" s="1"/>
      <c r="F296" s="1"/>
      <c r="G296" s="1"/>
    </row>
    <row r="297" spans="1:7" x14ac:dyDescent="0.35">
      <c r="A297" s="5"/>
      <c r="C297" s="5"/>
      <c r="D297" s="1"/>
      <c r="E297" s="1"/>
      <c r="F297" s="1"/>
      <c r="G297" s="1"/>
    </row>
    <row r="298" spans="1:7" x14ac:dyDescent="0.35">
      <c r="A298" s="5"/>
      <c r="C298" s="5"/>
      <c r="D298" s="1"/>
      <c r="E298" s="1"/>
      <c r="F298" s="1"/>
      <c r="G298" s="1"/>
    </row>
    <row r="299" spans="1:7" x14ac:dyDescent="0.35">
      <c r="A299" s="5"/>
      <c r="C299" s="5"/>
      <c r="D299" s="1"/>
      <c r="E299" s="1"/>
      <c r="F299" s="1"/>
      <c r="G299" s="1"/>
    </row>
    <row r="300" spans="1:7" x14ac:dyDescent="0.35">
      <c r="A300" s="5"/>
      <c r="C300" s="5"/>
      <c r="D300" s="1"/>
      <c r="E300" s="1"/>
      <c r="F300" s="1"/>
      <c r="G300" s="1"/>
    </row>
    <row r="301" spans="1:7" x14ac:dyDescent="0.35">
      <c r="A301" s="5"/>
      <c r="C301" s="5"/>
      <c r="D301" s="1"/>
      <c r="E301" s="1"/>
      <c r="F301" s="1"/>
      <c r="G301" s="1"/>
    </row>
    <row r="302" spans="1:7" x14ac:dyDescent="0.35">
      <c r="A302" s="5"/>
      <c r="C302" s="5"/>
      <c r="D302" s="1"/>
      <c r="E302" s="1"/>
      <c r="F302" s="1"/>
      <c r="G302" s="1"/>
    </row>
    <row r="303" spans="1:7" x14ac:dyDescent="0.35">
      <c r="A303" s="5"/>
      <c r="C303" s="5"/>
      <c r="D303" s="1"/>
      <c r="E303" s="1"/>
      <c r="F303" s="1"/>
      <c r="G303" s="1"/>
    </row>
    <row r="304" spans="1:7" x14ac:dyDescent="0.35">
      <c r="A304" s="5"/>
      <c r="C304" s="5"/>
      <c r="D304" s="1"/>
      <c r="E304" s="1"/>
      <c r="F304" s="1"/>
      <c r="G304" s="1"/>
    </row>
    <row r="305" spans="1:7" x14ac:dyDescent="0.35">
      <c r="A305" s="5"/>
      <c r="C305" s="5"/>
      <c r="D305" s="1"/>
      <c r="E305" s="1"/>
      <c r="F305" s="1"/>
      <c r="G305" s="1"/>
    </row>
    <row r="306" spans="1:7" x14ac:dyDescent="0.35">
      <c r="A306" s="5"/>
      <c r="C306" s="5"/>
      <c r="D306" s="1"/>
      <c r="E306" s="1"/>
      <c r="F306" s="1"/>
      <c r="G306" s="1"/>
    </row>
    <row r="307" spans="1:7" x14ac:dyDescent="0.35">
      <c r="A307" s="5"/>
      <c r="C307" s="5"/>
      <c r="D307" s="1"/>
      <c r="E307" s="1"/>
      <c r="F307" s="1"/>
      <c r="G307" s="1"/>
    </row>
    <row r="308" spans="1:7" x14ac:dyDescent="0.35">
      <c r="A308" s="5"/>
      <c r="C308" s="5"/>
      <c r="D308" s="1"/>
      <c r="E308" s="1"/>
      <c r="F308" s="1"/>
      <c r="G308" s="1"/>
    </row>
    <row r="309" spans="1:7" x14ac:dyDescent="0.35">
      <c r="A309" s="5"/>
      <c r="C309" s="5"/>
      <c r="D309" s="1"/>
      <c r="E309" s="1"/>
      <c r="F309" s="1"/>
      <c r="G309" s="1"/>
    </row>
    <row r="310" spans="1:7" x14ac:dyDescent="0.35">
      <c r="A310" s="5"/>
      <c r="C310" s="5"/>
      <c r="D310" s="1"/>
      <c r="E310" s="1"/>
      <c r="F310" s="1"/>
      <c r="G310" s="1"/>
    </row>
    <row r="311" spans="1:7" x14ac:dyDescent="0.35">
      <c r="A311" s="5"/>
      <c r="C311" s="5"/>
      <c r="D311" s="1"/>
      <c r="E311" s="1"/>
      <c r="F311" s="1"/>
      <c r="G311" s="1"/>
    </row>
    <row r="312" spans="1:7" x14ac:dyDescent="0.35">
      <c r="A312" s="5"/>
      <c r="C312" s="5"/>
      <c r="D312" s="1"/>
      <c r="E312" s="1"/>
      <c r="F312" s="1"/>
      <c r="G312" s="1"/>
    </row>
    <row r="313" spans="1:7" x14ac:dyDescent="0.35">
      <c r="A313" s="5"/>
      <c r="C313" s="5"/>
      <c r="D313" s="1"/>
      <c r="E313" s="1"/>
      <c r="F313" s="1"/>
      <c r="G313" s="1"/>
    </row>
    <row r="314" spans="1:7" x14ac:dyDescent="0.35">
      <c r="A314" s="5"/>
      <c r="C314" s="5"/>
      <c r="D314" s="1"/>
      <c r="E314" s="1"/>
      <c r="F314" s="1"/>
      <c r="G314" s="1"/>
    </row>
    <row r="315" spans="1:7" x14ac:dyDescent="0.35">
      <c r="A315" s="5"/>
      <c r="C315" s="5"/>
      <c r="D315" s="1"/>
      <c r="E315" s="1"/>
      <c r="F315" s="1"/>
      <c r="G315" s="1"/>
    </row>
    <row r="316" spans="1:7" x14ac:dyDescent="0.35">
      <c r="A316" s="5"/>
      <c r="C316" s="5"/>
      <c r="D316" s="1"/>
      <c r="E316" s="1"/>
      <c r="F316" s="1"/>
      <c r="G316" s="1"/>
    </row>
    <row r="317" spans="1:7" x14ac:dyDescent="0.35">
      <c r="A317" s="5"/>
      <c r="C317" s="5"/>
      <c r="D317" s="1"/>
      <c r="E317" s="1"/>
      <c r="F317" s="1"/>
      <c r="G317" s="1"/>
    </row>
    <row r="318" spans="1:7" x14ac:dyDescent="0.35">
      <c r="A318" s="5"/>
      <c r="C318" s="5"/>
      <c r="D318" s="1"/>
      <c r="E318" s="1"/>
      <c r="F318" s="1"/>
      <c r="G318" s="1"/>
    </row>
    <row r="319" spans="1:7" x14ac:dyDescent="0.35">
      <c r="A319" s="5"/>
      <c r="C319" s="5"/>
      <c r="D319" s="1"/>
      <c r="E319" s="1"/>
      <c r="F319" s="1"/>
      <c r="G319" s="1"/>
    </row>
    <row r="320" spans="1:7" x14ac:dyDescent="0.35">
      <c r="A320" s="5"/>
      <c r="C320" s="5"/>
      <c r="D320" s="1"/>
      <c r="E320" s="1"/>
      <c r="F320" s="1"/>
      <c r="G320" s="1"/>
    </row>
    <row r="321" spans="1:7" x14ac:dyDescent="0.35">
      <c r="A321" s="5"/>
      <c r="C321" s="5"/>
      <c r="D321" s="1"/>
      <c r="E321" s="1"/>
      <c r="F321" s="1"/>
      <c r="G321" s="1"/>
    </row>
    <row r="322" spans="1:7" x14ac:dyDescent="0.35">
      <c r="A322" s="5"/>
      <c r="C322" s="5"/>
      <c r="D322" s="1"/>
      <c r="E322" s="1"/>
      <c r="F322" s="1"/>
      <c r="G322" s="1"/>
    </row>
    <row r="323" spans="1:7" x14ac:dyDescent="0.35">
      <c r="A323" s="5"/>
      <c r="C323" s="5"/>
      <c r="D323" s="1"/>
      <c r="E323" s="1"/>
      <c r="F323" s="1"/>
      <c r="G323" s="1"/>
    </row>
    <row r="324" spans="1:7" x14ac:dyDescent="0.35">
      <c r="A324" s="5"/>
      <c r="C324" s="5"/>
      <c r="D324" s="1"/>
      <c r="E324" s="1"/>
      <c r="F324" s="1"/>
      <c r="G324" s="1"/>
    </row>
    <row r="325" spans="1:7" x14ac:dyDescent="0.35">
      <c r="A325" s="5"/>
      <c r="C325" s="5"/>
      <c r="D325" s="1"/>
      <c r="E325" s="1"/>
      <c r="F325" s="1"/>
      <c r="G325" s="1"/>
    </row>
    <row r="326" spans="1:7" x14ac:dyDescent="0.35">
      <c r="A326" s="5"/>
      <c r="C326" s="5"/>
      <c r="D326" s="1"/>
      <c r="E326" s="1"/>
      <c r="F326" s="1"/>
      <c r="G326" s="1"/>
    </row>
    <row r="327" spans="1:7" x14ac:dyDescent="0.35">
      <c r="A327" s="5"/>
      <c r="C327" s="5"/>
      <c r="D327" s="1"/>
      <c r="E327" s="1"/>
      <c r="F327" s="1"/>
      <c r="G327" s="1"/>
    </row>
    <row r="328" spans="1:7" x14ac:dyDescent="0.35">
      <c r="A328" s="5"/>
      <c r="C328" s="5"/>
      <c r="D328" s="1"/>
      <c r="E328" s="1"/>
      <c r="F328" s="1"/>
      <c r="G328" s="1"/>
    </row>
    <row r="329" spans="1:7" x14ac:dyDescent="0.35">
      <c r="A329" s="5"/>
      <c r="C329" s="5"/>
      <c r="D329" s="1"/>
      <c r="E329" s="1"/>
      <c r="F329" s="1"/>
      <c r="G329" s="1"/>
    </row>
    <row r="330" spans="1:7" x14ac:dyDescent="0.35">
      <c r="A330" s="5"/>
      <c r="C330" s="5"/>
      <c r="D330" s="1"/>
      <c r="E330" s="1"/>
      <c r="F330" s="1"/>
      <c r="G330" s="1"/>
    </row>
    <row r="331" spans="1:7" x14ac:dyDescent="0.35">
      <c r="A331" s="5"/>
      <c r="C331" s="5"/>
      <c r="D331" s="1"/>
      <c r="E331" s="1"/>
      <c r="F331" s="1"/>
      <c r="G331" s="1"/>
    </row>
    <row r="332" spans="1:7" x14ac:dyDescent="0.35">
      <c r="A332" s="5"/>
      <c r="C332" s="5"/>
      <c r="D332" s="1"/>
      <c r="E332" s="1"/>
      <c r="F332" s="1"/>
      <c r="G332" s="1"/>
    </row>
    <row r="333" spans="1:7" x14ac:dyDescent="0.35">
      <c r="A333" s="5"/>
      <c r="C333" s="5"/>
      <c r="D333" s="1"/>
      <c r="E333" s="1"/>
      <c r="F333" s="1"/>
      <c r="G333" s="1"/>
    </row>
    <row r="334" spans="1:7" x14ac:dyDescent="0.35">
      <c r="A334" s="5"/>
      <c r="C334" s="5"/>
      <c r="D334" s="1"/>
      <c r="E334" s="1"/>
      <c r="F334" s="1"/>
      <c r="G334" s="1"/>
    </row>
    <row r="335" spans="1:7" x14ac:dyDescent="0.35">
      <c r="A335" s="5"/>
      <c r="C335" s="5"/>
      <c r="D335" s="1"/>
      <c r="E335" s="1"/>
      <c r="F335" s="1"/>
      <c r="G335" s="1"/>
    </row>
    <row r="336" spans="1:7" x14ac:dyDescent="0.35">
      <c r="A336" s="5"/>
      <c r="C336" s="5"/>
      <c r="D336" s="1"/>
      <c r="E336" s="1"/>
      <c r="F336" s="1"/>
      <c r="G336" s="1"/>
    </row>
    <row r="337" spans="1:7" x14ac:dyDescent="0.35">
      <c r="A337" s="5"/>
      <c r="C337" s="5"/>
      <c r="D337" s="1"/>
      <c r="E337" s="1"/>
      <c r="F337" s="1"/>
      <c r="G337" s="1"/>
    </row>
  </sheetData>
  <phoneticPr fontId="10"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86EC-CE41-4679-A99C-757181079373}">
  <sheetPr codeName="Sheet10"/>
  <dimension ref="A1:AO289"/>
  <sheetViews>
    <sheetView rightToLeft="1" workbookViewId="0">
      <pane xSplit="1" ySplit="1" topLeftCell="Q149" activePane="bottomRight" state="frozen"/>
      <selection activeCell="D96" sqref="D96"/>
      <selection pane="topRight" activeCell="D96" sqref="D96"/>
      <selection pane="bottomLeft" activeCell="D96" sqref="D96"/>
      <selection pane="bottomRight" activeCell="W153" sqref="W153"/>
    </sheetView>
  </sheetViews>
  <sheetFormatPr defaultColWidth="8.81640625" defaultRowHeight="14.5" x14ac:dyDescent="0.35"/>
  <cols>
    <col min="1" max="1" width="52.1796875" style="8" customWidth="1"/>
    <col min="2" max="3" width="10" style="2" customWidth="1"/>
    <col min="4" max="4" width="10.81640625" style="8" customWidth="1"/>
    <col min="5" max="5" width="11.81640625" style="2" customWidth="1"/>
    <col min="6" max="6" width="8.81640625" style="2"/>
    <col min="7" max="7" width="9.81640625" style="2" customWidth="1"/>
    <col min="8" max="8" width="9.54296875" style="2" customWidth="1"/>
    <col min="9" max="16" width="8.81640625" style="1" customWidth="1"/>
    <col min="17" max="18" width="8.81640625" style="30" customWidth="1"/>
    <col min="19" max="35" width="8.81640625" style="1" customWidth="1"/>
    <col min="36" max="36" width="8.81640625" style="2"/>
    <col min="37" max="37" width="10.08984375" style="2" bestFit="1" customWidth="1"/>
    <col min="38" max="38" width="8.81640625" style="2"/>
    <col min="39" max="39" width="10.54296875" style="2" bestFit="1" customWidth="1"/>
    <col min="40" max="40" width="8.81640625" style="2"/>
    <col min="41" max="41" width="17" style="2" bestFit="1" customWidth="1"/>
    <col min="42" max="16384" width="8.81640625" style="2"/>
  </cols>
  <sheetData>
    <row r="1" spans="1:41" ht="15" thickBot="1" x14ac:dyDescent="0.4">
      <c r="A1" s="7" t="s">
        <v>0</v>
      </c>
      <c r="B1" s="4">
        <v>2025</v>
      </c>
      <c r="C1" s="4">
        <v>2022</v>
      </c>
      <c r="D1" s="7">
        <v>2021</v>
      </c>
      <c r="E1" s="4">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ht="43.5" x14ac:dyDescent="0.35">
      <c r="A2" s="5" t="s">
        <v>95</v>
      </c>
      <c r="B2" s="1"/>
      <c r="C2" s="47" t="s">
        <v>96</v>
      </c>
      <c r="D2" s="38" t="s">
        <v>96</v>
      </c>
      <c r="E2" s="59" t="s">
        <v>96</v>
      </c>
      <c r="F2" s="1"/>
      <c r="G2" s="67" t="s">
        <v>96</v>
      </c>
      <c r="H2" s="75" t="s">
        <v>97</v>
      </c>
      <c r="I2" s="3"/>
      <c r="J2" s="79" t="s">
        <v>499</v>
      </c>
      <c r="K2" s="75" t="s">
        <v>963</v>
      </c>
      <c r="L2" s="50" t="s">
        <v>924</v>
      </c>
      <c r="M2" s="3"/>
      <c r="N2" s="50" t="s">
        <v>1367</v>
      </c>
      <c r="O2" s="50" t="s">
        <v>1541</v>
      </c>
      <c r="P2" s="50" t="s">
        <v>930</v>
      </c>
      <c r="Q2" s="29"/>
      <c r="R2" s="50" t="s">
        <v>1030</v>
      </c>
      <c r="S2" s="50" t="s">
        <v>2044</v>
      </c>
      <c r="T2" s="50" t="s">
        <v>428</v>
      </c>
      <c r="U2" s="3"/>
      <c r="V2" s="50" t="s">
        <v>906</v>
      </c>
      <c r="W2" s="56" t="s">
        <v>432</v>
      </c>
      <c r="X2" s="56" t="s">
        <v>2570</v>
      </c>
      <c r="Y2" s="3"/>
      <c r="Z2" s="3"/>
      <c r="AA2" s="56" t="s">
        <v>431</v>
      </c>
      <c r="AB2" s="3"/>
      <c r="AC2" s="3"/>
      <c r="AD2" s="50" t="s">
        <v>1975</v>
      </c>
      <c r="AE2" s="3"/>
      <c r="AF2" s="3"/>
      <c r="AG2" s="50" t="s">
        <v>1005</v>
      </c>
      <c r="AH2" s="50" t="s">
        <v>998</v>
      </c>
      <c r="AI2" s="3" t="s">
        <v>1003</v>
      </c>
      <c r="AK2" s="2">
        <f>COUNTA(C2:AI2)</f>
        <v>22</v>
      </c>
      <c r="AM2" s="2">
        <f>COUNTA(G2:P2,S2:T2)</f>
        <v>10</v>
      </c>
      <c r="AO2" s="2">
        <f>COUNTIF(AM2:AM196,"&gt;=2")</f>
        <v>44</v>
      </c>
    </row>
    <row r="3" spans="1:41" ht="43.5" x14ac:dyDescent="0.35">
      <c r="A3" s="5" t="s">
        <v>1287</v>
      </c>
      <c r="B3" s="1"/>
      <c r="C3" s="6"/>
      <c r="D3" s="5"/>
      <c r="E3" s="1"/>
      <c r="F3" s="1"/>
      <c r="G3" s="12"/>
      <c r="H3" s="13"/>
      <c r="I3" s="3"/>
      <c r="J3" s="13"/>
      <c r="K3" s="13"/>
      <c r="L3" s="3"/>
      <c r="M3" s="56" t="s">
        <v>925</v>
      </c>
      <c r="N3" s="50" t="s">
        <v>232</v>
      </c>
      <c r="O3" s="1" t="s">
        <v>1102</v>
      </c>
      <c r="AK3" s="2">
        <f t="shared" ref="AK3:AK66" si="0">COUNTA(C3:AI3)</f>
        <v>3</v>
      </c>
      <c r="AM3" s="2">
        <f t="shared" ref="AM3:AM67" si="1">COUNTA(G3:P3,S3:T3)</f>
        <v>3</v>
      </c>
    </row>
    <row r="4" spans="1:41" ht="43.5" x14ac:dyDescent="0.35">
      <c r="A4" s="5" t="s">
        <v>3005</v>
      </c>
      <c r="B4" s="1"/>
      <c r="C4" s="6"/>
      <c r="D4" s="5"/>
      <c r="E4" s="1"/>
      <c r="F4" s="1"/>
      <c r="G4" s="12"/>
      <c r="H4" s="13"/>
      <c r="I4" s="3"/>
      <c r="J4" s="13"/>
      <c r="K4" s="13"/>
      <c r="L4" s="3"/>
      <c r="M4" s="3"/>
      <c r="N4" s="3"/>
      <c r="AG4" s="53" t="s">
        <v>1190</v>
      </c>
      <c r="AH4" s="53" t="s">
        <v>996</v>
      </c>
      <c r="AI4" s="1" t="s">
        <v>1002</v>
      </c>
      <c r="AK4" s="2">
        <f t="shared" si="0"/>
        <v>3</v>
      </c>
      <c r="AM4" s="2">
        <f t="shared" si="1"/>
        <v>0</v>
      </c>
    </row>
    <row r="5" spans="1:41" ht="29" x14ac:dyDescent="0.35">
      <c r="A5" s="5" t="s">
        <v>1331</v>
      </c>
      <c r="B5" s="1"/>
      <c r="C5" s="36" t="s">
        <v>97</v>
      </c>
      <c r="D5" s="5" t="s">
        <v>97</v>
      </c>
      <c r="E5" s="59" t="s">
        <v>97</v>
      </c>
      <c r="F5" s="1"/>
      <c r="G5" s="67" t="s">
        <v>97</v>
      </c>
      <c r="H5" s="67" t="s">
        <v>58</v>
      </c>
      <c r="AE5" s="53" t="s">
        <v>1092</v>
      </c>
      <c r="AF5" s="1" t="s">
        <v>62</v>
      </c>
      <c r="AK5" s="2">
        <f t="shared" si="0"/>
        <v>7</v>
      </c>
      <c r="AM5" s="2">
        <f t="shared" si="1"/>
        <v>2</v>
      </c>
    </row>
    <row r="6" spans="1:41" ht="29" x14ac:dyDescent="0.35">
      <c r="A6" s="5" t="s">
        <v>1332</v>
      </c>
      <c r="B6" s="1"/>
      <c r="C6" s="6"/>
      <c r="D6" s="5"/>
      <c r="E6" s="1"/>
      <c r="F6" s="1"/>
      <c r="G6" s="12"/>
      <c r="H6" s="12"/>
      <c r="I6" s="63" t="s">
        <v>234</v>
      </c>
      <c r="J6" s="67" t="s">
        <v>501</v>
      </c>
      <c r="K6" s="67" t="s">
        <v>965</v>
      </c>
      <c r="L6" s="53" t="s">
        <v>926</v>
      </c>
      <c r="N6" s="54" t="s">
        <v>1351</v>
      </c>
      <c r="O6" s="54" t="s">
        <v>1526</v>
      </c>
      <c r="P6" s="54" t="s">
        <v>922</v>
      </c>
      <c r="R6" s="53" t="s">
        <v>1194</v>
      </c>
      <c r="S6" s="53" t="s">
        <v>2036</v>
      </c>
      <c r="AA6" s="1" t="s">
        <v>194</v>
      </c>
      <c r="AK6" s="2">
        <f t="shared" si="0"/>
        <v>10</v>
      </c>
      <c r="AM6" s="2">
        <f t="shared" si="1"/>
        <v>8</v>
      </c>
    </row>
    <row r="7" spans="1:41" ht="29" x14ac:dyDescent="0.35">
      <c r="A7" s="5" t="s">
        <v>1333</v>
      </c>
      <c r="B7" s="1"/>
      <c r="C7" s="6"/>
      <c r="D7" s="5"/>
      <c r="E7" s="1"/>
      <c r="F7" s="1"/>
      <c r="G7" s="12"/>
      <c r="H7" s="12"/>
      <c r="I7" s="63" t="s">
        <v>238</v>
      </c>
      <c r="J7" s="67" t="s">
        <v>502</v>
      </c>
      <c r="K7" s="67" t="s">
        <v>966</v>
      </c>
      <c r="L7" s="53" t="s">
        <v>927</v>
      </c>
      <c r="N7" s="1" t="s">
        <v>1353</v>
      </c>
      <c r="AK7" s="2">
        <f t="shared" si="0"/>
        <v>5</v>
      </c>
      <c r="AM7" s="2">
        <f t="shared" si="1"/>
        <v>5</v>
      </c>
    </row>
    <row r="8" spans="1:41" ht="29" x14ac:dyDescent="0.35">
      <c r="A8" s="5" t="s">
        <v>1334</v>
      </c>
      <c r="B8" s="1"/>
      <c r="C8" s="47" t="s">
        <v>58</v>
      </c>
      <c r="D8" s="5" t="s">
        <v>58</v>
      </c>
      <c r="E8" s="59" t="s">
        <v>58</v>
      </c>
      <c r="F8" s="1"/>
      <c r="G8" s="67" t="s">
        <v>58</v>
      </c>
      <c r="H8" s="67" t="s">
        <v>98</v>
      </c>
      <c r="I8" s="63" t="s">
        <v>239</v>
      </c>
      <c r="J8" s="67" t="s">
        <v>503</v>
      </c>
      <c r="K8" s="67" t="s">
        <v>967</v>
      </c>
      <c r="L8" s="53" t="s">
        <v>928</v>
      </c>
      <c r="N8" s="1" t="s">
        <v>1354</v>
      </c>
      <c r="AK8" s="2">
        <f t="shared" si="0"/>
        <v>10</v>
      </c>
      <c r="AM8" s="2">
        <f t="shared" si="1"/>
        <v>7</v>
      </c>
    </row>
    <row r="9" spans="1:41" ht="29" x14ac:dyDescent="0.35">
      <c r="A9" s="5" t="s">
        <v>1335</v>
      </c>
      <c r="B9" s="1"/>
      <c r="C9" s="47" t="s">
        <v>98</v>
      </c>
      <c r="D9" s="5" t="s">
        <v>98</v>
      </c>
      <c r="E9" s="59" t="s">
        <v>98</v>
      </c>
      <c r="F9" s="1"/>
      <c r="G9" s="67" t="s">
        <v>98</v>
      </c>
      <c r="H9" s="67" t="s">
        <v>99</v>
      </c>
      <c r="I9" s="63" t="s">
        <v>240</v>
      </c>
      <c r="J9" s="67" t="s">
        <v>504</v>
      </c>
      <c r="K9" s="67" t="s">
        <v>968</v>
      </c>
      <c r="L9" s="53" t="s">
        <v>929</v>
      </c>
      <c r="N9" s="53" t="s">
        <v>1356</v>
      </c>
      <c r="O9" s="53" t="s">
        <v>1527</v>
      </c>
      <c r="P9" s="53" t="s">
        <v>918</v>
      </c>
      <c r="R9" s="54" t="s">
        <v>1009</v>
      </c>
      <c r="S9" s="53" t="s">
        <v>2024</v>
      </c>
      <c r="T9" s="53" t="s">
        <v>187</v>
      </c>
      <c r="AA9" s="54" t="s">
        <v>12</v>
      </c>
      <c r="AE9" s="53" t="s">
        <v>1094</v>
      </c>
      <c r="AF9" s="1" t="s">
        <v>224</v>
      </c>
      <c r="AK9" s="2">
        <f t="shared" si="0"/>
        <v>18</v>
      </c>
      <c r="AM9" s="2">
        <f t="shared" si="1"/>
        <v>11</v>
      </c>
    </row>
    <row r="10" spans="1:41" ht="29" x14ac:dyDescent="0.35">
      <c r="A10" s="5" t="s">
        <v>1336</v>
      </c>
      <c r="B10" s="1"/>
      <c r="C10" s="47"/>
      <c r="D10" s="5"/>
      <c r="E10" s="59" t="s">
        <v>99</v>
      </c>
      <c r="F10" s="1"/>
      <c r="G10" s="67" t="s">
        <v>99</v>
      </c>
      <c r="H10" s="67" t="s">
        <v>100</v>
      </c>
      <c r="I10" s="63" t="s">
        <v>96</v>
      </c>
      <c r="J10" s="67" t="s">
        <v>656</v>
      </c>
      <c r="K10" s="67" t="s">
        <v>969</v>
      </c>
      <c r="L10" s="53" t="s">
        <v>930</v>
      </c>
      <c r="N10" s="54" t="s">
        <v>1352</v>
      </c>
      <c r="O10" s="54" t="s">
        <v>1528</v>
      </c>
      <c r="Q10" s="54" t="s">
        <v>929</v>
      </c>
      <c r="U10" s="1" t="s">
        <v>1250</v>
      </c>
      <c r="AK10" s="2">
        <f t="shared" si="0"/>
        <v>11</v>
      </c>
      <c r="AM10" s="2">
        <f t="shared" si="1"/>
        <v>8</v>
      </c>
    </row>
    <row r="11" spans="1:41" ht="29" x14ac:dyDescent="0.35">
      <c r="A11" s="5" t="s">
        <v>1337</v>
      </c>
      <c r="B11" s="1"/>
      <c r="C11" s="47" t="s">
        <v>100</v>
      </c>
      <c r="D11" s="5" t="s">
        <v>100</v>
      </c>
      <c r="E11" s="59" t="s">
        <v>100</v>
      </c>
      <c r="F11" s="1"/>
      <c r="G11" s="67" t="s">
        <v>100</v>
      </c>
      <c r="H11" s="67" t="s">
        <v>101</v>
      </c>
      <c r="I11" s="63" t="s">
        <v>58</v>
      </c>
      <c r="J11" s="67" t="s">
        <v>506</v>
      </c>
      <c r="K11" s="67" t="s">
        <v>970</v>
      </c>
      <c r="L11" s="53" t="s">
        <v>931</v>
      </c>
      <c r="AA11" s="54" t="s">
        <v>14</v>
      </c>
      <c r="AE11" s="1" t="s">
        <v>1116</v>
      </c>
      <c r="AK11" s="2">
        <f t="shared" si="0"/>
        <v>11</v>
      </c>
      <c r="AM11" s="2">
        <f t="shared" si="1"/>
        <v>6</v>
      </c>
    </row>
    <row r="12" spans="1:41" ht="29" x14ac:dyDescent="0.35">
      <c r="A12" s="5" t="s">
        <v>1338</v>
      </c>
      <c r="B12" s="1"/>
      <c r="C12" s="12" t="s">
        <v>101</v>
      </c>
      <c r="D12" s="5" t="s">
        <v>101</v>
      </c>
      <c r="E12" s="59" t="s">
        <v>101</v>
      </c>
      <c r="F12" s="1"/>
      <c r="G12" s="67" t="s">
        <v>101</v>
      </c>
      <c r="H12" s="67" t="s">
        <v>241</v>
      </c>
      <c r="I12" s="12" t="s">
        <v>98</v>
      </c>
      <c r="K12" s="12"/>
      <c r="AK12" s="2">
        <f t="shared" si="0"/>
        <v>6</v>
      </c>
      <c r="AM12" s="2">
        <f t="shared" si="1"/>
        <v>3</v>
      </c>
    </row>
    <row r="13" spans="1:41" ht="29" x14ac:dyDescent="0.35">
      <c r="A13" s="5" t="s">
        <v>1339</v>
      </c>
      <c r="B13" s="1"/>
      <c r="C13" s="12" t="s">
        <v>102</v>
      </c>
      <c r="D13" s="5" t="s">
        <v>102</v>
      </c>
      <c r="E13" s="1" t="s">
        <v>102</v>
      </c>
      <c r="F13" s="1"/>
      <c r="G13" s="1"/>
      <c r="H13" s="1"/>
      <c r="I13" s="12"/>
      <c r="K13" s="12"/>
      <c r="AK13" s="2">
        <f t="shared" si="0"/>
        <v>3</v>
      </c>
      <c r="AM13" s="2">
        <f t="shared" si="1"/>
        <v>0</v>
      </c>
    </row>
    <row r="14" spans="1:41" ht="29" x14ac:dyDescent="0.35">
      <c r="A14" s="5" t="s">
        <v>1340</v>
      </c>
      <c r="B14" s="1"/>
      <c r="C14" s="1"/>
      <c r="D14" s="5"/>
      <c r="E14" s="1"/>
      <c r="F14" s="1"/>
      <c r="G14" s="1"/>
      <c r="H14" s="1"/>
      <c r="I14" s="12" t="s">
        <v>97</v>
      </c>
      <c r="K14" s="12"/>
      <c r="AK14" s="2">
        <f t="shared" si="0"/>
        <v>1</v>
      </c>
      <c r="AM14" s="2">
        <f t="shared" si="1"/>
        <v>1</v>
      </c>
    </row>
    <row r="15" spans="1:41" ht="29" x14ac:dyDescent="0.35">
      <c r="A15" s="5" t="s">
        <v>1341</v>
      </c>
      <c r="B15" s="1"/>
      <c r="C15" s="5"/>
      <c r="D15" s="5"/>
      <c r="E15" s="1"/>
      <c r="F15" s="1"/>
      <c r="G15" s="1"/>
      <c r="H15" s="1"/>
      <c r="I15" s="12"/>
      <c r="J15" s="63" t="s">
        <v>500</v>
      </c>
      <c r="K15" s="67" t="s">
        <v>964</v>
      </c>
      <c r="L15" s="53" t="s">
        <v>925</v>
      </c>
      <c r="N15" s="53" t="s">
        <v>1350</v>
      </c>
      <c r="O15" s="1" t="s">
        <v>1525</v>
      </c>
      <c r="AK15" s="2">
        <f t="shared" si="0"/>
        <v>5</v>
      </c>
      <c r="AM15" s="2">
        <f t="shared" si="1"/>
        <v>5</v>
      </c>
    </row>
    <row r="16" spans="1:41" ht="29" x14ac:dyDescent="0.35">
      <c r="A16" s="5" t="s">
        <v>1342</v>
      </c>
      <c r="B16" s="1"/>
      <c r="C16" s="1"/>
      <c r="D16" s="5"/>
      <c r="E16" s="1"/>
      <c r="F16" s="1"/>
      <c r="G16" s="1"/>
      <c r="H16" s="1"/>
      <c r="I16" s="12"/>
      <c r="J16" s="12"/>
      <c r="K16" s="12"/>
      <c r="N16" s="53" t="s">
        <v>1355</v>
      </c>
      <c r="O16" s="1" t="s">
        <v>1529</v>
      </c>
      <c r="AK16" s="2">
        <f t="shared" si="0"/>
        <v>2</v>
      </c>
      <c r="AM16" s="2">
        <f t="shared" si="1"/>
        <v>2</v>
      </c>
    </row>
    <row r="17" spans="1:39" ht="29" x14ac:dyDescent="0.35">
      <c r="A17" s="5" t="s">
        <v>1357</v>
      </c>
      <c r="B17" s="1"/>
      <c r="C17" s="1"/>
      <c r="D17" s="5"/>
      <c r="E17" s="1"/>
      <c r="F17" s="1"/>
      <c r="G17" s="1"/>
      <c r="H17" s="1"/>
      <c r="I17" s="12"/>
      <c r="J17" s="12"/>
      <c r="K17" s="12"/>
      <c r="N17" s="1" t="s">
        <v>1358</v>
      </c>
      <c r="AK17" s="2">
        <f t="shared" si="0"/>
        <v>1</v>
      </c>
      <c r="AM17" s="2">
        <f t="shared" si="1"/>
        <v>1</v>
      </c>
    </row>
    <row r="18" spans="1:39" ht="29" x14ac:dyDescent="0.35">
      <c r="A18" s="5" t="s">
        <v>1530</v>
      </c>
      <c r="B18" s="1"/>
      <c r="C18" s="1"/>
      <c r="D18" s="5"/>
      <c r="E18" s="1"/>
      <c r="F18" s="1"/>
      <c r="G18" s="1"/>
      <c r="H18" s="1"/>
      <c r="I18" s="12"/>
      <c r="J18" s="12"/>
      <c r="K18" s="12"/>
      <c r="O18" s="1" t="s">
        <v>1531</v>
      </c>
      <c r="AK18" s="2">
        <f t="shared" si="0"/>
        <v>1</v>
      </c>
      <c r="AM18" s="2">
        <f t="shared" si="1"/>
        <v>1</v>
      </c>
    </row>
    <row r="19" spans="1:39" ht="29" x14ac:dyDescent="0.35">
      <c r="A19" s="5" t="s">
        <v>3166</v>
      </c>
      <c r="B19" s="1"/>
      <c r="C19" s="1"/>
      <c r="D19" s="5" t="s">
        <v>3167</v>
      </c>
      <c r="E19" s="1"/>
      <c r="F19" s="1"/>
      <c r="G19" s="1"/>
      <c r="H19" s="1"/>
      <c r="I19" s="12"/>
      <c r="J19" s="12"/>
      <c r="K19" s="12"/>
      <c r="AK19" s="2">
        <f t="shared" si="0"/>
        <v>1</v>
      </c>
      <c r="AM19" s="2">
        <f t="shared" si="1"/>
        <v>0</v>
      </c>
    </row>
    <row r="20" spans="1:39" ht="29" x14ac:dyDescent="0.35">
      <c r="A20" s="5" t="s">
        <v>743</v>
      </c>
      <c r="B20" s="1"/>
      <c r="C20" s="1"/>
      <c r="D20" s="5"/>
      <c r="E20" s="1"/>
      <c r="F20" s="1"/>
      <c r="G20" s="1"/>
      <c r="H20" s="1"/>
      <c r="I20" s="12"/>
      <c r="J20" s="66" t="s">
        <v>508</v>
      </c>
      <c r="K20" s="10" t="s">
        <v>971</v>
      </c>
      <c r="AK20" s="2">
        <f t="shared" si="0"/>
        <v>2</v>
      </c>
      <c r="AM20" s="2">
        <f t="shared" si="1"/>
        <v>2</v>
      </c>
    </row>
    <row r="21" spans="1:39" x14ac:dyDescent="0.35">
      <c r="A21" s="5" t="s">
        <v>115</v>
      </c>
      <c r="B21" s="54" t="s">
        <v>276</v>
      </c>
      <c r="C21" s="1" t="s">
        <v>276</v>
      </c>
      <c r="D21" s="65" t="s">
        <v>276</v>
      </c>
      <c r="E21" s="54" t="s">
        <v>116</v>
      </c>
      <c r="F21" s="54" t="s">
        <v>360</v>
      </c>
      <c r="G21" s="54" t="s">
        <v>276</v>
      </c>
      <c r="H21" s="54" t="s">
        <v>513</v>
      </c>
      <c r="I21" s="54" t="s">
        <v>522</v>
      </c>
      <c r="J21" s="54" t="s">
        <v>769</v>
      </c>
      <c r="K21" s="54" t="s">
        <v>1030</v>
      </c>
      <c r="L21" s="54" t="s">
        <v>1017</v>
      </c>
      <c r="M21" s="54" t="s">
        <v>1252</v>
      </c>
      <c r="N21" s="54" t="s">
        <v>1056</v>
      </c>
      <c r="O21" s="54" t="s">
        <v>1616</v>
      </c>
      <c r="P21" s="54" t="s">
        <v>1369</v>
      </c>
      <c r="Q21" s="54" t="s">
        <v>931</v>
      </c>
      <c r="R21" s="54" t="s">
        <v>1445</v>
      </c>
      <c r="S21" s="54" t="s">
        <v>2174</v>
      </c>
      <c r="T21" s="54" t="s">
        <v>910</v>
      </c>
      <c r="U21" s="54" t="s">
        <v>1044</v>
      </c>
      <c r="V21" s="54" t="s">
        <v>2492</v>
      </c>
      <c r="W21" s="54" t="s">
        <v>543</v>
      </c>
      <c r="X21" s="54" t="s">
        <v>1444</v>
      </c>
      <c r="Y21" s="54" t="s">
        <v>1172</v>
      </c>
      <c r="Z21" s="54" t="s">
        <v>1678</v>
      </c>
      <c r="AA21" s="54" t="s">
        <v>120</v>
      </c>
      <c r="AC21" s="54" t="s">
        <v>2782</v>
      </c>
      <c r="AD21" s="54" t="s">
        <v>2014</v>
      </c>
      <c r="AE21" s="54" t="s">
        <v>2935</v>
      </c>
      <c r="AF21" s="54" t="s">
        <v>1256</v>
      </c>
      <c r="AG21" s="54" t="s">
        <v>1003</v>
      </c>
      <c r="AH21" s="54" t="s">
        <v>995</v>
      </c>
      <c r="AI21" s="1" t="s">
        <v>1000</v>
      </c>
      <c r="AK21" s="2">
        <f t="shared" si="0"/>
        <v>32</v>
      </c>
      <c r="AM21" s="2">
        <f t="shared" si="1"/>
        <v>12</v>
      </c>
    </row>
    <row r="22" spans="1:39" ht="29" x14ac:dyDescent="0.35">
      <c r="A22" s="5" t="s">
        <v>3265</v>
      </c>
      <c r="B22" s="1"/>
      <c r="C22" s="1" t="s">
        <v>3266</v>
      </c>
      <c r="D22" s="5"/>
      <c r="E22" s="1"/>
      <c r="F22" s="1"/>
      <c r="G22" s="1"/>
      <c r="H22" s="1"/>
      <c r="AK22" s="2">
        <f t="shared" si="0"/>
        <v>1</v>
      </c>
    </row>
    <row r="23" spans="1:39" x14ac:dyDescent="0.35">
      <c r="A23" s="5" t="s">
        <v>1075</v>
      </c>
      <c r="B23" s="54" t="s">
        <v>3269</v>
      </c>
      <c r="C23" s="54" t="s">
        <v>3269</v>
      </c>
      <c r="D23" s="65" t="s">
        <v>3170</v>
      </c>
      <c r="E23" s="54" t="s">
        <v>121</v>
      </c>
      <c r="F23" s="1"/>
      <c r="G23" s="54" t="s">
        <v>281</v>
      </c>
      <c r="H23" s="54" t="s">
        <v>522</v>
      </c>
      <c r="I23" s="54" t="s">
        <v>524</v>
      </c>
      <c r="J23" s="54" t="s">
        <v>802</v>
      </c>
      <c r="K23" s="54" t="s">
        <v>1076</v>
      </c>
      <c r="L23" s="54" t="s">
        <v>1026</v>
      </c>
      <c r="M23" s="54" t="s">
        <v>978</v>
      </c>
      <c r="N23" s="54" t="s">
        <v>1445</v>
      </c>
      <c r="O23" s="54" t="s">
        <v>1626</v>
      </c>
      <c r="P23" s="54" t="s">
        <v>1370</v>
      </c>
      <c r="Q23" s="54" t="s">
        <v>932</v>
      </c>
      <c r="R23" s="54" t="s">
        <v>1058</v>
      </c>
      <c r="S23" s="54" t="s">
        <v>2175</v>
      </c>
      <c r="T23" s="54" t="s">
        <v>914</v>
      </c>
      <c r="U23" s="54" t="s">
        <v>2085</v>
      </c>
      <c r="V23" s="54" t="s">
        <v>2490</v>
      </c>
      <c r="W23" s="54" t="s">
        <v>551</v>
      </c>
      <c r="X23" s="54" t="s">
        <v>1443</v>
      </c>
      <c r="Y23" s="54" t="s">
        <v>1247</v>
      </c>
      <c r="Z23" s="54" t="s">
        <v>875</v>
      </c>
      <c r="AA23" s="54" t="s">
        <v>278</v>
      </c>
      <c r="AB23" s="54" t="s">
        <v>2712</v>
      </c>
      <c r="AC23" s="54" t="s">
        <v>2202</v>
      </c>
      <c r="AD23" s="54" t="s">
        <v>2013</v>
      </c>
      <c r="AG23" s="54" t="s">
        <v>1436</v>
      </c>
      <c r="AH23" s="54" t="s">
        <v>1010</v>
      </c>
      <c r="AI23" s="1" t="s">
        <v>1015</v>
      </c>
      <c r="AK23" s="2">
        <f t="shared" si="0"/>
        <v>30</v>
      </c>
      <c r="AM23" s="2">
        <f t="shared" si="1"/>
        <v>12</v>
      </c>
    </row>
    <row r="24" spans="1:39" ht="29" x14ac:dyDescent="0.35">
      <c r="A24" s="5" t="s">
        <v>1253</v>
      </c>
      <c r="B24" s="1"/>
      <c r="C24" s="1"/>
      <c r="D24" s="5"/>
      <c r="E24" s="1"/>
      <c r="F24" s="1"/>
      <c r="G24" s="1"/>
      <c r="H24" s="1"/>
      <c r="M24" s="54" t="s">
        <v>1179</v>
      </c>
      <c r="N24" s="54" t="s">
        <v>1441</v>
      </c>
      <c r="O24" s="1" t="s">
        <v>1619</v>
      </c>
      <c r="AK24" s="2">
        <f t="shared" si="0"/>
        <v>3</v>
      </c>
      <c r="AM24" s="2">
        <f t="shared" si="1"/>
        <v>3</v>
      </c>
    </row>
    <row r="25" spans="1:39" x14ac:dyDescent="0.35">
      <c r="A25" s="5" t="s">
        <v>1257</v>
      </c>
      <c r="B25" s="1"/>
      <c r="C25" s="1"/>
      <c r="D25" s="5"/>
      <c r="E25" s="1"/>
      <c r="F25" s="1"/>
      <c r="G25" s="1"/>
      <c r="H25" s="1"/>
      <c r="L25" s="54" t="s">
        <v>1196</v>
      </c>
      <c r="M25" s="54" t="s">
        <v>1256</v>
      </c>
      <c r="N25" s="1" t="s">
        <v>1444</v>
      </c>
      <c r="AK25" s="2">
        <f t="shared" si="0"/>
        <v>3</v>
      </c>
      <c r="AM25" s="2">
        <f t="shared" si="1"/>
        <v>3</v>
      </c>
    </row>
    <row r="26" spans="1:39" x14ac:dyDescent="0.35">
      <c r="A26" s="5" t="s">
        <v>1442</v>
      </c>
      <c r="B26" s="1"/>
      <c r="C26" s="1"/>
      <c r="D26" s="5"/>
      <c r="E26" s="1"/>
      <c r="F26" s="1"/>
      <c r="G26" s="1"/>
      <c r="H26" s="1"/>
      <c r="N26" s="1" t="s">
        <v>1443</v>
      </c>
      <c r="AK26" s="2">
        <f t="shared" si="0"/>
        <v>1</v>
      </c>
      <c r="AM26" s="2">
        <f t="shared" si="1"/>
        <v>1</v>
      </c>
    </row>
    <row r="27" spans="1:39" ht="29" x14ac:dyDescent="0.35">
      <c r="A27" s="5" t="s">
        <v>1627</v>
      </c>
      <c r="B27" s="1"/>
      <c r="C27" s="5"/>
      <c r="D27" s="5"/>
      <c r="E27" s="54" t="s">
        <v>122</v>
      </c>
      <c r="F27" s="1"/>
      <c r="G27" s="1"/>
      <c r="H27" s="1"/>
      <c r="O27" s="54" t="s">
        <v>1629</v>
      </c>
      <c r="U27" s="54" t="s">
        <v>2087</v>
      </c>
      <c r="V27" s="54" t="s">
        <v>2491</v>
      </c>
      <c r="W27" s="54" t="s">
        <v>552</v>
      </c>
      <c r="AA27" s="1" t="s">
        <v>118</v>
      </c>
      <c r="AK27" s="2">
        <f t="shared" si="0"/>
        <v>6</v>
      </c>
      <c r="AM27" s="2">
        <f t="shared" si="1"/>
        <v>1</v>
      </c>
    </row>
    <row r="28" spans="1:39" ht="29" x14ac:dyDescent="0.35">
      <c r="A28" s="5" t="s">
        <v>1628</v>
      </c>
      <c r="B28" s="1"/>
      <c r="C28" s="5"/>
      <c r="D28" s="5"/>
      <c r="E28" s="54" t="s">
        <v>123</v>
      </c>
      <c r="F28" s="1"/>
      <c r="G28" s="1"/>
      <c r="H28" s="1"/>
      <c r="U28" s="1" t="s">
        <v>1206</v>
      </c>
      <c r="AK28" s="2">
        <f t="shared" si="0"/>
        <v>2</v>
      </c>
      <c r="AM28" s="2">
        <f t="shared" si="1"/>
        <v>0</v>
      </c>
    </row>
    <row r="29" spans="1:39" x14ac:dyDescent="0.35">
      <c r="A29" s="5" t="s">
        <v>1195</v>
      </c>
      <c r="B29" s="1"/>
      <c r="C29" s="5"/>
      <c r="D29" s="5"/>
      <c r="E29" s="1"/>
      <c r="F29" s="1"/>
      <c r="G29" s="1"/>
      <c r="H29" s="1"/>
      <c r="K29" s="54" t="s">
        <v>1077</v>
      </c>
      <c r="L29" s="1" t="s">
        <v>1024</v>
      </c>
      <c r="AK29" s="2">
        <f t="shared" si="0"/>
        <v>2</v>
      </c>
      <c r="AM29" s="2">
        <f t="shared" si="1"/>
        <v>2</v>
      </c>
    </row>
    <row r="30" spans="1:39" x14ac:dyDescent="0.35">
      <c r="A30" s="5" t="s">
        <v>162</v>
      </c>
      <c r="B30" s="1"/>
      <c r="C30" s="5" t="s">
        <v>3206</v>
      </c>
      <c r="D30" s="64" t="s">
        <v>3206</v>
      </c>
      <c r="E30" s="54" t="s">
        <v>163</v>
      </c>
      <c r="F30" s="53" t="s">
        <v>387</v>
      </c>
      <c r="G30" s="53" t="s">
        <v>305</v>
      </c>
      <c r="H30" s="53" t="s">
        <v>570</v>
      </c>
      <c r="I30" s="53" t="s">
        <v>677</v>
      </c>
      <c r="J30" s="53" t="s">
        <v>841</v>
      </c>
      <c r="K30" s="1" t="s">
        <v>1116</v>
      </c>
      <c r="AK30" s="2">
        <f t="shared" si="0"/>
        <v>9</v>
      </c>
      <c r="AM30" s="2">
        <f t="shared" si="1"/>
        <v>5</v>
      </c>
    </row>
    <row r="31" spans="1:39" x14ac:dyDescent="0.35">
      <c r="A31" s="5" t="s">
        <v>165</v>
      </c>
      <c r="B31" s="1"/>
      <c r="C31" s="5" t="s">
        <v>3207</v>
      </c>
      <c r="D31" s="64" t="s">
        <v>3207</v>
      </c>
      <c r="E31" s="54" t="s">
        <v>164</v>
      </c>
      <c r="F31" s="53" t="s">
        <v>388</v>
      </c>
      <c r="G31" s="53" t="s">
        <v>306</v>
      </c>
      <c r="H31" s="53" t="s">
        <v>571</v>
      </c>
      <c r="I31" s="53" t="s">
        <v>678</v>
      </c>
      <c r="J31" s="53" t="s">
        <v>843</v>
      </c>
      <c r="K31" s="53" t="s">
        <v>1117</v>
      </c>
      <c r="N31" s="1" t="s">
        <v>1465</v>
      </c>
      <c r="X31" s="53" t="s">
        <v>1057</v>
      </c>
      <c r="AB31" s="1" t="s">
        <v>2713</v>
      </c>
      <c r="AK31" s="2">
        <f t="shared" si="0"/>
        <v>12</v>
      </c>
      <c r="AM31" s="2">
        <f t="shared" si="1"/>
        <v>6</v>
      </c>
    </row>
    <row r="32" spans="1:39" x14ac:dyDescent="0.35">
      <c r="A32" s="5" t="s">
        <v>1466</v>
      </c>
      <c r="B32" s="1"/>
      <c r="C32" s="5"/>
      <c r="D32" s="5"/>
      <c r="E32" s="1"/>
      <c r="F32" s="1"/>
      <c r="G32" s="1"/>
      <c r="H32" s="1"/>
      <c r="N32" s="1" t="s">
        <v>1119</v>
      </c>
      <c r="AK32" s="2">
        <f t="shared" si="0"/>
        <v>1</v>
      </c>
      <c r="AM32" s="2">
        <f t="shared" si="1"/>
        <v>1</v>
      </c>
    </row>
    <row r="33" spans="1:39" x14ac:dyDescent="0.35">
      <c r="A33" s="5" t="s">
        <v>1464</v>
      </c>
      <c r="B33" s="1"/>
      <c r="C33" s="5"/>
      <c r="D33" s="5"/>
      <c r="E33" s="1"/>
      <c r="F33" s="1"/>
      <c r="G33" s="1"/>
      <c r="H33" s="1"/>
      <c r="N33" s="54" t="s">
        <v>1120</v>
      </c>
      <c r="T33" s="1" t="s">
        <v>913</v>
      </c>
      <c r="AK33" s="2">
        <f t="shared" si="0"/>
        <v>2</v>
      </c>
      <c r="AM33" s="2">
        <f t="shared" si="1"/>
        <v>2</v>
      </c>
    </row>
    <row r="34" spans="1:39" x14ac:dyDescent="0.35">
      <c r="A34" s="5" t="s">
        <v>2558</v>
      </c>
      <c r="B34" s="1"/>
      <c r="C34" s="5"/>
      <c r="D34" s="5"/>
      <c r="E34" s="1"/>
      <c r="F34" s="1"/>
      <c r="G34" s="1"/>
      <c r="H34" s="1"/>
      <c r="W34" s="54" t="s">
        <v>545</v>
      </c>
      <c r="Y34" s="54" t="s">
        <v>973</v>
      </c>
      <c r="Z34" s="1" t="s">
        <v>876</v>
      </c>
      <c r="AK34" s="2">
        <f t="shared" si="0"/>
        <v>3</v>
      </c>
      <c r="AM34" s="2">
        <f t="shared" si="1"/>
        <v>0</v>
      </c>
    </row>
    <row r="35" spans="1:39" ht="29" x14ac:dyDescent="0.35">
      <c r="A35" s="5" t="s">
        <v>2585</v>
      </c>
      <c r="B35" s="1"/>
      <c r="C35" s="5"/>
      <c r="D35" s="5"/>
      <c r="E35" s="1"/>
      <c r="F35" s="1"/>
      <c r="G35" s="1"/>
      <c r="H35" s="1"/>
      <c r="Z35" s="1" t="s">
        <v>877</v>
      </c>
      <c r="AK35" s="2">
        <f t="shared" si="0"/>
        <v>1</v>
      </c>
      <c r="AM35" s="2">
        <f t="shared" si="1"/>
        <v>0</v>
      </c>
    </row>
    <row r="36" spans="1:39" x14ac:dyDescent="0.35">
      <c r="A36" s="5" t="s">
        <v>1459</v>
      </c>
      <c r="B36" s="1"/>
      <c r="C36" s="5"/>
      <c r="D36" s="5"/>
      <c r="E36" s="1"/>
      <c r="F36" s="1"/>
      <c r="G36" s="1"/>
      <c r="H36" s="1"/>
      <c r="N36" s="1" t="s">
        <v>1460</v>
      </c>
      <c r="AK36" s="2">
        <f t="shared" si="0"/>
        <v>1</v>
      </c>
      <c r="AM36" s="2">
        <f t="shared" si="1"/>
        <v>1</v>
      </c>
    </row>
    <row r="37" spans="1:39" ht="29" x14ac:dyDescent="0.35">
      <c r="A37" s="5" t="s">
        <v>1461</v>
      </c>
      <c r="B37" s="1"/>
      <c r="C37" s="5"/>
      <c r="D37" s="5"/>
      <c r="E37" s="1"/>
      <c r="F37" s="1"/>
      <c r="G37" s="1"/>
      <c r="H37" s="1"/>
      <c r="N37" s="1" t="s">
        <v>1462</v>
      </c>
      <c r="AK37" s="2">
        <f t="shared" si="0"/>
        <v>1</v>
      </c>
      <c r="AM37" s="2">
        <f t="shared" si="1"/>
        <v>1</v>
      </c>
    </row>
    <row r="38" spans="1:39" x14ac:dyDescent="0.35">
      <c r="A38" s="5" t="s">
        <v>1463</v>
      </c>
      <c r="B38" s="1"/>
      <c r="C38" s="5"/>
      <c r="D38" s="5"/>
      <c r="E38" s="1"/>
      <c r="F38" s="1"/>
      <c r="G38" s="1"/>
      <c r="H38" s="1"/>
      <c r="N38" s="1" t="s">
        <v>1116</v>
      </c>
      <c r="AK38" s="2">
        <f t="shared" si="0"/>
        <v>1</v>
      </c>
      <c r="AM38" s="2">
        <f t="shared" si="1"/>
        <v>1</v>
      </c>
    </row>
    <row r="39" spans="1:39" x14ac:dyDescent="0.35">
      <c r="A39" s="5" t="s">
        <v>1464</v>
      </c>
      <c r="B39" s="1"/>
      <c r="C39" s="5"/>
      <c r="D39" s="5"/>
      <c r="E39" s="1"/>
      <c r="F39" s="1"/>
      <c r="G39" s="1"/>
      <c r="H39" s="1"/>
      <c r="N39" s="1" t="s">
        <v>1117</v>
      </c>
      <c r="AK39" s="2">
        <f t="shared" si="0"/>
        <v>1</v>
      </c>
      <c r="AM39" s="2">
        <f t="shared" si="1"/>
        <v>1</v>
      </c>
    </row>
    <row r="40" spans="1:39" ht="29" x14ac:dyDescent="0.35">
      <c r="A40" s="5" t="s">
        <v>1288</v>
      </c>
      <c r="B40" s="1"/>
      <c r="C40" s="5"/>
      <c r="D40" s="5"/>
      <c r="E40" s="1"/>
      <c r="F40" s="1"/>
      <c r="G40" s="1"/>
      <c r="H40" s="1"/>
      <c r="N40" s="1" t="s">
        <v>234</v>
      </c>
      <c r="AK40" s="2">
        <f t="shared" si="0"/>
        <v>1</v>
      </c>
      <c r="AM40" s="2">
        <f t="shared" si="1"/>
        <v>1</v>
      </c>
    </row>
    <row r="41" spans="1:39" ht="58" x14ac:dyDescent="0.35">
      <c r="A41" s="5" t="s">
        <v>277</v>
      </c>
      <c r="B41" s="1"/>
      <c r="C41" s="5"/>
      <c r="D41" s="5"/>
      <c r="E41" s="1"/>
      <c r="F41" s="1"/>
      <c r="G41" s="54" t="s">
        <v>278</v>
      </c>
      <c r="H41" s="1" t="s">
        <v>267</v>
      </c>
      <c r="AK41" s="2">
        <f t="shared" si="0"/>
        <v>2</v>
      </c>
      <c r="AM41" s="2">
        <f t="shared" si="1"/>
        <v>2</v>
      </c>
    </row>
    <row r="42" spans="1:39" x14ac:dyDescent="0.35">
      <c r="A42" s="5" t="s">
        <v>279</v>
      </c>
      <c r="B42" s="1"/>
      <c r="C42" s="5"/>
      <c r="D42" s="5"/>
      <c r="E42" s="1"/>
      <c r="F42" s="1"/>
      <c r="G42" s="54" t="s">
        <v>280</v>
      </c>
      <c r="H42" s="1" t="s">
        <v>515</v>
      </c>
      <c r="AK42" s="2">
        <f t="shared" si="0"/>
        <v>2</v>
      </c>
      <c r="AM42" s="2">
        <f t="shared" si="1"/>
        <v>2</v>
      </c>
    </row>
    <row r="43" spans="1:39" x14ac:dyDescent="0.35">
      <c r="A43" s="5" t="s">
        <v>516</v>
      </c>
      <c r="B43" s="1"/>
      <c r="C43" s="5"/>
      <c r="D43" s="5"/>
      <c r="E43" s="1"/>
      <c r="F43" s="1"/>
      <c r="G43" s="1"/>
      <c r="H43" s="1" t="s">
        <v>517</v>
      </c>
      <c r="AK43" s="2">
        <f t="shared" si="0"/>
        <v>1</v>
      </c>
      <c r="AM43" s="2">
        <f t="shared" si="1"/>
        <v>1</v>
      </c>
    </row>
    <row r="44" spans="1:39" x14ac:dyDescent="0.35">
      <c r="A44" s="5" t="s">
        <v>307</v>
      </c>
      <c r="B44" s="1"/>
      <c r="C44" s="5" t="s">
        <v>3208</v>
      </c>
      <c r="D44" s="64" t="s">
        <v>3208</v>
      </c>
      <c r="E44" s="1"/>
      <c r="F44" s="1"/>
      <c r="G44" s="54" t="s">
        <v>308</v>
      </c>
      <c r="H44" s="53" t="s">
        <v>572</v>
      </c>
      <c r="I44" s="53" t="s">
        <v>681</v>
      </c>
      <c r="J44" s="53" t="s">
        <v>848</v>
      </c>
      <c r="K44" s="53" t="s">
        <v>1120</v>
      </c>
      <c r="N44" s="54" t="s">
        <v>1118</v>
      </c>
      <c r="AB44" s="54" t="s">
        <v>2676</v>
      </c>
      <c r="AC44" s="1" t="s">
        <v>2767</v>
      </c>
      <c r="AK44" s="2">
        <f t="shared" si="0"/>
        <v>10</v>
      </c>
      <c r="AM44" s="2">
        <f t="shared" si="1"/>
        <v>6</v>
      </c>
    </row>
    <row r="45" spans="1:39" x14ac:dyDescent="0.35">
      <c r="A45" s="5" t="s">
        <v>574</v>
      </c>
      <c r="B45" s="1"/>
      <c r="C45" s="5"/>
      <c r="D45" s="5"/>
      <c r="E45" s="1"/>
      <c r="F45" s="1"/>
      <c r="G45" s="1"/>
      <c r="H45" s="1" t="s">
        <v>575</v>
      </c>
      <c r="AK45" s="2">
        <f t="shared" si="0"/>
        <v>1</v>
      </c>
      <c r="AM45" s="2">
        <f t="shared" si="1"/>
        <v>1</v>
      </c>
    </row>
    <row r="46" spans="1:39" x14ac:dyDescent="0.35">
      <c r="A46" s="5" t="s">
        <v>576</v>
      </c>
      <c r="B46" s="1"/>
      <c r="C46" s="5"/>
      <c r="D46" s="5"/>
      <c r="E46" s="1"/>
      <c r="F46" s="1"/>
      <c r="G46" s="1"/>
      <c r="H46" s="53" t="s">
        <v>577</v>
      </c>
      <c r="J46" s="53" t="s">
        <v>842</v>
      </c>
      <c r="M46" s="54" t="s">
        <v>976</v>
      </c>
      <c r="O46" s="1" t="s">
        <v>1620</v>
      </c>
      <c r="AK46" s="2">
        <f t="shared" si="0"/>
        <v>4</v>
      </c>
      <c r="AM46" s="2">
        <f t="shared" si="1"/>
        <v>4</v>
      </c>
    </row>
    <row r="47" spans="1:39" ht="29" x14ac:dyDescent="0.35">
      <c r="A47" s="5" t="s">
        <v>310</v>
      </c>
      <c r="B47" s="1"/>
      <c r="C47" s="5" t="s">
        <v>3210</v>
      </c>
      <c r="D47" s="64" t="s">
        <v>3210</v>
      </c>
      <c r="E47" s="1"/>
      <c r="F47" s="1"/>
      <c r="G47" s="54" t="s">
        <v>311</v>
      </c>
      <c r="H47" s="53" t="s">
        <v>578</v>
      </c>
      <c r="AB47" s="1" t="s">
        <v>2710</v>
      </c>
      <c r="AK47" s="2">
        <f t="shared" si="0"/>
        <v>5</v>
      </c>
      <c r="AM47" s="2">
        <f t="shared" si="1"/>
        <v>2</v>
      </c>
    </row>
    <row r="48" spans="1:39" ht="29" x14ac:dyDescent="0.35">
      <c r="A48" s="5" t="s">
        <v>1435</v>
      </c>
      <c r="B48" s="1"/>
      <c r="C48" s="5"/>
      <c r="D48" s="5"/>
      <c r="E48" s="1"/>
      <c r="F48" s="1"/>
      <c r="G48" s="1"/>
      <c r="H48" s="1"/>
      <c r="N48" s="54" t="s">
        <v>1054</v>
      </c>
      <c r="O48" s="53" t="s">
        <v>1594</v>
      </c>
      <c r="U48" s="1" t="s">
        <v>1203</v>
      </c>
      <c r="AK48" s="2">
        <f t="shared" si="0"/>
        <v>3</v>
      </c>
      <c r="AM48" s="2">
        <f t="shared" si="1"/>
        <v>2</v>
      </c>
    </row>
    <row r="49" spans="1:39" ht="29" x14ac:dyDescent="0.35">
      <c r="A49" s="5" t="s">
        <v>2751</v>
      </c>
      <c r="B49" s="1"/>
      <c r="C49" s="5"/>
      <c r="D49" s="5"/>
      <c r="E49" s="1"/>
      <c r="F49" s="1"/>
      <c r="G49" s="1"/>
      <c r="H49" s="1"/>
      <c r="M49" s="54" t="s">
        <v>973</v>
      </c>
      <c r="N49" s="54" t="s">
        <v>1437</v>
      </c>
      <c r="O49" s="53" t="s">
        <v>1598</v>
      </c>
      <c r="P49" s="53" t="s">
        <v>1378</v>
      </c>
      <c r="W49" s="54" t="s">
        <v>192</v>
      </c>
      <c r="AB49" s="53" t="s">
        <v>2698</v>
      </c>
      <c r="AC49" s="53" t="s">
        <v>2750</v>
      </c>
      <c r="AD49" s="53" t="s">
        <v>1976</v>
      </c>
      <c r="AE49" s="54" t="s">
        <v>1058</v>
      </c>
      <c r="AF49" s="1" t="s">
        <v>433</v>
      </c>
      <c r="AK49" s="2">
        <f t="shared" si="0"/>
        <v>10</v>
      </c>
      <c r="AM49" s="2">
        <f t="shared" si="1"/>
        <v>4</v>
      </c>
    </row>
    <row r="50" spans="1:39" ht="29" x14ac:dyDescent="0.35">
      <c r="A50" s="5" t="s">
        <v>2356</v>
      </c>
      <c r="B50" s="1"/>
      <c r="C50" s="5"/>
      <c r="D50" s="5"/>
      <c r="E50" s="1"/>
      <c r="F50" s="1"/>
      <c r="G50" s="1"/>
      <c r="H50" s="1"/>
      <c r="U50" s="54" t="s">
        <v>2113</v>
      </c>
      <c r="Z50" s="53" t="s">
        <v>874</v>
      </c>
      <c r="AB50" s="53" t="s">
        <v>2696</v>
      </c>
      <c r="AC50" s="53" t="s">
        <v>2168</v>
      </c>
      <c r="AD50" s="53" t="s">
        <v>1977</v>
      </c>
      <c r="AE50" s="54" t="s">
        <v>1056</v>
      </c>
      <c r="AK50" s="2">
        <f t="shared" si="0"/>
        <v>6</v>
      </c>
      <c r="AM50" s="2">
        <f t="shared" si="1"/>
        <v>0</v>
      </c>
    </row>
    <row r="51" spans="1:39" ht="29" x14ac:dyDescent="0.35">
      <c r="A51" s="5" t="s">
        <v>2518</v>
      </c>
      <c r="B51" s="1"/>
      <c r="C51" s="5"/>
      <c r="D51" s="5"/>
      <c r="E51" s="1"/>
      <c r="F51" s="1"/>
      <c r="G51" s="1"/>
      <c r="H51" s="1"/>
      <c r="W51" s="54" t="s">
        <v>17</v>
      </c>
      <c r="AF51" s="1" t="s">
        <v>432</v>
      </c>
      <c r="AK51" s="2">
        <f t="shared" si="0"/>
        <v>2</v>
      </c>
      <c r="AM51" s="2">
        <f t="shared" si="1"/>
        <v>0</v>
      </c>
    </row>
    <row r="52" spans="1:39" ht="29" x14ac:dyDescent="0.35">
      <c r="A52" s="5" t="s">
        <v>2517</v>
      </c>
      <c r="B52" s="1"/>
      <c r="C52" s="5"/>
      <c r="D52" s="5"/>
      <c r="E52" s="1"/>
      <c r="F52" s="1"/>
      <c r="G52" s="1"/>
      <c r="H52" s="1"/>
      <c r="W52" s="54" t="s">
        <v>16</v>
      </c>
      <c r="AB52" s="53" t="s">
        <v>2697</v>
      </c>
      <c r="AC52" s="53" t="s">
        <v>2172</v>
      </c>
      <c r="AE52" s="54" t="s">
        <v>1057</v>
      </c>
      <c r="AF52" s="1" t="s">
        <v>431</v>
      </c>
      <c r="AK52" s="2">
        <f t="shared" si="0"/>
        <v>5</v>
      </c>
      <c r="AM52" s="2">
        <f t="shared" si="1"/>
        <v>0</v>
      </c>
    </row>
    <row r="53" spans="1:39" x14ac:dyDescent="0.35">
      <c r="A53" s="5" t="s">
        <v>2699</v>
      </c>
      <c r="B53" s="1"/>
      <c r="C53" s="5"/>
      <c r="D53" s="5"/>
      <c r="E53" s="1"/>
      <c r="F53" s="1"/>
      <c r="G53" s="1"/>
      <c r="H53" s="1"/>
      <c r="AB53" s="1" t="s">
        <v>2700</v>
      </c>
      <c r="AK53" s="2">
        <f t="shared" si="0"/>
        <v>1</v>
      </c>
      <c r="AM53" s="2">
        <f t="shared" si="1"/>
        <v>0</v>
      </c>
    </row>
    <row r="54" spans="1:39" x14ac:dyDescent="0.35">
      <c r="A54" s="5" t="s">
        <v>2803</v>
      </c>
      <c r="B54" s="1"/>
      <c r="C54" s="5"/>
      <c r="D54" s="5"/>
      <c r="E54" s="1"/>
      <c r="F54" s="1"/>
      <c r="G54" s="1"/>
      <c r="H54" s="1"/>
      <c r="AD54" s="54" t="s">
        <v>1979</v>
      </c>
      <c r="AE54" s="1" t="s">
        <v>1059</v>
      </c>
      <c r="AK54" s="2">
        <f t="shared" si="0"/>
        <v>2</v>
      </c>
      <c r="AM54" s="2">
        <f t="shared" si="1"/>
        <v>0</v>
      </c>
    </row>
    <row r="55" spans="1:39" x14ac:dyDescent="0.35">
      <c r="A55" s="5" t="s">
        <v>2804</v>
      </c>
      <c r="B55" s="1"/>
      <c r="C55" s="5"/>
      <c r="D55" s="5"/>
      <c r="E55" s="1"/>
      <c r="F55" s="1"/>
      <c r="G55" s="1"/>
      <c r="H55" s="1"/>
      <c r="AD55" s="1" t="s">
        <v>1980</v>
      </c>
      <c r="AK55" s="2">
        <f t="shared" si="0"/>
        <v>1</v>
      </c>
      <c r="AM55" s="2">
        <f t="shared" si="1"/>
        <v>0</v>
      </c>
    </row>
    <row r="56" spans="1:39" ht="29" x14ac:dyDescent="0.35">
      <c r="A56" s="5" t="s">
        <v>511</v>
      </c>
      <c r="B56" s="1"/>
      <c r="C56" s="5"/>
      <c r="D56" s="5"/>
      <c r="E56" s="1"/>
      <c r="F56" s="1"/>
      <c r="G56" s="1"/>
      <c r="H56" s="54" t="s">
        <v>512</v>
      </c>
      <c r="I56" s="53" t="s">
        <v>521</v>
      </c>
      <c r="J56" s="53" t="s">
        <v>787</v>
      </c>
      <c r="AC56" s="54" t="s">
        <v>2185</v>
      </c>
      <c r="AD56" s="53" t="s">
        <v>2801</v>
      </c>
      <c r="AE56" s="53" t="s">
        <v>2902</v>
      </c>
      <c r="AF56" s="1" t="s">
        <v>1250</v>
      </c>
      <c r="AK56" s="2">
        <f t="shared" si="0"/>
        <v>7</v>
      </c>
      <c r="AM56" s="2">
        <f t="shared" si="1"/>
        <v>3</v>
      </c>
    </row>
    <row r="57" spans="1:39" x14ac:dyDescent="0.35">
      <c r="A57" s="5" t="s">
        <v>2802</v>
      </c>
      <c r="B57" s="1"/>
      <c r="C57" s="5"/>
      <c r="D57" s="5"/>
      <c r="E57" s="1"/>
      <c r="F57" s="1"/>
      <c r="G57" s="1"/>
      <c r="H57" s="1"/>
      <c r="AD57" s="1" t="s">
        <v>1973</v>
      </c>
      <c r="AK57" s="2">
        <f t="shared" si="0"/>
        <v>1</v>
      </c>
      <c r="AM57" s="2">
        <f t="shared" si="1"/>
        <v>0</v>
      </c>
    </row>
    <row r="58" spans="1:39" ht="43.5" x14ac:dyDescent="0.35">
      <c r="A58" s="5" t="s">
        <v>514</v>
      </c>
      <c r="B58" s="1"/>
      <c r="C58" s="5"/>
      <c r="D58" s="5"/>
      <c r="E58" s="1"/>
      <c r="F58" s="1"/>
      <c r="G58" s="1"/>
      <c r="H58" s="1" t="s">
        <v>264</v>
      </c>
      <c r="AK58" s="2">
        <f t="shared" si="0"/>
        <v>1</v>
      </c>
      <c r="AM58" s="2">
        <f t="shared" si="1"/>
        <v>1</v>
      </c>
    </row>
    <row r="59" spans="1:39" x14ac:dyDescent="0.35">
      <c r="A59" s="5" t="s">
        <v>279</v>
      </c>
      <c r="B59" s="1"/>
      <c r="C59" s="5"/>
      <c r="D59" s="5"/>
      <c r="E59" s="1"/>
      <c r="F59" s="1"/>
      <c r="G59" s="1"/>
      <c r="H59" s="1" t="s">
        <v>265</v>
      </c>
      <c r="AK59" s="2">
        <f t="shared" si="0"/>
        <v>1</v>
      </c>
      <c r="AM59" s="2">
        <f t="shared" si="1"/>
        <v>1</v>
      </c>
    </row>
    <row r="60" spans="1:39" ht="58" x14ac:dyDescent="0.35">
      <c r="A60" s="5" t="s">
        <v>518</v>
      </c>
      <c r="B60" s="1"/>
      <c r="C60" s="5"/>
      <c r="D60" s="5"/>
      <c r="E60" s="1"/>
      <c r="F60" s="1"/>
      <c r="G60" s="1"/>
      <c r="H60" s="12" t="s">
        <v>519</v>
      </c>
      <c r="AK60" s="2">
        <f t="shared" si="0"/>
        <v>1</v>
      </c>
      <c r="AM60" s="2">
        <f t="shared" si="1"/>
        <v>1</v>
      </c>
    </row>
    <row r="61" spans="1:39" ht="29" x14ac:dyDescent="0.35">
      <c r="A61" s="5" t="s">
        <v>1617</v>
      </c>
      <c r="B61" s="1"/>
      <c r="C61" s="5"/>
      <c r="D61" s="5"/>
      <c r="E61" s="1"/>
      <c r="F61" s="1"/>
      <c r="G61" s="1"/>
      <c r="H61" s="12"/>
      <c r="O61" s="1" t="s">
        <v>1618</v>
      </c>
      <c r="AK61" s="2">
        <f t="shared" si="0"/>
        <v>1</v>
      </c>
      <c r="AM61" s="2">
        <f t="shared" si="1"/>
        <v>1</v>
      </c>
    </row>
    <row r="62" spans="1:39" ht="29" x14ac:dyDescent="0.35">
      <c r="A62" s="5" t="s">
        <v>523</v>
      </c>
      <c r="B62" s="1"/>
      <c r="C62" s="5"/>
      <c r="D62" s="5"/>
      <c r="E62" s="1"/>
      <c r="F62" s="1"/>
      <c r="G62" s="1"/>
      <c r="H62" s="1" t="s">
        <v>524</v>
      </c>
      <c r="AK62" s="2">
        <f t="shared" si="0"/>
        <v>1</v>
      </c>
      <c r="AM62" s="2">
        <f t="shared" si="1"/>
        <v>1</v>
      </c>
    </row>
    <row r="63" spans="1:39" ht="29" x14ac:dyDescent="0.35">
      <c r="A63" s="5" t="s">
        <v>526</v>
      </c>
      <c r="B63" s="1"/>
      <c r="C63" s="5"/>
      <c r="D63" s="5"/>
      <c r="E63" s="1"/>
      <c r="F63" s="1"/>
      <c r="G63" s="1"/>
      <c r="H63" s="54" t="s">
        <v>276</v>
      </c>
      <c r="I63" s="12" t="s">
        <v>276</v>
      </c>
      <c r="AK63" s="2">
        <f t="shared" si="0"/>
        <v>2</v>
      </c>
      <c r="AM63" s="2">
        <f t="shared" si="1"/>
        <v>2</v>
      </c>
    </row>
    <row r="64" spans="1:39" ht="29" x14ac:dyDescent="0.35">
      <c r="A64" s="5" t="s">
        <v>527</v>
      </c>
      <c r="B64" s="1"/>
      <c r="C64" s="5"/>
      <c r="D64" s="5"/>
      <c r="E64" s="1"/>
      <c r="F64" s="1"/>
      <c r="G64" s="1"/>
      <c r="H64" s="12" t="s">
        <v>278</v>
      </c>
      <c r="AK64" s="2">
        <f t="shared" si="0"/>
        <v>1</v>
      </c>
      <c r="AM64" s="2">
        <f t="shared" si="1"/>
        <v>1</v>
      </c>
    </row>
    <row r="65" spans="1:39" ht="29" x14ac:dyDescent="0.35">
      <c r="A65" s="5" t="s">
        <v>544</v>
      </c>
      <c r="B65" s="1"/>
      <c r="C65" s="5"/>
      <c r="D65" s="5"/>
      <c r="E65" s="1"/>
      <c r="F65" s="1"/>
      <c r="G65" s="1"/>
      <c r="H65" s="12" t="s">
        <v>545</v>
      </c>
      <c r="AK65" s="2">
        <f t="shared" si="0"/>
        <v>1</v>
      </c>
      <c r="AM65" s="2">
        <f t="shared" si="1"/>
        <v>1</v>
      </c>
    </row>
    <row r="66" spans="1:39" ht="29" x14ac:dyDescent="0.35">
      <c r="A66" s="5" t="s">
        <v>546</v>
      </c>
      <c r="B66" s="1"/>
      <c r="C66" s="5"/>
      <c r="D66" s="5"/>
      <c r="E66" s="1"/>
      <c r="F66" s="1"/>
      <c r="G66" s="1"/>
      <c r="H66" s="12" t="s">
        <v>547</v>
      </c>
      <c r="AK66" s="2">
        <f t="shared" si="0"/>
        <v>1</v>
      </c>
      <c r="AM66" s="2">
        <f t="shared" si="1"/>
        <v>1</v>
      </c>
    </row>
    <row r="67" spans="1:39" ht="29" x14ac:dyDescent="0.35">
      <c r="A67" s="5" t="s">
        <v>548</v>
      </c>
      <c r="B67" s="1"/>
      <c r="C67" s="5"/>
      <c r="D67" s="5"/>
      <c r="E67" s="1"/>
      <c r="F67" s="1"/>
      <c r="G67" s="1"/>
      <c r="H67" s="12" t="s">
        <v>549</v>
      </c>
      <c r="AK67" s="2">
        <f t="shared" ref="AK67:AK130" si="2">COUNTA(C67:AI67)</f>
        <v>1</v>
      </c>
      <c r="AM67" s="2">
        <f t="shared" si="1"/>
        <v>1</v>
      </c>
    </row>
    <row r="68" spans="1:39" ht="29" x14ac:dyDescent="0.35">
      <c r="A68" s="5" t="s">
        <v>550</v>
      </c>
      <c r="B68" s="1"/>
      <c r="C68" s="5"/>
      <c r="D68" s="5"/>
      <c r="E68" s="1"/>
      <c r="F68" s="1"/>
      <c r="G68" s="1"/>
      <c r="H68" s="12" t="s">
        <v>551</v>
      </c>
      <c r="AK68" s="2">
        <f t="shared" si="2"/>
        <v>1</v>
      </c>
      <c r="AM68" s="2">
        <f t="shared" ref="AM68:AM131" si="3">COUNTA(G68:P68,S68:T68)</f>
        <v>1</v>
      </c>
    </row>
    <row r="69" spans="1:39" ht="29" x14ac:dyDescent="0.35">
      <c r="A69" s="5" t="s">
        <v>670</v>
      </c>
      <c r="B69" s="1"/>
      <c r="C69" s="5"/>
      <c r="D69" s="5"/>
      <c r="E69" s="1"/>
      <c r="F69" s="1"/>
      <c r="G69" s="1"/>
      <c r="H69" s="1"/>
      <c r="I69" s="63" t="s">
        <v>296</v>
      </c>
      <c r="J69" s="54" t="s">
        <v>789</v>
      </c>
      <c r="R69" s="54" t="s">
        <v>365</v>
      </c>
      <c r="S69" s="1" t="s">
        <v>2181</v>
      </c>
      <c r="AK69" s="2">
        <f t="shared" si="2"/>
        <v>4</v>
      </c>
      <c r="AM69" s="2">
        <f t="shared" si="3"/>
        <v>3</v>
      </c>
    </row>
    <row r="70" spans="1:39" ht="29" x14ac:dyDescent="0.35">
      <c r="A70" s="5" t="s">
        <v>679</v>
      </c>
      <c r="B70" s="1"/>
      <c r="C70" s="5"/>
      <c r="D70" s="5"/>
      <c r="E70" s="1"/>
      <c r="F70" s="1"/>
      <c r="G70" s="1"/>
      <c r="H70" s="1"/>
      <c r="I70" s="54" t="s">
        <v>680</v>
      </c>
      <c r="J70" s="54" t="s">
        <v>844</v>
      </c>
      <c r="N70" s="1" t="s">
        <v>1122</v>
      </c>
      <c r="AK70" s="2">
        <f t="shared" si="2"/>
        <v>3</v>
      </c>
      <c r="AM70" s="2">
        <f t="shared" si="3"/>
        <v>3</v>
      </c>
    </row>
    <row r="71" spans="1:39" ht="29" x14ac:dyDescent="0.35">
      <c r="A71" s="5" t="s">
        <v>774</v>
      </c>
      <c r="B71" s="1"/>
      <c r="C71" s="5"/>
      <c r="D71" s="5"/>
      <c r="E71" s="1"/>
      <c r="F71" s="1"/>
      <c r="G71" s="1"/>
      <c r="H71" s="1"/>
      <c r="J71" s="54" t="s">
        <v>558</v>
      </c>
      <c r="W71" s="54" t="s">
        <v>15</v>
      </c>
      <c r="AA71" s="53" t="s">
        <v>519</v>
      </c>
      <c r="AB71" s="53" t="s">
        <v>2695</v>
      </c>
      <c r="AC71" s="53" t="s">
        <v>2733</v>
      </c>
      <c r="AF71" s="1" t="s">
        <v>428</v>
      </c>
      <c r="AK71" s="2">
        <f t="shared" si="2"/>
        <v>6</v>
      </c>
      <c r="AM71" s="2">
        <f t="shared" si="3"/>
        <v>1</v>
      </c>
    </row>
    <row r="72" spans="1:39" ht="29" x14ac:dyDescent="0.35">
      <c r="A72" s="5" t="s">
        <v>4841</v>
      </c>
      <c r="B72" s="1"/>
      <c r="C72" s="1"/>
      <c r="D72" s="5"/>
      <c r="E72" s="1"/>
      <c r="F72" s="1"/>
      <c r="G72" s="1"/>
      <c r="H72" s="1"/>
      <c r="K72" s="1" t="s">
        <v>1134</v>
      </c>
      <c r="AK72" s="2">
        <f t="shared" si="2"/>
        <v>1</v>
      </c>
      <c r="AM72" s="2">
        <f t="shared" si="3"/>
        <v>1</v>
      </c>
    </row>
    <row r="73" spans="1:39" ht="29" x14ac:dyDescent="0.35">
      <c r="A73" s="5" t="s">
        <v>788</v>
      </c>
      <c r="B73" s="1"/>
      <c r="C73" s="1"/>
      <c r="D73" s="5"/>
      <c r="E73" s="1"/>
      <c r="F73" s="1"/>
      <c r="G73" s="1"/>
      <c r="H73" s="1"/>
      <c r="J73" s="80" t="s">
        <v>675</v>
      </c>
      <c r="V73" s="1" t="s">
        <v>897</v>
      </c>
      <c r="AK73" s="2">
        <f t="shared" si="2"/>
        <v>2</v>
      </c>
      <c r="AM73" s="2">
        <f t="shared" si="3"/>
        <v>1</v>
      </c>
    </row>
    <row r="74" spans="1:39" ht="43.5" x14ac:dyDescent="0.35">
      <c r="A74" s="5" t="s">
        <v>1123</v>
      </c>
      <c r="B74" s="1"/>
      <c r="C74" s="1"/>
      <c r="D74" s="5"/>
      <c r="E74" s="1"/>
      <c r="F74" s="1"/>
      <c r="G74" s="1"/>
      <c r="H74" s="1"/>
      <c r="J74" s="19"/>
      <c r="K74" s="1" t="s">
        <v>1124</v>
      </c>
      <c r="AK74" s="2">
        <f t="shared" si="2"/>
        <v>1</v>
      </c>
      <c r="AM74" s="2">
        <f t="shared" si="3"/>
        <v>1</v>
      </c>
    </row>
    <row r="75" spans="1:39" x14ac:dyDescent="0.35">
      <c r="A75" s="5" t="s">
        <v>1130</v>
      </c>
      <c r="B75" s="1"/>
      <c r="C75" s="1"/>
      <c r="D75" s="5"/>
      <c r="E75" s="1"/>
      <c r="F75" s="1"/>
      <c r="G75" s="1"/>
      <c r="H75" s="1"/>
      <c r="J75" s="19"/>
      <c r="K75" s="1" t="s">
        <v>1125</v>
      </c>
      <c r="AK75" s="2">
        <f t="shared" si="2"/>
        <v>1</v>
      </c>
      <c r="AM75" s="2">
        <f t="shared" si="3"/>
        <v>1</v>
      </c>
    </row>
    <row r="76" spans="1:39" x14ac:dyDescent="0.35">
      <c r="A76" s="5" t="s">
        <v>2248</v>
      </c>
      <c r="B76" s="1"/>
      <c r="C76" s="45"/>
      <c r="D76" s="5"/>
      <c r="E76" s="1"/>
      <c r="F76" s="1"/>
      <c r="G76" s="1"/>
      <c r="H76" s="1"/>
      <c r="J76" s="19"/>
      <c r="K76" s="1" t="s">
        <v>1126</v>
      </c>
      <c r="AK76" s="2">
        <f t="shared" si="2"/>
        <v>1</v>
      </c>
      <c r="AM76" s="2">
        <f t="shared" si="3"/>
        <v>1</v>
      </c>
    </row>
    <row r="77" spans="1:39" x14ac:dyDescent="0.35">
      <c r="A77" s="5" t="s">
        <v>1131</v>
      </c>
      <c r="B77" s="1"/>
      <c r="C77" s="1"/>
      <c r="D77" s="5"/>
      <c r="E77" s="1"/>
      <c r="F77" s="1"/>
      <c r="G77" s="1"/>
      <c r="H77" s="1"/>
      <c r="J77" s="19"/>
      <c r="K77" s="1" t="s">
        <v>1127</v>
      </c>
      <c r="AK77" s="2">
        <f t="shared" si="2"/>
        <v>1</v>
      </c>
      <c r="AM77" s="2">
        <f t="shared" si="3"/>
        <v>1</v>
      </c>
    </row>
    <row r="78" spans="1:39" x14ac:dyDescent="0.35">
      <c r="A78" s="5" t="s">
        <v>1132</v>
      </c>
      <c r="B78" s="1"/>
      <c r="C78" s="1"/>
      <c r="D78" s="5"/>
      <c r="E78" s="1"/>
      <c r="F78" s="1"/>
      <c r="G78" s="1"/>
      <c r="H78" s="1"/>
      <c r="J78" s="19"/>
      <c r="K78" s="1" t="s">
        <v>1128</v>
      </c>
      <c r="AK78" s="2">
        <f t="shared" si="2"/>
        <v>1</v>
      </c>
      <c r="AM78" s="2">
        <f t="shared" si="3"/>
        <v>1</v>
      </c>
    </row>
    <row r="79" spans="1:39" x14ac:dyDescent="0.35">
      <c r="A79" s="5" t="s">
        <v>1133</v>
      </c>
      <c r="B79" s="1"/>
      <c r="C79" s="1"/>
      <c r="D79" s="5"/>
      <c r="E79" s="1"/>
      <c r="F79" s="1"/>
      <c r="G79" s="1"/>
      <c r="H79" s="1"/>
      <c r="J79" s="19"/>
      <c r="K79" s="1" t="s">
        <v>1129</v>
      </c>
      <c r="AK79" s="2">
        <f t="shared" si="2"/>
        <v>1</v>
      </c>
      <c r="AM79" s="2">
        <f t="shared" si="3"/>
        <v>1</v>
      </c>
    </row>
    <row r="80" spans="1:39" ht="29" x14ac:dyDescent="0.35">
      <c r="A80" s="5" t="s">
        <v>791</v>
      </c>
      <c r="B80" s="1"/>
      <c r="C80" s="1"/>
      <c r="D80" s="5"/>
      <c r="E80" s="1"/>
      <c r="F80" s="1"/>
      <c r="G80" s="1"/>
      <c r="H80" s="1"/>
      <c r="J80" s="54" t="s">
        <v>792</v>
      </c>
      <c r="K80" s="63" t="s">
        <v>1073</v>
      </c>
      <c r="L80" s="54" t="s">
        <v>1194</v>
      </c>
      <c r="P80" s="1" t="s">
        <v>1371</v>
      </c>
      <c r="AK80" s="2">
        <f t="shared" si="2"/>
        <v>4</v>
      </c>
      <c r="AM80" s="2">
        <f t="shared" si="3"/>
        <v>4</v>
      </c>
    </row>
    <row r="81" spans="1:39" ht="29" x14ac:dyDescent="0.35">
      <c r="A81" s="5" t="s">
        <v>790</v>
      </c>
      <c r="B81" s="1"/>
      <c r="C81" s="5"/>
      <c r="D81" s="5"/>
      <c r="E81" s="1"/>
      <c r="F81" s="1"/>
      <c r="G81" s="1"/>
      <c r="H81" s="1"/>
      <c r="J81" s="54" t="s">
        <v>793</v>
      </c>
      <c r="K81" s="63" t="s">
        <v>1074</v>
      </c>
      <c r="L81" s="54" t="s">
        <v>1021</v>
      </c>
      <c r="P81" s="1" t="s">
        <v>1372</v>
      </c>
      <c r="AK81" s="2">
        <f t="shared" si="2"/>
        <v>4</v>
      </c>
      <c r="AM81" s="2">
        <f t="shared" si="3"/>
        <v>4</v>
      </c>
    </row>
    <row r="82" spans="1:39" ht="29" x14ac:dyDescent="0.35">
      <c r="A82" s="5" t="s">
        <v>1621</v>
      </c>
      <c r="B82" s="1"/>
      <c r="C82" s="1"/>
      <c r="D82" s="5"/>
      <c r="E82" s="1"/>
      <c r="F82" s="1"/>
      <c r="G82" s="1"/>
      <c r="H82" s="1"/>
      <c r="K82" s="12"/>
      <c r="O82" s="1" t="s">
        <v>1622</v>
      </c>
      <c r="AK82" s="2">
        <f t="shared" si="2"/>
        <v>1</v>
      </c>
      <c r="AM82" s="2">
        <f t="shared" si="3"/>
        <v>1</v>
      </c>
    </row>
    <row r="83" spans="1:39" x14ac:dyDescent="0.35">
      <c r="A83" s="5" t="s">
        <v>803</v>
      </c>
      <c r="B83" s="1"/>
      <c r="C83" s="1"/>
      <c r="D83" s="5"/>
      <c r="E83" s="1"/>
      <c r="F83" s="1"/>
      <c r="G83" s="1"/>
      <c r="H83" s="1"/>
      <c r="J83" s="1" t="s">
        <v>804</v>
      </c>
      <c r="AK83" s="2">
        <f t="shared" si="2"/>
        <v>1</v>
      </c>
      <c r="AM83" s="2">
        <f t="shared" si="3"/>
        <v>1</v>
      </c>
    </row>
    <row r="84" spans="1:39" ht="29" x14ac:dyDescent="0.35">
      <c r="A84" s="5" t="s">
        <v>2574</v>
      </c>
      <c r="B84" s="1"/>
      <c r="C84" s="1"/>
      <c r="D84" s="5"/>
      <c r="E84" s="1"/>
      <c r="F84" s="1"/>
      <c r="G84" s="1"/>
      <c r="H84" s="1"/>
      <c r="J84" s="53" t="s">
        <v>851</v>
      </c>
      <c r="K84" s="1" t="s">
        <v>1122</v>
      </c>
      <c r="AK84" s="2">
        <f t="shared" si="2"/>
        <v>2</v>
      </c>
      <c r="AM84" s="2">
        <f t="shared" si="3"/>
        <v>2</v>
      </c>
    </row>
    <row r="85" spans="1:39" ht="29" x14ac:dyDescent="0.35">
      <c r="A85" s="5" t="s">
        <v>1255</v>
      </c>
      <c r="B85" s="1"/>
      <c r="C85" s="1"/>
      <c r="D85" s="5"/>
      <c r="E85" s="1"/>
      <c r="F85" s="1"/>
      <c r="G85" s="1"/>
      <c r="H85" s="1"/>
      <c r="M85" s="54" t="s">
        <v>1194</v>
      </c>
      <c r="AK85" s="2">
        <f t="shared" si="2"/>
        <v>1</v>
      </c>
      <c r="AM85" s="2">
        <f t="shared" si="3"/>
        <v>1</v>
      </c>
    </row>
    <row r="86" spans="1:39" ht="29" x14ac:dyDescent="0.35">
      <c r="A86" s="5" t="s">
        <v>1343</v>
      </c>
      <c r="B86" s="1"/>
      <c r="C86" s="1"/>
      <c r="D86" s="5"/>
      <c r="E86" s="1"/>
      <c r="F86" s="1"/>
      <c r="G86" s="1"/>
      <c r="H86" s="1"/>
      <c r="M86" s="54" t="s">
        <v>927</v>
      </c>
      <c r="N86" s="53" t="s">
        <v>96</v>
      </c>
      <c r="O86" s="1" t="s">
        <v>1518</v>
      </c>
      <c r="AK86" s="2">
        <f t="shared" si="2"/>
        <v>3</v>
      </c>
      <c r="AM86" s="2">
        <f t="shared" si="3"/>
        <v>3</v>
      </c>
    </row>
    <row r="87" spans="1:39" ht="29" x14ac:dyDescent="0.35">
      <c r="A87" s="5" t="s">
        <v>1344</v>
      </c>
      <c r="B87" s="1"/>
      <c r="C87" s="1"/>
      <c r="D87" s="5"/>
      <c r="E87" s="1"/>
      <c r="F87" s="1"/>
      <c r="G87" s="1"/>
      <c r="H87" s="1"/>
      <c r="M87" s="54" t="s">
        <v>928</v>
      </c>
      <c r="N87" s="81" t="s">
        <v>97</v>
      </c>
      <c r="AK87" s="2">
        <f t="shared" si="2"/>
        <v>2</v>
      </c>
      <c r="AM87" s="2">
        <f t="shared" si="3"/>
        <v>2</v>
      </c>
    </row>
    <row r="88" spans="1:39" ht="29" x14ac:dyDescent="0.35">
      <c r="A88" s="5" t="s">
        <v>1345</v>
      </c>
      <c r="B88" s="1"/>
      <c r="C88" s="1"/>
      <c r="D88" s="5"/>
      <c r="E88" s="1"/>
      <c r="F88" s="1"/>
      <c r="G88" s="1"/>
      <c r="H88" s="1"/>
      <c r="M88" s="54" t="s">
        <v>929</v>
      </c>
      <c r="N88" s="81" t="s">
        <v>58</v>
      </c>
      <c r="AK88" s="2">
        <f t="shared" si="2"/>
        <v>2</v>
      </c>
      <c r="AM88" s="2">
        <f t="shared" si="3"/>
        <v>2</v>
      </c>
    </row>
    <row r="89" spans="1:39" ht="29" x14ac:dyDescent="0.35">
      <c r="A89" s="5" t="s">
        <v>1346</v>
      </c>
      <c r="B89" s="1"/>
      <c r="C89" s="1"/>
      <c r="D89" s="5"/>
      <c r="E89" s="1"/>
      <c r="F89" s="1"/>
      <c r="G89" s="1"/>
      <c r="H89" s="1"/>
      <c r="M89" s="54" t="s">
        <v>930</v>
      </c>
      <c r="N89" s="53" t="s">
        <v>99</v>
      </c>
      <c r="O89" s="1" t="s">
        <v>1520</v>
      </c>
      <c r="AK89" s="2">
        <f t="shared" si="2"/>
        <v>3</v>
      </c>
      <c r="AM89" s="2">
        <f t="shared" si="3"/>
        <v>3</v>
      </c>
    </row>
    <row r="90" spans="1:39" ht="29" x14ac:dyDescent="0.35">
      <c r="A90" s="5" t="s">
        <v>1347</v>
      </c>
      <c r="B90" s="1"/>
      <c r="C90" s="1"/>
      <c r="D90" s="5"/>
      <c r="E90" s="1"/>
      <c r="F90" s="1"/>
      <c r="G90" s="1"/>
      <c r="H90" s="1"/>
      <c r="M90" s="54" t="s">
        <v>931</v>
      </c>
      <c r="N90" s="53" t="s">
        <v>100</v>
      </c>
      <c r="O90" s="1" t="s">
        <v>1521</v>
      </c>
      <c r="AK90" s="2">
        <f t="shared" si="2"/>
        <v>3</v>
      </c>
      <c r="AM90" s="2">
        <f t="shared" si="3"/>
        <v>3</v>
      </c>
    </row>
    <row r="91" spans="1:39" ht="29" x14ac:dyDescent="0.35">
      <c r="A91" s="5" t="s">
        <v>1348</v>
      </c>
      <c r="B91" s="1"/>
      <c r="C91" s="1"/>
      <c r="D91" s="5"/>
      <c r="E91" s="1"/>
      <c r="F91" s="1"/>
      <c r="G91" s="1"/>
      <c r="H91" s="1"/>
      <c r="M91" s="54" t="s">
        <v>926</v>
      </c>
      <c r="N91" s="53" t="s">
        <v>240</v>
      </c>
      <c r="O91" s="1" t="s">
        <v>1519</v>
      </c>
      <c r="AK91" s="2">
        <f t="shared" si="2"/>
        <v>3</v>
      </c>
      <c r="AM91" s="2">
        <f t="shared" si="3"/>
        <v>3</v>
      </c>
    </row>
    <row r="92" spans="1:39" ht="29" x14ac:dyDescent="0.35">
      <c r="A92" s="5" t="s">
        <v>1349</v>
      </c>
      <c r="B92" s="1"/>
      <c r="C92" s="1"/>
      <c r="D92" s="5"/>
      <c r="E92" s="1"/>
      <c r="F92" s="1"/>
      <c r="G92" s="1"/>
      <c r="H92" s="1"/>
      <c r="N92" s="53" t="s">
        <v>98</v>
      </c>
      <c r="O92" s="1" t="s">
        <v>1524</v>
      </c>
      <c r="AK92" s="2">
        <f t="shared" si="2"/>
        <v>2</v>
      </c>
      <c r="AM92" s="2">
        <f t="shared" si="3"/>
        <v>2</v>
      </c>
    </row>
    <row r="93" spans="1:39" ht="29" x14ac:dyDescent="0.35">
      <c r="A93" s="5" t="s">
        <v>1522</v>
      </c>
      <c r="B93" s="1"/>
      <c r="C93" s="1"/>
      <c r="D93" s="5"/>
      <c r="E93" s="1"/>
      <c r="F93" s="1"/>
      <c r="G93" s="1"/>
      <c r="H93" s="1"/>
      <c r="O93" s="1" t="s">
        <v>1523</v>
      </c>
      <c r="AK93" s="2">
        <f t="shared" si="2"/>
        <v>1</v>
      </c>
      <c r="AM93" s="2">
        <f t="shared" si="3"/>
        <v>1</v>
      </c>
    </row>
    <row r="94" spans="1:39" ht="29" x14ac:dyDescent="0.35">
      <c r="A94" s="5" t="s">
        <v>1657</v>
      </c>
      <c r="B94" s="1"/>
      <c r="C94" s="1"/>
      <c r="D94" s="5"/>
      <c r="E94" s="1"/>
      <c r="F94" s="1"/>
      <c r="G94" s="1"/>
      <c r="H94" s="1"/>
      <c r="O94" s="54" t="s">
        <v>1658</v>
      </c>
      <c r="R94" s="54" t="s">
        <v>363</v>
      </c>
      <c r="S94" s="54" t="s">
        <v>2176</v>
      </c>
      <c r="U94" s="1" t="s">
        <v>1205</v>
      </c>
      <c r="AK94" s="2">
        <f t="shared" si="2"/>
        <v>4</v>
      </c>
      <c r="AM94" s="2">
        <f t="shared" si="3"/>
        <v>2</v>
      </c>
    </row>
    <row r="95" spans="1:39" ht="29" x14ac:dyDescent="0.35">
      <c r="A95" s="5" t="s">
        <v>3032</v>
      </c>
      <c r="B95" s="1"/>
      <c r="C95" s="1"/>
      <c r="D95" s="5"/>
      <c r="E95" s="1"/>
      <c r="F95" s="1"/>
      <c r="G95" s="1"/>
      <c r="H95" s="1"/>
      <c r="AH95" s="54" t="s">
        <v>1013</v>
      </c>
      <c r="AI95" s="1" t="s">
        <v>1019</v>
      </c>
      <c r="AK95" s="2">
        <f t="shared" si="2"/>
        <v>2</v>
      </c>
      <c r="AM95" s="2">
        <f t="shared" si="3"/>
        <v>0</v>
      </c>
    </row>
    <row r="96" spans="1:39" ht="29" x14ac:dyDescent="0.35">
      <c r="A96" s="5" t="s">
        <v>3033</v>
      </c>
      <c r="B96" s="1"/>
      <c r="C96" s="1"/>
      <c r="D96" s="5"/>
      <c r="E96" s="1"/>
      <c r="F96" s="1"/>
      <c r="G96" s="1"/>
      <c r="H96" s="1"/>
      <c r="AH96" s="54" t="s">
        <v>1014</v>
      </c>
      <c r="AI96" s="1" t="s">
        <v>1194</v>
      </c>
      <c r="AK96" s="2">
        <f t="shared" si="2"/>
        <v>2</v>
      </c>
      <c r="AM96" s="2">
        <f t="shared" si="3"/>
        <v>0</v>
      </c>
    </row>
    <row r="97" spans="1:39" ht="29" x14ac:dyDescent="0.35">
      <c r="A97" s="5" t="s">
        <v>1738</v>
      </c>
      <c r="B97" s="1"/>
      <c r="C97" s="1"/>
      <c r="D97" s="5"/>
      <c r="E97" s="1"/>
      <c r="F97" s="1"/>
      <c r="G97" s="1"/>
      <c r="H97" s="1"/>
      <c r="P97" s="1" t="s">
        <v>1744</v>
      </c>
      <c r="AK97" s="2">
        <f t="shared" si="2"/>
        <v>1</v>
      </c>
      <c r="AM97" s="2">
        <f t="shared" si="3"/>
        <v>1</v>
      </c>
    </row>
    <row r="98" spans="1:39" ht="29" x14ac:dyDescent="0.35">
      <c r="A98" s="5" t="s">
        <v>1739</v>
      </c>
      <c r="B98" s="1"/>
      <c r="C98" s="1"/>
      <c r="D98" s="5"/>
      <c r="E98" s="1"/>
      <c r="F98" s="1"/>
      <c r="G98" s="1"/>
      <c r="H98" s="1"/>
      <c r="P98" s="1" t="s">
        <v>1745</v>
      </c>
      <c r="AK98" s="2">
        <f t="shared" si="2"/>
        <v>1</v>
      </c>
      <c r="AM98" s="2">
        <f t="shared" si="3"/>
        <v>1</v>
      </c>
    </row>
    <row r="99" spans="1:39" ht="29" x14ac:dyDescent="0.35">
      <c r="A99" s="5" t="s">
        <v>1740</v>
      </c>
      <c r="B99" s="1"/>
      <c r="C99" s="1"/>
      <c r="D99" s="5"/>
      <c r="E99" s="1"/>
      <c r="F99" s="1"/>
      <c r="G99" s="1"/>
      <c r="H99" s="1"/>
      <c r="P99" s="1" t="s">
        <v>1746</v>
      </c>
      <c r="AK99" s="2">
        <f t="shared" si="2"/>
        <v>1</v>
      </c>
      <c r="AM99" s="2">
        <f t="shared" si="3"/>
        <v>1</v>
      </c>
    </row>
    <row r="100" spans="1:39" ht="29" x14ac:dyDescent="0.35">
      <c r="A100" s="5" t="s">
        <v>1741</v>
      </c>
      <c r="B100" s="1"/>
      <c r="C100" s="1"/>
      <c r="D100" s="5"/>
      <c r="E100" s="1"/>
      <c r="F100" s="1"/>
      <c r="G100" s="1"/>
      <c r="H100" s="1"/>
      <c r="P100" s="1" t="s">
        <v>1747</v>
      </c>
      <c r="AK100" s="2">
        <f t="shared" si="2"/>
        <v>1</v>
      </c>
      <c r="AM100" s="2">
        <f t="shared" si="3"/>
        <v>1</v>
      </c>
    </row>
    <row r="101" spans="1:39" ht="29" x14ac:dyDescent="0.35">
      <c r="A101" s="5" t="s">
        <v>1742</v>
      </c>
      <c r="B101" s="1"/>
      <c r="C101" s="1"/>
      <c r="D101" s="5"/>
      <c r="E101" s="1"/>
      <c r="F101" s="1"/>
      <c r="G101" s="1"/>
      <c r="H101" s="1"/>
      <c r="P101" s="1" t="s">
        <v>1748</v>
      </c>
      <c r="AK101" s="2">
        <f t="shared" si="2"/>
        <v>1</v>
      </c>
      <c r="AM101" s="2">
        <f t="shared" si="3"/>
        <v>1</v>
      </c>
    </row>
    <row r="102" spans="1:39" ht="29" x14ac:dyDescent="0.35">
      <c r="A102" s="5" t="s">
        <v>1743</v>
      </c>
      <c r="B102" s="1"/>
      <c r="C102" s="1"/>
      <c r="D102" s="5"/>
      <c r="E102" s="1"/>
      <c r="F102" s="1"/>
      <c r="G102" s="1"/>
      <c r="H102" s="1"/>
      <c r="P102" s="1" t="s">
        <v>1749</v>
      </c>
      <c r="AK102" s="2">
        <f t="shared" si="2"/>
        <v>1</v>
      </c>
      <c r="AM102" s="2">
        <f t="shared" si="3"/>
        <v>1</v>
      </c>
    </row>
    <row r="103" spans="1:39" ht="29" x14ac:dyDescent="0.35">
      <c r="A103" s="5" t="s">
        <v>1750</v>
      </c>
      <c r="B103" s="1"/>
      <c r="C103" s="1"/>
      <c r="D103" s="5"/>
      <c r="E103" s="1"/>
      <c r="F103" s="1"/>
      <c r="G103" s="1"/>
      <c r="H103" s="1"/>
      <c r="P103" s="1" t="s">
        <v>1761</v>
      </c>
      <c r="AK103" s="2">
        <f t="shared" si="2"/>
        <v>1</v>
      </c>
      <c r="AM103" s="2">
        <f t="shared" si="3"/>
        <v>1</v>
      </c>
    </row>
    <row r="104" spans="1:39" ht="29" x14ac:dyDescent="0.35">
      <c r="A104" s="5" t="s">
        <v>1751</v>
      </c>
      <c r="B104" s="1"/>
      <c r="C104" s="1"/>
      <c r="D104" s="5"/>
      <c r="E104" s="1"/>
      <c r="F104" s="1"/>
      <c r="G104" s="1"/>
      <c r="H104" s="1"/>
      <c r="P104" s="1" t="s">
        <v>1300</v>
      </c>
      <c r="AK104" s="2">
        <f t="shared" si="2"/>
        <v>1</v>
      </c>
      <c r="AM104" s="2">
        <f t="shared" si="3"/>
        <v>1</v>
      </c>
    </row>
    <row r="105" spans="1:39" ht="29" x14ac:dyDescent="0.35">
      <c r="A105" s="5" t="s">
        <v>1752</v>
      </c>
      <c r="B105" s="1"/>
      <c r="C105" s="1"/>
      <c r="D105" s="5"/>
      <c r="E105" s="1"/>
      <c r="F105" s="1"/>
      <c r="G105" s="1"/>
      <c r="H105" s="1"/>
      <c r="P105" s="1" t="s">
        <v>1301</v>
      </c>
      <c r="AK105" s="2">
        <f t="shared" si="2"/>
        <v>1</v>
      </c>
      <c r="AM105" s="2">
        <f t="shared" si="3"/>
        <v>1</v>
      </c>
    </row>
    <row r="106" spans="1:39" ht="29" x14ac:dyDescent="0.35">
      <c r="A106" s="5" t="s">
        <v>1753</v>
      </c>
      <c r="B106" s="1"/>
      <c r="C106" s="1"/>
      <c r="D106" s="5"/>
      <c r="E106" s="1"/>
      <c r="F106" s="1"/>
      <c r="G106" s="1"/>
      <c r="H106" s="1"/>
      <c r="P106" s="1" t="s">
        <v>1302</v>
      </c>
      <c r="AK106" s="2">
        <f t="shared" si="2"/>
        <v>1</v>
      </c>
      <c r="AM106" s="2">
        <f t="shared" si="3"/>
        <v>1</v>
      </c>
    </row>
    <row r="107" spans="1:39" ht="29" x14ac:dyDescent="0.35">
      <c r="A107" s="5" t="s">
        <v>1754</v>
      </c>
      <c r="B107" s="1"/>
      <c r="C107" s="1"/>
      <c r="D107" s="5"/>
      <c r="E107" s="1"/>
      <c r="F107" s="1"/>
      <c r="G107" s="1"/>
      <c r="H107" s="1"/>
      <c r="P107" s="1" t="s">
        <v>1303</v>
      </c>
      <c r="AK107" s="2">
        <f t="shared" si="2"/>
        <v>1</v>
      </c>
      <c r="AM107" s="2">
        <f t="shared" si="3"/>
        <v>1</v>
      </c>
    </row>
    <row r="108" spans="1:39" ht="29" x14ac:dyDescent="0.35">
      <c r="A108" s="5" t="s">
        <v>1755</v>
      </c>
      <c r="B108" s="1"/>
      <c r="C108" s="1"/>
      <c r="D108" s="5"/>
      <c r="E108" s="1"/>
      <c r="F108" s="1"/>
      <c r="G108" s="1"/>
      <c r="H108" s="1"/>
      <c r="P108" s="1" t="s">
        <v>1312</v>
      </c>
      <c r="AK108" s="2">
        <f t="shared" si="2"/>
        <v>1</v>
      </c>
      <c r="AM108" s="2">
        <f t="shared" si="3"/>
        <v>1</v>
      </c>
    </row>
    <row r="109" spans="1:39" ht="29" x14ac:dyDescent="0.35">
      <c r="A109" s="5" t="s">
        <v>1756</v>
      </c>
      <c r="B109" s="1"/>
      <c r="C109" s="1"/>
      <c r="D109" s="5"/>
      <c r="E109" s="1"/>
      <c r="F109" s="1"/>
      <c r="G109" s="1"/>
      <c r="H109" s="1"/>
      <c r="P109" s="1" t="s">
        <v>1313</v>
      </c>
      <c r="AK109" s="2">
        <f t="shared" si="2"/>
        <v>1</v>
      </c>
      <c r="AM109" s="2">
        <f t="shared" si="3"/>
        <v>1</v>
      </c>
    </row>
    <row r="110" spans="1:39" ht="29" x14ac:dyDescent="0.35">
      <c r="A110" s="5" t="s">
        <v>1757</v>
      </c>
      <c r="B110" s="1"/>
      <c r="C110" s="1"/>
      <c r="D110" s="5"/>
      <c r="E110" s="1"/>
      <c r="F110" s="1"/>
      <c r="G110" s="1"/>
      <c r="H110" s="1"/>
      <c r="P110" s="1" t="s">
        <v>1314</v>
      </c>
      <c r="AK110" s="2">
        <f t="shared" si="2"/>
        <v>1</v>
      </c>
      <c r="AM110" s="2">
        <f t="shared" si="3"/>
        <v>1</v>
      </c>
    </row>
    <row r="111" spans="1:39" ht="29" x14ac:dyDescent="0.35">
      <c r="A111" s="5" t="s">
        <v>1758</v>
      </c>
      <c r="B111" s="1"/>
      <c r="C111" s="1"/>
      <c r="D111" s="5"/>
      <c r="E111" s="1"/>
      <c r="F111" s="1"/>
      <c r="G111" s="1"/>
      <c r="H111" s="1"/>
      <c r="P111" s="1" t="s">
        <v>1315</v>
      </c>
      <c r="AK111" s="2">
        <f t="shared" si="2"/>
        <v>1</v>
      </c>
      <c r="AM111" s="2">
        <f t="shared" si="3"/>
        <v>1</v>
      </c>
    </row>
    <row r="112" spans="1:39" ht="29" x14ac:dyDescent="0.35">
      <c r="A112" s="5" t="s">
        <v>1759</v>
      </c>
      <c r="B112" s="1"/>
      <c r="C112" s="1"/>
      <c r="D112" s="5"/>
      <c r="E112" s="1"/>
      <c r="F112" s="1"/>
      <c r="G112" s="1"/>
      <c r="H112" s="1"/>
      <c r="P112" s="1" t="s">
        <v>1316</v>
      </c>
      <c r="AK112" s="2">
        <f t="shared" si="2"/>
        <v>1</v>
      </c>
      <c r="AM112" s="2">
        <f t="shared" si="3"/>
        <v>1</v>
      </c>
    </row>
    <row r="113" spans="1:39" ht="29" x14ac:dyDescent="0.35">
      <c r="A113" s="5" t="s">
        <v>1760</v>
      </c>
      <c r="B113" s="1"/>
      <c r="C113" s="1"/>
      <c r="D113" s="5"/>
      <c r="E113" s="1"/>
      <c r="F113" s="1"/>
      <c r="G113" s="1"/>
      <c r="H113" s="1"/>
      <c r="P113" s="1" t="s">
        <v>1317</v>
      </c>
      <c r="AK113" s="2">
        <f t="shared" si="2"/>
        <v>1</v>
      </c>
      <c r="AM113" s="2">
        <f t="shared" si="3"/>
        <v>1</v>
      </c>
    </row>
    <row r="114" spans="1:39" x14ac:dyDescent="0.35">
      <c r="A114" s="5" t="s">
        <v>1924</v>
      </c>
      <c r="B114" s="1"/>
      <c r="C114" s="1"/>
      <c r="D114" s="5"/>
      <c r="E114" s="1"/>
      <c r="F114" s="1"/>
      <c r="G114" s="1"/>
      <c r="H114" s="1"/>
      <c r="Q114" s="30" t="s">
        <v>933</v>
      </c>
      <c r="AK114" s="2">
        <f t="shared" si="2"/>
        <v>1</v>
      </c>
      <c r="AM114" s="2">
        <f t="shared" si="3"/>
        <v>0</v>
      </c>
    </row>
    <row r="115" spans="1:39" ht="29" x14ac:dyDescent="0.35">
      <c r="A115" s="5" t="s">
        <v>1925</v>
      </c>
      <c r="B115" s="1"/>
      <c r="C115" s="1"/>
      <c r="D115" s="5"/>
      <c r="E115" s="1"/>
      <c r="F115" s="1"/>
      <c r="G115" s="1"/>
      <c r="H115" s="1"/>
      <c r="Q115" s="30" t="s">
        <v>936</v>
      </c>
      <c r="AK115" s="2">
        <f t="shared" si="2"/>
        <v>1</v>
      </c>
      <c r="AM115" s="2">
        <f t="shared" si="3"/>
        <v>0</v>
      </c>
    </row>
    <row r="116" spans="1:39" x14ac:dyDescent="0.35">
      <c r="A116" s="5" t="s">
        <v>1926</v>
      </c>
      <c r="B116" s="1"/>
      <c r="C116" s="1"/>
      <c r="D116" s="5"/>
      <c r="E116" s="1"/>
      <c r="F116" s="1"/>
      <c r="G116" s="1"/>
      <c r="H116" s="1"/>
      <c r="Q116" s="54" t="s">
        <v>1170</v>
      </c>
      <c r="AF116" s="1" t="s">
        <v>1180</v>
      </c>
      <c r="AK116" s="2">
        <f t="shared" si="2"/>
        <v>2</v>
      </c>
      <c r="AM116" s="2">
        <f t="shared" si="3"/>
        <v>0</v>
      </c>
    </row>
    <row r="117" spans="1:39" x14ac:dyDescent="0.35">
      <c r="A117" s="5" t="s">
        <v>1927</v>
      </c>
      <c r="B117" s="1"/>
      <c r="C117" s="1"/>
      <c r="D117" s="5"/>
      <c r="E117" s="1"/>
      <c r="F117" s="1"/>
      <c r="G117" s="1"/>
      <c r="H117" s="1"/>
      <c r="Q117" s="30" t="s">
        <v>935</v>
      </c>
      <c r="AK117" s="2">
        <f t="shared" si="2"/>
        <v>1</v>
      </c>
      <c r="AM117" s="2">
        <f t="shared" si="3"/>
        <v>0</v>
      </c>
    </row>
    <row r="118" spans="1:39" x14ac:dyDescent="0.35">
      <c r="A118" s="5" t="s">
        <v>1561</v>
      </c>
      <c r="B118" s="1"/>
      <c r="C118" s="1"/>
      <c r="D118" s="5"/>
      <c r="E118" s="1"/>
      <c r="F118" s="1"/>
      <c r="G118" s="1"/>
      <c r="H118" s="1"/>
      <c r="O118" s="54" t="s">
        <v>1559</v>
      </c>
      <c r="T118" s="54" t="s">
        <v>431</v>
      </c>
      <c r="V118" s="53" t="s">
        <v>903</v>
      </c>
      <c r="W118" s="53" t="s">
        <v>264</v>
      </c>
      <c r="AA118" s="53" t="s">
        <v>39</v>
      </c>
      <c r="AF118" s="53" t="s">
        <v>10</v>
      </c>
      <c r="AH118" s="54" t="s">
        <v>1194</v>
      </c>
      <c r="AI118" s="1" t="s">
        <v>1026</v>
      </c>
      <c r="AK118" s="2">
        <f t="shared" si="2"/>
        <v>8</v>
      </c>
      <c r="AM118" s="2">
        <f t="shared" si="3"/>
        <v>2</v>
      </c>
    </row>
    <row r="119" spans="1:39" x14ac:dyDescent="0.35">
      <c r="A119" s="5" t="s">
        <v>2246</v>
      </c>
      <c r="B119" s="1"/>
      <c r="C119" s="1"/>
      <c r="D119" s="5"/>
      <c r="E119" s="1"/>
      <c r="F119" s="1"/>
      <c r="G119" s="1"/>
      <c r="H119" s="1"/>
      <c r="T119" s="53" t="s">
        <v>432</v>
      </c>
      <c r="V119" s="53" t="s">
        <v>901</v>
      </c>
      <c r="W119" s="53" t="s">
        <v>265</v>
      </c>
      <c r="AA119" s="53" t="s">
        <v>421</v>
      </c>
      <c r="AC119" s="54" t="s">
        <v>2762</v>
      </c>
      <c r="AF119" s="53" t="s">
        <v>181</v>
      </c>
      <c r="AH119" s="54" t="s">
        <v>1196</v>
      </c>
      <c r="AI119" s="1" t="s">
        <v>1029</v>
      </c>
      <c r="AK119" s="2">
        <f t="shared" si="2"/>
        <v>8</v>
      </c>
      <c r="AM119" s="2">
        <f t="shared" si="3"/>
        <v>1</v>
      </c>
    </row>
    <row r="120" spans="1:39" x14ac:dyDescent="0.35">
      <c r="A120" s="5" t="s">
        <v>2247</v>
      </c>
      <c r="B120" s="1"/>
      <c r="C120" s="1"/>
      <c r="D120" s="5"/>
      <c r="E120" s="1"/>
      <c r="F120" s="1"/>
      <c r="G120" s="1"/>
      <c r="H120" s="1"/>
      <c r="T120" s="1" t="s">
        <v>433</v>
      </c>
      <c r="AK120" s="2">
        <f t="shared" si="2"/>
        <v>1</v>
      </c>
      <c r="AM120" s="2">
        <f t="shared" si="3"/>
        <v>1</v>
      </c>
    </row>
    <row r="121" spans="1:39" x14ac:dyDescent="0.35">
      <c r="A121" s="5" t="s">
        <v>3034</v>
      </c>
      <c r="B121" s="1"/>
      <c r="C121" s="1"/>
      <c r="D121" s="5"/>
      <c r="E121" s="1"/>
      <c r="F121" s="1"/>
      <c r="G121" s="1"/>
      <c r="H121" s="1"/>
      <c r="AH121" s="54" t="s">
        <v>1021</v>
      </c>
      <c r="AI121" s="1" t="s">
        <v>1027</v>
      </c>
      <c r="AK121" s="2">
        <f t="shared" si="2"/>
        <v>2</v>
      </c>
      <c r="AM121" s="2">
        <f t="shared" si="3"/>
        <v>0</v>
      </c>
    </row>
    <row r="122" spans="1:39" x14ac:dyDescent="0.35">
      <c r="A122" s="5" t="s">
        <v>2763</v>
      </c>
      <c r="B122" s="1"/>
      <c r="C122" s="1"/>
      <c r="D122" s="5"/>
      <c r="E122" s="1"/>
      <c r="F122" s="1"/>
      <c r="G122" s="1"/>
      <c r="H122" s="1"/>
      <c r="AC122" s="54" t="s">
        <v>2179</v>
      </c>
      <c r="AF122" s="1" t="s">
        <v>183</v>
      </c>
      <c r="AK122" s="2">
        <f t="shared" si="2"/>
        <v>2</v>
      </c>
      <c r="AM122" s="2">
        <f t="shared" si="3"/>
        <v>0</v>
      </c>
    </row>
    <row r="123" spans="1:39" x14ac:dyDescent="0.35">
      <c r="A123" s="5" t="s">
        <v>1928</v>
      </c>
      <c r="B123" s="1"/>
      <c r="C123" s="1"/>
      <c r="D123" s="5"/>
      <c r="E123" s="1"/>
      <c r="F123" s="1"/>
      <c r="G123" s="1"/>
      <c r="H123" s="1"/>
      <c r="Q123" s="30" t="s">
        <v>938</v>
      </c>
      <c r="AK123" s="2">
        <f t="shared" si="2"/>
        <v>1</v>
      </c>
      <c r="AM123" s="2">
        <f t="shared" si="3"/>
        <v>0</v>
      </c>
    </row>
    <row r="124" spans="1:39" ht="29" x14ac:dyDescent="0.35">
      <c r="A124" s="5" t="s">
        <v>1929</v>
      </c>
      <c r="B124" s="1"/>
      <c r="C124" s="1"/>
      <c r="D124" s="5"/>
      <c r="E124" s="1"/>
      <c r="F124" s="1"/>
      <c r="G124" s="1"/>
      <c r="H124" s="1"/>
      <c r="Q124" s="30" t="s">
        <v>940</v>
      </c>
      <c r="AK124" s="2">
        <f t="shared" si="2"/>
        <v>1</v>
      </c>
      <c r="AM124" s="2">
        <f t="shared" si="3"/>
        <v>0</v>
      </c>
    </row>
    <row r="125" spans="1:39" ht="29" x14ac:dyDescent="0.35">
      <c r="A125" s="5" t="s">
        <v>1930</v>
      </c>
      <c r="B125" s="1"/>
      <c r="C125" s="1"/>
      <c r="D125" s="5"/>
      <c r="E125" s="1"/>
      <c r="F125" s="1"/>
      <c r="G125" s="1"/>
      <c r="H125" s="1"/>
      <c r="Q125" s="30" t="s">
        <v>941</v>
      </c>
      <c r="AK125" s="2">
        <f t="shared" si="2"/>
        <v>1</v>
      </c>
      <c r="AM125" s="2">
        <f t="shared" si="3"/>
        <v>0</v>
      </c>
    </row>
    <row r="126" spans="1:39" ht="29" x14ac:dyDescent="0.35">
      <c r="A126" s="5" t="s">
        <v>1931</v>
      </c>
      <c r="B126" s="1"/>
      <c r="C126" s="1"/>
      <c r="D126" s="5"/>
      <c r="E126" s="1"/>
      <c r="F126" s="1"/>
      <c r="G126" s="1"/>
      <c r="H126" s="1"/>
      <c r="Q126" s="30" t="s">
        <v>943</v>
      </c>
      <c r="AK126" s="2">
        <f t="shared" si="2"/>
        <v>1</v>
      </c>
      <c r="AM126" s="2">
        <f t="shared" si="3"/>
        <v>0</v>
      </c>
    </row>
    <row r="127" spans="1:39" ht="29" x14ac:dyDescent="0.35">
      <c r="A127" s="5" t="s">
        <v>1932</v>
      </c>
      <c r="B127" s="1"/>
      <c r="C127" s="1"/>
      <c r="D127" s="5"/>
      <c r="E127" s="1"/>
      <c r="F127" s="1"/>
      <c r="G127" s="1"/>
      <c r="H127" s="1"/>
      <c r="Q127" s="30" t="s">
        <v>944</v>
      </c>
      <c r="AK127" s="2">
        <f t="shared" si="2"/>
        <v>1</v>
      </c>
      <c r="AM127" s="2">
        <f t="shared" si="3"/>
        <v>0</v>
      </c>
    </row>
    <row r="128" spans="1:39" ht="29" x14ac:dyDescent="0.35">
      <c r="A128" s="5" t="s">
        <v>2019</v>
      </c>
      <c r="B128" s="1"/>
      <c r="C128" s="1"/>
      <c r="D128" s="5"/>
      <c r="E128" s="1"/>
      <c r="F128" s="1"/>
      <c r="G128" s="1"/>
      <c r="H128" s="1"/>
      <c r="R128" s="54" t="s">
        <v>1006</v>
      </c>
      <c r="S128" s="1" t="s">
        <v>2020</v>
      </c>
      <c r="AK128" s="2">
        <f t="shared" si="2"/>
        <v>2</v>
      </c>
      <c r="AM128" s="2">
        <f t="shared" si="3"/>
        <v>1</v>
      </c>
    </row>
    <row r="129" spans="1:39" ht="29" x14ac:dyDescent="0.35">
      <c r="A129" s="5" t="s">
        <v>2177</v>
      </c>
      <c r="B129" s="1"/>
      <c r="C129" s="1"/>
      <c r="D129" s="5"/>
      <c r="E129" s="1"/>
      <c r="F129" s="1"/>
      <c r="G129" s="1"/>
      <c r="H129" s="1"/>
      <c r="R129" s="54" t="s">
        <v>1447</v>
      </c>
      <c r="S129" s="1" t="s">
        <v>2178</v>
      </c>
      <c r="AK129" s="2">
        <f t="shared" si="2"/>
        <v>2</v>
      </c>
      <c r="AM129" s="2">
        <f t="shared" si="3"/>
        <v>1</v>
      </c>
    </row>
    <row r="130" spans="1:39" ht="29" x14ac:dyDescent="0.35">
      <c r="A130" s="5" t="s">
        <v>2180</v>
      </c>
      <c r="B130" s="1"/>
      <c r="C130" s="1"/>
      <c r="D130" s="5"/>
      <c r="E130" s="1"/>
      <c r="F130" s="1"/>
      <c r="G130" s="1"/>
      <c r="H130" s="1"/>
      <c r="R130" s="54" t="s">
        <v>1448</v>
      </c>
      <c r="S130" s="1" t="s">
        <v>2179</v>
      </c>
      <c r="AK130" s="2">
        <f t="shared" si="2"/>
        <v>2</v>
      </c>
      <c r="AM130" s="2">
        <f t="shared" si="3"/>
        <v>1</v>
      </c>
    </row>
    <row r="131" spans="1:39" ht="29" x14ac:dyDescent="0.35">
      <c r="A131" s="5" t="s">
        <v>2241</v>
      </c>
      <c r="B131" s="1"/>
      <c r="C131" s="1"/>
      <c r="D131" s="5"/>
      <c r="E131" s="1"/>
      <c r="F131" s="1"/>
      <c r="G131" s="1"/>
      <c r="H131" s="1"/>
      <c r="T131" s="54" t="s">
        <v>190</v>
      </c>
      <c r="W131" s="1" t="s">
        <v>187</v>
      </c>
      <c r="AK131" s="2">
        <f t="shared" ref="AK131:AK194" si="4">COUNTA(C131:AI131)</f>
        <v>2</v>
      </c>
      <c r="AM131" s="2">
        <f t="shared" si="3"/>
        <v>1</v>
      </c>
    </row>
    <row r="132" spans="1:39" x14ac:dyDescent="0.35">
      <c r="A132" s="5" t="s">
        <v>2293</v>
      </c>
      <c r="B132" s="1"/>
      <c r="C132" s="1"/>
      <c r="D132" s="5"/>
      <c r="E132" s="1"/>
      <c r="F132" s="1"/>
      <c r="G132" s="1"/>
      <c r="H132" s="1"/>
      <c r="T132" s="1" t="s">
        <v>911</v>
      </c>
      <c r="AK132" s="2">
        <f t="shared" si="4"/>
        <v>1</v>
      </c>
      <c r="AM132" s="2">
        <f t="shared" ref="AM132:AM195" si="5">COUNTA(G132:P132,S132:T132)</f>
        <v>1</v>
      </c>
    </row>
    <row r="133" spans="1:39" ht="29" x14ac:dyDescent="0.35">
      <c r="A133" s="5" t="s">
        <v>2294</v>
      </c>
      <c r="B133" s="1"/>
      <c r="C133" s="1"/>
      <c r="D133" s="5"/>
      <c r="E133" s="1"/>
      <c r="F133" s="1"/>
      <c r="G133" s="1"/>
      <c r="H133" s="1"/>
      <c r="T133" s="1" t="s">
        <v>912</v>
      </c>
      <c r="AK133" s="2">
        <f t="shared" si="4"/>
        <v>1</v>
      </c>
      <c r="AM133" s="2">
        <f t="shared" si="5"/>
        <v>1</v>
      </c>
    </row>
    <row r="134" spans="1:39" ht="29" x14ac:dyDescent="0.35">
      <c r="A134" s="5" t="s">
        <v>2312</v>
      </c>
      <c r="B134" s="1"/>
      <c r="C134" s="1"/>
      <c r="D134" s="5"/>
      <c r="E134" s="1"/>
      <c r="F134" s="1"/>
      <c r="G134" s="1"/>
      <c r="H134" s="1"/>
      <c r="U134" s="1" t="s">
        <v>981</v>
      </c>
      <c r="AK134" s="2">
        <f t="shared" si="4"/>
        <v>1</v>
      </c>
      <c r="AM134" s="2">
        <f t="shared" si="5"/>
        <v>0</v>
      </c>
    </row>
    <row r="135" spans="1:39" ht="29" x14ac:dyDescent="0.35">
      <c r="A135" s="5" t="s">
        <v>2475</v>
      </c>
      <c r="B135" s="1"/>
      <c r="C135" s="1"/>
      <c r="D135" s="5"/>
      <c r="E135" s="1"/>
      <c r="F135" s="1"/>
      <c r="G135" s="1"/>
      <c r="H135" s="1"/>
      <c r="V135" s="1" t="s">
        <v>1746</v>
      </c>
      <c r="AK135" s="2">
        <f t="shared" si="4"/>
        <v>1</v>
      </c>
      <c r="AM135" s="2">
        <f t="shared" si="5"/>
        <v>0</v>
      </c>
    </row>
    <row r="136" spans="1:39" ht="29" x14ac:dyDescent="0.35">
      <c r="A136" s="5" t="s">
        <v>2344</v>
      </c>
      <c r="B136" s="1"/>
      <c r="C136" s="1"/>
      <c r="D136" s="5"/>
      <c r="E136" s="1"/>
      <c r="F136" s="1"/>
      <c r="G136" s="1"/>
      <c r="H136" s="1"/>
      <c r="U136" s="1" t="s">
        <v>1204</v>
      </c>
      <c r="AK136" s="2">
        <f t="shared" si="4"/>
        <v>1</v>
      </c>
      <c r="AM136" s="2">
        <f t="shared" si="5"/>
        <v>0</v>
      </c>
    </row>
    <row r="137" spans="1:39" x14ac:dyDescent="0.35">
      <c r="A137" s="5" t="s">
        <v>2345</v>
      </c>
      <c r="B137" s="1"/>
      <c r="C137" s="1"/>
      <c r="D137" s="5"/>
      <c r="E137" s="1"/>
      <c r="F137" s="1"/>
      <c r="G137" s="1"/>
      <c r="H137" s="1"/>
      <c r="U137" s="54" t="s">
        <v>1045</v>
      </c>
      <c r="V137" s="53" t="s">
        <v>1735</v>
      </c>
      <c r="W137" s="53" t="s">
        <v>533</v>
      </c>
      <c r="AA137" s="53" t="s">
        <v>521</v>
      </c>
      <c r="AC137" s="54" t="s">
        <v>2186</v>
      </c>
      <c r="AD137" s="53" t="s">
        <v>1972</v>
      </c>
      <c r="AE137" s="53" t="s">
        <v>2903</v>
      </c>
      <c r="AF137" s="53" t="s">
        <v>1179</v>
      </c>
      <c r="AH137" s="1" t="s">
        <v>990</v>
      </c>
      <c r="AK137" s="2">
        <f t="shared" si="4"/>
        <v>9</v>
      </c>
      <c r="AM137" s="2">
        <f t="shared" si="5"/>
        <v>0</v>
      </c>
    </row>
    <row r="138" spans="1:39" x14ac:dyDescent="0.35">
      <c r="A138" s="5" t="s">
        <v>2904</v>
      </c>
      <c r="B138" s="1"/>
      <c r="C138" s="1"/>
      <c r="D138" s="5"/>
      <c r="E138" s="1"/>
      <c r="F138" s="1"/>
      <c r="G138" s="1"/>
      <c r="H138" s="1"/>
      <c r="AE138" s="1" t="s">
        <v>2905</v>
      </c>
      <c r="AK138" s="2">
        <f t="shared" si="4"/>
        <v>1</v>
      </c>
      <c r="AM138" s="2">
        <f t="shared" si="5"/>
        <v>0</v>
      </c>
    </row>
    <row r="139" spans="1:39" x14ac:dyDescent="0.35">
      <c r="A139" s="5" t="s">
        <v>2346</v>
      </c>
      <c r="B139" s="1"/>
      <c r="C139" s="1"/>
      <c r="D139" s="5"/>
      <c r="E139" s="1"/>
      <c r="F139" s="1"/>
      <c r="G139" s="1"/>
      <c r="H139" s="1"/>
      <c r="U139" s="54" t="s">
        <v>1046</v>
      </c>
      <c r="AE139" s="1" t="s">
        <v>2906</v>
      </c>
      <c r="AK139" s="2">
        <f t="shared" si="4"/>
        <v>2</v>
      </c>
      <c r="AM139" s="2">
        <f t="shared" si="5"/>
        <v>0</v>
      </c>
    </row>
    <row r="140" spans="1:39" x14ac:dyDescent="0.35">
      <c r="A140" s="5" t="s">
        <v>2908</v>
      </c>
      <c r="B140" s="1"/>
      <c r="C140" s="1"/>
      <c r="D140" s="5"/>
      <c r="E140" s="1"/>
      <c r="F140" s="1"/>
      <c r="G140" s="1"/>
      <c r="H140" s="1"/>
      <c r="AE140" s="1" t="s">
        <v>2907</v>
      </c>
      <c r="AK140" s="2">
        <f t="shared" si="4"/>
        <v>1</v>
      </c>
      <c r="AM140" s="2">
        <f t="shared" si="5"/>
        <v>0</v>
      </c>
    </row>
    <row r="141" spans="1:39" ht="29" x14ac:dyDescent="0.35">
      <c r="A141" s="5" t="s">
        <v>2347</v>
      </c>
      <c r="B141" s="1"/>
      <c r="C141" s="1"/>
      <c r="D141" s="5"/>
      <c r="E141" s="1"/>
      <c r="F141" s="1"/>
      <c r="G141" s="1"/>
      <c r="H141" s="1"/>
      <c r="U141" s="1" t="s">
        <v>2079</v>
      </c>
      <c r="AK141" s="2">
        <f t="shared" si="4"/>
        <v>1</v>
      </c>
      <c r="AM141" s="2">
        <f t="shared" si="5"/>
        <v>0</v>
      </c>
    </row>
    <row r="142" spans="1:39" ht="43.5" x14ac:dyDescent="0.35">
      <c r="A142" s="5" t="s">
        <v>2494</v>
      </c>
      <c r="B142" s="1"/>
      <c r="C142" s="1"/>
      <c r="D142" s="5"/>
      <c r="E142" s="1"/>
      <c r="F142" s="1"/>
      <c r="G142" s="1"/>
      <c r="H142" s="1"/>
      <c r="V142" s="1" t="s">
        <v>2495</v>
      </c>
      <c r="AK142" s="2">
        <f t="shared" si="4"/>
        <v>1</v>
      </c>
      <c r="AM142" s="2">
        <f t="shared" si="5"/>
        <v>0</v>
      </c>
    </row>
    <row r="143" spans="1:39" ht="29" x14ac:dyDescent="0.35">
      <c r="A143" s="5" t="s">
        <v>2348</v>
      </c>
      <c r="B143" s="1"/>
      <c r="C143" s="1"/>
      <c r="D143" s="5"/>
      <c r="E143" s="1"/>
      <c r="F143" s="1"/>
      <c r="G143" s="1"/>
      <c r="H143" s="1"/>
      <c r="U143" s="1" t="s">
        <v>2081</v>
      </c>
      <c r="AK143" s="2">
        <f t="shared" si="4"/>
        <v>1</v>
      </c>
      <c r="AM143" s="2">
        <f t="shared" si="5"/>
        <v>0</v>
      </c>
    </row>
    <row r="144" spans="1:39" ht="29" x14ac:dyDescent="0.35">
      <c r="A144" s="5" t="s">
        <v>2913</v>
      </c>
      <c r="B144" s="1"/>
      <c r="C144" s="1"/>
      <c r="D144" s="5"/>
      <c r="E144" s="1"/>
      <c r="F144" s="1"/>
      <c r="G144" s="1"/>
      <c r="H144" s="1"/>
      <c r="AE144" s="1" t="s">
        <v>2914</v>
      </c>
      <c r="AK144" s="2">
        <f t="shared" si="4"/>
        <v>1</v>
      </c>
      <c r="AM144" s="2">
        <f t="shared" si="5"/>
        <v>0</v>
      </c>
    </row>
    <row r="145" spans="1:39" x14ac:dyDescent="0.35">
      <c r="A145" s="5" t="s">
        <v>2832</v>
      </c>
      <c r="B145" s="1"/>
      <c r="C145" s="1"/>
      <c r="D145" s="5"/>
      <c r="E145" s="1"/>
      <c r="F145" s="1"/>
      <c r="G145" s="1"/>
      <c r="H145" s="1"/>
      <c r="AE145" s="1" t="s">
        <v>2915</v>
      </c>
      <c r="AK145" s="2">
        <f t="shared" si="4"/>
        <v>1</v>
      </c>
      <c r="AM145" s="2">
        <f t="shared" si="5"/>
        <v>0</v>
      </c>
    </row>
    <row r="146" spans="1:39" x14ac:dyDescent="0.35">
      <c r="A146" s="5" t="s">
        <v>2349</v>
      </c>
      <c r="B146" s="1"/>
      <c r="C146" s="1"/>
      <c r="D146" s="5"/>
      <c r="E146" s="1"/>
      <c r="F146" s="1"/>
      <c r="G146" s="1"/>
      <c r="H146" s="1"/>
      <c r="U146" s="54" t="s">
        <v>2083</v>
      </c>
      <c r="AH146" s="54" t="s">
        <v>1016</v>
      </c>
      <c r="AI146" s="1" t="s">
        <v>1023</v>
      </c>
      <c r="AK146" s="2">
        <f t="shared" si="4"/>
        <v>3</v>
      </c>
      <c r="AM146" s="2">
        <f t="shared" si="5"/>
        <v>0</v>
      </c>
    </row>
    <row r="147" spans="1:39" ht="43.5" x14ac:dyDescent="0.35">
      <c r="A147" s="5" t="s">
        <v>2427</v>
      </c>
      <c r="B147" s="1"/>
      <c r="C147" s="1"/>
      <c r="D147" s="5"/>
      <c r="E147" s="1"/>
      <c r="F147" s="1"/>
      <c r="G147" s="1"/>
      <c r="H147" s="1"/>
      <c r="V147" s="1" t="s">
        <v>898</v>
      </c>
      <c r="AK147" s="2">
        <f t="shared" si="4"/>
        <v>1</v>
      </c>
      <c r="AM147" s="2">
        <f t="shared" si="5"/>
        <v>0</v>
      </c>
    </row>
    <row r="148" spans="1:39" ht="43.5" x14ac:dyDescent="0.35">
      <c r="A148" s="5" t="s">
        <v>2964</v>
      </c>
      <c r="B148" s="1"/>
      <c r="C148" s="1"/>
      <c r="D148" s="5"/>
      <c r="E148" s="1"/>
      <c r="F148" s="1"/>
      <c r="G148" s="1"/>
      <c r="H148" s="1"/>
      <c r="AF148" s="1" t="s">
        <v>425</v>
      </c>
      <c r="AK148" s="2">
        <f t="shared" si="4"/>
        <v>1</v>
      </c>
      <c r="AM148" s="2">
        <f t="shared" si="5"/>
        <v>0</v>
      </c>
    </row>
    <row r="149" spans="1:39" ht="29" x14ac:dyDescent="0.35">
      <c r="A149" s="5" t="s">
        <v>2428</v>
      </c>
      <c r="B149" s="1"/>
      <c r="C149" s="1"/>
      <c r="D149" s="5"/>
      <c r="E149" s="1"/>
      <c r="F149" s="1"/>
      <c r="G149" s="1"/>
      <c r="H149" s="1"/>
      <c r="V149" s="1" t="s">
        <v>880</v>
      </c>
      <c r="AK149" s="2">
        <f t="shared" si="4"/>
        <v>1</v>
      </c>
      <c r="AM149" s="2">
        <f t="shared" si="5"/>
        <v>0</v>
      </c>
    </row>
    <row r="150" spans="1:39" x14ac:dyDescent="0.35">
      <c r="A150" s="5" t="s">
        <v>2429</v>
      </c>
      <c r="B150" s="1"/>
      <c r="C150" s="1"/>
      <c r="D150" s="5"/>
      <c r="E150" s="1"/>
      <c r="F150" s="1"/>
      <c r="G150" s="1"/>
      <c r="H150" s="1"/>
      <c r="V150" s="1" t="s">
        <v>899</v>
      </c>
      <c r="AK150" s="2">
        <f t="shared" si="4"/>
        <v>1</v>
      </c>
      <c r="AM150" s="2">
        <f t="shared" si="5"/>
        <v>0</v>
      </c>
    </row>
    <row r="151" spans="1:39" ht="29" x14ac:dyDescent="0.35">
      <c r="A151" s="5" t="s">
        <v>2430</v>
      </c>
      <c r="B151" s="1"/>
      <c r="C151" s="1"/>
      <c r="D151" s="5"/>
      <c r="E151" s="1"/>
      <c r="F151" s="1"/>
      <c r="G151" s="1"/>
      <c r="H151" s="1"/>
      <c r="V151" s="54" t="s">
        <v>900</v>
      </c>
      <c r="AF151" s="1" t="s">
        <v>427</v>
      </c>
      <c r="AK151" s="2">
        <f t="shared" si="4"/>
        <v>2</v>
      </c>
      <c r="AM151" s="2">
        <f t="shared" si="5"/>
        <v>0</v>
      </c>
    </row>
    <row r="152" spans="1:39" x14ac:dyDescent="0.35">
      <c r="A152" s="5" t="s">
        <v>2431</v>
      </c>
      <c r="B152" s="1"/>
      <c r="C152" s="1"/>
      <c r="D152" s="5"/>
      <c r="E152" s="1"/>
      <c r="F152" s="1"/>
      <c r="G152" s="1"/>
      <c r="H152" s="1"/>
      <c r="V152" s="1" t="s">
        <v>881</v>
      </c>
      <c r="AK152" s="2">
        <f t="shared" si="4"/>
        <v>1</v>
      </c>
      <c r="AM152" s="2">
        <f t="shared" si="5"/>
        <v>0</v>
      </c>
    </row>
    <row r="153" spans="1:39" ht="58" x14ac:dyDescent="0.35">
      <c r="A153" s="5" t="s">
        <v>2556</v>
      </c>
      <c r="B153" s="1"/>
      <c r="C153" s="1"/>
      <c r="D153" s="5"/>
      <c r="E153" s="1"/>
      <c r="F153" s="1"/>
      <c r="G153" s="1"/>
      <c r="H153" s="1"/>
      <c r="W153" s="1" t="s">
        <v>127</v>
      </c>
      <c r="AK153" s="2">
        <f t="shared" si="4"/>
        <v>1</v>
      </c>
      <c r="AM153" s="2">
        <f t="shared" si="5"/>
        <v>0</v>
      </c>
    </row>
    <row r="154" spans="1:39" ht="29" x14ac:dyDescent="0.35">
      <c r="A154" s="5" t="s">
        <v>2557</v>
      </c>
      <c r="B154" s="1"/>
      <c r="C154" s="1"/>
      <c r="D154" s="5"/>
      <c r="E154" s="1"/>
      <c r="F154" s="1"/>
      <c r="G154" s="1"/>
      <c r="H154" s="1"/>
      <c r="W154" s="54" t="s">
        <v>660</v>
      </c>
      <c r="AF154" s="1" t="s">
        <v>978</v>
      </c>
      <c r="AK154" s="2">
        <f t="shared" si="4"/>
        <v>2</v>
      </c>
      <c r="AM154" s="2">
        <f t="shared" si="5"/>
        <v>0</v>
      </c>
    </row>
    <row r="155" spans="1:39" x14ac:dyDescent="0.35">
      <c r="A155" s="5" t="s">
        <v>2559</v>
      </c>
      <c r="B155" s="1"/>
      <c r="C155" s="1"/>
      <c r="D155" s="5"/>
      <c r="E155" s="1"/>
      <c r="F155" s="1"/>
      <c r="G155" s="1"/>
      <c r="H155" s="1"/>
      <c r="W155" s="1" t="s">
        <v>547</v>
      </c>
      <c r="AK155" s="2">
        <f t="shared" si="4"/>
        <v>1</v>
      </c>
      <c r="AM155" s="2">
        <f t="shared" si="5"/>
        <v>0</v>
      </c>
    </row>
    <row r="156" spans="1:39" ht="29" x14ac:dyDescent="0.35">
      <c r="A156" s="5" t="s">
        <v>2560</v>
      </c>
      <c r="B156" s="1"/>
      <c r="C156" s="1"/>
      <c r="D156" s="5"/>
      <c r="E156" s="1"/>
      <c r="F156" s="1"/>
      <c r="G156" s="1"/>
      <c r="H156" s="1"/>
      <c r="W156" s="1" t="s">
        <v>549</v>
      </c>
      <c r="AK156" s="2">
        <f t="shared" si="4"/>
        <v>1</v>
      </c>
      <c r="AM156" s="2">
        <f t="shared" si="5"/>
        <v>0</v>
      </c>
    </row>
    <row r="157" spans="1:39" ht="29" x14ac:dyDescent="0.35">
      <c r="A157" s="5" t="s">
        <v>2562</v>
      </c>
      <c r="B157" s="1"/>
      <c r="C157" s="1"/>
      <c r="D157" s="5"/>
      <c r="E157" s="1"/>
      <c r="F157" s="1"/>
      <c r="G157" s="1"/>
      <c r="H157" s="1"/>
      <c r="W157" s="1" t="s">
        <v>293</v>
      </c>
      <c r="AK157" s="2">
        <f t="shared" si="4"/>
        <v>1</v>
      </c>
      <c r="AM157" s="2">
        <f t="shared" si="5"/>
        <v>0</v>
      </c>
    </row>
    <row r="158" spans="1:39" x14ac:dyDescent="0.35">
      <c r="A158" s="5" t="s">
        <v>2564</v>
      </c>
      <c r="B158" s="1"/>
      <c r="C158" s="1"/>
      <c r="D158" s="5"/>
      <c r="E158" s="1"/>
      <c r="F158" s="1"/>
      <c r="G158" s="1"/>
      <c r="H158" s="1"/>
      <c r="W158" s="1" t="s">
        <v>298</v>
      </c>
      <c r="AK158" s="2">
        <f t="shared" si="4"/>
        <v>1</v>
      </c>
      <c r="AM158" s="2">
        <f t="shared" si="5"/>
        <v>0</v>
      </c>
    </row>
    <row r="159" spans="1:39" ht="43.5" x14ac:dyDescent="0.35">
      <c r="A159" s="5" t="s">
        <v>2573</v>
      </c>
      <c r="B159" s="1"/>
      <c r="C159" s="1"/>
      <c r="D159" s="5"/>
      <c r="E159" s="1"/>
      <c r="F159" s="1"/>
      <c r="G159" s="1"/>
      <c r="H159" s="1"/>
      <c r="X159" s="1" t="s">
        <v>1437</v>
      </c>
      <c r="AK159" s="2">
        <f t="shared" si="4"/>
        <v>1</v>
      </c>
      <c r="AM159" s="2">
        <f t="shared" si="5"/>
        <v>0</v>
      </c>
    </row>
    <row r="160" spans="1:39" ht="29" x14ac:dyDescent="0.35">
      <c r="A160" s="5" t="s">
        <v>2575</v>
      </c>
      <c r="B160" s="1"/>
      <c r="C160" s="1"/>
      <c r="D160" s="5"/>
      <c r="E160" s="1"/>
      <c r="F160" s="1"/>
      <c r="G160" s="1"/>
      <c r="H160" s="1"/>
      <c r="X160" s="1" t="s">
        <v>1055</v>
      </c>
      <c r="AK160" s="2">
        <f t="shared" si="4"/>
        <v>1</v>
      </c>
      <c r="AM160" s="2">
        <f t="shared" si="5"/>
        <v>0</v>
      </c>
    </row>
    <row r="161" spans="1:39" ht="29" x14ac:dyDescent="0.35">
      <c r="A161" s="5" t="s">
        <v>2576</v>
      </c>
      <c r="B161" s="1"/>
      <c r="C161" s="1"/>
      <c r="D161" s="5"/>
      <c r="E161" s="1"/>
      <c r="F161" s="1"/>
      <c r="G161" s="1"/>
      <c r="H161" s="1"/>
      <c r="X161" s="54" t="s">
        <v>1056</v>
      </c>
      <c r="AB161" s="1" t="s">
        <v>2675</v>
      </c>
      <c r="AK161" s="2">
        <f t="shared" si="4"/>
        <v>2</v>
      </c>
      <c r="AM161" s="2">
        <f t="shared" si="5"/>
        <v>0</v>
      </c>
    </row>
    <row r="162" spans="1:39" ht="29" x14ac:dyDescent="0.35">
      <c r="A162" s="5" t="s">
        <v>2967</v>
      </c>
      <c r="B162" s="1"/>
      <c r="C162" s="1"/>
      <c r="D162" s="5"/>
      <c r="E162" s="1"/>
      <c r="F162" s="1"/>
      <c r="G162" s="1"/>
      <c r="H162" s="1"/>
      <c r="AA162" s="54" t="s">
        <v>189</v>
      </c>
      <c r="AF162" s="1" t="s">
        <v>226</v>
      </c>
      <c r="AK162" s="2">
        <f t="shared" si="4"/>
        <v>2</v>
      </c>
      <c r="AM162" s="2">
        <f t="shared" si="5"/>
        <v>0</v>
      </c>
    </row>
    <row r="163" spans="1:39" ht="29" x14ac:dyDescent="0.35">
      <c r="A163" s="5" t="s">
        <v>2968</v>
      </c>
      <c r="B163" s="1"/>
      <c r="C163" s="1"/>
      <c r="D163" s="5"/>
      <c r="E163" s="1"/>
      <c r="F163" s="1"/>
      <c r="G163" s="1"/>
      <c r="H163" s="1"/>
      <c r="AF163" s="1" t="s">
        <v>63</v>
      </c>
      <c r="AK163" s="2">
        <f t="shared" si="4"/>
        <v>1</v>
      </c>
      <c r="AM163" s="2">
        <f t="shared" si="5"/>
        <v>0</v>
      </c>
    </row>
    <row r="164" spans="1:39" ht="29" x14ac:dyDescent="0.35">
      <c r="A164" s="5" t="s">
        <v>2629</v>
      </c>
      <c r="B164" s="1"/>
      <c r="C164" s="1"/>
      <c r="D164" s="5"/>
      <c r="E164" s="1"/>
      <c r="F164" s="1"/>
      <c r="G164" s="1"/>
      <c r="H164" s="1"/>
      <c r="AA164" s="54" t="s">
        <v>656</v>
      </c>
      <c r="AH164" s="53" t="s">
        <v>999</v>
      </c>
      <c r="AI164" s="1" t="s">
        <v>1190</v>
      </c>
      <c r="AK164" s="2">
        <f t="shared" si="4"/>
        <v>3</v>
      </c>
      <c r="AM164" s="2">
        <f t="shared" si="5"/>
        <v>0</v>
      </c>
    </row>
    <row r="165" spans="1:39" ht="29" x14ac:dyDescent="0.35">
      <c r="A165" s="5" t="s">
        <v>2630</v>
      </c>
      <c r="B165" s="1"/>
      <c r="C165" s="1"/>
      <c r="D165" s="5"/>
      <c r="E165" s="1"/>
      <c r="F165" s="1"/>
      <c r="G165" s="1"/>
      <c r="H165" s="1"/>
      <c r="AA165" s="54" t="s">
        <v>506</v>
      </c>
      <c r="AH165" s="53" t="s">
        <v>1001</v>
      </c>
      <c r="AI165" s="1" t="s">
        <v>1005</v>
      </c>
      <c r="AK165" s="2">
        <f t="shared" si="4"/>
        <v>3</v>
      </c>
      <c r="AM165" s="2">
        <f t="shared" si="5"/>
        <v>0</v>
      </c>
    </row>
    <row r="166" spans="1:39" ht="29" x14ac:dyDescent="0.35">
      <c r="A166" s="5" t="s">
        <v>2635</v>
      </c>
      <c r="B166" s="1"/>
      <c r="C166" s="1"/>
      <c r="D166" s="5"/>
      <c r="E166" s="1"/>
      <c r="F166" s="1"/>
      <c r="G166" s="1"/>
      <c r="H166" s="1"/>
      <c r="AA166" s="1" t="s">
        <v>281</v>
      </c>
      <c r="AK166" s="2">
        <f t="shared" si="4"/>
        <v>1</v>
      </c>
      <c r="AM166" s="2">
        <f t="shared" si="5"/>
        <v>0</v>
      </c>
    </row>
    <row r="167" spans="1:39" ht="29" x14ac:dyDescent="0.35">
      <c r="A167" s="5" t="s">
        <v>2671</v>
      </c>
      <c r="B167" s="1"/>
      <c r="C167" s="1"/>
      <c r="D167" s="5"/>
      <c r="E167" s="1"/>
      <c r="F167" s="1"/>
      <c r="G167" s="1"/>
      <c r="H167" s="1"/>
      <c r="AB167" s="54" t="s">
        <v>2672</v>
      </c>
      <c r="AC167" s="1" t="s">
        <v>2768</v>
      </c>
      <c r="AK167" s="2">
        <f t="shared" si="4"/>
        <v>2</v>
      </c>
      <c r="AM167" s="2">
        <f t="shared" si="5"/>
        <v>0</v>
      </c>
    </row>
    <row r="168" spans="1:39" ht="29" x14ac:dyDescent="0.35">
      <c r="A168" s="5" t="s">
        <v>2673</v>
      </c>
      <c r="B168" s="1"/>
      <c r="C168" s="1"/>
      <c r="D168" s="5"/>
      <c r="E168" s="1"/>
      <c r="F168" s="1"/>
      <c r="G168" s="1"/>
      <c r="H168" s="1"/>
      <c r="AB168" s="54" t="s">
        <v>2674</v>
      </c>
      <c r="AC168" s="53" t="s">
        <v>2188</v>
      </c>
      <c r="AD168" s="1" t="s">
        <v>1990</v>
      </c>
      <c r="AK168" s="2">
        <f t="shared" si="4"/>
        <v>3</v>
      </c>
      <c r="AM168" s="2">
        <f t="shared" si="5"/>
        <v>0</v>
      </c>
    </row>
    <row r="169" spans="1:39" x14ac:dyDescent="0.35">
      <c r="A169" s="5" t="s">
        <v>2677</v>
      </c>
      <c r="B169" s="1"/>
      <c r="C169" s="1"/>
      <c r="D169" s="5"/>
      <c r="E169" s="1"/>
      <c r="F169" s="1"/>
      <c r="G169" s="1"/>
      <c r="H169" s="1"/>
      <c r="AB169" s="1" t="s">
        <v>2678</v>
      </c>
      <c r="AK169" s="2">
        <f t="shared" si="4"/>
        <v>1</v>
      </c>
      <c r="AM169" s="2">
        <f t="shared" si="5"/>
        <v>0</v>
      </c>
    </row>
    <row r="170" spans="1:39" x14ac:dyDescent="0.35">
      <c r="A170" s="5" t="s">
        <v>2679</v>
      </c>
      <c r="B170" s="1"/>
      <c r="C170" s="1"/>
      <c r="D170" s="5"/>
      <c r="E170" s="1"/>
      <c r="F170" s="1"/>
      <c r="G170" s="1"/>
      <c r="H170" s="1"/>
      <c r="AB170" s="1" t="s">
        <v>2680</v>
      </c>
      <c r="AK170" s="2">
        <f t="shared" si="4"/>
        <v>1</v>
      </c>
      <c r="AM170" s="2">
        <f t="shared" si="5"/>
        <v>0</v>
      </c>
    </row>
    <row r="171" spans="1:39" ht="58" x14ac:dyDescent="0.35">
      <c r="A171" s="5" t="s">
        <v>2682</v>
      </c>
      <c r="B171" s="1"/>
      <c r="C171" s="1"/>
      <c r="D171" s="5"/>
      <c r="E171" s="1"/>
      <c r="F171" s="1"/>
      <c r="G171" s="1"/>
      <c r="H171" s="1"/>
      <c r="AB171" s="54" t="s">
        <v>2681</v>
      </c>
      <c r="AC171" s="53" t="s">
        <v>2192</v>
      </c>
      <c r="AF171" s="1" t="s">
        <v>11</v>
      </c>
      <c r="AK171" s="2">
        <f t="shared" si="4"/>
        <v>3</v>
      </c>
      <c r="AM171" s="2">
        <f t="shared" si="5"/>
        <v>0</v>
      </c>
    </row>
    <row r="172" spans="1:39" x14ac:dyDescent="0.35">
      <c r="A172" s="5" t="s">
        <v>3031</v>
      </c>
      <c r="B172" s="1"/>
      <c r="C172" s="1"/>
      <c r="D172" s="5"/>
      <c r="E172" s="1"/>
      <c r="F172" s="1"/>
      <c r="G172" s="1"/>
      <c r="H172" s="1"/>
      <c r="AH172" s="54" t="s">
        <v>1004</v>
      </c>
      <c r="AI172" s="1" t="s">
        <v>1008</v>
      </c>
      <c r="AK172" s="2">
        <f t="shared" si="4"/>
        <v>2</v>
      </c>
      <c r="AM172" s="2">
        <f t="shared" si="5"/>
        <v>0</v>
      </c>
    </row>
    <row r="173" spans="1:39" x14ac:dyDescent="0.35">
      <c r="A173" s="5" t="s">
        <v>3007</v>
      </c>
      <c r="B173" s="1"/>
      <c r="C173" s="1"/>
      <c r="D173" s="5"/>
      <c r="E173" s="1"/>
      <c r="F173" s="1"/>
      <c r="G173" s="1"/>
      <c r="H173" s="1"/>
      <c r="AG173" s="54" t="s">
        <v>1010</v>
      </c>
      <c r="AH173" s="54" t="s">
        <v>1006</v>
      </c>
      <c r="AI173" s="1" t="s">
        <v>1010</v>
      </c>
      <c r="AK173" s="2">
        <f t="shared" si="4"/>
        <v>3</v>
      </c>
      <c r="AM173" s="2">
        <f t="shared" si="5"/>
        <v>0</v>
      </c>
    </row>
    <row r="174" spans="1:39" x14ac:dyDescent="0.35">
      <c r="A174" s="5" t="s">
        <v>3010</v>
      </c>
      <c r="B174" s="1"/>
      <c r="C174" s="1"/>
      <c r="D174" s="5"/>
      <c r="E174" s="1"/>
      <c r="F174" s="1"/>
      <c r="G174" s="1"/>
      <c r="H174" s="1"/>
      <c r="AG174" s="54" t="s">
        <v>1437</v>
      </c>
      <c r="AH174" s="54" t="s">
        <v>1011</v>
      </c>
      <c r="AI174" s="1" t="s">
        <v>1017</v>
      </c>
      <c r="AK174" s="2">
        <f t="shared" si="4"/>
        <v>3</v>
      </c>
      <c r="AM174" s="2">
        <f t="shared" si="5"/>
        <v>0</v>
      </c>
    </row>
    <row r="175" spans="1:39" ht="43.5" x14ac:dyDescent="0.35">
      <c r="A175" s="5" t="s">
        <v>3008</v>
      </c>
      <c r="B175" s="1"/>
      <c r="C175" s="1"/>
      <c r="D175" s="5"/>
      <c r="E175" s="1"/>
      <c r="F175" s="1"/>
      <c r="G175" s="1"/>
      <c r="H175" s="1"/>
      <c r="AG175" s="54" t="s">
        <v>1433</v>
      </c>
      <c r="AH175" s="54" t="s">
        <v>1007</v>
      </c>
      <c r="AI175" s="1" t="s">
        <v>1013</v>
      </c>
      <c r="AK175" s="2">
        <f t="shared" si="4"/>
        <v>3</v>
      </c>
      <c r="AM175" s="2">
        <f t="shared" si="5"/>
        <v>0</v>
      </c>
    </row>
    <row r="176" spans="1:39" ht="29" x14ac:dyDescent="0.35">
      <c r="A176" s="5" t="s">
        <v>3009</v>
      </c>
      <c r="B176" s="1"/>
      <c r="C176" s="1"/>
      <c r="D176" s="5"/>
      <c r="E176" s="1"/>
      <c r="F176" s="1"/>
      <c r="G176" s="1"/>
      <c r="H176" s="1"/>
      <c r="AG176" s="54" t="s">
        <v>1434</v>
      </c>
      <c r="AH176" s="54" t="s">
        <v>1008</v>
      </c>
      <c r="AI176" s="1" t="s">
        <v>1014</v>
      </c>
      <c r="AK176" s="2">
        <f t="shared" si="4"/>
        <v>3</v>
      </c>
      <c r="AM176" s="2">
        <f t="shared" si="5"/>
        <v>0</v>
      </c>
    </row>
    <row r="177" spans="1:39" x14ac:dyDescent="0.35">
      <c r="A177" s="5" t="s">
        <v>2714</v>
      </c>
      <c r="B177" s="1"/>
      <c r="C177" s="1"/>
      <c r="D177" s="5"/>
      <c r="E177" s="1"/>
      <c r="F177" s="1"/>
      <c r="G177" s="1"/>
      <c r="H177" s="1"/>
      <c r="AB177" s="54" t="s">
        <v>2718</v>
      </c>
      <c r="AG177" s="54" t="s">
        <v>1008</v>
      </c>
      <c r="AH177" s="54" t="s">
        <v>1190</v>
      </c>
      <c r="AI177" s="1" t="s">
        <v>1010</v>
      </c>
      <c r="AK177" s="2">
        <f t="shared" si="4"/>
        <v>4</v>
      </c>
      <c r="AM177" s="2">
        <f t="shared" si="5"/>
        <v>0</v>
      </c>
    </row>
    <row r="178" spans="1:39" ht="29" x14ac:dyDescent="0.35">
      <c r="A178" s="5" t="s">
        <v>2716</v>
      </c>
      <c r="B178" s="1"/>
      <c r="C178" s="1"/>
      <c r="D178" s="5"/>
      <c r="E178" s="1"/>
      <c r="F178" s="1"/>
      <c r="G178" s="1"/>
      <c r="H178" s="1"/>
      <c r="AB178" s="1" t="s">
        <v>2719</v>
      </c>
      <c r="AK178" s="2">
        <f t="shared" si="4"/>
        <v>1</v>
      </c>
      <c r="AM178" s="2">
        <f t="shared" si="5"/>
        <v>0</v>
      </c>
    </row>
    <row r="179" spans="1:39" ht="29" x14ac:dyDescent="0.35">
      <c r="A179" s="5" t="s">
        <v>2757</v>
      </c>
      <c r="B179" s="1"/>
      <c r="C179" s="1"/>
      <c r="D179" s="5"/>
      <c r="E179" s="1"/>
      <c r="F179" s="1"/>
      <c r="G179" s="1"/>
      <c r="H179" s="1"/>
      <c r="AC179" s="1" t="s">
        <v>2758</v>
      </c>
      <c r="AK179" s="2">
        <f t="shared" si="4"/>
        <v>1</v>
      </c>
      <c r="AM179" s="2">
        <f t="shared" si="5"/>
        <v>0</v>
      </c>
    </row>
    <row r="180" spans="1:39" ht="29" x14ac:dyDescent="0.35">
      <c r="A180" s="5" t="s">
        <v>2759</v>
      </c>
      <c r="B180" s="1"/>
      <c r="C180" s="1"/>
      <c r="D180" s="5"/>
      <c r="E180" s="1"/>
      <c r="F180" s="1"/>
      <c r="G180" s="1"/>
      <c r="H180" s="1"/>
      <c r="AC180" s="1" t="s">
        <v>2760</v>
      </c>
      <c r="AK180" s="2">
        <f t="shared" si="4"/>
        <v>1</v>
      </c>
      <c r="AM180" s="2">
        <f t="shared" si="5"/>
        <v>0</v>
      </c>
    </row>
    <row r="181" spans="1:39" x14ac:dyDescent="0.35">
      <c r="A181" s="5" t="s">
        <v>2761</v>
      </c>
      <c r="B181" s="1"/>
      <c r="C181" s="1"/>
      <c r="D181" s="5"/>
      <c r="E181" s="1"/>
      <c r="F181" s="1"/>
      <c r="G181" s="1"/>
      <c r="H181" s="1"/>
      <c r="AC181" s="1" t="s">
        <v>2178</v>
      </c>
      <c r="AK181" s="2">
        <f t="shared" si="4"/>
        <v>1</v>
      </c>
      <c r="AM181" s="2">
        <f t="shared" si="5"/>
        <v>0</v>
      </c>
    </row>
    <row r="182" spans="1:39" x14ac:dyDescent="0.35">
      <c r="A182" s="5" t="s">
        <v>2765</v>
      </c>
      <c r="B182" s="1"/>
      <c r="C182" s="1"/>
      <c r="D182" s="5"/>
      <c r="E182" s="1"/>
      <c r="F182" s="1"/>
      <c r="G182" s="1"/>
      <c r="H182" s="1"/>
      <c r="AC182" s="54" t="s">
        <v>2766</v>
      </c>
      <c r="AE182" s="1" t="s">
        <v>1452</v>
      </c>
      <c r="AK182" s="2">
        <f t="shared" si="4"/>
        <v>2</v>
      </c>
      <c r="AM182" s="2">
        <f t="shared" si="5"/>
        <v>0</v>
      </c>
    </row>
    <row r="183" spans="1:39" ht="29" x14ac:dyDescent="0.35">
      <c r="A183" s="5" t="s">
        <v>2769</v>
      </c>
      <c r="B183" s="1"/>
      <c r="C183" s="1"/>
      <c r="D183" s="5"/>
      <c r="E183" s="1"/>
      <c r="F183" s="1"/>
      <c r="G183" s="1"/>
      <c r="H183" s="1"/>
      <c r="AC183" s="54" t="s">
        <v>2191</v>
      </c>
      <c r="AE183" s="1" t="s">
        <v>1134</v>
      </c>
      <c r="AK183" s="2">
        <f t="shared" si="4"/>
        <v>2</v>
      </c>
      <c r="AM183" s="2">
        <f t="shared" si="5"/>
        <v>0</v>
      </c>
    </row>
    <row r="184" spans="1:39" ht="29" x14ac:dyDescent="0.35">
      <c r="A184" s="5" t="s">
        <v>3045</v>
      </c>
      <c r="B184" s="1"/>
      <c r="C184" s="1"/>
      <c r="D184" s="5"/>
      <c r="E184" s="1"/>
      <c r="F184" s="1"/>
      <c r="G184" s="1"/>
      <c r="H184" s="1"/>
      <c r="AG184" s="54" t="s">
        <v>1445</v>
      </c>
      <c r="AH184" s="54" t="s">
        <v>1436</v>
      </c>
      <c r="AI184" s="1" t="s">
        <v>1085</v>
      </c>
      <c r="AK184" s="2">
        <f t="shared" si="4"/>
        <v>3</v>
      </c>
      <c r="AM184" s="2">
        <f t="shared" si="5"/>
        <v>0</v>
      </c>
    </row>
    <row r="185" spans="1:39" x14ac:dyDescent="0.35">
      <c r="A185" s="5" t="s">
        <v>2770</v>
      </c>
      <c r="B185" s="1"/>
      <c r="C185" s="1"/>
      <c r="D185" s="5"/>
      <c r="E185" s="1"/>
      <c r="F185" s="1"/>
      <c r="G185" s="1"/>
      <c r="H185" s="1"/>
      <c r="AC185" s="54" t="s">
        <v>2771</v>
      </c>
      <c r="AE185" s="54" t="s">
        <v>1486</v>
      </c>
      <c r="AF185" s="1" t="s">
        <v>972</v>
      </c>
      <c r="AK185" s="2">
        <f t="shared" si="4"/>
        <v>3</v>
      </c>
      <c r="AM185" s="2">
        <f t="shared" si="5"/>
        <v>0</v>
      </c>
    </row>
    <row r="186" spans="1:39" ht="43.5" x14ac:dyDescent="0.35">
      <c r="A186" s="5" t="s">
        <v>2772</v>
      </c>
      <c r="B186" s="1"/>
      <c r="C186" s="1"/>
      <c r="D186" s="5"/>
      <c r="E186" s="1"/>
      <c r="F186" s="1"/>
      <c r="G186" s="1"/>
      <c r="H186" s="1"/>
      <c r="AC186" s="54" t="s">
        <v>2193</v>
      </c>
      <c r="AE186" s="1" t="s">
        <v>1128</v>
      </c>
      <c r="AK186" s="2">
        <f t="shared" si="4"/>
        <v>2</v>
      </c>
      <c r="AM186" s="2">
        <f t="shared" si="5"/>
        <v>0</v>
      </c>
    </row>
    <row r="187" spans="1:39" ht="29" x14ac:dyDescent="0.35">
      <c r="A187" s="5" t="s">
        <v>2807</v>
      </c>
      <c r="B187" s="1"/>
      <c r="C187" s="1"/>
      <c r="D187" s="5"/>
      <c r="E187" s="1"/>
      <c r="F187" s="1"/>
      <c r="G187" s="1"/>
      <c r="H187" s="1"/>
      <c r="AD187" s="54" t="s">
        <v>1991</v>
      </c>
      <c r="AE187" s="1" t="s">
        <v>2936</v>
      </c>
      <c r="AK187" s="2">
        <f t="shared" si="4"/>
        <v>2</v>
      </c>
      <c r="AM187" s="2">
        <f t="shared" si="5"/>
        <v>0</v>
      </c>
    </row>
    <row r="188" spans="1:39" ht="29" x14ac:dyDescent="0.35">
      <c r="A188" s="5" t="s">
        <v>2937</v>
      </c>
      <c r="B188" s="1"/>
      <c r="C188" s="1"/>
      <c r="D188" s="5"/>
      <c r="E188" s="1"/>
      <c r="F188" s="1"/>
      <c r="G188" s="1"/>
      <c r="H188" s="1"/>
      <c r="AE188" s="1" t="s">
        <v>2938</v>
      </c>
      <c r="AK188" s="2">
        <f t="shared" si="4"/>
        <v>1</v>
      </c>
      <c r="AM188" s="2">
        <f t="shared" si="5"/>
        <v>0</v>
      </c>
    </row>
    <row r="189" spans="1:39" ht="29" x14ac:dyDescent="0.35">
      <c r="A189" s="5" t="s">
        <v>2940</v>
      </c>
      <c r="B189" s="1"/>
      <c r="C189" s="1"/>
      <c r="D189" s="5"/>
      <c r="E189" s="1"/>
      <c r="F189" s="1"/>
      <c r="G189" s="1"/>
      <c r="H189" s="1"/>
      <c r="AE189" s="1" t="s">
        <v>2939</v>
      </c>
      <c r="AK189" s="2">
        <f t="shared" si="4"/>
        <v>1</v>
      </c>
      <c r="AM189" s="2">
        <f t="shared" si="5"/>
        <v>0</v>
      </c>
    </row>
    <row r="190" spans="1:39" x14ac:dyDescent="0.35">
      <c r="A190" s="5" t="s">
        <v>2844</v>
      </c>
      <c r="B190" s="1"/>
      <c r="C190" s="1"/>
      <c r="D190" s="5"/>
      <c r="E190" s="1"/>
      <c r="F190" s="1"/>
      <c r="G190" s="1"/>
      <c r="H190" s="1"/>
      <c r="AE190" s="1" t="s">
        <v>1453</v>
      </c>
      <c r="AK190" s="2">
        <f t="shared" si="4"/>
        <v>1</v>
      </c>
      <c r="AM190" s="2">
        <f t="shared" si="5"/>
        <v>0</v>
      </c>
    </row>
    <row r="191" spans="1:39" x14ac:dyDescent="0.35">
      <c r="A191" s="5" t="s">
        <v>2845</v>
      </c>
      <c r="B191" s="1"/>
      <c r="C191" s="1"/>
      <c r="D191" s="5"/>
      <c r="E191" s="1"/>
      <c r="F191" s="1"/>
      <c r="G191" s="1"/>
      <c r="H191" s="1"/>
      <c r="AE191" s="1" t="s">
        <v>1073</v>
      </c>
      <c r="AK191" s="2">
        <f t="shared" si="4"/>
        <v>1</v>
      </c>
      <c r="AM191" s="2">
        <f t="shared" si="5"/>
        <v>0</v>
      </c>
    </row>
    <row r="192" spans="1:39" ht="29" x14ac:dyDescent="0.35">
      <c r="A192" s="5" t="s">
        <v>2861</v>
      </c>
      <c r="B192" s="1"/>
      <c r="C192" s="1"/>
      <c r="D192" s="5"/>
      <c r="E192" s="1"/>
      <c r="F192" s="1"/>
      <c r="G192" s="1"/>
      <c r="H192" s="1"/>
      <c r="AE192" s="54" t="s">
        <v>1090</v>
      </c>
      <c r="AF192" s="1" t="s">
        <v>422</v>
      </c>
      <c r="AK192" s="2">
        <f t="shared" si="4"/>
        <v>2</v>
      </c>
      <c r="AM192" s="2">
        <f t="shared" si="5"/>
        <v>0</v>
      </c>
    </row>
    <row r="193" spans="1:39" ht="29" x14ac:dyDescent="0.35">
      <c r="A193" s="5" t="s">
        <v>2862</v>
      </c>
      <c r="B193" s="1"/>
      <c r="C193" s="1"/>
      <c r="D193" s="5"/>
      <c r="E193" s="1"/>
      <c r="F193" s="1"/>
      <c r="G193" s="1"/>
      <c r="H193" s="1"/>
      <c r="AE193" s="54" t="s">
        <v>1091</v>
      </c>
      <c r="AF193" s="1" t="s">
        <v>424</v>
      </c>
      <c r="AK193" s="2">
        <f t="shared" si="4"/>
        <v>2</v>
      </c>
      <c r="AM193" s="2">
        <f t="shared" si="5"/>
        <v>0</v>
      </c>
    </row>
    <row r="194" spans="1:39" x14ac:dyDescent="0.35">
      <c r="A194" s="5" t="s">
        <v>2888</v>
      </c>
      <c r="B194" s="1"/>
      <c r="C194" s="1"/>
      <c r="D194" s="5"/>
      <c r="E194" s="1"/>
      <c r="F194" s="1"/>
      <c r="G194" s="1"/>
      <c r="H194" s="1"/>
      <c r="AE194" s="1" t="s">
        <v>2889</v>
      </c>
      <c r="AK194" s="2">
        <f t="shared" si="4"/>
        <v>1</v>
      </c>
      <c r="AM194" s="2">
        <f t="shared" si="5"/>
        <v>0</v>
      </c>
    </row>
    <row r="195" spans="1:39" ht="29" x14ac:dyDescent="0.35">
      <c r="A195" s="5" t="s">
        <v>3011</v>
      </c>
      <c r="B195" s="1"/>
      <c r="C195" s="1"/>
      <c r="D195" s="5"/>
      <c r="E195" s="1"/>
      <c r="F195" s="1"/>
      <c r="G195" s="1"/>
      <c r="H195" s="1"/>
      <c r="AG195" s="54" t="s">
        <v>1440</v>
      </c>
      <c r="AH195" s="1" t="s">
        <v>1203</v>
      </c>
      <c r="AK195" s="2">
        <f>COUNTA(C195:AI195)</f>
        <v>2</v>
      </c>
      <c r="AM195" s="2">
        <f t="shared" si="5"/>
        <v>0</v>
      </c>
    </row>
    <row r="196" spans="1:39" ht="29" x14ac:dyDescent="0.35">
      <c r="A196" s="5" t="s">
        <v>3168</v>
      </c>
      <c r="B196" s="12"/>
      <c r="C196" s="12" t="s">
        <v>3169</v>
      </c>
      <c r="D196" s="5" t="s">
        <v>3169</v>
      </c>
      <c r="E196" s="1"/>
      <c r="F196" s="1"/>
      <c r="G196" s="1"/>
      <c r="H196" s="1"/>
      <c r="AK196" s="2">
        <f>COUNTA(C196:AI196)</f>
        <v>2</v>
      </c>
      <c r="AM196" s="2">
        <f>COUNTA(G196:P196,S196:T196)</f>
        <v>0</v>
      </c>
    </row>
    <row r="197" spans="1:39" x14ac:dyDescent="0.35">
      <c r="A197" s="5" t="s">
        <v>7904</v>
      </c>
      <c r="B197" s="1" t="s">
        <v>512</v>
      </c>
      <c r="C197" s="1"/>
      <c r="D197" s="5"/>
      <c r="E197" s="1"/>
      <c r="F197" s="1"/>
      <c r="G197" s="1"/>
      <c r="H197" s="1"/>
    </row>
    <row r="198" spans="1:39" ht="72.5" x14ac:dyDescent="0.35">
      <c r="A198" s="5" t="s">
        <v>7905</v>
      </c>
      <c r="B198" s="1" t="s">
        <v>513</v>
      </c>
      <c r="C198" s="1"/>
      <c r="D198" s="5"/>
      <c r="E198" s="1"/>
      <c r="F198" s="1"/>
      <c r="G198" s="1"/>
      <c r="H198" s="1"/>
    </row>
    <row r="199" spans="1:39" x14ac:dyDescent="0.35">
      <c r="A199" s="5"/>
      <c r="B199" s="1"/>
      <c r="C199" s="1"/>
      <c r="D199" s="5"/>
      <c r="E199" s="1"/>
      <c r="F199" s="1"/>
      <c r="G199" s="1"/>
      <c r="H199" s="1"/>
    </row>
    <row r="200" spans="1:39" x14ac:dyDescent="0.35">
      <c r="A200" s="5"/>
      <c r="B200" s="1"/>
      <c r="C200" s="1"/>
      <c r="D200" s="5"/>
      <c r="E200" s="1"/>
      <c r="F200" s="1"/>
      <c r="G200" s="1"/>
      <c r="H200" s="1"/>
    </row>
    <row r="201" spans="1:39" x14ac:dyDescent="0.35">
      <c r="A201" s="5"/>
      <c r="B201" s="1"/>
      <c r="C201" s="1"/>
      <c r="D201" s="5"/>
      <c r="E201" s="1"/>
      <c r="F201" s="1"/>
      <c r="G201" s="1"/>
      <c r="H201" s="1"/>
    </row>
    <row r="202" spans="1:39" x14ac:dyDescent="0.35">
      <c r="A202" s="5"/>
      <c r="B202" s="1"/>
      <c r="C202" s="1"/>
      <c r="D202" s="5"/>
      <c r="E202" s="1"/>
      <c r="F202" s="1"/>
      <c r="G202" s="1"/>
      <c r="H202" s="1"/>
    </row>
    <row r="203" spans="1:39" x14ac:dyDescent="0.35">
      <c r="A203" s="5"/>
      <c r="B203" s="1"/>
      <c r="C203" s="1"/>
      <c r="D203" s="5"/>
      <c r="E203" s="1"/>
      <c r="F203" s="1"/>
      <c r="G203" s="1"/>
      <c r="H203" s="1"/>
    </row>
    <row r="204" spans="1:39" x14ac:dyDescent="0.35">
      <c r="A204" s="5"/>
      <c r="B204" s="1"/>
      <c r="C204" s="1"/>
      <c r="D204" s="5"/>
      <c r="E204" s="1"/>
      <c r="F204" s="1"/>
      <c r="G204" s="1"/>
      <c r="H204" s="1"/>
    </row>
    <row r="205" spans="1:39" x14ac:dyDescent="0.35">
      <c r="A205" s="5"/>
      <c r="B205" s="1"/>
      <c r="C205" s="1"/>
      <c r="D205" s="5"/>
      <c r="E205" s="1"/>
      <c r="F205" s="1"/>
      <c r="G205" s="1"/>
      <c r="H205" s="1"/>
    </row>
    <row r="206" spans="1:39" x14ac:dyDescent="0.35">
      <c r="A206" s="5"/>
      <c r="B206" s="1"/>
      <c r="C206" s="1"/>
      <c r="D206" s="5"/>
      <c r="E206" s="1"/>
      <c r="F206" s="1"/>
      <c r="G206" s="1"/>
      <c r="H206" s="1"/>
    </row>
    <row r="207" spans="1:39" x14ac:dyDescent="0.35">
      <c r="A207" s="5"/>
      <c r="B207" s="1"/>
      <c r="C207" s="1"/>
      <c r="D207" s="5"/>
      <c r="E207" s="1"/>
      <c r="F207" s="1"/>
      <c r="G207" s="1"/>
      <c r="H207" s="1"/>
    </row>
    <row r="208" spans="1:39" x14ac:dyDescent="0.35">
      <c r="A208" s="5"/>
      <c r="B208" s="1"/>
      <c r="C208" s="1"/>
      <c r="D208" s="5"/>
      <c r="E208" s="1"/>
      <c r="F208" s="1"/>
      <c r="G208" s="1"/>
      <c r="H208" s="1"/>
    </row>
    <row r="209" spans="1:8" x14ac:dyDescent="0.35">
      <c r="A209" s="5"/>
      <c r="B209" s="1"/>
      <c r="C209" s="1"/>
      <c r="D209" s="5"/>
      <c r="E209" s="1"/>
      <c r="F209" s="1"/>
      <c r="G209" s="1"/>
      <c r="H209" s="1"/>
    </row>
    <row r="210" spans="1:8" x14ac:dyDescent="0.35">
      <c r="A210" s="5"/>
      <c r="B210" s="1"/>
      <c r="C210" s="1"/>
      <c r="D210" s="5"/>
      <c r="E210" s="1"/>
      <c r="F210" s="1"/>
      <c r="G210" s="1"/>
      <c r="H210" s="1"/>
    </row>
    <row r="211" spans="1:8" x14ac:dyDescent="0.35">
      <c r="A211" s="5"/>
      <c r="B211" s="1"/>
      <c r="C211" s="1"/>
      <c r="D211" s="5"/>
      <c r="E211" s="1"/>
      <c r="F211" s="1"/>
      <c r="G211" s="1"/>
      <c r="H211" s="1"/>
    </row>
    <row r="212" spans="1:8" x14ac:dyDescent="0.35">
      <c r="A212" s="5"/>
      <c r="B212" s="1"/>
      <c r="C212" s="1"/>
      <c r="D212" s="5"/>
      <c r="E212" s="1"/>
      <c r="F212" s="1"/>
      <c r="G212" s="1"/>
      <c r="H212" s="1"/>
    </row>
    <row r="213" spans="1:8" x14ac:dyDescent="0.35">
      <c r="A213" s="5"/>
      <c r="B213" s="1"/>
      <c r="C213" s="1"/>
      <c r="D213" s="5"/>
      <c r="E213" s="1"/>
      <c r="F213" s="1"/>
      <c r="G213" s="1"/>
      <c r="H213" s="1"/>
    </row>
    <row r="214" spans="1:8" x14ac:dyDescent="0.35">
      <c r="A214" s="5"/>
      <c r="B214" s="1"/>
      <c r="C214" s="1"/>
      <c r="D214" s="5"/>
      <c r="E214" s="1"/>
      <c r="F214" s="1"/>
      <c r="G214" s="1"/>
      <c r="H214" s="1"/>
    </row>
    <row r="215" spans="1:8" x14ac:dyDescent="0.35">
      <c r="A215" s="5"/>
      <c r="B215" s="1"/>
      <c r="C215" s="1"/>
      <c r="D215" s="5"/>
      <c r="E215" s="1"/>
      <c r="F215" s="1"/>
      <c r="G215" s="1"/>
      <c r="H215" s="1"/>
    </row>
    <row r="216" spans="1:8" x14ac:dyDescent="0.35">
      <c r="A216" s="5"/>
      <c r="B216" s="1"/>
      <c r="C216" s="1"/>
      <c r="D216" s="5"/>
      <c r="E216" s="1"/>
      <c r="F216" s="1"/>
      <c r="G216" s="1"/>
      <c r="H216" s="1"/>
    </row>
    <row r="217" spans="1:8" x14ac:dyDescent="0.35">
      <c r="A217" s="5"/>
      <c r="B217" s="1"/>
      <c r="C217" s="1"/>
      <c r="D217" s="5"/>
      <c r="E217" s="1"/>
      <c r="F217" s="1"/>
      <c r="G217" s="1"/>
      <c r="H217" s="1"/>
    </row>
    <row r="218" spans="1:8" x14ac:dyDescent="0.35">
      <c r="A218" s="5"/>
      <c r="B218" s="1"/>
      <c r="C218" s="1"/>
      <c r="D218" s="5"/>
      <c r="E218" s="1"/>
      <c r="F218" s="1"/>
      <c r="G218" s="1"/>
      <c r="H218" s="1"/>
    </row>
    <row r="219" spans="1:8" x14ac:dyDescent="0.35">
      <c r="A219" s="5"/>
      <c r="B219" s="1"/>
      <c r="C219" s="1"/>
      <c r="D219" s="5"/>
      <c r="E219" s="1"/>
      <c r="F219" s="1"/>
      <c r="G219" s="1"/>
      <c r="H219" s="1"/>
    </row>
    <row r="220" spans="1:8" x14ac:dyDescent="0.35">
      <c r="A220" s="5"/>
      <c r="B220" s="1"/>
      <c r="C220" s="1"/>
      <c r="D220" s="5"/>
      <c r="E220" s="1"/>
      <c r="F220" s="1"/>
      <c r="G220" s="1"/>
      <c r="H220" s="1"/>
    </row>
    <row r="221" spans="1:8" x14ac:dyDescent="0.35">
      <c r="A221" s="5"/>
      <c r="B221" s="1"/>
      <c r="C221" s="1"/>
      <c r="D221" s="5"/>
      <c r="E221" s="1"/>
      <c r="F221" s="1"/>
      <c r="G221" s="1"/>
      <c r="H221" s="1"/>
    </row>
    <row r="222" spans="1:8" x14ac:dyDescent="0.35">
      <c r="A222" s="5"/>
      <c r="B222" s="1"/>
      <c r="C222" s="1"/>
      <c r="D222" s="5"/>
      <c r="E222" s="1"/>
      <c r="F222" s="1"/>
      <c r="G222" s="1"/>
      <c r="H222" s="1"/>
    </row>
    <row r="223" spans="1:8" x14ac:dyDescent="0.35">
      <c r="A223" s="5"/>
      <c r="B223" s="1"/>
      <c r="C223" s="1"/>
      <c r="D223" s="5"/>
      <c r="E223" s="1"/>
      <c r="F223" s="1"/>
      <c r="G223" s="1"/>
      <c r="H223" s="1"/>
    </row>
    <row r="224" spans="1:8" x14ac:dyDescent="0.35">
      <c r="A224" s="5"/>
      <c r="B224" s="1"/>
      <c r="C224" s="1"/>
      <c r="D224" s="5"/>
      <c r="E224" s="1"/>
      <c r="F224" s="1"/>
      <c r="G224" s="1"/>
      <c r="H224" s="1"/>
    </row>
    <row r="225" spans="1:8" x14ac:dyDescent="0.35">
      <c r="A225" s="5"/>
      <c r="B225" s="1"/>
      <c r="C225" s="1"/>
      <c r="D225" s="5"/>
      <c r="E225" s="1"/>
      <c r="F225" s="1"/>
      <c r="G225" s="1"/>
      <c r="H225" s="1"/>
    </row>
    <row r="226" spans="1:8" x14ac:dyDescent="0.35">
      <c r="A226" s="5"/>
      <c r="B226" s="1"/>
      <c r="C226" s="1"/>
      <c r="D226" s="5"/>
      <c r="E226" s="1"/>
      <c r="F226" s="1"/>
      <c r="G226" s="1"/>
      <c r="H226" s="1"/>
    </row>
    <row r="227" spans="1:8" x14ac:dyDescent="0.35">
      <c r="A227" s="5"/>
      <c r="B227" s="1"/>
      <c r="C227" s="1"/>
      <c r="D227" s="5"/>
      <c r="E227" s="1"/>
      <c r="F227" s="1"/>
      <c r="G227" s="1"/>
      <c r="H227" s="1"/>
    </row>
    <row r="228" spans="1:8" x14ac:dyDescent="0.35">
      <c r="A228" s="5"/>
      <c r="B228" s="1"/>
      <c r="C228" s="1"/>
      <c r="D228" s="5"/>
      <c r="E228" s="1"/>
      <c r="F228" s="1"/>
      <c r="G228" s="1"/>
      <c r="H228" s="1"/>
    </row>
    <row r="229" spans="1:8" x14ac:dyDescent="0.35">
      <c r="A229" s="5"/>
      <c r="B229" s="1"/>
      <c r="C229" s="1"/>
      <c r="D229" s="5"/>
      <c r="E229" s="1"/>
      <c r="F229" s="1"/>
      <c r="G229" s="1"/>
      <c r="H229" s="1"/>
    </row>
    <row r="230" spans="1:8" x14ac:dyDescent="0.35">
      <c r="A230" s="5"/>
      <c r="B230" s="1"/>
      <c r="C230" s="1"/>
      <c r="D230" s="5"/>
      <c r="E230" s="1"/>
      <c r="F230" s="1"/>
      <c r="G230" s="1"/>
      <c r="H230" s="1"/>
    </row>
    <row r="231" spans="1:8" x14ac:dyDescent="0.35">
      <c r="A231" s="5"/>
      <c r="B231" s="1"/>
      <c r="C231" s="1"/>
      <c r="D231" s="5"/>
      <c r="E231" s="1"/>
      <c r="F231" s="1"/>
      <c r="G231" s="1"/>
      <c r="H231" s="1"/>
    </row>
    <row r="232" spans="1:8" x14ac:dyDescent="0.35">
      <c r="A232" s="5"/>
      <c r="B232" s="1"/>
      <c r="C232" s="1"/>
      <c r="D232" s="5"/>
      <c r="E232" s="1"/>
      <c r="F232" s="1"/>
      <c r="G232" s="1"/>
      <c r="H232" s="1"/>
    </row>
    <row r="233" spans="1:8" x14ac:dyDescent="0.35">
      <c r="A233" s="5"/>
      <c r="B233" s="1"/>
      <c r="C233" s="1"/>
      <c r="D233" s="5"/>
      <c r="E233" s="1"/>
      <c r="F233" s="1"/>
      <c r="G233" s="1"/>
      <c r="H233" s="1"/>
    </row>
    <row r="234" spans="1:8" x14ac:dyDescent="0.35">
      <c r="A234" s="5"/>
      <c r="B234" s="1"/>
      <c r="C234" s="1"/>
      <c r="D234" s="5"/>
      <c r="E234" s="1"/>
      <c r="F234" s="1"/>
      <c r="G234" s="1"/>
      <c r="H234" s="1"/>
    </row>
    <row r="235" spans="1:8" x14ac:dyDescent="0.35">
      <c r="A235" s="5"/>
      <c r="B235" s="1"/>
      <c r="C235" s="1"/>
      <c r="D235" s="5"/>
      <c r="E235" s="1"/>
      <c r="F235" s="1"/>
      <c r="G235" s="1"/>
      <c r="H235" s="1"/>
    </row>
    <row r="236" spans="1:8" x14ac:dyDescent="0.35">
      <c r="A236" s="5"/>
      <c r="B236" s="1"/>
      <c r="C236" s="1"/>
      <c r="D236" s="5"/>
      <c r="E236" s="1"/>
      <c r="F236" s="1"/>
      <c r="G236" s="1"/>
      <c r="H236" s="1"/>
    </row>
    <row r="237" spans="1:8" x14ac:dyDescent="0.35">
      <c r="A237" s="5"/>
      <c r="B237" s="1"/>
      <c r="C237" s="1"/>
      <c r="D237" s="5"/>
      <c r="E237" s="1"/>
      <c r="F237" s="1"/>
      <c r="G237" s="1"/>
      <c r="H237" s="1"/>
    </row>
    <row r="238" spans="1:8" x14ac:dyDescent="0.35">
      <c r="A238" s="5"/>
      <c r="B238" s="1"/>
      <c r="C238" s="1"/>
      <c r="D238" s="5"/>
      <c r="E238" s="1"/>
      <c r="F238" s="1"/>
      <c r="G238" s="1"/>
      <c r="H238" s="1"/>
    </row>
    <row r="239" spans="1:8" x14ac:dyDescent="0.35">
      <c r="A239" s="5"/>
      <c r="B239" s="1"/>
      <c r="C239" s="1"/>
      <c r="D239" s="5"/>
      <c r="E239" s="1"/>
      <c r="F239" s="1"/>
      <c r="G239" s="1"/>
      <c r="H239" s="1"/>
    </row>
    <row r="240" spans="1:8" x14ac:dyDescent="0.35">
      <c r="A240" s="5"/>
      <c r="B240" s="1"/>
      <c r="C240" s="1"/>
      <c r="D240" s="5"/>
      <c r="E240" s="1"/>
      <c r="F240" s="1"/>
      <c r="G240" s="1"/>
      <c r="H240" s="1"/>
    </row>
    <row r="241" spans="1:8" x14ac:dyDescent="0.35">
      <c r="A241" s="5"/>
      <c r="B241" s="1"/>
      <c r="C241" s="1"/>
      <c r="D241" s="5"/>
      <c r="E241" s="1"/>
      <c r="F241" s="1"/>
      <c r="G241" s="1"/>
      <c r="H241" s="1"/>
    </row>
    <row r="242" spans="1:8" x14ac:dyDescent="0.35">
      <c r="A242" s="5"/>
      <c r="B242" s="1"/>
      <c r="C242" s="1"/>
      <c r="D242" s="5"/>
      <c r="E242" s="1"/>
      <c r="F242" s="1"/>
      <c r="G242" s="1"/>
      <c r="H242" s="1"/>
    </row>
    <row r="243" spans="1:8" x14ac:dyDescent="0.35">
      <c r="A243" s="5"/>
      <c r="B243" s="1"/>
      <c r="C243" s="1"/>
      <c r="D243" s="5"/>
      <c r="E243" s="1"/>
      <c r="F243" s="1"/>
      <c r="G243" s="1"/>
      <c r="H243" s="1"/>
    </row>
    <row r="244" spans="1:8" x14ac:dyDescent="0.35">
      <c r="A244" s="5"/>
      <c r="B244" s="1"/>
      <c r="C244" s="1"/>
      <c r="D244" s="5"/>
      <c r="E244" s="1"/>
      <c r="F244" s="1"/>
      <c r="G244" s="1"/>
      <c r="H244" s="1"/>
    </row>
    <row r="245" spans="1:8" x14ac:dyDescent="0.35">
      <c r="A245" s="5"/>
      <c r="B245" s="1"/>
      <c r="C245" s="1"/>
      <c r="D245" s="5"/>
      <c r="E245" s="1"/>
      <c r="F245" s="1"/>
      <c r="G245" s="1"/>
      <c r="H245" s="1"/>
    </row>
    <row r="246" spans="1:8" x14ac:dyDescent="0.35">
      <c r="A246" s="5"/>
      <c r="B246" s="1"/>
      <c r="C246" s="1"/>
      <c r="D246" s="5"/>
      <c r="E246" s="1"/>
      <c r="F246" s="1"/>
      <c r="G246" s="1"/>
      <c r="H246" s="1"/>
    </row>
    <row r="247" spans="1:8" x14ac:dyDescent="0.35">
      <c r="A247" s="5"/>
      <c r="B247" s="1"/>
      <c r="C247" s="1"/>
      <c r="D247" s="5"/>
      <c r="E247" s="1"/>
      <c r="F247" s="1"/>
      <c r="G247" s="1"/>
      <c r="H247" s="1"/>
    </row>
    <row r="248" spans="1:8" x14ac:dyDescent="0.35">
      <c r="A248" s="5"/>
      <c r="B248" s="1"/>
      <c r="C248" s="1"/>
      <c r="D248" s="5"/>
      <c r="E248" s="1"/>
      <c r="F248" s="1"/>
      <c r="G248" s="1"/>
      <c r="H248" s="1"/>
    </row>
    <row r="249" spans="1:8" x14ac:dyDescent="0.35">
      <c r="A249" s="5"/>
      <c r="B249" s="1"/>
      <c r="C249" s="1"/>
      <c r="D249" s="5"/>
      <c r="E249" s="1"/>
      <c r="F249" s="1"/>
      <c r="G249" s="1"/>
      <c r="H249" s="1"/>
    </row>
    <row r="250" spans="1:8" x14ac:dyDescent="0.35">
      <c r="A250" s="5"/>
      <c r="B250" s="1"/>
      <c r="C250" s="1"/>
      <c r="D250" s="5"/>
      <c r="E250" s="1"/>
      <c r="F250" s="1"/>
      <c r="G250" s="1"/>
      <c r="H250" s="1"/>
    </row>
    <row r="251" spans="1:8" x14ac:dyDescent="0.35">
      <c r="A251" s="5"/>
      <c r="B251" s="1"/>
      <c r="C251" s="1"/>
      <c r="D251" s="5"/>
      <c r="E251" s="1"/>
      <c r="F251" s="1"/>
      <c r="G251" s="1"/>
      <c r="H251" s="1"/>
    </row>
    <row r="252" spans="1:8" x14ac:dyDescent="0.35">
      <c r="A252" s="5"/>
      <c r="B252" s="1"/>
      <c r="C252" s="1"/>
      <c r="D252" s="5"/>
      <c r="E252" s="1"/>
      <c r="F252" s="1"/>
      <c r="G252" s="1"/>
      <c r="H252" s="1"/>
    </row>
    <row r="253" spans="1:8" x14ac:dyDescent="0.35">
      <c r="A253" s="5"/>
      <c r="B253" s="1"/>
      <c r="C253" s="1"/>
      <c r="D253" s="5"/>
      <c r="E253" s="1"/>
      <c r="F253" s="1"/>
      <c r="G253" s="1"/>
      <c r="H253" s="1"/>
    </row>
    <row r="254" spans="1:8" x14ac:dyDescent="0.35">
      <c r="A254" s="5"/>
      <c r="B254" s="1"/>
      <c r="C254" s="1"/>
      <c r="D254" s="5"/>
      <c r="E254" s="1"/>
      <c r="F254" s="1"/>
      <c r="G254" s="1"/>
      <c r="H254" s="1"/>
    </row>
    <row r="255" spans="1:8" x14ac:dyDescent="0.35">
      <c r="A255" s="5"/>
      <c r="B255" s="1"/>
      <c r="C255" s="1"/>
      <c r="D255" s="5"/>
      <c r="E255" s="1"/>
      <c r="F255" s="1"/>
      <c r="G255" s="1"/>
      <c r="H255" s="1"/>
    </row>
    <row r="256" spans="1:8" x14ac:dyDescent="0.35">
      <c r="A256" s="5"/>
      <c r="B256" s="1"/>
      <c r="C256" s="1"/>
      <c r="D256" s="5"/>
      <c r="E256" s="1"/>
      <c r="F256" s="1"/>
      <c r="G256" s="1"/>
      <c r="H256" s="1"/>
    </row>
    <row r="257" spans="1:8" x14ac:dyDescent="0.35">
      <c r="A257" s="5"/>
      <c r="B257" s="1"/>
      <c r="C257" s="1"/>
      <c r="D257" s="5"/>
      <c r="E257" s="1"/>
      <c r="F257" s="1"/>
      <c r="G257" s="1"/>
      <c r="H257" s="1"/>
    </row>
    <row r="258" spans="1:8" x14ac:dyDescent="0.35">
      <c r="A258" s="5"/>
      <c r="B258" s="1"/>
      <c r="C258" s="1"/>
      <c r="D258" s="5"/>
      <c r="E258" s="1"/>
      <c r="F258" s="1"/>
      <c r="G258" s="1"/>
      <c r="H258" s="1"/>
    </row>
    <row r="259" spans="1:8" x14ac:dyDescent="0.35">
      <c r="A259" s="5"/>
      <c r="B259" s="1"/>
      <c r="C259" s="1"/>
      <c r="D259" s="5"/>
      <c r="E259" s="1"/>
      <c r="F259" s="1"/>
      <c r="G259" s="1"/>
      <c r="H259" s="1"/>
    </row>
    <row r="260" spans="1:8" x14ac:dyDescent="0.35">
      <c r="A260" s="5"/>
      <c r="B260" s="1"/>
      <c r="C260" s="1"/>
      <c r="D260" s="5"/>
      <c r="E260" s="1"/>
      <c r="F260" s="1"/>
      <c r="G260" s="1"/>
      <c r="H260" s="1"/>
    </row>
    <row r="261" spans="1:8" x14ac:dyDescent="0.35">
      <c r="A261" s="5"/>
      <c r="B261" s="1"/>
      <c r="C261" s="1"/>
      <c r="D261" s="5"/>
      <c r="E261" s="1"/>
      <c r="F261" s="1"/>
      <c r="G261" s="1"/>
      <c r="H261" s="1"/>
    </row>
    <row r="262" spans="1:8" x14ac:dyDescent="0.35">
      <c r="A262" s="5"/>
      <c r="B262" s="1"/>
      <c r="C262" s="1"/>
      <c r="D262" s="5"/>
      <c r="E262" s="1"/>
      <c r="F262" s="1"/>
      <c r="G262" s="1"/>
      <c r="H262" s="1"/>
    </row>
    <row r="263" spans="1:8" x14ac:dyDescent="0.35">
      <c r="B263" s="1"/>
      <c r="C263" s="1"/>
      <c r="H263" s="1"/>
    </row>
    <row r="264" spans="1:8" x14ac:dyDescent="0.35">
      <c r="B264" s="1"/>
      <c r="C264" s="1"/>
      <c r="H264" s="1"/>
    </row>
    <row r="265" spans="1:8" x14ac:dyDescent="0.35">
      <c r="B265" s="1"/>
      <c r="C265" s="1"/>
      <c r="H265" s="1"/>
    </row>
    <row r="266" spans="1:8" x14ac:dyDescent="0.35">
      <c r="B266" s="1"/>
      <c r="C266" s="1"/>
      <c r="H266" s="1"/>
    </row>
    <row r="267" spans="1:8" x14ac:dyDescent="0.35">
      <c r="B267" s="1"/>
      <c r="C267" s="1"/>
      <c r="H267" s="1"/>
    </row>
    <row r="268" spans="1:8" x14ac:dyDescent="0.35">
      <c r="B268" s="1"/>
      <c r="C268" s="1"/>
      <c r="H268" s="1"/>
    </row>
    <row r="269" spans="1:8" x14ac:dyDescent="0.35">
      <c r="B269" s="1"/>
      <c r="C269" s="1"/>
    </row>
    <row r="270" spans="1:8" x14ac:dyDescent="0.35">
      <c r="B270" s="1"/>
      <c r="C270" s="1"/>
    </row>
    <row r="271" spans="1:8" x14ac:dyDescent="0.35">
      <c r="B271" s="1"/>
      <c r="C271" s="1"/>
    </row>
    <row r="272" spans="1:8" x14ac:dyDescent="0.35">
      <c r="B272" s="1"/>
      <c r="C272" s="1"/>
    </row>
    <row r="273" spans="2:3" x14ac:dyDescent="0.35">
      <c r="B273" s="1"/>
      <c r="C273" s="1"/>
    </row>
    <row r="274" spans="2:3" x14ac:dyDescent="0.35">
      <c r="B274" s="1"/>
      <c r="C274" s="1"/>
    </row>
    <row r="275" spans="2:3" x14ac:dyDescent="0.35">
      <c r="B275" s="1"/>
      <c r="C275" s="1"/>
    </row>
    <row r="276" spans="2:3" x14ac:dyDescent="0.35">
      <c r="B276" s="1"/>
      <c r="C276" s="1"/>
    </row>
    <row r="277" spans="2:3" x14ac:dyDescent="0.35">
      <c r="B277" s="1"/>
      <c r="C277" s="1"/>
    </row>
    <row r="278" spans="2:3" x14ac:dyDescent="0.35">
      <c r="B278" s="1"/>
      <c r="C278" s="1"/>
    </row>
    <row r="279" spans="2:3" x14ac:dyDescent="0.35">
      <c r="B279" s="1"/>
      <c r="C279" s="1"/>
    </row>
    <row r="280" spans="2:3" x14ac:dyDescent="0.35">
      <c r="B280" s="1"/>
      <c r="C280" s="1"/>
    </row>
    <row r="281" spans="2:3" x14ac:dyDescent="0.35">
      <c r="B281" s="1"/>
      <c r="C281" s="1"/>
    </row>
    <row r="282" spans="2:3" x14ac:dyDescent="0.35">
      <c r="B282" s="1"/>
      <c r="C282" s="1"/>
    </row>
    <row r="283" spans="2:3" x14ac:dyDescent="0.35">
      <c r="B283" s="1"/>
      <c r="C283" s="1"/>
    </row>
    <row r="284" spans="2:3" x14ac:dyDescent="0.35">
      <c r="B284" s="1"/>
      <c r="C284" s="1"/>
    </row>
    <row r="285" spans="2:3" x14ac:dyDescent="0.35">
      <c r="B285" s="1"/>
      <c r="C285" s="1"/>
    </row>
    <row r="286" spans="2:3" x14ac:dyDescent="0.35">
      <c r="B286" s="1"/>
      <c r="C286" s="1"/>
    </row>
    <row r="287" spans="2:3" x14ac:dyDescent="0.35">
      <c r="B287" s="1"/>
      <c r="C287" s="1"/>
    </row>
    <row r="288" spans="2:3" x14ac:dyDescent="0.35">
      <c r="B288" s="1"/>
      <c r="C288" s="1"/>
    </row>
    <row r="289" spans="2:3" x14ac:dyDescent="0.35">
      <c r="B289" s="1"/>
      <c r="C289" s="1"/>
    </row>
  </sheetData>
  <phoneticPr fontId="10"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B3751-3B0B-40B7-A801-E5C1DFFDF3FA}">
  <sheetPr codeName="Sheet11"/>
  <dimension ref="A1:AO288"/>
  <sheetViews>
    <sheetView rightToLeft="1" zoomScale="79" workbookViewId="0">
      <pane xSplit="1" ySplit="1" topLeftCell="B71" activePane="bottomRight" state="frozen"/>
      <selection activeCell="D96" sqref="D96"/>
      <selection pane="topRight" activeCell="D96" sqref="D96"/>
      <selection pane="bottomLeft" activeCell="D96" sqref="D96"/>
      <selection pane="bottomRight" activeCell="B77" sqref="B77"/>
    </sheetView>
  </sheetViews>
  <sheetFormatPr defaultColWidth="8.81640625" defaultRowHeight="14.5" x14ac:dyDescent="0.35"/>
  <cols>
    <col min="1" max="1" width="52.1796875" style="27" customWidth="1"/>
    <col min="2" max="3" width="10" style="2" customWidth="1"/>
    <col min="4" max="4" width="10.81640625" style="8" customWidth="1"/>
    <col min="5" max="5" width="11.81640625" style="2" customWidth="1"/>
    <col min="6" max="8" width="8.81640625" style="2"/>
    <col min="9" max="16" width="8.81640625" style="1" customWidth="1"/>
    <col min="17" max="18" width="8.81640625" style="30" customWidth="1"/>
    <col min="19" max="35" width="8.81640625" style="1" customWidth="1"/>
    <col min="36" max="36" width="8.81640625" style="2"/>
    <col min="37" max="37" width="10.08984375" style="2" bestFit="1" customWidth="1"/>
    <col min="38" max="38" width="8.81640625" style="2"/>
    <col min="39" max="39" width="10.54296875" style="2" bestFit="1" customWidth="1"/>
    <col min="40" max="40" width="8.81640625" style="2"/>
    <col min="41" max="41" width="17" style="2" bestFit="1" customWidth="1"/>
    <col min="42" max="16384" width="8.81640625" style="2"/>
  </cols>
  <sheetData>
    <row r="1" spans="1:41" ht="15" thickBot="1" x14ac:dyDescent="0.4">
      <c r="A1" s="26" t="s">
        <v>0</v>
      </c>
      <c r="B1" s="4">
        <v>2022</v>
      </c>
      <c r="C1" s="4">
        <v>2022</v>
      </c>
      <c r="D1" s="32">
        <v>2021</v>
      </c>
      <c r="E1" s="20">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x14ac:dyDescent="0.35">
      <c r="A2" s="5" t="s">
        <v>1254</v>
      </c>
      <c r="B2" s="1"/>
      <c r="C2" s="6"/>
      <c r="D2" s="5"/>
      <c r="E2" s="1"/>
      <c r="F2" s="1"/>
      <c r="G2" s="1"/>
      <c r="H2" s="1"/>
      <c r="M2" s="54" t="s">
        <v>977</v>
      </c>
      <c r="N2" s="54" t="s">
        <v>1057</v>
      </c>
      <c r="O2" s="1" t="s">
        <v>1623</v>
      </c>
      <c r="R2" s="29"/>
      <c r="S2" s="3"/>
      <c r="T2" s="3"/>
      <c r="U2" s="3"/>
      <c r="V2" s="3"/>
      <c r="W2" s="3"/>
      <c r="X2" s="3"/>
      <c r="Y2" s="3"/>
      <c r="Z2" s="3"/>
      <c r="AA2" s="3"/>
      <c r="AB2" s="3"/>
      <c r="AC2" s="3"/>
      <c r="AD2" s="3"/>
      <c r="AE2" s="3"/>
      <c r="AF2" s="3"/>
      <c r="AG2" s="3"/>
      <c r="AH2" s="3"/>
      <c r="AI2" s="3"/>
      <c r="AK2" s="2">
        <f>COUNTA(D2:AI2)</f>
        <v>3</v>
      </c>
      <c r="AM2" s="2">
        <f>COUNTA(G2:P2,S2:T2)</f>
        <v>3</v>
      </c>
      <c r="AO2" s="2">
        <f>COUNTIF(AM2:AM72,"&gt;=2")</f>
        <v>15</v>
      </c>
    </row>
    <row r="3" spans="1:41" x14ac:dyDescent="0.35">
      <c r="A3" s="5" t="s">
        <v>1289</v>
      </c>
      <c r="B3" s="1"/>
      <c r="C3" s="6"/>
      <c r="D3" s="5"/>
      <c r="E3" s="1"/>
      <c r="F3" s="1"/>
      <c r="G3" s="1"/>
      <c r="H3" s="1"/>
      <c r="N3" s="1" t="s">
        <v>238</v>
      </c>
      <c r="AK3" s="2">
        <f t="shared" ref="AK3:AK51" si="0">COUNTA(D3:AI3)</f>
        <v>1</v>
      </c>
      <c r="AM3" s="2">
        <f t="shared" ref="AM3:AM66" si="1">COUNTA(G3:P3,S3:T3)</f>
        <v>1</v>
      </c>
    </row>
    <row r="4" spans="1:41" x14ac:dyDescent="0.35">
      <c r="A4" s="5" t="s">
        <v>794</v>
      </c>
      <c r="B4" s="1"/>
      <c r="C4" s="6"/>
      <c r="D4" s="5"/>
      <c r="E4" s="1"/>
      <c r="F4" s="1"/>
      <c r="G4" s="1"/>
      <c r="H4" s="1"/>
      <c r="J4" s="19" t="s">
        <v>797</v>
      </c>
      <c r="AK4" s="2">
        <f t="shared" si="0"/>
        <v>1</v>
      </c>
      <c r="AM4" s="2">
        <f t="shared" si="1"/>
        <v>1</v>
      </c>
    </row>
    <row r="5" spans="1:41" ht="29" x14ac:dyDescent="0.35">
      <c r="A5" s="5" t="s">
        <v>795</v>
      </c>
      <c r="B5" s="1"/>
      <c r="C5" s="5"/>
      <c r="D5" s="5"/>
      <c r="E5" s="1"/>
      <c r="F5" s="1"/>
      <c r="G5" s="1"/>
      <c r="H5" s="1"/>
      <c r="J5" s="19" t="s">
        <v>798</v>
      </c>
      <c r="AK5" s="2">
        <f t="shared" si="0"/>
        <v>1</v>
      </c>
      <c r="AM5" s="2">
        <f t="shared" si="1"/>
        <v>1</v>
      </c>
    </row>
    <row r="6" spans="1:41" x14ac:dyDescent="0.35">
      <c r="A6" s="5" t="s">
        <v>796</v>
      </c>
      <c r="B6" s="1"/>
      <c r="C6" s="6"/>
      <c r="D6" s="5"/>
      <c r="E6" s="1"/>
      <c r="F6" s="1"/>
      <c r="G6" s="1"/>
      <c r="H6" s="1"/>
      <c r="J6" s="19" t="s">
        <v>799</v>
      </c>
      <c r="AK6" s="2">
        <f t="shared" si="0"/>
        <v>1</v>
      </c>
      <c r="AM6" s="2">
        <f t="shared" si="1"/>
        <v>1</v>
      </c>
    </row>
    <row r="7" spans="1:41" ht="29" x14ac:dyDescent="0.35">
      <c r="A7" s="5" t="s">
        <v>1624</v>
      </c>
      <c r="B7" s="1"/>
      <c r="C7" s="6"/>
      <c r="D7" s="5"/>
      <c r="E7" s="1"/>
      <c r="F7" s="1"/>
      <c r="G7" s="1"/>
      <c r="H7" s="1"/>
      <c r="O7" s="54" t="s">
        <v>1625</v>
      </c>
      <c r="P7" s="54" t="s">
        <v>1367</v>
      </c>
      <c r="R7" s="54" t="s">
        <v>1444</v>
      </c>
      <c r="S7" s="1" t="s">
        <v>2173</v>
      </c>
      <c r="AK7" s="2">
        <f t="shared" si="0"/>
        <v>4</v>
      </c>
      <c r="AM7" s="2">
        <f t="shared" si="1"/>
        <v>3</v>
      </c>
    </row>
    <row r="8" spans="1:41" x14ac:dyDescent="0.35">
      <c r="A8" s="5" t="s">
        <v>1773</v>
      </c>
      <c r="B8" s="1"/>
      <c r="C8" s="6"/>
      <c r="D8" s="5"/>
      <c r="E8" s="1"/>
      <c r="F8" s="1"/>
      <c r="G8" s="1"/>
      <c r="H8" s="1"/>
      <c r="P8" s="54" t="s">
        <v>1368</v>
      </c>
      <c r="R8" s="54" t="s">
        <v>1057</v>
      </c>
      <c r="S8" s="54" t="s">
        <v>2172</v>
      </c>
      <c r="W8" s="54" t="s">
        <v>539</v>
      </c>
      <c r="Y8" s="54" t="s">
        <v>972</v>
      </c>
      <c r="AA8" s="1" t="s">
        <v>524</v>
      </c>
      <c r="AK8" s="2">
        <f t="shared" si="0"/>
        <v>6</v>
      </c>
      <c r="AM8" s="2">
        <f t="shared" si="1"/>
        <v>2</v>
      </c>
    </row>
    <row r="9" spans="1:41" ht="29" x14ac:dyDescent="0.35">
      <c r="A9" s="5" t="s">
        <v>2355</v>
      </c>
      <c r="B9" s="1"/>
      <c r="C9" s="6"/>
      <c r="D9" s="5"/>
      <c r="E9" s="1"/>
      <c r="F9" s="1"/>
      <c r="G9" s="1"/>
      <c r="H9" s="1"/>
      <c r="U9" s="1" t="s">
        <v>2107</v>
      </c>
      <c r="AK9" s="2">
        <f t="shared" si="0"/>
        <v>1</v>
      </c>
      <c r="AM9" s="2">
        <f t="shared" si="1"/>
        <v>0</v>
      </c>
    </row>
    <row r="10" spans="1:41" x14ac:dyDescent="0.35">
      <c r="A10" s="5" t="s">
        <v>2353</v>
      </c>
      <c r="B10" s="1"/>
      <c r="C10" s="6"/>
      <c r="D10" s="5"/>
      <c r="E10" s="1"/>
      <c r="F10" s="1"/>
      <c r="G10" s="1"/>
      <c r="H10" s="1"/>
      <c r="U10" s="54" t="s">
        <v>2103</v>
      </c>
      <c r="V10" s="54" t="s">
        <v>1731</v>
      </c>
      <c r="W10" s="54" t="s">
        <v>541</v>
      </c>
      <c r="Y10" s="54" t="s">
        <v>971</v>
      </c>
      <c r="AA10" s="1" t="s">
        <v>522</v>
      </c>
      <c r="AK10" s="2">
        <f t="shared" si="0"/>
        <v>5</v>
      </c>
      <c r="AM10" s="2">
        <f t="shared" si="1"/>
        <v>0</v>
      </c>
    </row>
    <row r="11" spans="1:41" x14ac:dyDescent="0.35">
      <c r="A11" s="5" t="s">
        <v>1031</v>
      </c>
      <c r="B11" s="1"/>
      <c r="C11" s="6"/>
      <c r="D11" s="5"/>
      <c r="E11" s="1"/>
      <c r="F11" s="1"/>
      <c r="G11" s="1"/>
      <c r="H11" s="1"/>
      <c r="K11" s="19" t="s">
        <v>1035</v>
      </c>
      <c r="AK11" s="2">
        <f t="shared" si="0"/>
        <v>1</v>
      </c>
      <c r="AM11" s="2">
        <f t="shared" si="1"/>
        <v>1</v>
      </c>
    </row>
    <row r="12" spans="1:41" x14ac:dyDescent="0.35">
      <c r="A12" s="5" t="s">
        <v>1032</v>
      </c>
      <c r="B12" s="1"/>
      <c r="C12" s="1"/>
      <c r="D12" s="5"/>
      <c r="E12" s="1"/>
      <c r="F12" s="1"/>
      <c r="G12" s="1"/>
      <c r="H12" s="1"/>
      <c r="K12" s="77" t="s">
        <v>1036</v>
      </c>
      <c r="L12" s="1" t="s">
        <v>1172</v>
      </c>
      <c r="AK12" s="2">
        <f t="shared" si="0"/>
        <v>2</v>
      </c>
      <c r="AM12" s="2">
        <f t="shared" si="1"/>
        <v>2</v>
      </c>
    </row>
    <row r="13" spans="1:41" x14ac:dyDescent="0.35">
      <c r="A13" s="5" t="s">
        <v>1033</v>
      </c>
      <c r="B13" s="1"/>
      <c r="C13" s="1"/>
      <c r="D13" s="5"/>
      <c r="E13" s="1"/>
      <c r="F13" s="1"/>
      <c r="G13" s="1"/>
      <c r="H13" s="1"/>
      <c r="K13" s="77" t="s">
        <v>1037</v>
      </c>
      <c r="L13" s="1" t="s">
        <v>972</v>
      </c>
      <c r="AK13" s="2">
        <f t="shared" si="0"/>
        <v>2</v>
      </c>
      <c r="AM13" s="2">
        <f t="shared" si="1"/>
        <v>2</v>
      </c>
    </row>
    <row r="14" spans="1:41" x14ac:dyDescent="0.35">
      <c r="A14" s="5" t="s">
        <v>1173</v>
      </c>
      <c r="B14" s="1"/>
      <c r="C14" s="1"/>
      <c r="D14" s="5"/>
      <c r="E14" s="1"/>
      <c r="F14" s="1"/>
      <c r="G14" s="1"/>
      <c r="H14" s="1"/>
      <c r="K14" s="19"/>
      <c r="L14" s="1" t="s">
        <v>974</v>
      </c>
      <c r="AK14" s="2">
        <f t="shared" si="0"/>
        <v>1</v>
      </c>
      <c r="AM14" s="2">
        <f t="shared" si="1"/>
        <v>1</v>
      </c>
    </row>
    <row r="15" spans="1:41" x14ac:dyDescent="0.35">
      <c r="A15" s="5" t="s">
        <v>1174</v>
      </c>
      <c r="B15" s="1"/>
      <c r="C15" s="5"/>
      <c r="D15" s="5"/>
      <c r="E15" s="1"/>
      <c r="F15" s="1"/>
      <c r="G15" s="1"/>
      <c r="H15" s="1"/>
      <c r="K15" s="19"/>
      <c r="L15" s="1" t="s">
        <v>1179</v>
      </c>
      <c r="AK15" s="2">
        <f t="shared" si="0"/>
        <v>1</v>
      </c>
      <c r="AM15" s="2">
        <f t="shared" si="1"/>
        <v>1</v>
      </c>
    </row>
    <row r="16" spans="1:41" x14ac:dyDescent="0.35">
      <c r="A16" s="5" t="s">
        <v>1175</v>
      </c>
      <c r="B16" s="1"/>
      <c r="C16" s="1"/>
      <c r="D16" s="5"/>
      <c r="E16" s="1"/>
      <c r="F16" s="1"/>
      <c r="G16" s="1"/>
      <c r="H16" s="1"/>
      <c r="K16" s="19"/>
      <c r="L16" s="1" t="s">
        <v>977</v>
      </c>
      <c r="AK16" s="2">
        <f t="shared" si="0"/>
        <v>1</v>
      </c>
      <c r="AM16" s="2">
        <f t="shared" si="1"/>
        <v>1</v>
      </c>
    </row>
    <row r="17" spans="1:39" x14ac:dyDescent="0.35">
      <c r="A17" s="5" t="s">
        <v>1176</v>
      </c>
      <c r="B17" s="1"/>
      <c r="C17" s="1"/>
      <c r="D17" s="5"/>
      <c r="E17" s="1"/>
      <c r="F17" s="1"/>
      <c r="G17" s="1"/>
      <c r="H17" s="1"/>
      <c r="K17" s="19"/>
      <c r="L17" s="1" t="s">
        <v>1180</v>
      </c>
      <c r="AK17" s="2">
        <f t="shared" si="0"/>
        <v>1</v>
      </c>
      <c r="AM17" s="2">
        <f t="shared" si="1"/>
        <v>1</v>
      </c>
    </row>
    <row r="18" spans="1:39" x14ac:dyDescent="0.35">
      <c r="A18" s="5" t="s">
        <v>1177</v>
      </c>
      <c r="B18" s="1"/>
      <c r="C18" s="1"/>
      <c r="D18" s="5"/>
      <c r="E18" s="1"/>
      <c r="F18" s="1"/>
      <c r="G18" s="1"/>
      <c r="H18" s="1"/>
      <c r="K18" s="19"/>
      <c r="L18" s="1" t="s">
        <v>980</v>
      </c>
      <c r="AK18" s="2">
        <f t="shared" si="0"/>
        <v>1</v>
      </c>
      <c r="AM18" s="2">
        <f t="shared" si="1"/>
        <v>1</v>
      </c>
    </row>
    <row r="19" spans="1:39" x14ac:dyDescent="0.35">
      <c r="A19" s="5" t="s">
        <v>1178</v>
      </c>
      <c r="B19" s="1"/>
      <c r="C19" s="1"/>
      <c r="D19" s="5"/>
      <c r="E19" s="1"/>
      <c r="F19" s="1"/>
      <c r="G19" s="1"/>
      <c r="H19" s="1"/>
      <c r="K19" s="19"/>
      <c r="L19" s="1" t="s">
        <v>983</v>
      </c>
      <c r="AK19" s="2">
        <f t="shared" si="0"/>
        <v>1</v>
      </c>
      <c r="AM19" s="2">
        <f t="shared" si="1"/>
        <v>1</v>
      </c>
    </row>
    <row r="20" spans="1:39" ht="29" x14ac:dyDescent="0.35">
      <c r="A20" s="5" t="s">
        <v>1034</v>
      </c>
      <c r="B20" s="1"/>
      <c r="C20" s="1"/>
      <c r="D20" s="5"/>
      <c r="E20" s="1"/>
      <c r="F20" s="1"/>
      <c r="G20" s="1"/>
      <c r="H20" s="1"/>
      <c r="K20" s="19" t="s">
        <v>1038</v>
      </c>
      <c r="AK20" s="2">
        <f t="shared" si="0"/>
        <v>1</v>
      </c>
      <c r="AM20" s="2">
        <f t="shared" si="1"/>
        <v>1</v>
      </c>
    </row>
    <row r="21" spans="1:39" x14ac:dyDescent="0.35">
      <c r="A21" s="5" t="s">
        <v>1039</v>
      </c>
      <c r="B21" s="1"/>
      <c r="C21" s="1"/>
      <c r="D21" s="5"/>
      <c r="E21" s="1"/>
      <c r="F21" s="1"/>
      <c r="G21" s="1"/>
      <c r="H21" s="1"/>
      <c r="K21" s="19" t="s">
        <v>1043</v>
      </c>
      <c r="AK21" s="2">
        <f t="shared" si="0"/>
        <v>1</v>
      </c>
      <c r="AM21" s="2">
        <f t="shared" si="1"/>
        <v>1</v>
      </c>
    </row>
    <row r="22" spans="1:39" x14ac:dyDescent="0.35">
      <c r="A22" s="5" t="s">
        <v>1040</v>
      </c>
      <c r="B22" s="1"/>
      <c r="C22" s="1"/>
      <c r="D22" s="5"/>
      <c r="E22" s="1"/>
      <c r="F22" s="1"/>
      <c r="G22" s="1"/>
      <c r="H22" s="1"/>
      <c r="K22" s="77" t="s">
        <v>1044</v>
      </c>
      <c r="L22" s="10" t="s">
        <v>988</v>
      </c>
      <c r="AK22" s="2">
        <f t="shared" si="0"/>
        <v>2</v>
      </c>
      <c r="AM22" s="2">
        <f t="shared" si="1"/>
        <v>2</v>
      </c>
    </row>
    <row r="23" spans="1:39" x14ac:dyDescent="0.35">
      <c r="A23" s="5" t="s">
        <v>1041</v>
      </c>
      <c r="B23" s="1"/>
      <c r="C23" s="1"/>
      <c r="D23" s="5"/>
      <c r="E23" s="1"/>
      <c r="F23" s="1"/>
      <c r="G23" s="1"/>
      <c r="H23" s="1"/>
      <c r="K23" s="77" t="s">
        <v>1045</v>
      </c>
      <c r="L23" s="10" t="s">
        <v>986</v>
      </c>
      <c r="AK23" s="2">
        <f t="shared" si="0"/>
        <v>2</v>
      </c>
      <c r="AM23" s="2">
        <f t="shared" si="1"/>
        <v>2</v>
      </c>
    </row>
    <row r="24" spans="1:39" x14ac:dyDescent="0.35">
      <c r="A24" s="5" t="s">
        <v>1181</v>
      </c>
      <c r="B24" s="1"/>
      <c r="C24" s="1"/>
      <c r="D24" s="5"/>
      <c r="E24" s="1"/>
      <c r="F24" s="1"/>
      <c r="G24" s="1"/>
      <c r="H24" s="1"/>
      <c r="K24" s="19"/>
      <c r="L24" s="10" t="s">
        <v>990</v>
      </c>
      <c r="AK24" s="2">
        <f t="shared" si="0"/>
        <v>1</v>
      </c>
      <c r="AM24" s="2">
        <f t="shared" si="1"/>
        <v>1</v>
      </c>
    </row>
    <row r="25" spans="1:39" x14ac:dyDescent="0.35">
      <c r="A25" s="5" t="s">
        <v>1182</v>
      </c>
      <c r="B25" s="1"/>
      <c r="C25" s="1"/>
      <c r="D25" s="5"/>
      <c r="E25" s="1"/>
      <c r="F25" s="1"/>
      <c r="G25" s="1"/>
      <c r="H25" s="1"/>
      <c r="K25" s="19"/>
      <c r="L25" s="10" t="s">
        <v>992</v>
      </c>
      <c r="AK25" s="2">
        <f t="shared" si="0"/>
        <v>1</v>
      </c>
      <c r="AM25" s="2">
        <f t="shared" si="1"/>
        <v>1</v>
      </c>
    </row>
    <row r="26" spans="1:39" x14ac:dyDescent="0.35">
      <c r="A26" s="5" t="s">
        <v>1183</v>
      </c>
      <c r="B26" s="1"/>
      <c r="C26" s="5"/>
      <c r="D26" s="5"/>
      <c r="E26" s="1"/>
      <c r="F26" s="1"/>
      <c r="G26" s="1"/>
      <c r="H26" s="1"/>
      <c r="K26" s="19"/>
      <c r="L26" s="10" t="s">
        <v>994</v>
      </c>
      <c r="AK26" s="2">
        <f t="shared" si="0"/>
        <v>1</v>
      </c>
      <c r="AM26" s="2">
        <f t="shared" si="1"/>
        <v>1</v>
      </c>
    </row>
    <row r="27" spans="1:39" x14ac:dyDescent="0.35">
      <c r="A27" s="5" t="s">
        <v>1184</v>
      </c>
      <c r="B27" s="1"/>
      <c r="C27" s="5"/>
      <c r="D27" s="5"/>
      <c r="E27" s="1"/>
      <c r="F27" s="1"/>
      <c r="G27" s="1"/>
      <c r="H27" s="1"/>
      <c r="K27" s="19"/>
      <c r="L27" s="10" t="s">
        <v>996</v>
      </c>
      <c r="AK27" s="2">
        <f t="shared" si="0"/>
        <v>1</v>
      </c>
      <c r="AM27" s="2">
        <f t="shared" si="1"/>
        <v>1</v>
      </c>
    </row>
    <row r="28" spans="1:39" x14ac:dyDescent="0.35">
      <c r="A28" s="5" t="s">
        <v>1185</v>
      </c>
      <c r="B28" s="1"/>
      <c r="C28" s="5"/>
      <c r="D28" s="5"/>
      <c r="E28" s="1"/>
      <c r="F28" s="1"/>
      <c r="G28" s="1"/>
      <c r="H28" s="1"/>
      <c r="K28" s="19"/>
      <c r="L28" s="10" t="s">
        <v>998</v>
      </c>
      <c r="AK28" s="2">
        <f t="shared" si="0"/>
        <v>1</v>
      </c>
      <c r="AM28" s="2">
        <f t="shared" si="1"/>
        <v>1</v>
      </c>
    </row>
    <row r="29" spans="1:39" x14ac:dyDescent="0.35">
      <c r="A29" s="5" t="s">
        <v>1186</v>
      </c>
      <c r="B29" s="1"/>
      <c r="C29" s="5"/>
      <c r="D29" s="5"/>
      <c r="E29" s="1"/>
      <c r="F29" s="1"/>
      <c r="G29" s="1"/>
      <c r="H29" s="1"/>
      <c r="K29" s="19"/>
      <c r="L29" s="10" t="s">
        <v>1000</v>
      </c>
      <c r="AK29" s="2">
        <f t="shared" si="0"/>
        <v>1</v>
      </c>
      <c r="AM29" s="2">
        <f t="shared" si="1"/>
        <v>1</v>
      </c>
    </row>
    <row r="30" spans="1:39" ht="29" x14ac:dyDescent="0.35">
      <c r="A30" s="5" t="s">
        <v>1042</v>
      </c>
      <c r="B30" s="1"/>
      <c r="C30" s="5"/>
      <c r="D30" s="5"/>
      <c r="E30" s="1"/>
      <c r="F30" s="1"/>
      <c r="G30" s="1"/>
      <c r="H30" s="1"/>
      <c r="K30" s="19" t="s">
        <v>1046</v>
      </c>
      <c r="AK30" s="2">
        <f t="shared" si="0"/>
        <v>1</v>
      </c>
      <c r="AM30" s="2">
        <f t="shared" si="1"/>
        <v>1</v>
      </c>
    </row>
    <row r="31" spans="1:39" x14ac:dyDescent="0.35">
      <c r="A31" s="5" t="s">
        <v>1047</v>
      </c>
      <c r="B31" s="1"/>
      <c r="C31" s="5"/>
      <c r="D31" s="5"/>
      <c r="E31" s="1"/>
      <c r="F31" s="1"/>
      <c r="G31" s="1"/>
      <c r="H31" s="1"/>
      <c r="K31" s="19" t="s">
        <v>1054</v>
      </c>
      <c r="AK31" s="2">
        <f t="shared" si="0"/>
        <v>1</v>
      </c>
      <c r="AM31" s="2">
        <f t="shared" si="1"/>
        <v>1</v>
      </c>
    </row>
    <row r="32" spans="1:39" x14ac:dyDescent="0.35">
      <c r="A32" s="5" t="s">
        <v>1048</v>
      </c>
      <c r="B32" s="1"/>
      <c r="C32" s="5"/>
      <c r="D32" s="5"/>
      <c r="E32" s="1"/>
      <c r="F32" s="1"/>
      <c r="G32" s="1"/>
      <c r="H32" s="1"/>
      <c r="K32" s="19" t="s">
        <v>1055</v>
      </c>
      <c r="AK32" s="2">
        <f t="shared" si="0"/>
        <v>1</v>
      </c>
      <c r="AM32" s="2">
        <f t="shared" si="1"/>
        <v>1</v>
      </c>
    </row>
    <row r="33" spans="1:39" ht="29" x14ac:dyDescent="0.35">
      <c r="A33" s="5" t="s">
        <v>1049</v>
      </c>
      <c r="B33" s="1"/>
      <c r="C33" s="5"/>
      <c r="D33" s="5"/>
      <c r="E33" s="1"/>
      <c r="F33" s="1"/>
      <c r="G33" s="1"/>
      <c r="H33" s="1"/>
      <c r="K33" s="19" t="s">
        <v>1056</v>
      </c>
      <c r="AK33" s="2">
        <f t="shared" si="0"/>
        <v>1</v>
      </c>
      <c r="AM33" s="2">
        <f t="shared" si="1"/>
        <v>1</v>
      </c>
    </row>
    <row r="34" spans="1:39" ht="29" x14ac:dyDescent="0.35">
      <c r="A34" s="5" t="s">
        <v>1050</v>
      </c>
      <c r="B34" s="1"/>
      <c r="C34" s="5"/>
      <c r="D34" s="5"/>
      <c r="E34" s="1"/>
      <c r="F34" s="1"/>
      <c r="G34" s="1"/>
      <c r="H34" s="1"/>
      <c r="K34" s="19" t="s">
        <v>1057</v>
      </c>
      <c r="AK34" s="2">
        <f t="shared" si="0"/>
        <v>1</v>
      </c>
      <c r="AM34" s="2">
        <f t="shared" si="1"/>
        <v>1</v>
      </c>
    </row>
    <row r="35" spans="1:39" x14ac:dyDescent="0.35">
      <c r="A35" s="5" t="s">
        <v>1051</v>
      </c>
      <c r="B35" s="1"/>
      <c r="C35" s="5"/>
      <c r="D35" s="5"/>
      <c r="E35" s="1"/>
      <c r="F35" s="1"/>
      <c r="G35" s="1"/>
      <c r="H35" s="1"/>
      <c r="K35" s="19" t="s">
        <v>1058</v>
      </c>
      <c r="AK35" s="2">
        <f t="shared" si="0"/>
        <v>1</v>
      </c>
      <c r="AM35" s="2">
        <f t="shared" si="1"/>
        <v>1</v>
      </c>
    </row>
    <row r="36" spans="1:39" x14ac:dyDescent="0.35">
      <c r="A36" s="5" t="s">
        <v>1052</v>
      </c>
      <c r="B36" s="1"/>
      <c r="C36" s="5"/>
      <c r="D36" s="5"/>
      <c r="E36" s="1"/>
      <c r="F36" s="1"/>
      <c r="G36" s="1"/>
      <c r="H36" s="1"/>
      <c r="K36" s="19" t="s">
        <v>364</v>
      </c>
      <c r="AK36" s="2">
        <f t="shared" si="0"/>
        <v>1</v>
      </c>
      <c r="AM36" s="2">
        <f t="shared" si="1"/>
        <v>1</v>
      </c>
    </row>
    <row r="37" spans="1:39" ht="29" x14ac:dyDescent="0.35">
      <c r="A37" s="5" t="s">
        <v>1053</v>
      </c>
      <c r="B37" s="1"/>
      <c r="C37" s="5"/>
      <c r="D37" s="5"/>
      <c r="E37" s="1"/>
      <c r="F37" s="1"/>
      <c r="G37" s="1"/>
      <c r="H37" s="1"/>
      <c r="K37" s="77" t="s">
        <v>1059</v>
      </c>
      <c r="L37" s="1" t="s">
        <v>1010</v>
      </c>
      <c r="AK37" s="2">
        <f t="shared" si="0"/>
        <v>2</v>
      </c>
      <c r="AM37" s="2">
        <f t="shared" si="1"/>
        <v>2</v>
      </c>
    </row>
    <row r="38" spans="1:39" x14ac:dyDescent="0.35">
      <c r="A38" s="5" t="s">
        <v>1187</v>
      </c>
      <c r="B38" s="1"/>
      <c r="C38" s="5"/>
      <c r="D38" s="5"/>
      <c r="E38" s="1"/>
      <c r="F38" s="1"/>
      <c r="G38" s="1"/>
      <c r="H38" s="1"/>
      <c r="K38" s="19"/>
      <c r="L38" s="1" t="s">
        <v>1002</v>
      </c>
      <c r="AK38" s="2">
        <f t="shared" si="0"/>
        <v>1</v>
      </c>
      <c r="AM38" s="2">
        <f t="shared" si="1"/>
        <v>1</v>
      </c>
    </row>
    <row r="39" spans="1:39" ht="29" x14ac:dyDescent="0.35">
      <c r="A39" s="5" t="s">
        <v>1188</v>
      </c>
      <c r="B39" s="1"/>
      <c r="C39" s="5"/>
      <c r="D39" s="5"/>
      <c r="E39" s="1"/>
      <c r="F39" s="1"/>
      <c r="G39" s="1"/>
      <c r="H39" s="1"/>
      <c r="K39" s="19"/>
      <c r="L39" s="1" t="s">
        <v>1190</v>
      </c>
      <c r="AK39" s="2">
        <f t="shared" si="0"/>
        <v>1</v>
      </c>
      <c r="AM39" s="2">
        <f t="shared" si="1"/>
        <v>1</v>
      </c>
    </row>
    <row r="40" spans="1:39" x14ac:dyDescent="0.35">
      <c r="A40" s="5" t="s">
        <v>1189</v>
      </c>
      <c r="B40" s="1"/>
      <c r="C40" s="5"/>
      <c r="D40" s="5"/>
      <c r="E40" s="1"/>
      <c r="F40" s="1"/>
      <c r="G40" s="1"/>
      <c r="H40" s="1"/>
      <c r="K40" s="19"/>
      <c r="L40" s="1" t="s">
        <v>1007</v>
      </c>
      <c r="AK40" s="2">
        <f t="shared" si="0"/>
        <v>1</v>
      </c>
      <c r="AM40" s="2">
        <f t="shared" si="1"/>
        <v>1</v>
      </c>
    </row>
    <row r="41" spans="1:39" ht="29" x14ac:dyDescent="0.35">
      <c r="A41" s="5" t="s">
        <v>1060</v>
      </c>
      <c r="B41" s="1"/>
      <c r="C41" s="5"/>
      <c r="D41" s="5"/>
      <c r="E41" s="1"/>
      <c r="F41" s="1"/>
      <c r="G41" s="1"/>
      <c r="H41" s="1"/>
      <c r="K41" s="19" t="s">
        <v>1067</v>
      </c>
      <c r="AK41" s="2">
        <f t="shared" si="0"/>
        <v>1</v>
      </c>
      <c r="AM41" s="2">
        <f t="shared" si="1"/>
        <v>1</v>
      </c>
    </row>
    <row r="42" spans="1:39" x14ac:dyDescent="0.35">
      <c r="A42" s="5" t="s">
        <v>1061</v>
      </c>
      <c r="B42" s="1"/>
      <c r="C42" s="5"/>
      <c r="D42" s="5"/>
      <c r="E42" s="1"/>
      <c r="F42" s="1"/>
      <c r="G42" s="1"/>
      <c r="H42" s="1"/>
      <c r="K42" s="19" t="s">
        <v>366</v>
      </c>
      <c r="AK42" s="2">
        <f t="shared" si="0"/>
        <v>1</v>
      </c>
      <c r="AM42" s="2">
        <f t="shared" si="1"/>
        <v>1</v>
      </c>
    </row>
    <row r="43" spans="1:39" ht="29" x14ac:dyDescent="0.35">
      <c r="A43" s="5" t="s">
        <v>1062</v>
      </c>
      <c r="B43" s="1"/>
      <c r="C43" s="5"/>
      <c r="D43" s="5"/>
      <c r="E43" s="1"/>
      <c r="F43" s="1"/>
      <c r="G43" s="1"/>
      <c r="H43" s="1"/>
      <c r="K43" s="19" t="s">
        <v>367</v>
      </c>
      <c r="AK43" s="2">
        <f t="shared" si="0"/>
        <v>1</v>
      </c>
      <c r="AM43" s="2">
        <f t="shared" si="1"/>
        <v>1</v>
      </c>
    </row>
    <row r="44" spans="1:39" ht="29" x14ac:dyDescent="0.35">
      <c r="A44" s="5" t="s">
        <v>1063</v>
      </c>
      <c r="B44" s="1"/>
      <c r="C44" s="5"/>
      <c r="D44" s="5"/>
      <c r="E44" s="1"/>
      <c r="F44" s="1"/>
      <c r="G44" s="1"/>
      <c r="H44" s="1"/>
      <c r="K44" s="19" t="s">
        <v>1068</v>
      </c>
      <c r="AK44" s="2">
        <f t="shared" si="0"/>
        <v>1</v>
      </c>
      <c r="AM44" s="2">
        <f t="shared" si="1"/>
        <v>1</v>
      </c>
    </row>
    <row r="45" spans="1:39" ht="29" x14ac:dyDescent="0.35">
      <c r="A45" s="5" t="s">
        <v>1064</v>
      </c>
      <c r="B45" s="1"/>
      <c r="C45" s="5"/>
      <c r="D45" s="5"/>
      <c r="E45" s="1"/>
      <c r="F45" s="1"/>
      <c r="G45" s="1"/>
      <c r="H45" s="1"/>
      <c r="K45" s="19" t="s">
        <v>1069</v>
      </c>
      <c r="AK45" s="2">
        <f t="shared" si="0"/>
        <v>1</v>
      </c>
      <c r="AM45" s="2">
        <f t="shared" si="1"/>
        <v>1</v>
      </c>
    </row>
    <row r="46" spans="1:39" ht="29" x14ac:dyDescent="0.35">
      <c r="A46" s="5" t="s">
        <v>1065</v>
      </c>
      <c r="B46" s="1"/>
      <c r="C46" s="5"/>
      <c r="D46" s="5"/>
      <c r="E46" s="1"/>
      <c r="F46" s="1"/>
      <c r="G46" s="1"/>
      <c r="H46" s="1"/>
      <c r="K46" s="19" t="s">
        <v>1069</v>
      </c>
      <c r="AK46" s="2">
        <f t="shared" si="0"/>
        <v>1</v>
      </c>
      <c r="AM46" s="2">
        <f t="shared" si="1"/>
        <v>1</v>
      </c>
    </row>
    <row r="47" spans="1:39" ht="29" x14ac:dyDescent="0.35">
      <c r="A47" s="5" t="s">
        <v>1066</v>
      </c>
      <c r="B47" s="1"/>
      <c r="C47" s="5"/>
      <c r="D47" s="5"/>
      <c r="E47" s="1"/>
      <c r="F47" s="1"/>
      <c r="G47" s="1"/>
      <c r="H47" s="1"/>
      <c r="K47" s="77" t="s">
        <v>1070</v>
      </c>
      <c r="L47" s="1" t="s">
        <v>1016</v>
      </c>
      <c r="AK47" s="2">
        <f t="shared" si="0"/>
        <v>2</v>
      </c>
      <c r="AM47" s="2">
        <f t="shared" si="1"/>
        <v>2</v>
      </c>
    </row>
    <row r="48" spans="1:39" ht="29" x14ac:dyDescent="0.35">
      <c r="A48" s="5" t="s">
        <v>1191</v>
      </c>
      <c r="B48" s="1"/>
      <c r="C48" s="5"/>
      <c r="D48" s="5"/>
      <c r="E48" s="1"/>
      <c r="F48" s="1"/>
      <c r="G48" s="1"/>
      <c r="H48" s="1"/>
      <c r="K48" s="19"/>
      <c r="L48" s="1" t="s">
        <v>1013</v>
      </c>
      <c r="AK48" s="2">
        <f t="shared" si="0"/>
        <v>1</v>
      </c>
      <c r="AM48" s="2">
        <f t="shared" si="1"/>
        <v>1</v>
      </c>
    </row>
    <row r="49" spans="1:39" ht="29" x14ac:dyDescent="0.35">
      <c r="A49" s="5" t="s">
        <v>1192</v>
      </c>
      <c r="B49" s="1"/>
      <c r="C49" s="5"/>
      <c r="D49" s="5"/>
      <c r="E49" s="1"/>
      <c r="F49" s="1"/>
      <c r="G49" s="1"/>
      <c r="H49" s="1"/>
      <c r="K49" s="19"/>
      <c r="L49" s="1" t="s">
        <v>1014</v>
      </c>
      <c r="AK49" s="2">
        <f t="shared" si="0"/>
        <v>1</v>
      </c>
      <c r="AM49" s="2">
        <f t="shared" si="1"/>
        <v>1</v>
      </c>
    </row>
    <row r="50" spans="1:39" ht="29" x14ac:dyDescent="0.35">
      <c r="A50" s="5" t="s">
        <v>1193</v>
      </c>
      <c r="B50" s="1"/>
      <c r="C50" s="5"/>
      <c r="D50" s="5"/>
      <c r="E50" s="1"/>
      <c r="F50" s="1"/>
      <c r="G50" s="1"/>
      <c r="H50" s="1"/>
      <c r="K50" s="19"/>
      <c r="L50" s="1" t="s">
        <v>1015</v>
      </c>
      <c r="AK50" s="2">
        <f t="shared" si="0"/>
        <v>1</v>
      </c>
      <c r="AM50" s="2">
        <f t="shared" si="1"/>
        <v>1</v>
      </c>
    </row>
    <row r="51" spans="1:39" x14ac:dyDescent="0.35">
      <c r="A51" s="5" t="s">
        <v>1071</v>
      </c>
      <c r="B51" s="1"/>
      <c r="C51" s="5"/>
      <c r="D51" s="5"/>
      <c r="E51" s="1"/>
      <c r="F51" s="1"/>
      <c r="G51" s="1"/>
      <c r="H51" s="1"/>
      <c r="K51" s="77" t="s">
        <v>1072</v>
      </c>
      <c r="Y51" s="1" t="s">
        <v>1244</v>
      </c>
      <c r="AK51" s="2">
        <f t="shared" si="0"/>
        <v>2</v>
      </c>
      <c r="AM51" s="2">
        <f t="shared" si="1"/>
        <v>1</v>
      </c>
    </row>
    <row r="52" spans="1:39" x14ac:dyDescent="0.35">
      <c r="A52" s="5" t="s">
        <v>1438</v>
      </c>
      <c r="B52" s="1"/>
      <c r="C52" s="5"/>
      <c r="D52" s="5"/>
      <c r="E52" s="1"/>
      <c r="F52" s="1"/>
      <c r="G52" s="1"/>
      <c r="H52" s="1"/>
      <c r="N52" s="54" t="s">
        <v>1055</v>
      </c>
      <c r="O52" s="53" t="s">
        <v>1605</v>
      </c>
      <c r="P52" s="53" t="s">
        <v>927</v>
      </c>
      <c r="R52" s="54" t="s">
        <v>1026</v>
      </c>
      <c r="S52" s="53" t="s">
        <v>2041</v>
      </c>
      <c r="AC52" s="1" t="s">
        <v>2777</v>
      </c>
      <c r="AK52" s="2">
        <f>COUNTA(C52:AI52)</f>
        <v>6</v>
      </c>
      <c r="AM52" s="2">
        <f t="shared" si="1"/>
        <v>4</v>
      </c>
    </row>
    <row r="53" spans="1:39" x14ac:dyDescent="0.35">
      <c r="A53" s="5" t="s">
        <v>2795</v>
      </c>
      <c r="B53" s="1"/>
      <c r="C53" s="5"/>
      <c r="D53" s="5"/>
      <c r="E53" s="1"/>
      <c r="F53" s="1"/>
      <c r="G53" s="1"/>
      <c r="H53" s="1"/>
      <c r="AD53" s="1" t="s">
        <v>1968</v>
      </c>
      <c r="AK53" s="2">
        <f t="shared" ref="AK53:AK72" si="2">COUNTA(C53:AI53)</f>
        <v>1</v>
      </c>
      <c r="AM53" s="2">
        <f t="shared" si="1"/>
        <v>0</v>
      </c>
    </row>
    <row r="54" spans="1:39" x14ac:dyDescent="0.35">
      <c r="A54" s="5" t="s">
        <v>117</v>
      </c>
      <c r="B54" s="1"/>
      <c r="C54" s="82" t="s">
        <v>118</v>
      </c>
      <c r="D54" s="76" t="s">
        <v>118</v>
      </c>
      <c r="E54" s="54" t="s">
        <v>118</v>
      </c>
      <c r="F54" s="63" t="s">
        <v>384</v>
      </c>
      <c r="G54" s="63" t="s">
        <v>118</v>
      </c>
      <c r="H54" s="1" t="s">
        <v>520</v>
      </c>
      <c r="AK54" s="2">
        <f t="shared" si="2"/>
        <v>6</v>
      </c>
      <c r="AM54" s="2">
        <f t="shared" si="1"/>
        <v>2</v>
      </c>
    </row>
    <row r="55" spans="1:39" x14ac:dyDescent="0.35">
      <c r="A55" s="5" t="s">
        <v>119</v>
      </c>
      <c r="B55" s="1"/>
      <c r="C55" s="82" t="s">
        <v>120</v>
      </c>
      <c r="D55" s="76" t="s">
        <v>120</v>
      </c>
      <c r="E55" s="54" t="s">
        <v>120</v>
      </c>
      <c r="F55" s="63" t="s">
        <v>385</v>
      </c>
      <c r="G55" s="63" t="s">
        <v>120</v>
      </c>
      <c r="H55" s="1" t="s">
        <v>521</v>
      </c>
      <c r="AK55" s="2">
        <f t="shared" si="2"/>
        <v>6</v>
      </c>
      <c r="AM55" s="2">
        <f t="shared" si="1"/>
        <v>2</v>
      </c>
    </row>
    <row r="56" spans="1:39" ht="29" x14ac:dyDescent="0.35">
      <c r="A56" s="5" t="s">
        <v>166</v>
      </c>
      <c r="B56" s="1"/>
      <c r="C56" s="5"/>
      <c r="D56" s="64" t="s">
        <v>3209</v>
      </c>
      <c r="E56" s="54" t="s">
        <v>167</v>
      </c>
      <c r="F56" s="53" t="s">
        <v>389</v>
      </c>
      <c r="G56" s="54" t="s">
        <v>309</v>
      </c>
      <c r="H56" s="1" t="s">
        <v>573</v>
      </c>
      <c r="AK56" s="2">
        <f t="shared" si="2"/>
        <v>5</v>
      </c>
      <c r="AM56" s="2">
        <f t="shared" si="1"/>
        <v>2</v>
      </c>
    </row>
    <row r="57" spans="1:39" x14ac:dyDescent="0.35">
      <c r="A57" s="5" t="s">
        <v>173</v>
      </c>
      <c r="B57" s="1"/>
      <c r="C57" s="76" t="s">
        <v>3214</v>
      </c>
      <c r="D57" s="65" t="s">
        <v>3214</v>
      </c>
      <c r="E57" s="54" t="s">
        <v>174</v>
      </c>
      <c r="F57" s="54" t="s">
        <v>391</v>
      </c>
      <c r="G57" s="54" t="s">
        <v>330</v>
      </c>
      <c r="H57" s="54" t="s">
        <v>597</v>
      </c>
      <c r="I57" s="54" t="s">
        <v>701</v>
      </c>
      <c r="J57" s="54" t="s">
        <v>845</v>
      </c>
      <c r="K57" s="1" t="s">
        <v>1118</v>
      </c>
      <c r="AK57" s="2">
        <f t="shared" si="2"/>
        <v>9</v>
      </c>
      <c r="AM57" s="2">
        <f t="shared" si="1"/>
        <v>5</v>
      </c>
    </row>
    <row r="58" spans="1:39" x14ac:dyDescent="0.35">
      <c r="A58" s="5" t="s">
        <v>846</v>
      </c>
      <c r="B58" s="1"/>
      <c r="C58" s="5"/>
      <c r="D58" s="5"/>
      <c r="E58" s="1"/>
      <c r="F58" s="1"/>
      <c r="G58" s="1"/>
      <c r="H58" s="1"/>
      <c r="J58" s="54" t="s">
        <v>847</v>
      </c>
      <c r="K58" s="53" t="s">
        <v>1119</v>
      </c>
      <c r="X58" s="1" t="s">
        <v>1440</v>
      </c>
      <c r="AK58" s="2">
        <f t="shared" si="2"/>
        <v>3</v>
      </c>
      <c r="AM58" s="2">
        <f t="shared" si="1"/>
        <v>2</v>
      </c>
    </row>
    <row r="59" spans="1:39" x14ac:dyDescent="0.35">
      <c r="A59" s="5" t="s">
        <v>3215</v>
      </c>
      <c r="B59" s="1"/>
      <c r="C59" s="5"/>
      <c r="D59" s="5" t="s">
        <v>3216</v>
      </c>
      <c r="E59" s="1"/>
      <c r="F59" s="1"/>
      <c r="G59" s="1"/>
      <c r="H59" s="1"/>
      <c r="AK59" s="2">
        <f t="shared" si="2"/>
        <v>1</v>
      </c>
      <c r="AM59" s="2">
        <f t="shared" si="1"/>
        <v>0</v>
      </c>
    </row>
    <row r="60" spans="1:39" ht="29" x14ac:dyDescent="0.35">
      <c r="A60" s="5" t="s">
        <v>800</v>
      </c>
      <c r="B60" s="1"/>
      <c r="C60" s="5"/>
      <c r="D60" s="5"/>
      <c r="E60" s="1"/>
      <c r="F60" s="1"/>
      <c r="G60" s="1"/>
      <c r="H60" s="1"/>
      <c r="J60" s="19" t="s">
        <v>801</v>
      </c>
      <c r="AK60" s="2">
        <f t="shared" si="2"/>
        <v>1</v>
      </c>
      <c r="AM60" s="2">
        <f t="shared" si="1"/>
        <v>1</v>
      </c>
    </row>
    <row r="61" spans="1:39" ht="29" x14ac:dyDescent="0.35">
      <c r="A61" s="5" t="s">
        <v>2017</v>
      </c>
      <c r="B61" s="1"/>
      <c r="C61" s="5"/>
      <c r="D61" s="5"/>
      <c r="E61" s="21"/>
      <c r="F61" s="1"/>
      <c r="G61" s="1"/>
      <c r="H61" s="1"/>
      <c r="R61" s="54" t="s">
        <v>1004</v>
      </c>
      <c r="S61" s="1" t="s">
        <v>2018</v>
      </c>
      <c r="AK61" s="2">
        <f t="shared" si="2"/>
        <v>2</v>
      </c>
      <c r="AM61" s="2">
        <f t="shared" si="1"/>
        <v>1</v>
      </c>
    </row>
    <row r="62" spans="1:39" ht="29" x14ac:dyDescent="0.35">
      <c r="A62" s="24" t="s">
        <v>2634</v>
      </c>
      <c r="B62" s="1"/>
      <c r="C62" s="5"/>
      <c r="D62" s="31"/>
      <c r="E62" s="21"/>
      <c r="F62" s="1"/>
      <c r="G62" s="1"/>
      <c r="H62" s="1"/>
      <c r="U62" s="54" t="s">
        <v>2092</v>
      </c>
      <c r="V62" s="54" t="s">
        <v>1737</v>
      </c>
      <c r="W62" s="54" t="s">
        <v>276</v>
      </c>
      <c r="X62" s="54" t="s">
        <v>1439</v>
      </c>
      <c r="Y62" s="54" t="s">
        <v>1966</v>
      </c>
      <c r="AA62" s="1" t="s">
        <v>520</v>
      </c>
      <c r="AK62" s="2">
        <f t="shared" si="2"/>
        <v>6</v>
      </c>
      <c r="AM62" s="2">
        <f t="shared" si="1"/>
        <v>0</v>
      </c>
    </row>
    <row r="63" spans="1:39" x14ac:dyDescent="0.35">
      <c r="A63" s="24" t="s">
        <v>2350</v>
      </c>
      <c r="B63" s="1"/>
      <c r="C63" s="5"/>
      <c r="D63" s="31"/>
      <c r="E63" s="21"/>
      <c r="F63" s="1"/>
      <c r="G63" s="1"/>
      <c r="H63" s="1"/>
      <c r="U63" s="54" t="s">
        <v>2093</v>
      </c>
      <c r="V63" s="1" t="s">
        <v>2474</v>
      </c>
      <c r="AK63" s="2">
        <f t="shared" si="2"/>
        <v>2</v>
      </c>
      <c r="AM63" s="2">
        <f t="shared" si="1"/>
        <v>0</v>
      </c>
    </row>
    <row r="64" spans="1:39" x14ac:dyDescent="0.35">
      <c r="A64" s="24" t="s">
        <v>2351</v>
      </c>
      <c r="B64" s="1"/>
      <c r="C64" s="5"/>
      <c r="D64" s="31"/>
      <c r="E64" s="21"/>
      <c r="F64" s="1"/>
      <c r="G64" s="1"/>
      <c r="H64" s="1"/>
      <c r="U64" s="54" t="s">
        <v>2097</v>
      </c>
      <c r="V64" s="1" t="s">
        <v>1744</v>
      </c>
      <c r="AK64" s="2">
        <f t="shared" si="2"/>
        <v>2</v>
      </c>
      <c r="AM64" s="2">
        <f t="shared" si="1"/>
        <v>0</v>
      </c>
    </row>
    <row r="65" spans="1:39" x14ac:dyDescent="0.35">
      <c r="A65" s="24" t="s">
        <v>2352</v>
      </c>
      <c r="B65" s="1"/>
      <c r="C65" s="5"/>
      <c r="D65" s="31"/>
      <c r="E65" s="21"/>
      <c r="F65" s="1"/>
      <c r="G65" s="1"/>
      <c r="H65" s="1"/>
      <c r="U65" s="54" t="s">
        <v>2100</v>
      </c>
      <c r="V65" s="1" t="s">
        <v>1745</v>
      </c>
      <c r="AK65" s="2">
        <f t="shared" si="2"/>
        <v>2</v>
      </c>
      <c r="AM65" s="2">
        <f t="shared" si="1"/>
        <v>0</v>
      </c>
    </row>
    <row r="66" spans="1:39" ht="29" x14ac:dyDescent="0.35">
      <c r="A66" s="24" t="s">
        <v>2354</v>
      </c>
      <c r="B66" s="1"/>
      <c r="C66" s="5"/>
      <c r="D66" s="31"/>
      <c r="E66" s="21"/>
      <c r="F66" s="1"/>
      <c r="G66" s="1"/>
      <c r="H66" s="1"/>
      <c r="U66" s="54" t="s">
        <v>2105</v>
      </c>
      <c r="V66" s="54" t="s">
        <v>1733</v>
      </c>
      <c r="W66" s="1" t="s">
        <v>281</v>
      </c>
      <c r="AK66" s="2">
        <f t="shared" si="2"/>
        <v>3</v>
      </c>
      <c r="AM66" s="2">
        <f t="shared" si="1"/>
        <v>0</v>
      </c>
    </row>
    <row r="67" spans="1:39" x14ac:dyDescent="0.35">
      <c r="A67" s="24" t="s">
        <v>2472</v>
      </c>
      <c r="B67" s="1"/>
      <c r="C67" s="5"/>
      <c r="D67" s="31"/>
      <c r="E67" s="21"/>
      <c r="F67" s="1"/>
      <c r="G67" s="1"/>
      <c r="H67" s="1"/>
      <c r="V67" s="54" t="s">
        <v>1732</v>
      </c>
      <c r="W67" s="53" t="s">
        <v>283</v>
      </c>
      <c r="AA67" s="1" t="s">
        <v>267</v>
      </c>
      <c r="AK67" s="2">
        <f t="shared" si="2"/>
        <v>3</v>
      </c>
      <c r="AM67" s="2">
        <f t="shared" ref="AM67:AM72" si="3">COUNTA(G67:P67,S67:T67)</f>
        <v>0</v>
      </c>
    </row>
    <row r="68" spans="1:39" ht="43.5" x14ac:dyDescent="0.35">
      <c r="A68" s="24" t="s">
        <v>2693</v>
      </c>
      <c r="B68" s="1"/>
      <c r="C68" s="5"/>
      <c r="D68" s="31"/>
      <c r="E68" s="21"/>
      <c r="F68" s="1"/>
      <c r="G68" s="1"/>
      <c r="H68" s="1"/>
      <c r="AB68" s="1" t="s">
        <v>2694</v>
      </c>
      <c r="AK68" s="2">
        <f t="shared" si="2"/>
        <v>1</v>
      </c>
      <c r="AM68" s="2">
        <f t="shared" si="3"/>
        <v>0</v>
      </c>
    </row>
    <row r="69" spans="1:39" ht="29" x14ac:dyDescent="0.35">
      <c r="A69" s="24" t="s">
        <v>2817</v>
      </c>
      <c r="B69" s="1"/>
      <c r="C69" s="5"/>
      <c r="D69" s="31"/>
      <c r="E69" s="21"/>
      <c r="F69" s="1"/>
      <c r="G69" s="1"/>
      <c r="H69" s="1"/>
      <c r="AD69" s="1" t="s">
        <v>1986</v>
      </c>
      <c r="AK69" s="2">
        <f t="shared" si="2"/>
        <v>1</v>
      </c>
      <c r="AM69" s="2">
        <f t="shared" si="3"/>
        <v>0</v>
      </c>
    </row>
    <row r="70" spans="1:39" ht="29" x14ac:dyDescent="0.35">
      <c r="A70" s="24" t="s">
        <v>2816</v>
      </c>
      <c r="B70" s="1"/>
      <c r="C70" s="5"/>
      <c r="D70" s="31"/>
      <c r="E70" s="21"/>
      <c r="F70" s="1"/>
      <c r="G70" s="1"/>
      <c r="H70" s="1"/>
      <c r="AD70" s="1" t="s">
        <v>1997</v>
      </c>
      <c r="AK70" s="2">
        <f t="shared" si="2"/>
        <v>1</v>
      </c>
      <c r="AM70" s="2">
        <f t="shared" si="3"/>
        <v>0</v>
      </c>
    </row>
    <row r="71" spans="1:39" ht="43.5" x14ac:dyDescent="0.35">
      <c r="A71" s="24" t="s">
        <v>2818</v>
      </c>
      <c r="B71" s="1"/>
      <c r="C71" s="1"/>
      <c r="D71" s="31"/>
      <c r="E71" s="21"/>
      <c r="F71" s="1"/>
      <c r="G71" s="1"/>
      <c r="H71" s="1"/>
      <c r="AD71" s="1" t="s">
        <v>1998</v>
      </c>
      <c r="AK71" s="2">
        <f t="shared" si="2"/>
        <v>1</v>
      </c>
      <c r="AM71" s="2">
        <f t="shared" si="3"/>
        <v>0</v>
      </c>
    </row>
    <row r="72" spans="1:39" ht="29" x14ac:dyDescent="0.35">
      <c r="A72" s="24" t="s">
        <v>3006</v>
      </c>
      <c r="B72" s="1"/>
      <c r="C72" s="1"/>
      <c r="D72" s="31"/>
      <c r="E72" s="21"/>
      <c r="F72" s="1"/>
      <c r="G72" s="1"/>
      <c r="H72" s="1"/>
      <c r="AG72" s="54" t="s">
        <v>1007</v>
      </c>
      <c r="AH72" s="53" t="s">
        <v>1002</v>
      </c>
      <c r="AI72" s="1" t="s">
        <v>1007</v>
      </c>
      <c r="AK72" s="2">
        <f t="shared" si="2"/>
        <v>3</v>
      </c>
      <c r="AM72" s="2">
        <f t="shared" si="3"/>
        <v>0</v>
      </c>
    </row>
    <row r="73" spans="1:39" ht="43.5" x14ac:dyDescent="0.35">
      <c r="A73" s="24" t="s">
        <v>7933</v>
      </c>
      <c r="B73" s="1" t="s">
        <v>7937</v>
      </c>
      <c r="C73" s="1"/>
      <c r="D73" s="31"/>
      <c r="E73" s="21"/>
      <c r="F73" s="1"/>
      <c r="G73" s="1"/>
      <c r="H73" s="1"/>
    </row>
    <row r="74" spans="1:39" ht="43.5" x14ac:dyDescent="0.35">
      <c r="A74" s="24" t="s">
        <v>7934</v>
      </c>
      <c r="B74" s="1" t="s">
        <v>7938</v>
      </c>
      <c r="C74" s="1"/>
      <c r="D74" s="31"/>
      <c r="E74" s="21"/>
      <c r="F74" s="1"/>
      <c r="G74" s="1"/>
      <c r="H74" s="1"/>
    </row>
    <row r="75" spans="1:39" ht="43.5" x14ac:dyDescent="0.35">
      <c r="A75" s="24" t="s">
        <v>7935</v>
      </c>
      <c r="B75" s="1" t="s">
        <v>7939</v>
      </c>
      <c r="C75" s="1"/>
      <c r="D75" s="31"/>
      <c r="E75" s="21"/>
      <c r="F75" s="1"/>
      <c r="G75" s="1"/>
      <c r="H75" s="1"/>
    </row>
    <row r="76" spans="1:39" ht="43.5" x14ac:dyDescent="0.35">
      <c r="A76" s="24" t="s">
        <v>7936</v>
      </c>
      <c r="B76" s="1" t="s">
        <v>7940</v>
      </c>
      <c r="C76" s="1"/>
      <c r="D76" s="31"/>
      <c r="E76" s="21"/>
      <c r="F76" s="1"/>
      <c r="G76" s="1"/>
      <c r="H76" s="1"/>
    </row>
    <row r="77" spans="1:39" x14ac:dyDescent="0.35">
      <c r="A77" s="24"/>
      <c r="B77" s="1"/>
      <c r="C77" s="1"/>
      <c r="D77" s="31"/>
      <c r="E77" s="21"/>
      <c r="F77" s="1"/>
      <c r="G77" s="1"/>
      <c r="H77" s="1"/>
    </row>
    <row r="78" spans="1:39" x14ac:dyDescent="0.35">
      <c r="A78" s="24"/>
      <c r="B78" s="1"/>
      <c r="C78" s="1"/>
      <c r="D78" s="31"/>
      <c r="E78" s="21"/>
      <c r="F78" s="1"/>
      <c r="G78" s="1"/>
      <c r="H78" s="1"/>
    </row>
    <row r="79" spans="1:39" x14ac:dyDescent="0.35">
      <c r="A79" s="24"/>
      <c r="B79" s="1"/>
      <c r="C79" s="1"/>
      <c r="D79" s="31"/>
      <c r="E79" s="21"/>
      <c r="F79" s="1"/>
      <c r="G79" s="1"/>
      <c r="H79" s="1"/>
    </row>
    <row r="80" spans="1:39" x14ac:dyDescent="0.35">
      <c r="A80" s="24"/>
      <c r="B80" s="5"/>
      <c r="C80" s="5"/>
      <c r="D80" s="31"/>
      <c r="E80" s="21"/>
      <c r="F80" s="1"/>
      <c r="G80" s="1"/>
      <c r="H80" s="1"/>
    </row>
    <row r="81" spans="1:8" x14ac:dyDescent="0.35">
      <c r="A81" s="24"/>
      <c r="B81" s="1"/>
      <c r="C81" s="1"/>
      <c r="D81" s="31"/>
      <c r="E81" s="21"/>
      <c r="F81" s="1"/>
      <c r="G81" s="1"/>
      <c r="H81" s="1"/>
    </row>
    <row r="82" spans="1:8" x14ac:dyDescent="0.35">
      <c r="A82" s="24"/>
      <c r="B82" s="1"/>
      <c r="C82" s="1"/>
      <c r="D82" s="31"/>
      <c r="E82" s="21"/>
      <c r="F82" s="1"/>
      <c r="G82" s="1"/>
      <c r="H82" s="1"/>
    </row>
    <row r="83" spans="1:8" x14ac:dyDescent="0.35">
      <c r="A83" s="24"/>
      <c r="B83" s="1"/>
      <c r="C83" s="1"/>
      <c r="D83" s="31"/>
      <c r="E83" s="21"/>
      <c r="F83" s="1"/>
      <c r="G83" s="1"/>
      <c r="H83" s="1"/>
    </row>
    <row r="84" spans="1:8" x14ac:dyDescent="0.35">
      <c r="A84" s="24"/>
      <c r="B84" s="1"/>
      <c r="C84" s="1"/>
      <c r="D84" s="31"/>
      <c r="E84" s="21"/>
      <c r="F84" s="1"/>
      <c r="G84" s="1"/>
      <c r="H84" s="1"/>
    </row>
    <row r="85" spans="1:8" x14ac:dyDescent="0.35">
      <c r="A85" s="24"/>
      <c r="B85" s="1"/>
      <c r="C85" s="1"/>
      <c r="D85" s="31"/>
      <c r="E85" s="21"/>
      <c r="F85" s="1"/>
      <c r="G85" s="1"/>
      <c r="H85" s="1"/>
    </row>
    <row r="86" spans="1:8" x14ac:dyDescent="0.35">
      <c r="A86" s="24"/>
      <c r="B86" s="1"/>
      <c r="C86" s="1"/>
      <c r="D86" s="31"/>
      <c r="E86" s="21"/>
      <c r="F86" s="1"/>
      <c r="G86" s="1"/>
      <c r="H86" s="1"/>
    </row>
    <row r="87" spans="1:8" x14ac:dyDescent="0.35">
      <c r="A87" s="24"/>
      <c r="B87" s="1"/>
      <c r="C87" s="1"/>
      <c r="D87" s="31"/>
      <c r="E87" s="21"/>
      <c r="F87" s="1"/>
      <c r="G87" s="1"/>
      <c r="H87" s="1"/>
    </row>
    <row r="88" spans="1:8" x14ac:dyDescent="0.35">
      <c r="A88" s="24"/>
      <c r="B88" s="1"/>
      <c r="C88" s="1"/>
      <c r="D88" s="31"/>
      <c r="E88" s="21"/>
      <c r="F88" s="1"/>
      <c r="G88" s="1"/>
      <c r="H88" s="1"/>
    </row>
    <row r="89" spans="1:8" x14ac:dyDescent="0.35">
      <c r="A89" s="24"/>
      <c r="B89" s="1"/>
      <c r="C89" s="1"/>
      <c r="D89" s="31"/>
      <c r="E89" s="21"/>
      <c r="F89" s="1"/>
      <c r="G89" s="1"/>
      <c r="H89" s="1"/>
    </row>
    <row r="90" spans="1:8" x14ac:dyDescent="0.35">
      <c r="A90" s="24"/>
      <c r="B90" s="1"/>
      <c r="C90" s="1"/>
      <c r="D90" s="31"/>
      <c r="E90" s="21"/>
      <c r="F90" s="1"/>
      <c r="G90" s="1"/>
      <c r="H90" s="1"/>
    </row>
    <row r="91" spans="1:8" x14ac:dyDescent="0.35">
      <c r="A91" s="24"/>
      <c r="B91" s="1"/>
      <c r="C91" s="1"/>
      <c r="D91" s="31"/>
      <c r="E91" s="21"/>
      <c r="F91" s="1"/>
      <c r="G91" s="1"/>
      <c r="H91" s="1"/>
    </row>
    <row r="92" spans="1:8" x14ac:dyDescent="0.35">
      <c r="A92" s="24"/>
      <c r="B92" s="1"/>
      <c r="C92" s="1"/>
      <c r="D92" s="31"/>
      <c r="E92" s="21"/>
      <c r="F92" s="1"/>
      <c r="G92" s="1"/>
      <c r="H92" s="1"/>
    </row>
    <row r="93" spans="1:8" x14ac:dyDescent="0.35">
      <c r="A93" s="24"/>
      <c r="B93" s="1"/>
      <c r="C93" s="1"/>
      <c r="D93" s="31"/>
      <c r="E93" s="21"/>
      <c r="F93" s="1"/>
      <c r="G93" s="1"/>
      <c r="H93" s="1"/>
    </row>
    <row r="94" spans="1:8" x14ac:dyDescent="0.35">
      <c r="A94" s="24"/>
      <c r="B94" s="1"/>
      <c r="C94" s="1"/>
      <c r="D94" s="31"/>
      <c r="E94" s="21"/>
      <c r="F94" s="1"/>
      <c r="G94" s="1"/>
      <c r="H94" s="1"/>
    </row>
    <row r="95" spans="1:8" x14ac:dyDescent="0.35">
      <c r="A95" s="24"/>
      <c r="B95" s="1"/>
      <c r="C95" s="1"/>
      <c r="D95" s="31"/>
      <c r="E95" s="21"/>
      <c r="F95" s="1"/>
      <c r="G95" s="1"/>
      <c r="H95" s="1"/>
    </row>
    <row r="96" spans="1:8" x14ac:dyDescent="0.35">
      <c r="A96" s="24"/>
      <c r="B96" s="1"/>
      <c r="C96" s="1"/>
      <c r="D96" s="31"/>
      <c r="E96" s="21"/>
      <c r="F96" s="1"/>
      <c r="G96" s="1"/>
      <c r="H96" s="1"/>
    </row>
    <row r="97" spans="1:8" x14ac:dyDescent="0.35">
      <c r="A97" s="24"/>
      <c r="B97" s="1"/>
      <c r="C97" s="1"/>
      <c r="D97" s="31"/>
      <c r="E97" s="21"/>
      <c r="F97" s="1"/>
      <c r="G97" s="1"/>
      <c r="H97" s="1"/>
    </row>
    <row r="98" spans="1:8" x14ac:dyDescent="0.35">
      <c r="A98" s="24"/>
      <c r="B98" s="1"/>
      <c r="C98" s="1"/>
      <c r="D98" s="31"/>
      <c r="E98" s="21"/>
      <c r="F98" s="1"/>
      <c r="G98" s="1"/>
      <c r="H98" s="1"/>
    </row>
    <row r="99" spans="1:8" x14ac:dyDescent="0.35">
      <c r="A99" s="24"/>
      <c r="B99" s="1"/>
      <c r="C99" s="1"/>
      <c r="D99" s="31"/>
      <c r="E99" s="21"/>
      <c r="F99" s="1"/>
      <c r="G99" s="1"/>
      <c r="H99" s="1"/>
    </row>
    <row r="100" spans="1:8" x14ac:dyDescent="0.35">
      <c r="A100" s="24"/>
      <c r="B100" s="1"/>
      <c r="C100" s="1"/>
      <c r="D100" s="31"/>
      <c r="E100" s="21"/>
      <c r="F100" s="1"/>
      <c r="G100" s="1"/>
      <c r="H100" s="1"/>
    </row>
    <row r="101" spans="1:8" x14ac:dyDescent="0.35">
      <c r="A101" s="24"/>
      <c r="B101" s="1"/>
      <c r="C101" s="1"/>
      <c r="D101" s="31"/>
      <c r="E101" s="21"/>
      <c r="F101" s="1"/>
      <c r="G101" s="1"/>
      <c r="H101" s="1"/>
    </row>
    <row r="102" spans="1:8" x14ac:dyDescent="0.35">
      <c r="A102" s="24"/>
      <c r="B102" s="1"/>
      <c r="C102" s="1"/>
      <c r="D102" s="31"/>
      <c r="E102" s="21"/>
      <c r="F102" s="1"/>
      <c r="G102" s="1"/>
      <c r="H102" s="1"/>
    </row>
    <row r="103" spans="1:8" x14ac:dyDescent="0.35">
      <c r="A103" s="24"/>
      <c r="B103" s="1"/>
      <c r="C103" s="1"/>
      <c r="D103" s="31"/>
      <c r="E103" s="21"/>
      <c r="F103" s="1"/>
      <c r="G103" s="1"/>
      <c r="H103" s="1"/>
    </row>
    <row r="104" spans="1:8" x14ac:dyDescent="0.35">
      <c r="A104" s="24"/>
      <c r="B104" s="1"/>
      <c r="C104" s="1"/>
      <c r="D104" s="31"/>
      <c r="E104" s="21"/>
      <c r="F104" s="1"/>
      <c r="G104" s="1"/>
      <c r="H104" s="1"/>
    </row>
    <row r="105" spans="1:8" x14ac:dyDescent="0.35">
      <c r="A105" s="24"/>
      <c r="B105" s="1"/>
      <c r="C105" s="1"/>
      <c r="D105" s="31"/>
      <c r="E105" s="21"/>
      <c r="F105" s="1"/>
      <c r="G105" s="1"/>
      <c r="H105" s="1"/>
    </row>
    <row r="106" spans="1:8" x14ac:dyDescent="0.35">
      <c r="A106" s="24"/>
      <c r="B106" s="1"/>
      <c r="C106" s="1"/>
      <c r="D106" s="31"/>
      <c r="E106" s="21"/>
      <c r="F106" s="1"/>
      <c r="G106" s="1"/>
      <c r="H106" s="1"/>
    </row>
    <row r="107" spans="1:8" x14ac:dyDescent="0.35">
      <c r="A107" s="24"/>
      <c r="B107" s="1"/>
      <c r="C107" s="1"/>
      <c r="D107" s="31"/>
      <c r="E107" s="21"/>
      <c r="F107" s="1"/>
      <c r="G107" s="1"/>
      <c r="H107" s="1"/>
    </row>
    <row r="108" spans="1:8" x14ac:dyDescent="0.35">
      <c r="A108" s="24"/>
      <c r="B108" s="1"/>
      <c r="C108" s="1"/>
      <c r="D108" s="31"/>
      <c r="E108" s="21"/>
      <c r="F108" s="1"/>
      <c r="G108" s="1"/>
      <c r="H108" s="1"/>
    </row>
    <row r="109" spans="1:8" x14ac:dyDescent="0.35">
      <c r="A109" s="24"/>
      <c r="B109" s="1"/>
      <c r="C109" s="1"/>
      <c r="D109" s="31"/>
      <c r="E109" s="21"/>
      <c r="F109" s="1"/>
      <c r="G109" s="1"/>
      <c r="H109" s="1"/>
    </row>
    <row r="110" spans="1:8" x14ac:dyDescent="0.35">
      <c r="A110" s="24"/>
      <c r="B110" s="1"/>
      <c r="C110" s="1"/>
      <c r="D110" s="31"/>
      <c r="E110" s="21"/>
      <c r="F110" s="1"/>
      <c r="G110" s="1"/>
      <c r="H110" s="1"/>
    </row>
    <row r="111" spans="1:8" x14ac:dyDescent="0.35">
      <c r="A111" s="24"/>
      <c r="B111" s="1"/>
      <c r="C111" s="1"/>
      <c r="D111" s="31"/>
      <c r="E111" s="21"/>
      <c r="F111" s="1"/>
      <c r="G111" s="1"/>
      <c r="H111" s="1"/>
    </row>
    <row r="112" spans="1:8" x14ac:dyDescent="0.35">
      <c r="A112" s="24"/>
      <c r="B112" s="1"/>
      <c r="C112" s="1"/>
      <c r="D112" s="31"/>
      <c r="E112" s="21"/>
      <c r="F112" s="1"/>
      <c r="G112" s="1"/>
      <c r="H112" s="1"/>
    </row>
    <row r="113" spans="1:8" x14ac:dyDescent="0.35">
      <c r="A113" s="24"/>
      <c r="B113" s="1"/>
      <c r="C113" s="1"/>
      <c r="D113" s="31"/>
      <c r="E113" s="21"/>
      <c r="F113" s="1"/>
      <c r="G113" s="1"/>
      <c r="H113" s="1"/>
    </row>
    <row r="114" spans="1:8" x14ac:dyDescent="0.35">
      <c r="A114" s="24"/>
      <c r="B114" s="1"/>
      <c r="C114" s="1"/>
      <c r="D114" s="31"/>
      <c r="E114" s="21"/>
      <c r="F114" s="1"/>
      <c r="G114" s="1"/>
      <c r="H114" s="1"/>
    </row>
    <row r="115" spans="1:8" x14ac:dyDescent="0.35">
      <c r="A115" s="24"/>
      <c r="B115" s="1"/>
      <c r="C115" s="1"/>
      <c r="D115" s="31"/>
      <c r="E115" s="21"/>
      <c r="F115" s="1"/>
      <c r="G115" s="1"/>
      <c r="H115" s="1"/>
    </row>
    <row r="116" spans="1:8" x14ac:dyDescent="0.35">
      <c r="A116" s="24"/>
      <c r="B116" s="1"/>
      <c r="C116" s="1"/>
      <c r="D116" s="31"/>
      <c r="E116" s="21"/>
      <c r="F116" s="1"/>
      <c r="G116" s="1"/>
      <c r="H116" s="1"/>
    </row>
    <row r="117" spans="1:8" x14ac:dyDescent="0.35">
      <c r="A117" s="24"/>
      <c r="B117" s="1"/>
      <c r="C117" s="1"/>
      <c r="D117" s="31"/>
      <c r="E117" s="21"/>
      <c r="F117" s="1"/>
      <c r="G117" s="1"/>
      <c r="H117" s="1"/>
    </row>
    <row r="118" spans="1:8" x14ac:dyDescent="0.35">
      <c r="A118" s="24"/>
      <c r="B118" s="1"/>
      <c r="C118" s="1"/>
      <c r="D118" s="31"/>
      <c r="E118" s="21"/>
      <c r="F118" s="1"/>
      <c r="G118" s="1"/>
      <c r="H118" s="1"/>
    </row>
    <row r="119" spans="1:8" x14ac:dyDescent="0.35">
      <c r="A119" s="24"/>
      <c r="B119" s="1"/>
      <c r="C119" s="1"/>
      <c r="D119" s="31"/>
      <c r="E119" s="21"/>
      <c r="F119" s="1"/>
      <c r="G119" s="1"/>
      <c r="H119" s="1"/>
    </row>
    <row r="120" spans="1:8" x14ac:dyDescent="0.35">
      <c r="A120" s="24"/>
      <c r="B120" s="1"/>
      <c r="C120" s="1"/>
      <c r="D120" s="31"/>
      <c r="E120" s="21"/>
      <c r="F120" s="1"/>
      <c r="G120" s="1"/>
      <c r="H120" s="1"/>
    </row>
    <row r="121" spans="1:8" x14ac:dyDescent="0.35">
      <c r="A121" s="24"/>
      <c r="B121" s="1"/>
      <c r="C121" s="1"/>
      <c r="D121" s="31"/>
      <c r="E121" s="21"/>
      <c r="F121" s="1"/>
      <c r="G121" s="1"/>
      <c r="H121" s="1"/>
    </row>
    <row r="122" spans="1:8" x14ac:dyDescent="0.35">
      <c r="A122" s="24"/>
      <c r="B122" s="1"/>
      <c r="C122" s="1"/>
      <c r="D122" s="31"/>
      <c r="E122" s="21"/>
      <c r="F122" s="1"/>
      <c r="G122" s="1"/>
      <c r="H122" s="1"/>
    </row>
    <row r="123" spans="1:8" x14ac:dyDescent="0.35">
      <c r="A123" s="24"/>
      <c r="B123" s="1"/>
      <c r="C123" s="1"/>
      <c r="D123" s="31"/>
      <c r="E123" s="21"/>
      <c r="F123" s="1"/>
      <c r="G123" s="1"/>
      <c r="H123" s="1"/>
    </row>
    <row r="124" spans="1:8" x14ac:dyDescent="0.35">
      <c r="A124" s="24"/>
      <c r="B124" s="1"/>
      <c r="C124" s="1"/>
      <c r="D124" s="31"/>
      <c r="E124" s="21"/>
      <c r="F124" s="1"/>
      <c r="G124" s="1"/>
      <c r="H124" s="1"/>
    </row>
    <row r="125" spans="1:8" x14ac:dyDescent="0.35">
      <c r="A125" s="24"/>
      <c r="B125" s="1"/>
      <c r="C125" s="1"/>
      <c r="D125" s="31"/>
      <c r="E125" s="21"/>
      <c r="F125" s="1"/>
      <c r="G125" s="1"/>
      <c r="H125" s="1"/>
    </row>
    <row r="126" spans="1:8" x14ac:dyDescent="0.35">
      <c r="A126" s="24"/>
      <c r="B126" s="1"/>
      <c r="C126" s="1"/>
      <c r="D126" s="31"/>
      <c r="E126" s="21"/>
      <c r="F126" s="1"/>
      <c r="G126" s="1"/>
      <c r="H126" s="1"/>
    </row>
    <row r="127" spans="1:8" x14ac:dyDescent="0.35">
      <c r="A127" s="24"/>
      <c r="B127" s="1"/>
      <c r="C127" s="1"/>
      <c r="D127" s="31"/>
      <c r="E127" s="21"/>
      <c r="F127" s="1"/>
      <c r="G127" s="1"/>
      <c r="H127" s="1"/>
    </row>
    <row r="128" spans="1:8" x14ac:dyDescent="0.35">
      <c r="A128" s="24"/>
      <c r="B128" s="1"/>
      <c r="C128" s="1"/>
      <c r="D128" s="31"/>
      <c r="E128" s="21"/>
      <c r="F128" s="1"/>
      <c r="G128" s="1"/>
      <c r="H128" s="1"/>
    </row>
    <row r="129" spans="1:8" x14ac:dyDescent="0.35">
      <c r="A129" s="24"/>
      <c r="B129" s="1"/>
      <c r="C129" s="1"/>
      <c r="D129" s="31"/>
      <c r="E129" s="21"/>
      <c r="F129" s="1"/>
      <c r="G129" s="1"/>
      <c r="H129" s="1"/>
    </row>
    <row r="130" spans="1:8" x14ac:dyDescent="0.35">
      <c r="A130" s="24"/>
      <c r="B130" s="1"/>
      <c r="C130" s="1"/>
      <c r="D130" s="31"/>
      <c r="E130" s="21"/>
      <c r="F130" s="1"/>
      <c r="G130" s="1"/>
      <c r="H130" s="1"/>
    </row>
    <row r="131" spans="1:8" x14ac:dyDescent="0.35">
      <c r="A131" s="24"/>
      <c r="B131" s="1"/>
      <c r="C131" s="1"/>
      <c r="D131" s="31"/>
      <c r="E131" s="21"/>
      <c r="F131" s="1"/>
      <c r="G131" s="1"/>
      <c r="H131" s="1"/>
    </row>
    <row r="132" spans="1:8" x14ac:dyDescent="0.35">
      <c r="A132" s="24"/>
      <c r="B132" s="1"/>
      <c r="C132" s="1"/>
      <c r="D132" s="31"/>
      <c r="E132" s="21"/>
      <c r="F132" s="1"/>
      <c r="G132" s="1"/>
      <c r="H132" s="1"/>
    </row>
    <row r="133" spans="1:8" x14ac:dyDescent="0.35">
      <c r="A133" s="24"/>
      <c r="B133" s="1"/>
      <c r="C133" s="1"/>
      <c r="D133" s="31"/>
      <c r="E133" s="21"/>
      <c r="F133" s="1"/>
      <c r="G133" s="1"/>
      <c r="H133" s="1"/>
    </row>
    <row r="134" spans="1:8" x14ac:dyDescent="0.35">
      <c r="A134" s="24"/>
      <c r="B134" s="1"/>
      <c r="C134" s="1"/>
      <c r="D134" s="31"/>
      <c r="E134" s="21"/>
      <c r="F134" s="1"/>
      <c r="G134" s="1"/>
      <c r="H134" s="1"/>
    </row>
    <row r="135" spans="1:8" x14ac:dyDescent="0.35">
      <c r="A135" s="24"/>
      <c r="B135" s="1"/>
      <c r="C135" s="1"/>
      <c r="D135" s="31"/>
      <c r="E135" s="21"/>
      <c r="F135" s="1"/>
      <c r="G135" s="1"/>
      <c r="H135" s="1"/>
    </row>
    <row r="136" spans="1:8" x14ac:dyDescent="0.35">
      <c r="A136" s="24"/>
      <c r="B136" s="1"/>
      <c r="C136" s="1"/>
      <c r="D136" s="31"/>
      <c r="E136" s="21"/>
      <c r="F136" s="1"/>
      <c r="G136" s="1"/>
      <c r="H136" s="1"/>
    </row>
    <row r="137" spans="1:8" x14ac:dyDescent="0.35">
      <c r="A137" s="24"/>
      <c r="B137" s="1"/>
      <c r="C137" s="1"/>
      <c r="D137" s="31"/>
      <c r="E137" s="21"/>
      <c r="F137" s="1"/>
      <c r="G137" s="1"/>
      <c r="H137" s="1"/>
    </row>
    <row r="138" spans="1:8" x14ac:dyDescent="0.35">
      <c r="A138" s="24"/>
      <c r="B138" s="1"/>
      <c r="C138" s="1"/>
      <c r="D138" s="31"/>
      <c r="E138" s="21"/>
      <c r="F138" s="1"/>
      <c r="G138" s="1"/>
      <c r="H138" s="1"/>
    </row>
    <row r="139" spans="1:8" x14ac:dyDescent="0.35">
      <c r="A139" s="24"/>
      <c r="B139" s="1"/>
      <c r="C139" s="1"/>
      <c r="D139" s="31"/>
      <c r="E139" s="21"/>
      <c r="F139" s="1"/>
      <c r="G139" s="1"/>
      <c r="H139" s="1"/>
    </row>
    <row r="140" spans="1:8" x14ac:dyDescent="0.35">
      <c r="A140" s="24"/>
      <c r="B140" s="1"/>
      <c r="C140" s="1"/>
      <c r="D140" s="31"/>
      <c r="E140" s="21"/>
      <c r="F140" s="1"/>
      <c r="G140" s="1"/>
      <c r="H140" s="1"/>
    </row>
    <row r="141" spans="1:8" x14ac:dyDescent="0.35">
      <c r="A141" s="24"/>
      <c r="B141" s="1"/>
      <c r="C141" s="1"/>
      <c r="D141" s="31"/>
      <c r="E141" s="21"/>
      <c r="F141" s="1"/>
      <c r="G141" s="1"/>
      <c r="H141" s="1"/>
    </row>
    <row r="142" spans="1:8" x14ac:dyDescent="0.35">
      <c r="A142" s="24"/>
      <c r="B142" s="1"/>
      <c r="C142" s="1"/>
      <c r="D142" s="31"/>
      <c r="E142" s="21"/>
      <c r="F142" s="1"/>
      <c r="G142" s="1"/>
      <c r="H142" s="1"/>
    </row>
    <row r="143" spans="1:8" x14ac:dyDescent="0.35">
      <c r="A143" s="24"/>
      <c r="B143" s="1"/>
      <c r="C143" s="1"/>
      <c r="D143" s="31"/>
      <c r="E143" s="21"/>
      <c r="F143" s="1"/>
      <c r="G143" s="1"/>
      <c r="H143" s="1"/>
    </row>
    <row r="144" spans="1:8" x14ac:dyDescent="0.35">
      <c r="A144" s="24"/>
      <c r="B144" s="1"/>
      <c r="C144" s="1"/>
      <c r="D144" s="31"/>
      <c r="E144" s="21"/>
      <c r="F144" s="1"/>
      <c r="G144" s="1"/>
      <c r="H144" s="1"/>
    </row>
    <row r="145" spans="1:8" x14ac:dyDescent="0.35">
      <c r="A145" s="24"/>
      <c r="B145" s="1"/>
      <c r="C145" s="1"/>
      <c r="D145" s="31"/>
      <c r="E145" s="21"/>
      <c r="F145" s="1"/>
      <c r="G145" s="1"/>
      <c r="H145" s="1"/>
    </row>
    <row r="146" spans="1:8" x14ac:dyDescent="0.35">
      <c r="A146" s="24"/>
      <c r="B146" s="1"/>
      <c r="C146" s="1"/>
      <c r="D146" s="31"/>
      <c r="E146" s="21"/>
      <c r="F146" s="1"/>
      <c r="G146" s="1"/>
      <c r="H146" s="1"/>
    </row>
    <row r="147" spans="1:8" x14ac:dyDescent="0.35">
      <c r="A147" s="24"/>
      <c r="B147" s="1"/>
      <c r="C147" s="1"/>
      <c r="D147" s="31"/>
      <c r="E147" s="21"/>
      <c r="F147" s="1"/>
      <c r="G147" s="1"/>
      <c r="H147" s="1"/>
    </row>
    <row r="148" spans="1:8" x14ac:dyDescent="0.35">
      <c r="A148" s="24"/>
      <c r="B148" s="1"/>
      <c r="C148" s="1"/>
      <c r="D148" s="31"/>
      <c r="E148" s="21"/>
      <c r="F148" s="1"/>
      <c r="G148" s="1"/>
      <c r="H148" s="1"/>
    </row>
    <row r="149" spans="1:8" x14ac:dyDescent="0.35">
      <c r="A149" s="24"/>
      <c r="B149" s="1"/>
      <c r="C149" s="1"/>
      <c r="D149" s="31"/>
      <c r="E149" s="21"/>
      <c r="F149" s="1"/>
      <c r="G149" s="1"/>
      <c r="H149" s="1"/>
    </row>
    <row r="150" spans="1:8" x14ac:dyDescent="0.35">
      <c r="A150" s="24"/>
      <c r="B150" s="1"/>
      <c r="C150" s="1"/>
      <c r="D150" s="31"/>
      <c r="E150" s="21"/>
      <c r="F150" s="1"/>
      <c r="G150" s="1"/>
      <c r="H150" s="1"/>
    </row>
    <row r="151" spans="1:8" x14ac:dyDescent="0.35">
      <c r="A151" s="24"/>
      <c r="B151" s="1"/>
      <c r="C151" s="1"/>
      <c r="D151" s="31"/>
      <c r="E151" s="21"/>
      <c r="F151" s="1"/>
      <c r="G151" s="1"/>
      <c r="H151" s="1"/>
    </row>
    <row r="152" spans="1:8" x14ac:dyDescent="0.35">
      <c r="A152" s="24"/>
      <c r="B152" s="1"/>
      <c r="C152" s="1"/>
      <c r="D152" s="31"/>
      <c r="E152" s="21"/>
      <c r="F152" s="1"/>
      <c r="G152" s="1"/>
      <c r="H152" s="1"/>
    </row>
    <row r="153" spans="1:8" x14ac:dyDescent="0.35">
      <c r="A153" s="24"/>
      <c r="B153" s="1"/>
      <c r="C153" s="1"/>
      <c r="D153" s="31"/>
      <c r="E153" s="21"/>
      <c r="F153" s="1"/>
      <c r="G153" s="1"/>
      <c r="H153" s="1"/>
    </row>
    <row r="154" spans="1:8" x14ac:dyDescent="0.35">
      <c r="A154" s="24"/>
      <c r="B154" s="1"/>
      <c r="C154" s="1"/>
      <c r="D154" s="31"/>
      <c r="E154" s="21"/>
      <c r="F154" s="1"/>
      <c r="G154" s="1"/>
      <c r="H154" s="1"/>
    </row>
    <row r="155" spans="1:8" x14ac:dyDescent="0.35">
      <c r="A155" s="24"/>
      <c r="B155" s="1"/>
      <c r="C155" s="1"/>
      <c r="D155" s="31"/>
      <c r="E155" s="21"/>
      <c r="F155" s="1"/>
      <c r="G155" s="1"/>
      <c r="H155" s="1"/>
    </row>
    <row r="156" spans="1:8" x14ac:dyDescent="0.35">
      <c r="A156" s="24"/>
      <c r="B156" s="1"/>
      <c r="C156" s="1"/>
      <c r="D156" s="31"/>
      <c r="E156" s="21"/>
      <c r="F156" s="1"/>
      <c r="G156" s="1"/>
      <c r="H156" s="1"/>
    </row>
    <row r="157" spans="1:8" x14ac:dyDescent="0.35">
      <c r="A157" s="24"/>
      <c r="B157" s="1"/>
      <c r="C157" s="1"/>
      <c r="D157" s="31"/>
      <c r="E157" s="21"/>
      <c r="F157" s="1"/>
      <c r="G157" s="1"/>
      <c r="H157" s="1"/>
    </row>
    <row r="158" spans="1:8" x14ac:dyDescent="0.35">
      <c r="A158" s="24"/>
      <c r="B158" s="1"/>
      <c r="C158" s="1"/>
      <c r="D158" s="31"/>
      <c r="E158" s="21"/>
      <c r="F158" s="1"/>
      <c r="G158" s="1"/>
      <c r="H158" s="1"/>
    </row>
    <row r="159" spans="1:8" x14ac:dyDescent="0.35">
      <c r="A159" s="24"/>
      <c r="B159" s="1"/>
      <c r="C159" s="1"/>
      <c r="D159" s="31"/>
      <c r="E159" s="21"/>
      <c r="F159" s="1"/>
      <c r="G159" s="1"/>
      <c r="H159" s="1"/>
    </row>
    <row r="160" spans="1:8" x14ac:dyDescent="0.35">
      <c r="A160" s="24"/>
      <c r="B160" s="1"/>
      <c r="C160" s="1"/>
      <c r="D160" s="31"/>
      <c r="E160" s="21"/>
      <c r="F160" s="1"/>
      <c r="G160" s="1"/>
      <c r="H160" s="1"/>
    </row>
    <row r="161" spans="1:8" x14ac:dyDescent="0.35">
      <c r="A161" s="24"/>
      <c r="B161" s="1"/>
      <c r="C161" s="1"/>
      <c r="D161" s="31"/>
      <c r="E161" s="21"/>
      <c r="F161" s="1"/>
      <c r="G161" s="1"/>
      <c r="H161" s="1"/>
    </row>
    <row r="162" spans="1:8" x14ac:dyDescent="0.35">
      <c r="A162" s="24"/>
      <c r="B162" s="1"/>
      <c r="C162" s="1"/>
      <c r="D162" s="31"/>
      <c r="E162" s="21"/>
      <c r="F162" s="1"/>
      <c r="G162" s="1"/>
      <c r="H162" s="1"/>
    </row>
    <row r="163" spans="1:8" x14ac:dyDescent="0.35">
      <c r="A163" s="24"/>
      <c r="B163" s="1"/>
      <c r="C163" s="1"/>
      <c r="D163" s="31"/>
      <c r="E163" s="21"/>
      <c r="F163" s="1"/>
      <c r="G163" s="1"/>
      <c r="H163" s="1"/>
    </row>
    <row r="164" spans="1:8" x14ac:dyDescent="0.35">
      <c r="A164" s="24"/>
      <c r="B164" s="1"/>
      <c r="C164" s="1"/>
      <c r="D164" s="31"/>
      <c r="E164" s="21"/>
      <c r="F164" s="1"/>
      <c r="G164" s="1"/>
      <c r="H164" s="1"/>
    </row>
    <row r="165" spans="1:8" x14ac:dyDescent="0.35">
      <c r="A165" s="24"/>
      <c r="B165" s="1"/>
      <c r="C165" s="1"/>
      <c r="D165" s="31"/>
      <c r="E165" s="21"/>
      <c r="F165" s="1"/>
      <c r="G165" s="1"/>
      <c r="H165" s="1"/>
    </row>
    <row r="166" spans="1:8" x14ac:dyDescent="0.35">
      <c r="A166" s="24"/>
      <c r="B166" s="1"/>
      <c r="C166" s="1"/>
      <c r="D166" s="31"/>
      <c r="E166" s="21"/>
      <c r="F166" s="1"/>
      <c r="G166" s="1"/>
      <c r="H166" s="1"/>
    </row>
    <row r="167" spans="1:8" x14ac:dyDescent="0.35">
      <c r="A167" s="24"/>
      <c r="B167" s="1"/>
      <c r="C167" s="1"/>
      <c r="D167" s="31"/>
      <c r="E167" s="21"/>
      <c r="F167" s="1"/>
      <c r="G167" s="1"/>
      <c r="H167" s="1"/>
    </row>
    <row r="168" spans="1:8" x14ac:dyDescent="0.35">
      <c r="A168" s="24"/>
      <c r="B168" s="1"/>
      <c r="C168" s="1"/>
      <c r="D168" s="31"/>
      <c r="E168" s="21"/>
      <c r="F168" s="1"/>
      <c r="G168" s="1"/>
      <c r="H168" s="1"/>
    </row>
    <row r="169" spans="1:8" x14ac:dyDescent="0.35">
      <c r="A169" s="24"/>
      <c r="B169" s="1"/>
      <c r="C169" s="1"/>
      <c r="D169" s="31"/>
      <c r="E169" s="21"/>
      <c r="F169" s="1"/>
      <c r="G169" s="1"/>
      <c r="H169" s="1"/>
    </row>
    <row r="170" spans="1:8" x14ac:dyDescent="0.35">
      <c r="A170" s="24"/>
      <c r="B170" s="1"/>
      <c r="C170" s="1"/>
      <c r="D170" s="31"/>
      <c r="E170" s="21"/>
      <c r="F170" s="1"/>
      <c r="G170" s="1"/>
      <c r="H170" s="1"/>
    </row>
    <row r="171" spans="1:8" x14ac:dyDescent="0.35">
      <c r="A171" s="24"/>
      <c r="B171" s="1"/>
      <c r="C171" s="1"/>
      <c r="D171" s="31"/>
      <c r="E171" s="21"/>
      <c r="F171" s="1"/>
      <c r="G171" s="1"/>
      <c r="H171" s="1"/>
    </row>
    <row r="172" spans="1:8" x14ac:dyDescent="0.35">
      <c r="A172" s="24"/>
      <c r="B172" s="1"/>
      <c r="C172" s="1"/>
      <c r="D172" s="31"/>
      <c r="E172" s="21"/>
      <c r="F172" s="1"/>
      <c r="G172" s="1"/>
      <c r="H172" s="1"/>
    </row>
    <row r="173" spans="1:8" x14ac:dyDescent="0.35">
      <c r="A173" s="24"/>
      <c r="B173" s="1"/>
      <c r="C173" s="1"/>
      <c r="D173" s="31"/>
      <c r="E173" s="21"/>
      <c r="F173" s="1"/>
      <c r="G173" s="1"/>
      <c r="H173" s="1"/>
    </row>
    <row r="174" spans="1:8" x14ac:dyDescent="0.35">
      <c r="A174" s="24"/>
      <c r="B174" s="1"/>
      <c r="C174" s="1"/>
      <c r="D174" s="31"/>
      <c r="E174" s="21"/>
      <c r="F174" s="1"/>
      <c r="G174" s="1"/>
      <c r="H174" s="1"/>
    </row>
    <row r="175" spans="1:8" x14ac:dyDescent="0.35">
      <c r="A175" s="24"/>
      <c r="B175" s="1"/>
      <c r="C175" s="1"/>
      <c r="D175" s="31"/>
      <c r="E175" s="21"/>
      <c r="F175" s="1"/>
      <c r="G175" s="1"/>
      <c r="H175" s="1"/>
    </row>
    <row r="176" spans="1:8" x14ac:dyDescent="0.35">
      <c r="A176" s="24"/>
      <c r="B176" s="1"/>
      <c r="C176" s="1"/>
      <c r="D176" s="31"/>
      <c r="E176" s="21"/>
      <c r="F176" s="1"/>
      <c r="G176" s="1"/>
      <c r="H176" s="1"/>
    </row>
    <row r="177" spans="1:8" x14ac:dyDescent="0.35">
      <c r="A177" s="24"/>
      <c r="B177" s="1"/>
      <c r="C177" s="1"/>
      <c r="D177" s="31"/>
      <c r="E177" s="21"/>
      <c r="F177" s="1"/>
      <c r="G177" s="1"/>
      <c r="H177" s="1"/>
    </row>
    <row r="178" spans="1:8" x14ac:dyDescent="0.35">
      <c r="A178" s="24"/>
      <c r="B178" s="1"/>
      <c r="C178" s="1"/>
      <c r="D178" s="31"/>
      <c r="E178" s="21"/>
      <c r="F178" s="1"/>
      <c r="G178" s="1"/>
      <c r="H178" s="1"/>
    </row>
    <row r="179" spans="1:8" x14ac:dyDescent="0.35">
      <c r="A179" s="24"/>
      <c r="B179" s="1"/>
      <c r="C179" s="1"/>
      <c r="D179" s="31"/>
      <c r="E179" s="21"/>
      <c r="F179" s="1"/>
      <c r="G179" s="1"/>
      <c r="H179" s="1"/>
    </row>
    <row r="180" spans="1:8" x14ac:dyDescent="0.35">
      <c r="A180" s="24"/>
      <c r="B180" s="1"/>
      <c r="C180" s="1"/>
      <c r="D180" s="31"/>
      <c r="E180" s="21"/>
      <c r="F180" s="1"/>
      <c r="G180" s="1"/>
      <c r="H180" s="1"/>
    </row>
    <row r="181" spans="1:8" x14ac:dyDescent="0.35">
      <c r="A181" s="24"/>
      <c r="B181" s="1"/>
      <c r="C181" s="1"/>
      <c r="D181" s="31"/>
      <c r="E181" s="21"/>
      <c r="F181" s="1"/>
      <c r="G181" s="1"/>
      <c r="H181" s="1"/>
    </row>
    <row r="182" spans="1:8" x14ac:dyDescent="0.35">
      <c r="A182" s="24"/>
      <c r="B182" s="1"/>
      <c r="C182" s="1"/>
      <c r="D182" s="31"/>
      <c r="E182" s="21"/>
      <c r="F182" s="1"/>
      <c r="G182" s="1"/>
      <c r="H182" s="1"/>
    </row>
    <row r="183" spans="1:8" x14ac:dyDescent="0.35">
      <c r="A183" s="24"/>
      <c r="B183" s="1"/>
      <c r="C183" s="1"/>
      <c r="D183" s="31"/>
      <c r="E183" s="21"/>
      <c r="F183" s="1"/>
      <c r="G183" s="1"/>
      <c r="H183" s="1"/>
    </row>
    <row r="184" spans="1:8" x14ac:dyDescent="0.35">
      <c r="A184" s="24"/>
      <c r="B184" s="1"/>
      <c r="C184" s="1"/>
      <c r="D184" s="31"/>
      <c r="E184" s="21"/>
      <c r="F184" s="1"/>
      <c r="G184" s="1"/>
      <c r="H184" s="1"/>
    </row>
    <row r="185" spans="1:8" x14ac:dyDescent="0.35">
      <c r="A185" s="24"/>
      <c r="B185" s="1"/>
      <c r="C185" s="1"/>
      <c r="D185" s="31"/>
      <c r="E185" s="21"/>
      <c r="F185" s="1"/>
      <c r="G185" s="1"/>
      <c r="H185" s="1"/>
    </row>
    <row r="186" spans="1:8" x14ac:dyDescent="0.35">
      <c r="A186" s="24"/>
      <c r="B186" s="1"/>
      <c r="C186" s="1"/>
      <c r="D186" s="31"/>
      <c r="E186" s="21"/>
      <c r="F186" s="1"/>
      <c r="G186" s="1"/>
      <c r="H186" s="1"/>
    </row>
    <row r="187" spans="1:8" x14ac:dyDescent="0.35">
      <c r="A187" s="24"/>
      <c r="B187" s="1"/>
      <c r="C187" s="1"/>
      <c r="D187" s="31"/>
      <c r="E187" s="21"/>
      <c r="F187" s="1"/>
      <c r="G187" s="1"/>
      <c r="H187" s="1"/>
    </row>
    <row r="188" spans="1:8" x14ac:dyDescent="0.35">
      <c r="A188" s="24"/>
      <c r="B188" s="1"/>
      <c r="C188" s="1"/>
      <c r="D188" s="31"/>
      <c r="E188" s="21"/>
      <c r="F188" s="1"/>
      <c r="G188" s="1"/>
      <c r="H188" s="1"/>
    </row>
    <row r="189" spans="1:8" x14ac:dyDescent="0.35">
      <c r="A189" s="24"/>
      <c r="B189" s="1"/>
      <c r="C189" s="1"/>
      <c r="D189" s="31"/>
      <c r="E189" s="21"/>
      <c r="F189" s="1"/>
      <c r="G189" s="1"/>
      <c r="H189" s="1"/>
    </row>
    <row r="190" spans="1:8" x14ac:dyDescent="0.35">
      <c r="A190" s="24"/>
      <c r="B190" s="1"/>
      <c r="C190" s="1"/>
      <c r="D190" s="31"/>
      <c r="E190" s="21"/>
      <c r="F190" s="1"/>
      <c r="G190" s="1"/>
      <c r="H190" s="1"/>
    </row>
    <row r="191" spans="1:8" x14ac:dyDescent="0.35">
      <c r="A191" s="24"/>
      <c r="B191" s="1"/>
      <c r="C191" s="1"/>
      <c r="D191" s="31"/>
      <c r="E191" s="21"/>
      <c r="F191" s="1"/>
      <c r="G191" s="1"/>
      <c r="H191" s="1"/>
    </row>
    <row r="192" spans="1:8" x14ac:dyDescent="0.35">
      <c r="A192" s="24"/>
      <c r="B192" s="1"/>
      <c r="C192" s="1"/>
      <c r="D192" s="31"/>
      <c r="E192" s="21"/>
      <c r="F192" s="1"/>
      <c r="G192" s="1"/>
      <c r="H192" s="1"/>
    </row>
    <row r="193" spans="1:8" x14ac:dyDescent="0.35">
      <c r="A193" s="24"/>
      <c r="B193" s="1"/>
      <c r="C193" s="1"/>
      <c r="D193" s="31"/>
      <c r="E193" s="21"/>
      <c r="F193" s="1"/>
      <c r="G193" s="1"/>
      <c r="H193" s="1"/>
    </row>
    <row r="194" spans="1:8" x14ac:dyDescent="0.35">
      <c r="A194" s="24"/>
      <c r="B194" s="1"/>
      <c r="C194" s="1"/>
      <c r="D194" s="31"/>
      <c r="E194" s="21"/>
      <c r="F194" s="1"/>
      <c r="G194" s="1"/>
      <c r="H194" s="1"/>
    </row>
    <row r="195" spans="1:8" x14ac:dyDescent="0.35">
      <c r="A195" s="24"/>
      <c r="B195" s="1"/>
      <c r="C195" s="1"/>
      <c r="D195" s="31"/>
      <c r="E195" s="21"/>
      <c r="F195" s="1"/>
      <c r="G195" s="1"/>
      <c r="H195" s="1"/>
    </row>
    <row r="196" spans="1:8" x14ac:dyDescent="0.35">
      <c r="A196" s="24"/>
      <c r="B196" s="1"/>
      <c r="C196" s="1"/>
      <c r="D196" s="31"/>
      <c r="E196" s="21"/>
      <c r="F196" s="1"/>
      <c r="G196" s="1"/>
      <c r="H196" s="1"/>
    </row>
    <row r="197" spans="1:8" x14ac:dyDescent="0.35">
      <c r="A197" s="24"/>
      <c r="B197" s="1"/>
      <c r="C197" s="1"/>
      <c r="D197" s="31"/>
      <c r="E197" s="21"/>
      <c r="F197" s="1"/>
      <c r="G197" s="1"/>
      <c r="H197" s="1"/>
    </row>
    <row r="198" spans="1:8" x14ac:dyDescent="0.35">
      <c r="A198" s="24"/>
      <c r="B198" s="1"/>
      <c r="C198" s="1"/>
      <c r="D198" s="31"/>
      <c r="E198" s="21"/>
      <c r="F198" s="1"/>
      <c r="G198" s="1"/>
      <c r="H198" s="1"/>
    </row>
    <row r="199" spans="1:8" x14ac:dyDescent="0.35">
      <c r="A199" s="24"/>
      <c r="B199" s="1"/>
      <c r="C199" s="1"/>
      <c r="D199" s="31"/>
      <c r="E199" s="21"/>
      <c r="F199" s="1"/>
      <c r="G199" s="1"/>
      <c r="H199" s="1"/>
    </row>
    <row r="200" spans="1:8" x14ac:dyDescent="0.35">
      <c r="A200" s="24"/>
      <c r="B200" s="1"/>
      <c r="C200" s="1"/>
      <c r="D200" s="31"/>
      <c r="E200" s="21"/>
      <c r="F200" s="1"/>
      <c r="G200" s="1"/>
      <c r="H200" s="1"/>
    </row>
    <row r="201" spans="1:8" x14ac:dyDescent="0.35">
      <c r="A201" s="24"/>
      <c r="B201" s="1"/>
      <c r="C201" s="1"/>
      <c r="D201" s="31"/>
      <c r="E201" s="21"/>
      <c r="F201" s="1"/>
      <c r="G201" s="1"/>
      <c r="H201" s="1"/>
    </row>
    <row r="202" spans="1:8" x14ac:dyDescent="0.35">
      <c r="A202" s="24"/>
      <c r="B202" s="1"/>
      <c r="C202" s="1"/>
      <c r="D202" s="31"/>
      <c r="E202" s="21"/>
      <c r="F202" s="1"/>
      <c r="G202" s="1"/>
      <c r="H202" s="1"/>
    </row>
    <row r="203" spans="1:8" x14ac:dyDescent="0.35">
      <c r="A203" s="24"/>
      <c r="B203" s="1"/>
      <c r="C203" s="1"/>
      <c r="D203" s="31"/>
      <c r="E203" s="21"/>
      <c r="F203" s="1"/>
      <c r="G203" s="1"/>
      <c r="H203" s="1"/>
    </row>
    <row r="204" spans="1:8" x14ac:dyDescent="0.35">
      <c r="A204" s="24"/>
      <c r="B204" s="1"/>
      <c r="C204" s="1"/>
      <c r="D204" s="31"/>
      <c r="E204" s="21"/>
      <c r="F204" s="1"/>
      <c r="G204" s="1"/>
      <c r="H204" s="1"/>
    </row>
    <row r="205" spans="1:8" x14ac:dyDescent="0.35">
      <c r="A205" s="24"/>
      <c r="B205" s="1"/>
      <c r="C205" s="1"/>
      <c r="D205" s="31"/>
      <c r="E205" s="21"/>
      <c r="F205" s="1"/>
      <c r="G205" s="1"/>
      <c r="H205" s="1"/>
    </row>
    <row r="206" spans="1:8" x14ac:dyDescent="0.35">
      <c r="A206" s="24"/>
      <c r="B206" s="1"/>
      <c r="C206" s="1"/>
      <c r="D206" s="31"/>
      <c r="E206" s="21"/>
      <c r="F206" s="1"/>
      <c r="G206" s="1"/>
      <c r="H206" s="1"/>
    </row>
    <row r="207" spans="1:8" x14ac:dyDescent="0.35">
      <c r="A207" s="24"/>
      <c r="B207" s="1"/>
      <c r="C207" s="1"/>
      <c r="D207" s="31"/>
      <c r="E207" s="21"/>
      <c r="F207" s="1"/>
      <c r="G207" s="1"/>
      <c r="H207" s="1"/>
    </row>
    <row r="208" spans="1:8" x14ac:dyDescent="0.35">
      <c r="A208" s="24"/>
      <c r="B208" s="1"/>
      <c r="C208" s="1"/>
      <c r="D208" s="31"/>
      <c r="E208" s="21"/>
      <c r="F208" s="1"/>
      <c r="G208" s="1"/>
      <c r="H208" s="1"/>
    </row>
    <row r="209" spans="1:8" x14ac:dyDescent="0.35">
      <c r="A209" s="24"/>
      <c r="B209" s="1"/>
      <c r="C209" s="1"/>
      <c r="D209" s="31"/>
      <c r="E209" s="21"/>
      <c r="F209" s="1"/>
      <c r="G209" s="1"/>
      <c r="H209" s="1"/>
    </row>
    <row r="210" spans="1:8" x14ac:dyDescent="0.35">
      <c r="A210" s="24"/>
      <c r="B210" s="1"/>
      <c r="C210" s="1"/>
      <c r="D210" s="31"/>
      <c r="E210" s="21"/>
      <c r="F210" s="1"/>
      <c r="G210" s="1"/>
      <c r="H210" s="1"/>
    </row>
    <row r="211" spans="1:8" x14ac:dyDescent="0.35">
      <c r="A211" s="24"/>
      <c r="B211" s="1"/>
      <c r="C211" s="1"/>
      <c r="D211" s="31"/>
      <c r="E211" s="21"/>
      <c r="F211" s="1"/>
      <c r="G211" s="1"/>
      <c r="H211" s="1"/>
    </row>
    <row r="212" spans="1:8" x14ac:dyDescent="0.35">
      <c r="A212" s="24"/>
      <c r="B212" s="1"/>
      <c r="C212" s="1"/>
      <c r="D212" s="31"/>
      <c r="E212" s="21"/>
      <c r="F212" s="1"/>
      <c r="G212" s="1"/>
      <c r="H212" s="1"/>
    </row>
    <row r="213" spans="1:8" x14ac:dyDescent="0.35">
      <c r="A213" s="24"/>
      <c r="B213" s="1"/>
      <c r="C213" s="1"/>
      <c r="D213" s="31"/>
      <c r="E213" s="21"/>
      <c r="F213" s="1"/>
      <c r="G213" s="1"/>
      <c r="H213" s="1"/>
    </row>
    <row r="214" spans="1:8" x14ac:dyDescent="0.35">
      <c r="A214" s="24"/>
      <c r="B214" s="1"/>
      <c r="C214" s="1"/>
      <c r="D214" s="31"/>
      <c r="E214" s="21"/>
      <c r="F214" s="1"/>
      <c r="G214" s="1"/>
      <c r="H214" s="1"/>
    </row>
    <row r="215" spans="1:8" x14ac:dyDescent="0.35">
      <c r="A215" s="24"/>
      <c r="B215" s="1"/>
      <c r="C215" s="1"/>
      <c r="D215" s="31"/>
      <c r="E215" s="21"/>
      <c r="F215" s="1"/>
      <c r="G215" s="1"/>
      <c r="H215" s="1"/>
    </row>
    <row r="216" spans="1:8" x14ac:dyDescent="0.35">
      <c r="A216" s="24"/>
      <c r="B216" s="1"/>
      <c r="C216" s="1"/>
      <c r="D216" s="31"/>
      <c r="E216" s="21"/>
      <c r="F216" s="1"/>
      <c r="G216" s="1"/>
      <c r="H216" s="1"/>
    </row>
    <row r="217" spans="1:8" x14ac:dyDescent="0.35">
      <c r="A217" s="24"/>
      <c r="B217" s="1"/>
      <c r="C217" s="1"/>
      <c r="D217" s="31"/>
      <c r="E217" s="21"/>
      <c r="F217" s="1"/>
      <c r="G217" s="1"/>
      <c r="H217" s="1"/>
    </row>
    <row r="218" spans="1:8" x14ac:dyDescent="0.35">
      <c r="A218" s="24"/>
      <c r="B218" s="1"/>
      <c r="C218" s="1"/>
      <c r="D218" s="31"/>
      <c r="E218" s="21"/>
      <c r="F218" s="1"/>
      <c r="G218" s="1"/>
      <c r="H218" s="1"/>
    </row>
    <row r="219" spans="1:8" x14ac:dyDescent="0.35">
      <c r="A219" s="24"/>
      <c r="B219" s="1"/>
      <c r="C219" s="1"/>
      <c r="D219" s="31"/>
      <c r="E219" s="21"/>
      <c r="F219" s="1"/>
      <c r="G219" s="1"/>
      <c r="H219" s="1"/>
    </row>
    <row r="220" spans="1:8" x14ac:dyDescent="0.35">
      <c r="A220" s="24"/>
      <c r="B220" s="1"/>
      <c r="C220" s="1"/>
      <c r="D220" s="31"/>
      <c r="E220" s="21"/>
      <c r="F220" s="1"/>
      <c r="G220" s="1"/>
      <c r="H220" s="1"/>
    </row>
    <row r="221" spans="1:8" x14ac:dyDescent="0.35">
      <c r="A221" s="24"/>
      <c r="B221" s="1"/>
      <c r="C221" s="1"/>
      <c r="D221" s="31"/>
      <c r="E221" s="21"/>
      <c r="F221" s="1"/>
      <c r="G221" s="1"/>
      <c r="H221" s="1"/>
    </row>
    <row r="222" spans="1:8" x14ac:dyDescent="0.35">
      <c r="A222" s="24"/>
      <c r="B222" s="1"/>
      <c r="C222" s="1"/>
      <c r="D222" s="31"/>
      <c r="E222" s="21"/>
      <c r="F222" s="1"/>
      <c r="G222" s="1"/>
      <c r="H222" s="1"/>
    </row>
    <row r="223" spans="1:8" x14ac:dyDescent="0.35">
      <c r="A223" s="24"/>
      <c r="B223" s="1"/>
      <c r="C223" s="1"/>
      <c r="D223" s="31"/>
      <c r="E223" s="21"/>
      <c r="F223" s="1"/>
      <c r="G223" s="1"/>
      <c r="H223" s="1"/>
    </row>
    <row r="224" spans="1:8" x14ac:dyDescent="0.35">
      <c r="A224" s="24"/>
      <c r="B224" s="1"/>
      <c r="C224" s="1"/>
      <c r="D224" s="31"/>
      <c r="E224" s="21"/>
      <c r="F224" s="1"/>
      <c r="G224" s="1"/>
      <c r="H224" s="1"/>
    </row>
    <row r="225" spans="1:8" x14ac:dyDescent="0.35">
      <c r="A225" s="24"/>
      <c r="B225" s="1"/>
      <c r="C225" s="1"/>
      <c r="D225" s="31"/>
      <c r="E225" s="21"/>
      <c r="F225" s="1"/>
      <c r="G225" s="1"/>
      <c r="H225" s="1"/>
    </row>
    <row r="226" spans="1:8" x14ac:dyDescent="0.35">
      <c r="A226" s="24"/>
      <c r="B226" s="1"/>
      <c r="C226" s="1"/>
      <c r="D226" s="31"/>
      <c r="E226" s="21"/>
      <c r="F226" s="1"/>
      <c r="G226" s="1"/>
      <c r="H226" s="1"/>
    </row>
    <row r="227" spans="1:8" x14ac:dyDescent="0.35">
      <c r="A227" s="24"/>
      <c r="B227" s="1"/>
      <c r="C227" s="1"/>
      <c r="D227" s="31"/>
      <c r="E227" s="21"/>
      <c r="F227" s="1"/>
      <c r="G227" s="1"/>
      <c r="H227" s="1"/>
    </row>
    <row r="228" spans="1:8" x14ac:dyDescent="0.35">
      <c r="A228" s="24"/>
      <c r="B228" s="1"/>
      <c r="C228" s="1"/>
      <c r="D228" s="31"/>
      <c r="E228" s="21"/>
      <c r="F228" s="1"/>
      <c r="G228" s="1"/>
      <c r="H228" s="1"/>
    </row>
    <row r="229" spans="1:8" x14ac:dyDescent="0.35">
      <c r="A229" s="24"/>
      <c r="B229" s="1"/>
      <c r="C229" s="1"/>
      <c r="D229" s="31"/>
      <c r="E229" s="21"/>
      <c r="F229" s="1"/>
      <c r="G229" s="1"/>
      <c r="H229" s="1"/>
    </row>
    <row r="230" spans="1:8" x14ac:dyDescent="0.35">
      <c r="A230" s="24"/>
      <c r="B230" s="1"/>
      <c r="C230" s="1"/>
      <c r="D230" s="31"/>
      <c r="E230" s="21"/>
      <c r="F230" s="1"/>
      <c r="G230" s="1"/>
      <c r="H230" s="1"/>
    </row>
    <row r="231" spans="1:8" x14ac:dyDescent="0.35">
      <c r="A231" s="24"/>
      <c r="B231" s="1"/>
      <c r="C231" s="1"/>
      <c r="D231" s="31"/>
      <c r="E231" s="21"/>
      <c r="F231" s="1"/>
      <c r="G231" s="1"/>
      <c r="H231" s="1"/>
    </row>
    <row r="232" spans="1:8" x14ac:dyDescent="0.35">
      <c r="A232" s="24"/>
      <c r="B232" s="1"/>
      <c r="C232" s="1"/>
      <c r="D232" s="31"/>
      <c r="E232" s="21"/>
      <c r="F232" s="1"/>
      <c r="G232" s="1"/>
      <c r="H232" s="1"/>
    </row>
    <row r="233" spans="1:8" x14ac:dyDescent="0.35">
      <c r="A233" s="24"/>
      <c r="B233" s="1"/>
      <c r="C233" s="1"/>
      <c r="D233" s="31"/>
      <c r="E233" s="21"/>
      <c r="F233" s="1"/>
      <c r="G233" s="1"/>
      <c r="H233" s="1"/>
    </row>
    <row r="234" spans="1:8" x14ac:dyDescent="0.35">
      <c r="A234" s="24"/>
      <c r="B234" s="1"/>
      <c r="C234" s="1"/>
      <c r="D234" s="31"/>
      <c r="E234" s="21"/>
      <c r="F234" s="1"/>
      <c r="G234" s="1"/>
      <c r="H234" s="1"/>
    </row>
    <row r="235" spans="1:8" x14ac:dyDescent="0.35">
      <c r="A235" s="24"/>
      <c r="B235" s="1"/>
      <c r="C235" s="1"/>
      <c r="D235" s="31"/>
      <c r="E235" s="21"/>
      <c r="F235" s="1"/>
      <c r="G235" s="1"/>
      <c r="H235" s="1"/>
    </row>
    <row r="236" spans="1:8" x14ac:dyDescent="0.35">
      <c r="A236" s="24"/>
      <c r="B236" s="1"/>
      <c r="C236" s="1"/>
      <c r="D236" s="31"/>
      <c r="E236" s="21"/>
      <c r="F236" s="1"/>
      <c r="G236" s="1"/>
      <c r="H236" s="1"/>
    </row>
    <row r="237" spans="1:8" x14ac:dyDescent="0.35">
      <c r="A237" s="24"/>
      <c r="B237" s="1"/>
      <c r="C237" s="1"/>
      <c r="D237" s="31"/>
      <c r="E237" s="21"/>
      <c r="F237" s="1"/>
      <c r="G237" s="1"/>
      <c r="H237" s="1"/>
    </row>
    <row r="238" spans="1:8" x14ac:dyDescent="0.35">
      <c r="A238" s="24"/>
      <c r="B238" s="1"/>
      <c r="C238" s="1"/>
      <c r="D238" s="31"/>
      <c r="E238" s="21"/>
      <c r="F238" s="1"/>
      <c r="G238" s="1"/>
      <c r="H238" s="1"/>
    </row>
    <row r="239" spans="1:8" x14ac:dyDescent="0.35">
      <c r="A239" s="24"/>
      <c r="B239" s="1"/>
      <c r="C239" s="1"/>
      <c r="D239" s="31"/>
      <c r="E239" s="21"/>
      <c r="F239" s="1"/>
      <c r="G239" s="1"/>
      <c r="H239" s="1"/>
    </row>
    <row r="240" spans="1:8" x14ac:dyDescent="0.35">
      <c r="A240" s="24"/>
      <c r="B240" s="1"/>
      <c r="C240" s="1"/>
      <c r="D240" s="31"/>
      <c r="E240" s="21"/>
      <c r="F240" s="1"/>
      <c r="G240" s="1"/>
      <c r="H240" s="1"/>
    </row>
    <row r="241" spans="1:8" x14ac:dyDescent="0.35">
      <c r="A241" s="24"/>
      <c r="B241" s="1"/>
      <c r="C241" s="1"/>
      <c r="D241" s="31"/>
      <c r="E241" s="21"/>
      <c r="F241" s="1"/>
      <c r="G241" s="1"/>
      <c r="H241" s="1"/>
    </row>
    <row r="242" spans="1:8" x14ac:dyDescent="0.35">
      <c r="A242" s="24"/>
      <c r="B242" s="1"/>
      <c r="C242" s="1"/>
      <c r="D242" s="31"/>
      <c r="E242" s="21"/>
      <c r="F242" s="1"/>
      <c r="G242" s="1"/>
      <c r="H242" s="1"/>
    </row>
    <row r="243" spans="1:8" x14ac:dyDescent="0.35">
      <c r="A243" s="24"/>
      <c r="B243" s="1"/>
      <c r="C243" s="1"/>
      <c r="D243" s="31"/>
      <c r="E243" s="21"/>
      <c r="F243" s="1"/>
      <c r="G243" s="1"/>
      <c r="H243" s="1"/>
    </row>
    <row r="244" spans="1:8" x14ac:dyDescent="0.35">
      <c r="A244" s="24"/>
      <c r="B244" s="1"/>
      <c r="C244" s="1"/>
      <c r="D244" s="31"/>
      <c r="E244" s="21"/>
      <c r="F244" s="1"/>
      <c r="G244" s="1"/>
      <c r="H244" s="1"/>
    </row>
    <row r="245" spans="1:8" x14ac:dyDescent="0.35">
      <c r="A245" s="24"/>
      <c r="B245" s="1"/>
      <c r="C245" s="1"/>
      <c r="D245" s="31"/>
      <c r="E245" s="21"/>
      <c r="F245" s="1"/>
      <c r="G245" s="1"/>
      <c r="H245" s="1"/>
    </row>
    <row r="246" spans="1:8" x14ac:dyDescent="0.35">
      <c r="A246" s="24"/>
      <c r="B246" s="1"/>
      <c r="C246" s="1"/>
      <c r="D246" s="31"/>
      <c r="E246" s="21"/>
      <c r="F246" s="1"/>
      <c r="G246" s="1"/>
      <c r="H246" s="1"/>
    </row>
    <row r="247" spans="1:8" x14ac:dyDescent="0.35">
      <c r="A247" s="24"/>
      <c r="B247" s="1"/>
      <c r="C247" s="1"/>
      <c r="D247" s="31"/>
      <c r="E247" s="21"/>
      <c r="F247" s="1"/>
      <c r="G247" s="1"/>
      <c r="H247" s="1"/>
    </row>
    <row r="248" spans="1:8" x14ac:dyDescent="0.35">
      <c r="A248" s="24"/>
      <c r="B248" s="1"/>
      <c r="C248" s="1"/>
      <c r="D248" s="31"/>
      <c r="E248" s="21"/>
      <c r="F248" s="1"/>
      <c r="G248" s="1"/>
      <c r="H248" s="1"/>
    </row>
    <row r="249" spans="1:8" x14ac:dyDescent="0.35">
      <c r="A249" s="24"/>
      <c r="B249" s="1"/>
      <c r="C249" s="1"/>
      <c r="D249" s="31"/>
      <c r="E249" s="21"/>
      <c r="F249" s="1"/>
      <c r="G249" s="1"/>
      <c r="H249" s="1"/>
    </row>
    <row r="250" spans="1:8" x14ac:dyDescent="0.35">
      <c r="A250" s="24"/>
      <c r="B250" s="1"/>
      <c r="C250" s="1"/>
      <c r="D250" s="31"/>
      <c r="E250" s="21"/>
      <c r="F250" s="1"/>
      <c r="G250" s="1"/>
      <c r="H250" s="1"/>
    </row>
    <row r="251" spans="1:8" x14ac:dyDescent="0.35">
      <c r="A251" s="24"/>
      <c r="B251" s="1"/>
      <c r="C251" s="1"/>
      <c r="D251" s="31"/>
      <c r="E251" s="21"/>
      <c r="F251" s="1"/>
      <c r="G251" s="1"/>
      <c r="H251" s="1"/>
    </row>
    <row r="252" spans="1:8" x14ac:dyDescent="0.35">
      <c r="A252" s="24"/>
      <c r="B252" s="1"/>
      <c r="C252" s="1"/>
      <c r="D252" s="31"/>
      <c r="E252" s="21"/>
      <c r="F252" s="1"/>
      <c r="G252" s="1"/>
      <c r="H252" s="1"/>
    </row>
    <row r="253" spans="1:8" x14ac:dyDescent="0.35">
      <c r="A253" s="24"/>
      <c r="B253" s="1"/>
      <c r="C253" s="1"/>
      <c r="D253" s="31"/>
      <c r="E253" s="21"/>
      <c r="F253" s="1"/>
      <c r="G253" s="1"/>
      <c r="H253" s="1"/>
    </row>
    <row r="254" spans="1:8" x14ac:dyDescent="0.35">
      <c r="A254" s="24"/>
      <c r="B254" s="1"/>
      <c r="C254" s="1"/>
      <c r="D254" s="31"/>
      <c r="E254" s="21"/>
      <c r="F254" s="1"/>
      <c r="G254" s="1"/>
      <c r="H254" s="1"/>
    </row>
    <row r="255" spans="1:8" x14ac:dyDescent="0.35">
      <c r="A255" s="24"/>
      <c r="B255" s="1"/>
      <c r="C255" s="1"/>
      <c r="D255" s="31"/>
      <c r="E255" s="21"/>
      <c r="F255" s="1"/>
      <c r="G255" s="1"/>
      <c r="H255" s="1"/>
    </row>
    <row r="256" spans="1:8" x14ac:dyDescent="0.35">
      <c r="A256" s="24"/>
      <c r="B256" s="1"/>
      <c r="C256" s="1"/>
      <c r="D256" s="31"/>
      <c r="E256" s="21"/>
      <c r="F256" s="1"/>
      <c r="G256" s="1"/>
      <c r="H256" s="1"/>
    </row>
    <row r="257" spans="1:8" x14ac:dyDescent="0.35">
      <c r="A257" s="24"/>
      <c r="B257" s="1"/>
      <c r="C257" s="1"/>
      <c r="D257" s="31"/>
      <c r="E257" s="21"/>
      <c r="F257" s="1"/>
      <c r="G257" s="1"/>
      <c r="H257" s="1"/>
    </row>
    <row r="258" spans="1:8" x14ac:dyDescent="0.35">
      <c r="A258" s="24"/>
      <c r="B258" s="1"/>
      <c r="C258" s="1"/>
      <c r="D258" s="31"/>
      <c r="E258" s="21"/>
      <c r="F258" s="1"/>
      <c r="G258" s="1"/>
      <c r="H258" s="1"/>
    </row>
    <row r="259" spans="1:8" x14ac:dyDescent="0.35">
      <c r="A259" s="24"/>
      <c r="B259" s="1"/>
      <c r="C259" s="1"/>
      <c r="D259" s="31"/>
      <c r="E259" s="21"/>
      <c r="F259" s="1"/>
      <c r="G259" s="1"/>
      <c r="H259" s="1"/>
    </row>
    <row r="260" spans="1:8" x14ac:dyDescent="0.35">
      <c r="A260" s="24"/>
      <c r="B260" s="1"/>
      <c r="C260" s="1"/>
      <c r="D260" s="31"/>
      <c r="E260" s="21"/>
      <c r="F260" s="1"/>
      <c r="G260" s="1"/>
      <c r="H260" s="1"/>
    </row>
    <row r="261" spans="1:8" x14ac:dyDescent="0.35">
      <c r="B261" s="1"/>
      <c r="C261" s="1"/>
    </row>
    <row r="262" spans="1:8" x14ac:dyDescent="0.35">
      <c r="B262" s="1"/>
      <c r="C262" s="1"/>
    </row>
    <row r="263" spans="1:8" x14ac:dyDescent="0.35">
      <c r="B263" s="1"/>
      <c r="C263" s="1"/>
    </row>
    <row r="264" spans="1:8" x14ac:dyDescent="0.35">
      <c r="B264" s="1"/>
      <c r="C264" s="1"/>
    </row>
    <row r="265" spans="1:8" x14ac:dyDescent="0.35">
      <c r="B265" s="1"/>
      <c r="C265" s="1"/>
    </row>
    <row r="266" spans="1:8" x14ac:dyDescent="0.35">
      <c r="B266" s="1"/>
      <c r="C266" s="1"/>
    </row>
    <row r="267" spans="1:8" x14ac:dyDescent="0.35">
      <c r="B267" s="1"/>
      <c r="C267" s="1"/>
    </row>
    <row r="268" spans="1:8" x14ac:dyDescent="0.35">
      <c r="B268" s="1"/>
      <c r="C268" s="1"/>
    </row>
    <row r="269" spans="1:8" x14ac:dyDescent="0.35">
      <c r="B269" s="1"/>
      <c r="C269" s="1"/>
    </row>
    <row r="270" spans="1:8" x14ac:dyDescent="0.35">
      <c r="B270" s="1"/>
      <c r="C270" s="1"/>
    </row>
    <row r="271" spans="1:8" x14ac:dyDescent="0.35">
      <c r="B271" s="1"/>
      <c r="C271" s="1"/>
    </row>
    <row r="272" spans="1:8" x14ac:dyDescent="0.35">
      <c r="B272" s="1"/>
      <c r="C272" s="1"/>
    </row>
    <row r="273" spans="2:3" x14ac:dyDescent="0.35">
      <c r="B273" s="1"/>
      <c r="C273" s="1"/>
    </row>
    <row r="274" spans="2:3" x14ac:dyDescent="0.35">
      <c r="B274" s="1"/>
      <c r="C274" s="1"/>
    </row>
    <row r="275" spans="2:3" x14ac:dyDescent="0.35">
      <c r="B275" s="1"/>
      <c r="C275" s="1"/>
    </row>
    <row r="276" spans="2:3" x14ac:dyDescent="0.35">
      <c r="B276" s="1"/>
      <c r="C276" s="1"/>
    </row>
    <row r="277" spans="2:3" x14ac:dyDescent="0.35">
      <c r="B277" s="1"/>
      <c r="C277" s="1"/>
    </row>
    <row r="278" spans="2:3" x14ac:dyDescent="0.35">
      <c r="B278" s="1"/>
      <c r="C278" s="1"/>
    </row>
    <row r="279" spans="2:3" x14ac:dyDescent="0.35">
      <c r="B279" s="1"/>
      <c r="C279" s="1"/>
    </row>
    <row r="280" spans="2:3" x14ac:dyDescent="0.35">
      <c r="B280" s="1"/>
      <c r="C280" s="1"/>
    </row>
    <row r="281" spans="2:3" x14ac:dyDescent="0.35">
      <c r="B281" s="1"/>
      <c r="C281" s="1"/>
    </row>
    <row r="282" spans="2:3" x14ac:dyDescent="0.35">
      <c r="B282" s="1"/>
      <c r="C282" s="1"/>
    </row>
    <row r="283" spans="2:3" x14ac:dyDescent="0.35">
      <c r="B283" s="1"/>
      <c r="C283" s="1"/>
    </row>
    <row r="284" spans="2:3" x14ac:dyDescent="0.35">
      <c r="B284" s="1"/>
      <c r="C284" s="1"/>
    </row>
    <row r="285" spans="2:3" x14ac:dyDescent="0.35">
      <c r="B285" s="1"/>
      <c r="C285" s="1"/>
    </row>
    <row r="286" spans="2:3" x14ac:dyDescent="0.35">
      <c r="B286" s="1"/>
      <c r="C286" s="1"/>
    </row>
    <row r="287" spans="2:3" x14ac:dyDescent="0.35">
      <c r="B287" s="1"/>
      <c r="C287" s="1"/>
    </row>
    <row r="288" spans="2:3" x14ac:dyDescent="0.35">
      <c r="B288" s="1"/>
      <c r="C288" s="1"/>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96C3-EDF5-4D90-9D2B-ABCAA14E9023}">
  <sheetPr codeName="Sheet12"/>
  <dimension ref="A1:AN288"/>
  <sheetViews>
    <sheetView rightToLeft="1" workbookViewId="0">
      <pane xSplit="1" ySplit="1" topLeftCell="B64" activePane="bottomRight" state="frozen"/>
      <selection activeCell="D96" sqref="D96"/>
      <selection pane="topRight" activeCell="D96" sqref="D96"/>
      <selection pane="bottomLeft" activeCell="D96" sqref="D96"/>
      <selection pane="bottomRight" activeCell="A70" sqref="A70"/>
    </sheetView>
  </sheetViews>
  <sheetFormatPr defaultColWidth="8.81640625" defaultRowHeight="14.5" x14ac:dyDescent="0.35"/>
  <cols>
    <col min="1" max="1" width="52.1796875" style="27" customWidth="1"/>
    <col min="2" max="2" width="10" style="2" customWidth="1"/>
    <col min="3" max="3" width="12.08984375" style="8" customWidth="1"/>
    <col min="4" max="4" width="11.81640625" style="2" customWidth="1"/>
    <col min="5" max="5" width="8.81640625" style="2"/>
    <col min="6" max="6" width="8.81640625" style="2" bestFit="1" customWidth="1"/>
    <col min="7" max="7" width="9.1796875" style="2" bestFit="1" customWidth="1"/>
    <col min="8" max="15" width="8.81640625" style="1" customWidth="1"/>
    <col min="16" max="17" width="8.81640625" style="30" customWidth="1"/>
    <col min="18" max="34" width="8.81640625" style="1" customWidth="1"/>
    <col min="35" max="35" width="8.81640625" style="2"/>
    <col min="36" max="36" width="10.08984375" style="2" bestFit="1" customWidth="1"/>
    <col min="37" max="37" width="8.81640625" style="2"/>
    <col min="38" max="38" width="10.54296875" style="2" bestFit="1" customWidth="1"/>
    <col min="39" max="39" width="8.81640625" style="2"/>
    <col min="40" max="40" width="17" style="2" bestFit="1" customWidth="1"/>
    <col min="41" max="16384" width="8.81640625" style="2"/>
  </cols>
  <sheetData>
    <row r="1" spans="1:40" ht="15" thickBot="1" x14ac:dyDescent="0.4">
      <c r="A1" s="26" t="s">
        <v>0</v>
      </c>
      <c r="B1" s="4">
        <v>2022</v>
      </c>
      <c r="C1" s="32">
        <v>2021</v>
      </c>
      <c r="D1" s="20">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5">
      <c r="A2" s="5" t="s">
        <v>1145</v>
      </c>
      <c r="B2" s="83" t="s">
        <v>3211</v>
      </c>
      <c r="C2" s="64" t="s">
        <v>3211</v>
      </c>
      <c r="D2" s="54" t="s">
        <v>168</v>
      </c>
      <c r="E2" s="53" t="s">
        <v>390</v>
      </c>
      <c r="F2" s="54" t="s">
        <v>329</v>
      </c>
      <c r="G2" s="54" t="s">
        <v>596</v>
      </c>
      <c r="H2" s="54" t="s">
        <v>700</v>
      </c>
      <c r="I2" s="54" t="s">
        <v>869</v>
      </c>
      <c r="J2" s="54" t="s">
        <v>1144</v>
      </c>
      <c r="M2" s="1" t="s">
        <v>1134</v>
      </c>
      <c r="Q2" s="29"/>
      <c r="R2" s="3"/>
      <c r="S2" s="3"/>
      <c r="T2" s="3"/>
      <c r="U2" s="3"/>
      <c r="V2" s="3"/>
      <c r="W2" s="3"/>
      <c r="X2" s="3"/>
      <c r="Y2" s="3"/>
      <c r="Z2" s="3"/>
      <c r="AA2" s="3"/>
      <c r="AB2" s="3"/>
      <c r="AC2" s="3"/>
      <c r="AD2" s="3"/>
      <c r="AE2" s="3"/>
      <c r="AF2" s="3"/>
      <c r="AG2" s="3"/>
      <c r="AH2" s="3"/>
      <c r="AJ2" s="2">
        <f>COUNTA(B2:AH2)</f>
        <v>10</v>
      </c>
      <c r="AL2" s="2">
        <f>COUNTA(F2:O2,R2:S2)</f>
        <v>6</v>
      </c>
      <c r="AN2" s="2">
        <f>COUNTIF(AL2:AL70,"&gt;=2")</f>
        <v>13</v>
      </c>
    </row>
    <row r="3" spans="1:40" ht="43.5" x14ac:dyDescent="0.35">
      <c r="A3" s="5" t="s">
        <v>312</v>
      </c>
      <c r="B3" s="6"/>
      <c r="C3" s="5"/>
      <c r="D3" s="1"/>
      <c r="E3" s="1"/>
      <c r="F3" s="54" t="s">
        <v>313</v>
      </c>
      <c r="G3" s="53" t="s">
        <v>579</v>
      </c>
      <c r="H3" s="53" t="s">
        <v>682</v>
      </c>
      <c r="M3" s="1" t="s">
        <v>1126</v>
      </c>
      <c r="AJ3" s="2">
        <f t="shared" ref="AJ3:AJ66" si="0">COUNTA(B3:AH3)</f>
        <v>4</v>
      </c>
      <c r="AL3" s="2">
        <f t="shared" ref="AL3:AL66" si="1">COUNTA(F3:O3,R3:S3)</f>
        <v>4</v>
      </c>
    </row>
    <row r="4" spans="1:40" x14ac:dyDescent="0.35">
      <c r="A4" s="5" t="s">
        <v>696</v>
      </c>
      <c r="B4" s="6"/>
      <c r="C4" s="5"/>
      <c r="D4" s="1"/>
      <c r="E4" s="1"/>
      <c r="F4" s="1"/>
      <c r="G4" s="1"/>
      <c r="H4" s="1" t="s">
        <v>697</v>
      </c>
      <c r="AJ4" s="2">
        <f t="shared" si="0"/>
        <v>1</v>
      </c>
      <c r="AL4" s="2">
        <f t="shared" si="1"/>
        <v>1</v>
      </c>
    </row>
    <row r="5" spans="1:40" x14ac:dyDescent="0.35">
      <c r="A5" s="5" t="s">
        <v>314</v>
      </c>
      <c r="B5" s="5"/>
      <c r="C5" s="5"/>
      <c r="D5" s="1"/>
      <c r="E5" s="1"/>
      <c r="F5" s="1" t="s">
        <v>315</v>
      </c>
      <c r="G5" s="1"/>
      <c r="AJ5" s="2">
        <f t="shared" si="0"/>
        <v>1</v>
      </c>
      <c r="AL5" s="2">
        <f t="shared" si="1"/>
        <v>1</v>
      </c>
    </row>
    <row r="6" spans="1:40" x14ac:dyDescent="0.35">
      <c r="A6" s="5" t="s">
        <v>316</v>
      </c>
      <c r="B6" s="6"/>
      <c r="C6" s="5"/>
      <c r="D6" s="1"/>
      <c r="E6" s="1"/>
      <c r="F6" s="53" t="s">
        <v>317</v>
      </c>
      <c r="G6" s="1" t="s">
        <v>584</v>
      </c>
      <c r="AJ6" s="2">
        <f t="shared" si="0"/>
        <v>2</v>
      </c>
      <c r="AL6" s="2">
        <f t="shared" si="1"/>
        <v>2</v>
      </c>
    </row>
    <row r="7" spans="1:40" ht="29" x14ac:dyDescent="0.35">
      <c r="A7" s="5" t="s">
        <v>318</v>
      </c>
      <c r="B7" s="6"/>
      <c r="C7" s="5"/>
      <c r="D7" s="1"/>
      <c r="E7" s="1"/>
      <c r="F7" s="53" t="s">
        <v>319</v>
      </c>
      <c r="G7" s="53" t="s">
        <v>587</v>
      </c>
      <c r="H7" s="53" t="s">
        <v>692</v>
      </c>
      <c r="I7" s="54" t="s">
        <v>860</v>
      </c>
      <c r="J7" s="1" t="s">
        <v>1141</v>
      </c>
      <c r="AJ7" s="2">
        <f t="shared" si="0"/>
        <v>5</v>
      </c>
      <c r="AL7" s="2">
        <f t="shared" si="1"/>
        <v>5</v>
      </c>
    </row>
    <row r="8" spans="1:40" x14ac:dyDescent="0.35">
      <c r="A8" s="5" t="s">
        <v>320</v>
      </c>
      <c r="B8" s="6"/>
      <c r="C8" s="5"/>
      <c r="D8" s="1"/>
      <c r="E8" s="1"/>
      <c r="F8" s="1" t="s">
        <v>321</v>
      </c>
      <c r="G8" s="1"/>
      <c r="AJ8" s="2">
        <f t="shared" si="0"/>
        <v>1</v>
      </c>
      <c r="AL8" s="2">
        <f t="shared" si="1"/>
        <v>1</v>
      </c>
    </row>
    <row r="9" spans="1:40" ht="29" x14ac:dyDescent="0.35">
      <c r="A9" s="5" t="s">
        <v>322</v>
      </c>
      <c r="B9" s="6"/>
      <c r="C9" s="5"/>
      <c r="D9" s="1"/>
      <c r="E9" s="1"/>
      <c r="F9" s="1" t="s">
        <v>323</v>
      </c>
      <c r="G9" s="1"/>
      <c r="AJ9" s="2">
        <f t="shared" si="0"/>
        <v>1</v>
      </c>
      <c r="AL9" s="2">
        <f t="shared" si="1"/>
        <v>1</v>
      </c>
    </row>
    <row r="10" spans="1:40" x14ac:dyDescent="0.35">
      <c r="A10" s="5" t="s">
        <v>324</v>
      </c>
      <c r="B10" s="6"/>
      <c r="C10" s="5"/>
      <c r="D10" s="1"/>
      <c r="E10" s="1"/>
      <c r="F10" s="53" t="s">
        <v>325</v>
      </c>
      <c r="G10" s="1" t="s">
        <v>594</v>
      </c>
      <c r="AJ10" s="2">
        <f t="shared" si="0"/>
        <v>2</v>
      </c>
      <c r="AL10" s="2">
        <f t="shared" si="1"/>
        <v>2</v>
      </c>
    </row>
    <row r="11" spans="1:40" x14ac:dyDescent="0.35">
      <c r="A11" s="5" t="s">
        <v>326</v>
      </c>
      <c r="B11" s="6"/>
      <c r="C11" s="5"/>
      <c r="D11" s="1"/>
      <c r="E11" s="1"/>
      <c r="F11" s="53" t="s">
        <v>327</v>
      </c>
      <c r="G11" s="54" t="s">
        <v>595</v>
      </c>
      <c r="H11" s="54" t="s">
        <v>685</v>
      </c>
      <c r="I11" s="1" t="s">
        <v>852</v>
      </c>
      <c r="AJ11" s="2">
        <f t="shared" si="0"/>
        <v>4</v>
      </c>
      <c r="AL11" s="2">
        <f t="shared" si="1"/>
        <v>4</v>
      </c>
    </row>
    <row r="12" spans="1:40" x14ac:dyDescent="0.35">
      <c r="A12" s="5" t="s">
        <v>698</v>
      </c>
      <c r="B12" s="1"/>
      <c r="C12" s="5"/>
      <c r="D12" s="1"/>
      <c r="E12" s="1"/>
      <c r="F12" s="1"/>
      <c r="G12" s="1"/>
      <c r="H12" s="1" t="s">
        <v>699</v>
      </c>
      <c r="AJ12" s="2">
        <f t="shared" si="0"/>
        <v>1</v>
      </c>
      <c r="AL12" s="2">
        <f t="shared" si="1"/>
        <v>1</v>
      </c>
    </row>
    <row r="13" spans="1:40" x14ac:dyDescent="0.35">
      <c r="A13" s="5" t="s">
        <v>1140</v>
      </c>
      <c r="B13" s="1"/>
      <c r="C13" s="5"/>
      <c r="D13" s="1"/>
      <c r="E13" s="1"/>
      <c r="F13" s="54" t="s">
        <v>328</v>
      </c>
      <c r="G13" s="1"/>
      <c r="J13" s="1" t="s">
        <v>1139</v>
      </c>
      <c r="AJ13" s="2">
        <f t="shared" si="0"/>
        <v>2</v>
      </c>
      <c r="AL13" s="2">
        <f t="shared" si="1"/>
        <v>2</v>
      </c>
    </row>
    <row r="14" spans="1:40" ht="29" x14ac:dyDescent="0.35">
      <c r="A14" s="5" t="s">
        <v>580</v>
      </c>
      <c r="B14" s="1"/>
      <c r="C14" s="5"/>
      <c r="D14" s="1"/>
      <c r="E14" s="1"/>
      <c r="F14" s="1"/>
      <c r="G14" s="1" t="s">
        <v>581</v>
      </c>
      <c r="AJ14" s="2">
        <f t="shared" si="0"/>
        <v>1</v>
      </c>
      <c r="AL14" s="2">
        <f t="shared" si="1"/>
        <v>1</v>
      </c>
    </row>
    <row r="15" spans="1:40" ht="29" x14ac:dyDescent="0.35">
      <c r="A15" s="5" t="s">
        <v>582</v>
      </c>
      <c r="B15" s="5"/>
      <c r="C15" s="5"/>
      <c r="D15" s="1"/>
      <c r="E15" s="1"/>
      <c r="F15" s="1"/>
      <c r="G15" s="1" t="s">
        <v>583</v>
      </c>
      <c r="AJ15" s="2">
        <f t="shared" si="0"/>
        <v>1</v>
      </c>
      <c r="AL15" s="2">
        <f t="shared" si="1"/>
        <v>1</v>
      </c>
    </row>
    <row r="16" spans="1:40" ht="29" x14ac:dyDescent="0.35">
      <c r="A16" s="5" t="s">
        <v>585</v>
      </c>
      <c r="B16" s="1"/>
      <c r="C16" s="5"/>
      <c r="D16" s="1"/>
      <c r="E16" s="1"/>
      <c r="F16" s="1"/>
      <c r="G16" s="53" t="s">
        <v>586</v>
      </c>
      <c r="H16" s="54" t="s">
        <v>688</v>
      </c>
      <c r="I16" s="1" t="s">
        <v>857</v>
      </c>
      <c r="AJ16" s="2">
        <f t="shared" si="0"/>
        <v>3</v>
      </c>
      <c r="AL16" s="2">
        <f t="shared" si="1"/>
        <v>3</v>
      </c>
    </row>
    <row r="17" spans="1:38" x14ac:dyDescent="0.35">
      <c r="A17" s="5" t="s">
        <v>588</v>
      </c>
      <c r="B17" s="1"/>
      <c r="C17" s="5"/>
      <c r="D17" s="1"/>
      <c r="E17" s="1"/>
      <c r="F17" s="1"/>
      <c r="G17" s="54" t="s">
        <v>589</v>
      </c>
      <c r="H17" s="1" t="s">
        <v>691</v>
      </c>
      <c r="AJ17" s="2">
        <f t="shared" si="0"/>
        <v>2</v>
      </c>
      <c r="AL17" s="2">
        <f t="shared" si="1"/>
        <v>2</v>
      </c>
    </row>
    <row r="18" spans="1:38" x14ac:dyDescent="0.35">
      <c r="A18" s="5" t="s">
        <v>590</v>
      </c>
      <c r="B18" s="1"/>
      <c r="C18" s="5"/>
      <c r="D18" s="1"/>
      <c r="E18" s="1"/>
      <c r="F18" s="1"/>
      <c r="G18" s="54" t="s">
        <v>591</v>
      </c>
      <c r="H18" s="1" t="s">
        <v>693</v>
      </c>
      <c r="AJ18" s="2">
        <f t="shared" si="0"/>
        <v>2</v>
      </c>
      <c r="AL18" s="2">
        <f t="shared" si="1"/>
        <v>2</v>
      </c>
    </row>
    <row r="19" spans="1:38" ht="29" x14ac:dyDescent="0.35">
      <c r="A19" s="5" t="s">
        <v>592</v>
      </c>
      <c r="B19" s="1"/>
      <c r="C19" s="5"/>
      <c r="D19" s="1"/>
      <c r="E19" s="1"/>
      <c r="F19" s="1"/>
      <c r="G19" s="1" t="s">
        <v>593</v>
      </c>
      <c r="AJ19" s="2">
        <f t="shared" si="0"/>
        <v>1</v>
      </c>
      <c r="AL19" s="2">
        <f t="shared" si="1"/>
        <v>1</v>
      </c>
    </row>
    <row r="20" spans="1:38" ht="29" x14ac:dyDescent="0.35">
      <c r="A20" s="5" t="s">
        <v>683</v>
      </c>
      <c r="B20" s="1"/>
      <c r="C20" s="5"/>
      <c r="D20" s="1"/>
      <c r="E20" s="1"/>
      <c r="F20" s="1"/>
      <c r="G20" s="1"/>
      <c r="H20" s="1" t="s">
        <v>684</v>
      </c>
      <c r="AJ20" s="2">
        <f t="shared" si="0"/>
        <v>1</v>
      </c>
      <c r="AL20" s="2">
        <f t="shared" si="1"/>
        <v>1</v>
      </c>
    </row>
    <row r="21" spans="1:38" x14ac:dyDescent="0.35">
      <c r="A21" s="5" t="s">
        <v>686</v>
      </c>
      <c r="B21" s="1"/>
      <c r="C21" s="5"/>
      <c r="D21" s="1"/>
      <c r="E21" s="1"/>
      <c r="F21" s="1"/>
      <c r="G21" s="1"/>
      <c r="H21" s="1" t="s">
        <v>687</v>
      </c>
      <c r="AJ21" s="2">
        <f t="shared" si="0"/>
        <v>1</v>
      </c>
      <c r="AL21" s="2">
        <f t="shared" si="1"/>
        <v>1</v>
      </c>
    </row>
    <row r="22" spans="1:38" ht="29" x14ac:dyDescent="0.35">
      <c r="A22" s="5" t="s">
        <v>689</v>
      </c>
      <c r="B22" s="1"/>
      <c r="C22" s="5"/>
      <c r="D22" s="1"/>
      <c r="E22" s="1"/>
      <c r="F22" s="1"/>
      <c r="G22" s="1"/>
      <c r="H22" s="1" t="s">
        <v>690</v>
      </c>
      <c r="AJ22" s="2">
        <f t="shared" si="0"/>
        <v>1</v>
      </c>
      <c r="AL22" s="2">
        <f t="shared" si="1"/>
        <v>1</v>
      </c>
    </row>
    <row r="23" spans="1:38" x14ac:dyDescent="0.35">
      <c r="A23" s="5" t="s">
        <v>694</v>
      </c>
      <c r="B23" s="1"/>
      <c r="C23" s="5"/>
      <c r="D23" s="1"/>
      <c r="E23" s="1"/>
      <c r="F23" s="1"/>
      <c r="G23" s="1"/>
      <c r="H23" s="1" t="s">
        <v>695</v>
      </c>
      <c r="AJ23" s="2">
        <f t="shared" si="0"/>
        <v>1</v>
      </c>
      <c r="AL23" s="2">
        <f t="shared" si="1"/>
        <v>1</v>
      </c>
    </row>
    <row r="24" spans="1:38" x14ac:dyDescent="0.35">
      <c r="A24" s="5" t="s">
        <v>853</v>
      </c>
      <c r="B24" s="1"/>
      <c r="C24" s="5"/>
      <c r="D24" s="1"/>
      <c r="E24" s="1"/>
      <c r="F24" s="1"/>
      <c r="G24" s="1"/>
      <c r="I24" s="1" t="s">
        <v>854</v>
      </c>
      <c r="AJ24" s="2">
        <f t="shared" si="0"/>
        <v>1</v>
      </c>
      <c r="AL24" s="2">
        <f t="shared" si="1"/>
        <v>1</v>
      </c>
    </row>
    <row r="25" spans="1:38" x14ac:dyDescent="0.35">
      <c r="A25" s="5" t="s">
        <v>855</v>
      </c>
      <c r="B25" s="1"/>
      <c r="C25" s="5"/>
      <c r="D25" s="1"/>
      <c r="E25" s="1"/>
      <c r="F25" s="1"/>
      <c r="G25" s="1"/>
      <c r="I25" s="1" t="s">
        <v>856</v>
      </c>
      <c r="AJ25" s="2">
        <f t="shared" si="0"/>
        <v>1</v>
      </c>
      <c r="AL25" s="2">
        <f t="shared" si="1"/>
        <v>1</v>
      </c>
    </row>
    <row r="26" spans="1:38" x14ac:dyDescent="0.35">
      <c r="A26" s="5" t="s">
        <v>858</v>
      </c>
      <c r="B26" s="5"/>
      <c r="C26" s="5"/>
      <c r="D26" s="1"/>
      <c r="E26" s="1"/>
      <c r="F26" s="1"/>
      <c r="G26" s="1"/>
      <c r="I26" s="1" t="s">
        <v>859</v>
      </c>
      <c r="AJ26" s="2">
        <f t="shared" si="0"/>
        <v>1</v>
      </c>
      <c r="AL26" s="2">
        <f t="shared" si="1"/>
        <v>1</v>
      </c>
    </row>
    <row r="27" spans="1:38" ht="29" x14ac:dyDescent="0.35">
      <c r="A27" s="5" t="s">
        <v>863</v>
      </c>
      <c r="B27" s="5"/>
      <c r="C27" s="5"/>
      <c r="D27" s="1"/>
      <c r="E27" s="1"/>
      <c r="F27" s="1"/>
      <c r="G27" s="1"/>
      <c r="I27" s="1" t="s">
        <v>864</v>
      </c>
      <c r="AJ27" s="2">
        <f t="shared" si="0"/>
        <v>1</v>
      </c>
      <c r="AL27" s="2">
        <f t="shared" si="1"/>
        <v>1</v>
      </c>
    </row>
    <row r="28" spans="1:38" x14ac:dyDescent="0.35">
      <c r="A28" s="5" t="s">
        <v>861</v>
      </c>
      <c r="B28" s="5"/>
      <c r="C28" s="5"/>
      <c r="D28" s="1"/>
      <c r="E28" s="1"/>
      <c r="F28" s="1"/>
      <c r="G28" s="1"/>
      <c r="I28" s="1" t="s">
        <v>862</v>
      </c>
      <c r="AJ28" s="2">
        <f t="shared" si="0"/>
        <v>1</v>
      </c>
      <c r="AL28" s="2">
        <f t="shared" si="1"/>
        <v>1</v>
      </c>
    </row>
    <row r="29" spans="1:38" ht="29" x14ac:dyDescent="0.35">
      <c r="A29" s="5" t="s">
        <v>865</v>
      </c>
      <c r="B29" s="5"/>
      <c r="C29" s="5"/>
      <c r="D29" s="1"/>
      <c r="E29" s="1"/>
      <c r="F29" s="1"/>
      <c r="G29" s="1"/>
      <c r="I29" s="1" t="s">
        <v>866</v>
      </c>
      <c r="AJ29" s="2">
        <f t="shared" si="0"/>
        <v>1</v>
      </c>
      <c r="AL29" s="2">
        <f t="shared" si="1"/>
        <v>1</v>
      </c>
    </row>
    <row r="30" spans="1:38" x14ac:dyDescent="0.35">
      <c r="A30" s="5" t="s">
        <v>1135</v>
      </c>
      <c r="B30" s="5"/>
      <c r="C30" s="5"/>
      <c r="D30" s="1"/>
      <c r="E30" s="1"/>
      <c r="F30" s="1"/>
      <c r="G30" s="1"/>
      <c r="J30" s="1" t="s">
        <v>1136</v>
      </c>
      <c r="AJ30" s="2">
        <f t="shared" si="0"/>
        <v>1</v>
      </c>
      <c r="AL30" s="2">
        <f t="shared" si="1"/>
        <v>1</v>
      </c>
    </row>
    <row r="31" spans="1:38" x14ac:dyDescent="0.35">
      <c r="A31" s="5" t="s">
        <v>1137</v>
      </c>
      <c r="B31" s="5"/>
      <c r="C31" s="5"/>
      <c r="D31" s="1"/>
      <c r="E31" s="1"/>
      <c r="F31" s="1"/>
      <c r="G31" s="1"/>
      <c r="J31" s="1" t="s">
        <v>1138</v>
      </c>
      <c r="AJ31" s="2">
        <f t="shared" si="0"/>
        <v>1</v>
      </c>
      <c r="AL31" s="2">
        <f t="shared" si="1"/>
        <v>1</v>
      </c>
    </row>
    <row r="32" spans="1:38" x14ac:dyDescent="0.35">
      <c r="A32" s="5" t="s">
        <v>1142</v>
      </c>
      <c r="B32" s="5"/>
      <c r="C32" s="5"/>
      <c r="D32" s="1"/>
      <c r="E32" s="1"/>
      <c r="F32" s="1"/>
      <c r="G32" s="1"/>
      <c r="J32" s="1" t="s">
        <v>1143</v>
      </c>
      <c r="AJ32" s="2">
        <f t="shared" si="0"/>
        <v>1</v>
      </c>
      <c r="AL32" s="2">
        <f t="shared" si="1"/>
        <v>1</v>
      </c>
    </row>
    <row r="33" spans="1:38" ht="29" x14ac:dyDescent="0.35">
      <c r="A33" s="5" t="s">
        <v>867</v>
      </c>
      <c r="B33" s="5"/>
      <c r="C33" s="5"/>
      <c r="D33" s="1"/>
      <c r="E33" s="1"/>
      <c r="F33" s="1"/>
      <c r="G33" s="1"/>
      <c r="I33" s="1" t="s">
        <v>868</v>
      </c>
      <c r="AJ33" s="2">
        <f t="shared" si="0"/>
        <v>1</v>
      </c>
      <c r="AL33" s="2">
        <f t="shared" si="1"/>
        <v>1</v>
      </c>
    </row>
    <row r="34" spans="1:38" x14ac:dyDescent="0.35">
      <c r="A34" s="5" t="s">
        <v>1467</v>
      </c>
      <c r="B34" s="5"/>
      <c r="C34" s="5"/>
      <c r="D34" s="1"/>
      <c r="E34" s="1"/>
      <c r="F34" s="1"/>
      <c r="G34" s="1"/>
      <c r="M34" s="1" t="s">
        <v>1124</v>
      </c>
      <c r="AJ34" s="2">
        <f t="shared" si="0"/>
        <v>1</v>
      </c>
      <c r="AL34" s="2">
        <f t="shared" si="1"/>
        <v>1</v>
      </c>
    </row>
    <row r="35" spans="1:38" ht="29" x14ac:dyDescent="0.35">
      <c r="A35" s="5" t="s">
        <v>1468</v>
      </c>
      <c r="B35" s="5"/>
      <c r="C35" s="5"/>
      <c r="D35" s="1"/>
      <c r="E35" s="1"/>
      <c r="F35" s="1"/>
      <c r="G35" s="1"/>
      <c r="M35" s="1" t="s">
        <v>1125</v>
      </c>
      <c r="AJ35" s="2">
        <f t="shared" si="0"/>
        <v>1</v>
      </c>
      <c r="AL35" s="2">
        <f t="shared" si="1"/>
        <v>1</v>
      </c>
    </row>
    <row r="36" spans="1:38" ht="29" x14ac:dyDescent="0.35">
      <c r="A36" s="5" t="s">
        <v>1469</v>
      </c>
      <c r="B36" s="5"/>
      <c r="C36" s="5"/>
      <c r="D36" s="1"/>
      <c r="E36" s="1"/>
      <c r="F36" s="1"/>
      <c r="G36" s="1"/>
      <c r="M36" s="1" t="s">
        <v>1127</v>
      </c>
      <c r="AJ36" s="2">
        <f t="shared" si="0"/>
        <v>1</v>
      </c>
      <c r="AL36" s="2">
        <f t="shared" si="1"/>
        <v>1</v>
      </c>
    </row>
    <row r="37" spans="1:38" x14ac:dyDescent="0.35">
      <c r="A37" s="5" t="s">
        <v>1470</v>
      </c>
      <c r="B37" s="5"/>
      <c r="C37" s="5"/>
      <c r="D37" s="1"/>
      <c r="E37" s="1"/>
      <c r="F37" s="1"/>
      <c r="G37" s="1"/>
      <c r="M37" s="1" t="s">
        <v>1128</v>
      </c>
      <c r="AJ37" s="2">
        <f t="shared" si="0"/>
        <v>1</v>
      </c>
      <c r="AL37" s="2">
        <f t="shared" si="1"/>
        <v>1</v>
      </c>
    </row>
    <row r="38" spans="1:38" ht="29" x14ac:dyDescent="0.35">
      <c r="A38" s="5" t="s">
        <v>1471</v>
      </c>
      <c r="B38" s="5"/>
      <c r="C38" s="5"/>
      <c r="D38" s="1"/>
      <c r="E38" s="1"/>
      <c r="F38" s="1"/>
      <c r="G38" s="1"/>
      <c r="M38" s="1" t="s">
        <v>1129</v>
      </c>
      <c r="AJ38" s="2">
        <f t="shared" si="0"/>
        <v>1</v>
      </c>
      <c r="AL38" s="2">
        <f t="shared" si="1"/>
        <v>1</v>
      </c>
    </row>
    <row r="39" spans="1:38" ht="43.5" x14ac:dyDescent="0.35">
      <c r="A39" s="5" t="s">
        <v>1146</v>
      </c>
      <c r="B39" s="5"/>
      <c r="C39" s="5"/>
      <c r="D39" s="1"/>
      <c r="E39" s="1"/>
      <c r="F39" s="1"/>
      <c r="G39" s="1"/>
      <c r="J39" s="1" t="s">
        <v>1147</v>
      </c>
      <c r="AJ39" s="2">
        <f t="shared" si="0"/>
        <v>1</v>
      </c>
      <c r="AL39" s="2">
        <f t="shared" si="1"/>
        <v>1</v>
      </c>
    </row>
    <row r="40" spans="1:38" ht="29" x14ac:dyDescent="0.35">
      <c r="A40" s="5" t="s">
        <v>1249</v>
      </c>
      <c r="B40" s="5"/>
      <c r="C40" s="5"/>
      <c r="D40" s="1"/>
      <c r="E40" s="1"/>
      <c r="F40" s="1"/>
      <c r="G40" s="1"/>
      <c r="L40" s="54" t="s">
        <v>1250</v>
      </c>
      <c r="M40" s="54" t="s">
        <v>1439</v>
      </c>
      <c r="N40" s="53" t="s">
        <v>1610</v>
      </c>
      <c r="O40" s="1" t="s">
        <v>1366</v>
      </c>
      <c r="AJ40" s="2">
        <f t="shared" si="0"/>
        <v>4</v>
      </c>
      <c r="AL40" s="2">
        <f t="shared" si="1"/>
        <v>4</v>
      </c>
    </row>
    <row r="41" spans="1:38" ht="29" x14ac:dyDescent="0.35">
      <c r="A41" s="5" t="s">
        <v>1612</v>
      </c>
      <c r="B41" s="5"/>
      <c r="C41" s="5"/>
      <c r="D41" s="1"/>
      <c r="E41" s="1"/>
      <c r="F41" s="1"/>
      <c r="G41" s="1"/>
      <c r="N41" s="1" t="s">
        <v>1613</v>
      </c>
      <c r="AJ41" s="2">
        <f t="shared" si="0"/>
        <v>1</v>
      </c>
      <c r="AL41" s="2">
        <f t="shared" si="1"/>
        <v>1</v>
      </c>
    </row>
    <row r="42" spans="1:38" x14ac:dyDescent="0.35">
      <c r="A42" s="5" t="s">
        <v>1614</v>
      </c>
      <c r="B42" s="5"/>
      <c r="C42" s="5"/>
      <c r="D42" s="1"/>
      <c r="E42" s="1"/>
      <c r="F42" s="1"/>
      <c r="G42" s="1"/>
      <c r="N42" s="1" t="s">
        <v>1615</v>
      </c>
      <c r="AJ42" s="2">
        <f t="shared" si="0"/>
        <v>1</v>
      </c>
      <c r="AL42" s="2">
        <f t="shared" si="1"/>
        <v>1</v>
      </c>
    </row>
    <row r="43" spans="1:38" ht="29" x14ac:dyDescent="0.35">
      <c r="A43" s="5" t="s">
        <v>768</v>
      </c>
      <c r="B43" s="5"/>
      <c r="C43" s="5"/>
      <c r="D43" s="1"/>
      <c r="E43" s="1"/>
      <c r="F43" s="1"/>
      <c r="G43" s="1"/>
      <c r="H43" s="12"/>
      <c r="I43" s="70" t="s">
        <v>300</v>
      </c>
      <c r="J43" s="18" t="s">
        <v>1014</v>
      </c>
      <c r="AJ43" s="2">
        <f t="shared" si="0"/>
        <v>2</v>
      </c>
      <c r="AL43" s="2">
        <f t="shared" si="1"/>
        <v>2</v>
      </c>
    </row>
    <row r="44" spans="1:38" ht="43.5" x14ac:dyDescent="0.35">
      <c r="A44" s="5" t="s">
        <v>2170</v>
      </c>
      <c r="B44" s="5"/>
      <c r="C44" s="33"/>
      <c r="D44" s="21"/>
      <c r="E44" s="1"/>
      <c r="F44" s="1"/>
      <c r="G44" s="1"/>
      <c r="Q44" s="54" t="s">
        <v>1443</v>
      </c>
      <c r="R44" s="53" t="s">
        <v>2171</v>
      </c>
      <c r="U44" s="1" t="s">
        <v>930</v>
      </c>
      <c r="AJ44" s="2">
        <f t="shared" si="0"/>
        <v>3</v>
      </c>
      <c r="AL44" s="2">
        <f t="shared" si="1"/>
        <v>1</v>
      </c>
    </row>
    <row r="45" spans="1:38" ht="29" x14ac:dyDescent="0.35">
      <c r="A45" s="24" t="s">
        <v>2238</v>
      </c>
      <c r="B45" s="5"/>
      <c r="C45" s="31"/>
      <c r="D45" s="21"/>
      <c r="E45" s="1"/>
      <c r="F45" s="1"/>
      <c r="G45" s="1"/>
      <c r="S45" s="53" t="s">
        <v>11</v>
      </c>
      <c r="V45" s="1" t="s">
        <v>183</v>
      </c>
      <c r="AJ45" s="2">
        <f t="shared" si="0"/>
        <v>2</v>
      </c>
      <c r="AL45" s="2">
        <f t="shared" si="1"/>
        <v>1</v>
      </c>
    </row>
    <row r="46" spans="1:38" ht="29" x14ac:dyDescent="0.35">
      <c r="A46" s="24" t="s">
        <v>2240</v>
      </c>
      <c r="B46" s="5"/>
      <c r="C46" s="31"/>
      <c r="D46" s="21"/>
      <c r="E46" s="1"/>
      <c r="F46" s="1"/>
      <c r="G46" s="1"/>
      <c r="S46" s="53" t="s">
        <v>189</v>
      </c>
      <c r="V46" s="1" t="s">
        <v>11</v>
      </c>
      <c r="AJ46" s="2">
        <f t="shared" si="0"/>
        <v>2</v>
      </c>
      <c r="AL46" s="2">
        <f t="shared" si="1"/>
        <v>1</v>
      </c>
    </row>
    <row r="47" spans="1:38" ht="29" x14ac:dyDescent="0.35">
      <c r="A47" s="24" t="s">
        <v>2592</v>
      </c>
      <c r="B47" s="5"/>
      <c r="C47" s="31"/>
      <c r="D47" s="21"/>
      <c r="E47" s="1"/>
      <c r="F47" s="1"/>
      <c r="G47" s="1"/>
      <c r="Q47" s="54" t="s">
        <v>1008</v>
      </c>
      <c r="R47" s="53" t="s">
        <v>2023</v>
      </c>
      <c r="Z47" s="54" t="s">
        <v>187</v>
      </c>
      <c r="AE47" s="1" t="s">
        <v>82</v>
      </c>
      <c r="AJ47" s="2">
        <f t="shared" si="0"/>
        <v>4</v>
      </c>
      <c r="AL47" s="2">
        <f t="shared" si="1"/>
        <v>1</v>
      </c>
    </row>
    <row r="48" spans="1:38" ht="29" x14ac:dyDescent="0.35">
      <c r="A48" s="24" t="s">
        <v>2590</v>
      </c>
      <c r="B48" s="5"/>
      <c r="C48" s="31"/>
      <c r="D48" s="21"/>
      <c r="E48" s="1"/>
      <c r="F48" s="1"/>
      <c r="G48" s="1"/>
      <c r="Q48" s="54" t="s">
        <v>1019</v>
      </c>
      <c r="R48" s="53" t="s">
        <v>2035</v>
      </c>
      <c r="Z48" s="54" t="s">
        <v>192</v>
      </c>
      <c r="AE48" s="1" t="s">
        <v>441</v>
      </c>
      <c r="AJ48" s="2">
        <f t="shared" si="0"/>
        <v>4</v>
      </c>
      <c r="AL48" s="2">
        <f t="shared" si="1"/>
        <v>1</v>
      </c>
    </row>
    <row r="49" spans="1:38" ht="29" x14ac:dyDescent="0.35">
      <c r="A49" s="24" t="s">
        <v>2591</v>
      </c>
      <c r="B49" s="5"/>
      <c r="C49" s="31"/>
      <c r="D49" s="21"/>
      <c r="E49" s="1"/>
      <c r="F49" s="1"/>
      <c r="G49" s="1"/>
      <c r="T49" s="1" t="s">
        <v>973</v>
      </c>
      <c r="AJ49" s="2">
        <f t="shared" si="0"/>
        <v>1</v>
      </c>
      <c r="AL49" s="2">
        <f t="shared" si="1"/>
        <v>0</v>
      </c>
    </row>
    <row r="50" spans="1:38" ht="29" x14ac:dyDescent="0.35">
      <c r="A50" s="24" t="s">
        <v>2311</v>
      </c>
      <c r="B50" s="5"/>
      <c r="C50" s="31"/>
      <c r="D50" s="21"/>
      <c r="E50" s="1"/>
      <c r="F50" s="1"/>
      <c r="G50" s="1"/>
      <c r="T50" s="1" t="s">
        <v>980</v>
      </c>
      <c r="AJ50" s="2">
        <f t="shared" si="0"/>
        <v>1</v>
      </c>
      <c r="AL50" s="2">
        <f t="shared" si="1"/>
        <v>0</v>
      </c>
    </row>
    <row r="51" spans="1:38" ht="29" x14ac:dyDescent="0.35">
      <c r="A51" s="24" t="s">
        <v>2417</v>
      </c>
      <c r="B51" s="5"/>
      <c r="C51" s="31"/>
      <c r="D51" s="21"/>
      <c r="E51" s="1"/>
      <c r="F51" s="1"/>
      <c r="G51" s="1"/>
      <c r="U51" s="1" t="s">
        <v>875</v>
      </c>
      <c r="AJ51" s="2">
        <f t="shared" si="0"/>
        <v>1</v>
      </c>
      <c r="AL51" s="2">
        <f t="shared" si="1"/>
        <v>0</v>
      </c>
    </row>
    <row r="52" spans="1:38" ht="43.5" x14ac:dyDescent="0.35">
      <c r="A52" s="24" t="s">
        <v>2555</v>
      </c>
      <c r="B52" s="5"/>
      <c r="C52" s="31"/>
      <c r="D52" s="21"/>
      <c r="E52" s="1"/>
      <c r="F52" s="1"/>
      <c r="G52" s="1"/>
      <c r="V52" s="1" t="s">
        <v>120</v>
      </c>
      <c r="AJ52" s="2">
        <f t="shared" si="0"/>
        <v>1</v>
      </c>
      <c r="AL52" s="2">
        <f t="shared" si="1"/>
        <v>0</v>
      </c>
    </row>
    <row r="53" spans="1:38" ht="29" x14ac:dyDescent="0.35">
      <c r="A53" s="24" t="s">
        <v>2473</v>
      </c>
      <c r="B53" s="5"/>
      <c r="C53" s="31"/>
      <c r="D53" s="21"/>
      <c r="E53" s="1"/>
      <c r="F53" s="1"/>
      <c r="G53" s="1"/>
      <c r="U53" s="54" t="s">
        <v>1734</v>
      </c>
      <c r="V53" s="53" t="s">
        <v>532</v>
      </c>
      <c r="AB53" s="53" t="s">
        <v>2779</v>
      </c>
      <c r="AC53" s="53" t="s">
        <v>2005</v>
      </c>
      <c r="AD53" s="53" t="s">
        <v>2890</v>
      </c>
      <c r="AE53" s="1" t="s">
        <v>1244</v>
      </c>
      <c r="AJ53" s="2">
        <f t="shared" si="0"/>
        <v>6</v>
      </c>
      <c r="AL53" s="2">
        <f t="shared" si="1"/>
        <v>0</v>
      </c>
    </row>
    <row r="54" spans="1:38" ht="29" x14ac:dyDescent="0.35">
      <c r="A54" s="24" t="s">
        <v>2589</v>
      </c>
      <c r="B54" s="5"/>
      <c r="C54" s="31"/>
      <c r="D54" s="21"/>
      <c r="E54" s="1"/>
      <c r="F54" s="1"/>
      <c r="G54" s="1"/>
      <c r="Z54" s="54" t="s">
        <v>190</v>
      </c>
      <c r="AD54" s="1" t="s">
        <v>1458</v>
      </c>
      <c r="AJ54" s="2">
        <f t="shared" si="0"/>
        <v>2</v>
      </c>
      <c r="AL54" s="2">
        <f t="shared" si="1"/>
        <v>0</v>
      </c>
    </row>
    <row r="55" spans="1:38" ht="29" x14ac:dyDescent="0.35">
      <c r="A55" s="24" t="s">
        <v>2631</v>
      </c>
      <c r="B55" s="5"/>
      <c r="C55" s="31"/>
      <c r="D55" s="21"/>
      <c r="E55" s="1"/>
      <c r="F55" s="1"/>
      <c r="G55" s="1"/>
      <c r="Z55" s="1" t="s">
        <v>513</v>
      </c>
      <c r="AJ55" s="2">
        <f t="shared" si="0"/>
        <v>1</v>
      </c>
      <c r="AL55" s="2">
        <f t="shared" si="1"/>
        <v>0</v>
      </c>
    </row>
    <row r="56" spans="1:38" ht="29" x14ac:dyDescent="0.35">
      <c r="A56" s="24" t="s">
        <v>2632</v>
      </c>
      <c r="B56" s="5"/>
      <c r="C56" s="31"/>
      <c r="D56" s="21"/>
      <c r="E56" s="1"/>
      <c r="F56" s="1"/>
      <c r="G56" s="1"/>
      <c r="Z56" s="1" t="s">
        <v>264</v>
      </c>
      <c r="AJ56" s="2">
        <f t="shared" si="0"/>
        <v>1</v>
      </c>
      <c r="AL56" s="2">
        <f t="shared" si="1"/>
        <v>0</v>
      </c>
    </row>
    <row r="57" spans="1:38" ht="29" x14ac:dyDescent="0.35">
      <c r="A57" s="24" t="s">
        <v>2633</v>
      </c>
      <c r="B57" s="5"/>
      <c r="C57" s="31"/>
      <c r="D57" s="21"/>
      <c r="E57" s="1"/>
      <c r="F57" s="1"/>
      <c r="G57" s="1"/>
      <c r="Z57" s="1" t="s">
        <v>265</v>
      </c>
      <c r="AJ57" s="2">
        <f t="shared" si="0"/>
        <v>1</v>
      </c>
      <c r="AL57" s="2">
        <f t="shared" si="1"/>
        <v>0</v>
      </c>
    </row>
    <row r="58" spans="1:38" ht="29" x14ac:dyDescent="0.35">
      <c r="A58" s="5" t="s">
        <v>2798</v>
      </c>
      <c r="B58" s="5"/>
      <c r="C58" s="5"/>
      <c r="D58" s="1"/>
      <c r="E58" s="1"/>
      <c r="F58" s="1"/>
      <c r="G58" s="1"/>
      <c r="AC58" s="1" t="s">
        <v>1970</v>
      </c>
      <c r="AJ58" s="2">
        <f t="shared" si="0"/>
        <v>1</v>
      </c>
      <c r="AL58" s="2">
        <f t="shared" si="1"/>
        <v>0</v>
      </c>
    </row>
    <row r="59" spans="1:38" ht="29" x14ac:dyDescent="0.35">
      <c r="A59" s="24" t="s">
        <v>2799</v>
      </c>
      <c r="B59" s="5"/>
      <c r="C59" s="31"/>
      <c r="D59" s="21"/>
      <c r="E59" s="1"/>
      <c r="F59" s="1"/>
      <c r="G59" s="1"/>
      <c r="AC59" s="1" t="s">
        <v>2797</v>
      </c>
      <c r="AJ59" s="2">
        <f t="shared" si="0"/>
        <v>1</v>
      </c>
      <c r="AL59" s="2">
        <f t="shared" si="1"/>
        <v>0</v>
      </c>
    </row>
    <row r="60" spans="1:38" x14ac:dyDescent="0.35">
      <c r="A60" s="24" t="s">
        <v>2800</v>
      </c>
      <c r="B60" s="5"/>
      <c r="C60" s="31"/>
      <c r="D60" s="21"/>
      <c r="E60" s="1"/>
      <c r="F60" s="1"/>
      <c r="G60" s="1"/>
      <c r="AC60" s="1" t="s">
        <v>1971</v>
      </c>
      <c r="AJ60" s="2">
        <f t="shared" si="0"/>
        <v>1</v>
      </c>
      <c r="AL60" s="2">
        <f t="shared" si="1"/>
        <v>0</v>
      </c>
    </row>
    <row r="61" spans="1:38" x14ac:dyDescent="0.35">
      <c r="A61" s="24" t="s">
        <v>2882</v>
      </c>
      <c r="B61" s="5"/>
      <c r="C61" s="31"/>
      <c r="D61" s="21"/>
      <c r="E61" s="1"/>
      <c r="F61" s="1"/>
      <c r="G61" s="1"/>
      <c r="AD61" s="1" t="s">
        <v>1487</v>
      </c>
      <c r="AJ61" s="2">
        <f t="shared" si="0"/>
        <v>1</v>
      </c>
      <c r="AL61" s="2">
        <f t="shared" si="1"/>
        <v>0</v>
      </c>
    </row>
    <row r="62" spans="1:38" x14ac:dyDescent="0.35">
      <c r="A62" s="24" t="s">
        <v>2883</v>
      </c>
      <c r="B62" s="5"/>
      <c r="C62" s="31"/>
      <c r="D62" s="21"/>
      <c r="E62" s="1"/>
      <c r="F62" s="1"/>
      <c r="G62" s="1"/>
      <c r="AD62" s="1" t="s">
        <v>1488</v>
      </c>
      <c r="AJ62" s="2">
        <f t="shared" si="0"/>
        <v>1</v>
      </c>
      <c r="AL62" s="2">
        <f t="shared" si="1"/>
        <v>0</v>
      </c>
    </row>
    <row r="63" spans="1:38" x14ac:dyDescent="0.35">
      <c r="A63" s="24" t="s">
        <v>2885</v>
      </c>
      <c r="B63" s="5"/>
      <c r="C63" s="31"/>
      <c r="D63" s="21"/>
      <c r="E63" s="1"/>
      <c r="F63" s="1"/>
      <c r="G63" s="1"/>
      <c r="AD63" s="1" t="s">
        <v>2884</v>
      </c>
      <c r="AJ63" s="2">
        <f t="shared" si="0"/>
        <v>1</v>
      </c>
      <c r="AL63" s="2">
        <f t="shared" si="1"/>
        <v>0</v>
      </c>
    </row>
    <row r="64" spans="1:38" ht="29" x14ac:dyDescent="0.35">
      <c r="A64" s="5" t="s">
        <v>2593</v>
      </c>
      <c r="B64" s="5"/>
      <c r="C64" s="5"/>
      <c r="D64" s="1"/>
      <c r="E64" s="1"/>
      <c r="F64" s="1"/>
      <c r="G64" s="1"/>
      <c r="Z64" s="1" t="s">
        <v>33</v>
      </c>
      <c r="AJ64" s="2">
        <f t="shared" si="0"/>
        <v>1</v>
      </c>
      <c r="AL64" s="2">
        <f t="shared" si="1"/>
        <v>0</v>
      </c>
    </row>
    <row r="65" spans="1:38" ht="29" x14ac:dyDescent="0.35">
      <c r="A65" s="5" t="s">
        <v>21</v>
      </c>
      <c r="B65" s="5"/>
      <c r="C65" s="5"/>
      <c r="D65" s="1" t="s">
        <v>22</v>
      </c>
      <c r="E65" s="1"/>
      <c r="F65" s="1"/>
      <c r="G65" s="1"/>
      <c r="AJ65" s="2">
        <f t="shared" si="0"/>
        <v>1</v>
      </c>
      <c r="AL65" s="2">
        <f t="shared" si="1"/>
        <v>0</v>
      </c>
    </row>
    <row r="66" spans="1:38" ht="29" x14ac:dyDescent="0.35">
      <c r="A66" s="24" t="s">
        <v>3143</v>
      </c>
      <c r="B66" s="76" t="s">
        <v>3144</v>
      </c>
      <c r="C66" s="31" t="s">
        <v>3144</v>
      </c>
      <c r="D66" s="21"/>
      <c r="E66" s="1"/>
      <c r="F66" s="1"/>
      <c r="G66" s="1"/>
      <c r="AJ66" s="2">
        <f t="shared" si="0"/>
        <v>2</v>
      </c>
      <c r="AL66" s="2">
        <f t="shared" si="1"/>
        <v>0</v>
      </c>
    </row>
    <row r="67" spans="1:38" x14ac:dyDescent="0.35">
      <c r="A67" s="24" t="s">
        <v>3149</v>
      </c>
      <c r="B67" s="5"/>
      <c r="C67" s="31" t="s">
        <v>3150</v>
      </c>
      <c r="D67" s="21"/>
      <c r="E67" s="1"/>
      <c r="F67" s="1"/>
      <c r="G67" s="1"/>
      <c r="AJ67" s="2">
        <f>COUNTA(B67:AH67)</f>
        <v>1</v>
      </c>
      <c r="AL67" s="2">
        <f>COUNTA(F67:O67,R67:S67)</f>
        <v>0</v>
      </c>
    </row>
    <row r="68" spans="1:38" x14ac:dyDescent="0.35">
      <c r="A68" s="24" t="s">
        <v>3156</v>
      </c>
      <c r="B68" s="5"/>
      <c r="C68" s="31" t="s">
        <v>3157</v>
      </c>
      <c r="D68" s="21"/>
      <c r="E68" s="1"/>
      <c r="F68" s="1"/>
      <c r="G68" s="1"/>
      <c r="AJ68" s="2">
        <f>COUNTA(B68:AH68)</f>
        <v>1</v>
      </c>
      <c r="AL68" s="2">
        <f>COUNTA(F68:O68,R68:S68)</f>
        <v>0</v>
      </c>
    </row>
    <row r="69" spans="1:38" ht="29" x14ac:dyDescent="0.35">
      <c r="A69" s="5" t="s">
        <v>1251</v>
      </c>
      <c r="B69" s="5"/>
      <c r="C69" s="5"/>
      <c r="D69" s="1"/>
      <c r="E69" s="1"/>
      <c r="F69" s="1"/>
      <c r="G69" s="1"/>
      <c r="L69" s="54" t="s">
        <v>974</v>
      </c>
      <c r="M69" s="54" t="s">
        <v>1440</v>
      </c>
      <c r="N69" s="1" t="s">
        <v>1611</v>
      </c>
      <c r="AJ69" s="2">
        <f>COUNTA(B69:AH69)</f>
        <v>3</v>
      </c>
      <c r="AL69" s="2">
        <f>COUNTA(F69:O69,R69:S69)</f>
        <v>3</v>
      </c>
    </row>
    <row r="70" spans="1:38" x14ac:dyDescent="0.35">
      <c r="A70" s="24" t="s">
        <v>3212</v>
      </c>
      <c r="B70" s="76" t="s">
        <v>3213</v>
      </c>
      <c r="C70" s="31" t="s">
        <v>3213</v>
      </c>
      <c r="D70" s="21"/>
      <c r="E70" s="1"/>
      <c r="F70" s="1"/>
      <c r="G70" s="1"/>
      <c r="AJ70" s="2">
        <f>COUNTA(B70:AH70)</f>
        <v>2</v>
      </c>
      <c r="AL70" s="2">
        <f>COUNTA(F70:O70,R70:S70)</f>
        <v>0</v>
      </c>
    </row>
    <row r="71" spans="1:38" ht="29" x14ac:dyDescent="0.35">
      <c r="A71" s="24" t="s">
        <v>3267</v>
      </c>
      <c r="B71" s="1" t="s">
        <v>3268</v>
      </c>
      <c r="C71" s="31"/>
      <c r="D71" s="21"/>
      <c r="E71" s="1"/>
      <c r="F71" s="1"/>
      <c r="G71" s="1"/>
    </row>
    <row r="72" spans="1:38" x14ac:dyDescent="0.35">
      <c r="A72" s="24"/>
      <c r="B72" s="1"/>
      <c r="C72" s="31"/>
      <c r="D72" s="21"/>
      <c r="E72" s="1"/>
      <c r="F72" s="1"/>
      <c r="G72" s="1"/>
    </row>
    <row r="73" spans="1:38" x14ac:dyDescent="0.35">
      <c r="A73" s="24"/>
      <c r="B73" s="1"/>
      <c r="C73" s="31"/>
      <c r="D73" s="21"/>
      <c r="E73" s="1"/>
      <c r="F73" s="1"/>
      <c r="G73" s="1"/>
    </row>
    <row r="74" spans="1:38" x14ac:dyDescent="0.35">
      <c r="A74" s="24"/>
      <c r="B74" s="1"/>
      <c r="C74" s="31"/>
      <c r="D74" s="21"/>
      <c r="E74" s="1"/>
      <c r="F74" s="1"/>
      <c r="G74" s="1"/>
    </row>
    <row r="75" spans="1:38" x14ac:dyDescent="0.35">
      <c r="A75" s="24"/>
      <c r="B75" s="1"/>
      <c r="C75" s="31"/>
      <c r="D75" s="21"/>
      <c r="E75" s="1"/>
      <c r="F75" s="1"/>
      <c r="G75" s="1"/>
    </row>
    <row r="76" spans="1:38" x14ac:dyDescent="0.35">
      <c r="A76" s="24"/>
      <c r="B76" s="1"/>
      <c r="C76" s="31"/>
      <c r="D76" s="21"/>
      <c r="E76" s="1"/>
      <c r="F76" s="1"/>
      <c r="G76" s="1"/>
    </row>
    <row r="77" spans="1:38" x14ac:dyDescent="0.35">
      <c r="A77" s="24"/>
      <c r="B77" s="1"/>
      <c r="C77" s="31"/>
      <c r="D77" s="21"/>
      <c r="E77" s="1"/>
      <c r="F77" s="1"/>
      <c r="G77" s="1"/>
    </row>
    <row r="78" spans="1:38" x14ac:dyDescent="0.35">
      <c r="A78" s="24"/>
      <c r="B78" s="1"/>
      <c r="C78" s="31"/>
      <c r="D78" s="21"/>
      <c r="E78" s="1"/>
      <c r="F78" s="1"/>
      <c r="G78" s="1"/>
    </row>
    <row r="79" spans="1:38" x14ac:dyDescent="0.35">
      <c r="A79" s="24"/>
      <c r="B79" s="1"/>
      <c r="C79" s="31"/>
      <c r="D79" s="21"/>
      <c r="E79" s="1"/>
      <c r="F79" s="1"/>
      <c r="G79" s="1"/>
    </row>
    <row r="80" spans="1:38" x14ac:dyDescent="0.35">
      <c r="A80" s="24"/>
      <c r="B80" s="5"/>
      <c r="C80" s="31"/>
      <c r="D80" s="21"/>
      <c r="E80" s="1"/>
      <c r="F80" s="1"/>
      <c r="G80" s="1"/>
    </row>
    <row r="81" spans="1:7" x14ac:dyDescent="0.35">
      <c r="A81" s="24"/>
      <c r="B81" s="1"/>
      <c r="C81" s="31"/>
      <c r="D81" s="21"/>
      <c r="E81" s="1"/>
      <c r="F81" s="1"/>
      <c r="G81" s="1"/>
    </row>
    <row r="82" spans="1:7" x14ac:dyDescent="0.35">
      <c r="A82" s="24"/>
      <c r="B82" s="1"/>
      <c r="C82" s="31"/>
      <c r="D82" s="21"/>
      <c r="E82" s="1"/>
      <c r="F82" s="1"/>
      <c r="G82" s="1"/>
    </row>
    <row r="83" spans="1:7" x14ac:dyDescent="0.35">
      <c r="A83" s="24"/>
      <c r="B83" s="1"/>
      <c r="C83" s="31"/>
      <c r="D83" s="21"/>
      <c r="E83" s="1"/>
      <c r="F83" s="1"/>
      <c r="G83" s="1"/>
    </row>
    <row r="84" spans="1:7" x14ac:dyDescent="0.35">
      <c r="A84" s="24"/>
      <c r="B84" s="1"/>
      <c r="C84" s="31"/>
      <c r="D84" s="21"/>
      <c r="E84" s="1"/>
      <c r="F84" s="1"/>
      <c r="G84" s="1"/>
    </row>
    <row r="85" spans="1:7" x14ac:dyDescent="0.35">
      <c r="A85" s="24"/>
      <c r="B85" s="1"/>
      <c r="C85" s="31"/>
      <c r="D85" s="21"/>
      <c r="E85" s="1"/>
      <c r="F85" s="1"/>
      <c r="G85" s="1"/>
    </row>
    <row r="86" spans="1:7" x14ac:dyDescent="0.35">
      <c r="A86" s="24"/>
      <c r="B86" s="1"/>
      <c r="C86" s="31"/>
      <c r="D86" s="21"/>
      <c r="E86" s="1"/>
      <c r="F86" s="1"/>
      <c r="G86" s="1"/>
    </row>
    <row r="87" spans="1:7" x14ac:dyDescent="0.35">
      <c r="A87" s="24"/>
      <c r="B87" s="1"/>
      <c r="C87" s="31"/>
      <c r="D87" s="21"/>
      <c r="E87" s="1"/>
      <c r="F87" s="1"/>
      <c r="G87" s="1"/>
    </row>
    <row r="88" spans="1:7" x14ac:dyDescent="0.35">
      <c r="A88" s="24"/>
      <c r="B88" s="1"/>
      <c r="C88" s="31"/>
      <c r="D88" s="21"/>
      <c r="E88" s="1"/>
      <c r="F88" s="1"/>
      <c r="G88" s="1"/>
    </row>
    <row r="89" spans="1:7" x14ac:dyDescent="0.35">
      <c r="A89" s="24"/>
      <c r="B89" s="1"/>
      <c r="C89" s="31"/>
      <c r="D89" s="21"/>
      <c r="E89" s="1"/>
      <c r="F89" s="1"/>
      <c r="G89" s="1"/>
    </row>
    <row r="90" spans="1:7" x14ac:dyDescent="0.35">
      <c r="A90" s="24"/>
      <c r="B90" s="1"/>
      <c r="C90" s="31"/>
      <c r="D90" s="21"/>
      <c r="E90" s="1"/>
      <c r="F90" s="1"/>
      <c r="G90" s="1"/>
    </row>
    <row r="91" spans="1:7" x14ac:dyDescent="0.35">
      <c r="A91" s="24"/>
      <c r="B91" s="1"/>
      <c r="C91" s="31"/>
      <c r="D91" s="21"/>
      <c r="E91" s="1"/>
      <c r="F91" s="1"/>
      <c r="G91" s="1"/>
    </row>
    <row r="92" spans="1:7" x14ac:dyDescent="0.35">
      <c r="A92" s="24"/>
      <c r="B92" s="1"/>
      <c r="C92" s="31"/>
      <c r="D92" s="21"/>
      <c r="E92" s="1"/>
      <c r="F92" s="1"/>
      <c r="G92" s="1"/>
    </row>
    <row r="93" spans="1:7" x14ac:dyDescent="0.35">
      <c r="A93" s="24"/>
      <c r="B93" s="1"/>
      <c r="C93" s="31"/>
      <c r="D93" s="21"/>
      <c r="E93" s="1"/>
      <c r="F93" s="1"/>
      <c r="G93" s="1"/>
    </row>
    <row r="94" spans="1:7" x14ac:dyDescent="0.35">
      <c r="A94" s="24"/>
      <c r="B94" s="1"/>
      <c r="C94" s="31"/>
      <c r="D94" s="21"/>
      <c r="E94" s="1"/>
      <c r="F94" s="1"/>
      <c r="G94" s="1"/>
    </row>
    <row r="95" spans="1:7" x14ac:dyDescent="0.35">
      <c r="A95" s="24"/>
      <c r="B95" s="1"/>
      <c r="C95" s="31"/>
      <c r="D95" s="21"/>
      <c r="E95" s="1"/>
      <c r="F95" s="1"/>
      <c r="G95" s="1"/>
    </row>
    <row r="96" spans="1:7" x14ac:dyDescent="0.35">
      <c r="A96" s="24"/>
      <c r="B96" s="1"/>
      <c r="C96" s="31"/>
      <c r="D96" s="21"/>
      <c r="E96" s="1"/>
      <c r="F96" s="1"/>
      <c r="G96" s="1"/>
    </row>
    <row r="97" spans="1:7" x14ac:dyDescent="0.35">
      <c r="A97" s="24"/>
      <c r="B97" s="1"/>
      <c r="C97" s="31"/>
      <c r="D97" s="21"/>
      <c r="E97" s="1"/>
      <c r="F97" s="1"/>
      <c r="G97" s="1"/>
    </row>
    <row r="98" spans="1:7" x14ac:dyDescent="0.35">
      <c r="A98" s="24"/>
      <c r="B98" s="1"/>
      <c r="C98" s="31"/>
      <c r="D98" s="21"/>
      <c r="E98" s="1"/>
      <c r="F98" s="1"/>
      <c r="G98" s="1"/>
    </row>
    <row r="99" spans="1:7" x14ac:dyDescent="0.35">
      <c r="A99" s="24"/>
      <c r="B99" s="1"/>
      <c r="C99" s="31"/>
      <c r="D99" s="21"/>
      <c r="E99" s="1"/>
      <c r="F99" s="1"/>
      <c r="G99" s="1"/>
    </row>
    <row r="100" spans="1:7" x14ac:dyDescent="0.35">
      <c r="A100" s="24"/>
      <c r="B100" s="1"/>
      <c r="C100" s="31"/>
      <c r="D100" s="21"/>
      <c r="E100" s="1"/>
      <c r="F100" s="1"/>
      <c r="G100" s="1"/>
    </row>
    <row r="101" spans="1:7" x14ac:dyDescent="0.35">
      <c r="A101" s="24"/>
      <c r="B101" s="1"/>
      <c r="C101" s="31"/>
      <c r="D101" s="21"/>
      <c r="E101" s="1"/>
      <c r="F101" s="1"/>
      <c r="G101" s="1"/>
    </row>
    <row r="102" spans="1:7" x14ac:dyDescent="0.35">
      <c r="A102" s="24"/>
      <c r="B102" s="1"/>
      <c r="C102" s="31"/>
      <c r="D102" s="21"/>
      <c r="E102" s="1"/>
      <c r="F102" s="1"/>
      <c r="G102" s="1"/>
    </row>
    <row r="103" spans="1:7" x14ac:dyDescent="0.35">
      <c r="A103" s="24"/>
      <c r="B103" s="1"/>
      <c r="C103" s="31"/>
      <c r="D103" s="21"/>
      <c r="E103" s="1"/>
      <c r="F103" s="1"/>
      <c r="G103" s="1"/>
    </row>
    <row r="104" spans="1:7" x14ac:dyDescent="0.35">
      <c r="A104" s="24"/>
      <c r="B104" s="1"/>
      <c r="C104" s="31"/>
      <c r="D104" s="21"/>
      <c r="E104" s="1"/>
      <c r="F104" s="1"/>
      <c r="G104" s="1"/>
    </row>
    <row r="105" spans="1:7" x14ac:dyDescent="0.35">
      <c r="A105" s="24"/>
      <c r="B105" s="1"/>
      <c r="C105" s="31"/>
      <c r="D105" s="21"/>
      <c r="E105" s="1"/>
      <c r="F105" s="1"/>
      <c r="G105" s="1"/>
    </row>
    <row r="106" spans="1:7" x14ac:dyDescent="0.35">
      <c r="A106" s="24"/>
      <c r="B106" s="1"/>
      <c r="C106" s="31"/>
      <c r="D106" s="21"/>
      <c r="E106" s="1"/>
      <c r="F106" s="1"/>
      <c r="G106" s="1"/>
    </row>
    <row r="107" spans="1:7" x14ac:dyDescent="0.35">
      <c r="A107" s="24"/>
      <c r="B107" s="1"/>
      <c r="C107" s="31"/>
      <c r="D107" s="21"/>
      <c r="E107" s="1"/>
      <c r="F107" s="1"/>
      <c r="G107" s="1"/>
    </row>
    <row r="108" spans="1:7" x14ac:dyDescent="0.35">
      <c r="A108" s="24"/>
      <c r="B108" s="1"/>
      <c r="C108" s="31"/>
      <c r="D108" s="21"/>
      <c r="E108" s="1"/>
      <c r="F108" s="1"/>
      <c r="G108" s="1"/>
    </row>
    <row r="109" spans="1:7" x14ac:dyDescent="0.35">
      <c r="A109" s="24"/>
      <c r="B109" s="1"/>
      <c r="C109" s="31"/>
      <c r="D109" s="21"/>
      <c r="E109" s="1"/>
      <c r="F109" s="1"/>
      <c r="G109" s="1"/>
    </row>
    <row r="110" spans="1:7" x14ac:dyDescent="0.35">
      <c r="A110" s="24"/>
      <c r="B110" s="1"/>
      <c r="C110" s="31"/>
      <c r="D110" s="21"/>
      <c r="E110" s="1"/>
      <c r="F110" s="1"/>
      <c r="G110" s="1"/>
    </row>
    <row r="111" spans="1:7" x14ac:dyDescent="0.35">
      <c r="A111" s="24"/>
      <c r="B111" s="1"/>
      <c r="C111" s="31"/>
      <c r="D111" s="21"/>
      <c r="E111" s="1"/>
      <c r="F111" s="1"/>
      <c r="G111" s="1"/>
    </row>
    <row r="112" spans="1:7" x14ac:dyDescent="0.35">
      <c r="A112" s="24"/>
      <c r="B112" s="1"/>
      <c r="C112" s="31"/>
      <c r="D112" s="21"/>
      <c r="E112" s="1"/>
      <c r="F112" s="1"/>
      <c r="G112" s="1"/>
    </row>
    <row r="113" spans="1:7" x14ac:dyDescent="0.35">
      <c r="A113" s="24"/>
      <c r="B113" s="1"/>
      <c r="C113" s="31"/>
      <c r="D113" s="21"/>
      <c r="E113" s="1"/>
      <c r="F113" s="1"/>
      <c r="G113" s="1"/>
    </row>
    <row r="114" spans="1:7" x14ac:dyDescent="0.35">
      <c r="A114" s="24"/>
      <c r="B114" s="1"/>
      <c r="C114" s="31"/>
      <c r="D114" s="21"/>
      <c r="E114" s="1"/>
      <c r="F114" s="1"/>
      <c r="G114" s="1"/>
    </row>
    <row r="115" spans="1:7" x14ac:dyDescent="0.35">
      <c r="A115" s="24"/>
      <c r="B115" s="1"/>
      <c r="C115" s="31"/>
      <c r="D115" s="21"/>
      <c r="E115" s="1"/>
      <c r="F115" s="1"/>
      <c r="G115" s="1"/>
    </row>
    <row r="116" spans="1:7" x14ac:dyDescent="0.35">
      <c r="A116" s="24"/>
      <c r="B116" s="1"/>
      <c r="C116" s="31"/>
      <c r="D116" s="21"/>
      <c r="E116" s="1"/>
      <c r="F116" s="1"/>
      <c r="G116" s="1"/>
    </row>
    <row r="117" spans="1:7" x14ac:dyDescent="0.35">
      <c r="A117" s="24"/>
      <c r="B117" s="1"/>
      <c r="C117" s="31"/>
      <c r="D117" s="21"/>
      <c r="E117" s="1"/>
      <c r="F117" s="1"/>
      <c r="G117" s="1"/>
    </row>
    <row r="118" spans="1:7" x14ac:dyDescent="0.35">
      <c r="A118" s="24"/>
      <c r="B118" s="1"/>
      <c r="C118" s="31"/>
      <c r="D118" s="21"/>
      <c r="E118" s="1"/>
      <c r="F118" s="1"/>
      <c r="G118" s="1"/>
    </row>
    <row r="119" spans="1:7" x14ac:dyDescent="0.35">
      <c r="A119" s="24"/>
      <c r="B119" s="1"/>
      <c r="C119" s="31"/>
      <c r="D119" s="21"/>
      <c r="E119" s="1"/>
      <c r="F119" s="1"/>
      <c r="G119" s="1"/>
    </row>
    <row r="120" spans="1:7" x14ac:dyDescent="0.35">
      <c r="A120" s="24"/>
      <c r="B120" s="1"/>
      <c r="C120" s="31"/>
      <c r="D120" s="21"/>
      <c r="E120" s="1"/>
      <c r="F120" s="1"/>
      <c r="G120" s="1"/>
    </row>
    <row r="121" spans="1:7" x14ac:dyDescent="0.35">
      <c r="A121" s="24"/>
      <c r="B121" s="1"/>
      <c r="C121" s="31"/>
      <c r="D121" s="21"/>
      <c r="E121" s="1"/>
      <c r="F121" s="1"/>
      <c r="G121" s="1"/>
    </row>
    <row r="122" spans="1:7" x14ac:dyDescent="0.35">
      <c r="A122" s="24"/>
      <c r="B122" s="1"/>
      <c r="C122" s="31"/>
      <c r="D122" s="21"/>
      <c r="E122" s="1"/>
      <c r="F122" s="1"/>
      <c r="G122" s="1"/>
    </row>
    <row r="123" spans="1:7" x14ac:dyDescent="0.35">
      <c r="A123" s="24"/>
      <c r="B123" s="1"/>
      <c r="C123" s="31"/>
      <c r="D123" s="21"/>
      <c r="E123" s="1"/>
      <c r="F123" s="1"/>
      <c r="G123" s="1"/>
    </row>
    <row r="124" spans="1:7" x14ac:dyDescent="0.35">
      <c r="A124" s="24"/>
      <c r="B124" s="1"/>
      <c r="C124" s="31"/>
      <c r="D124" s="21"/>
      <c r="E124" s="1"/>
      <c r="F124" s="1"/>
      <c r="G124" s="1"/>
    </row>
    <row r="125" spans="1:7" x14ac:dyDescent="0.35">
      <c r="A125" s="24"/>
      <c r="B125" s="1"/>
      <c r="C125" s="31"/>
      <c r="D125" s="21"/>
      <c r="E125" s="1"/>
      <c r="F125" s="1"/>
      <c r="G125" s="1"/>
    </row>
    <row r="126" spans="1:7" x14ac:dyDescent="0.35">
      <c r="A126" s="24"/>
      <c r="B126" s="1"/>
      <c r="C126" s="31"/>
      <c r="D126" s="21"/>
      <c r="E126" s="1"/>
      <c r="F126" s="1"/>
      <c r="G126" s="1"/>
    </row>
    <row r="127" spans="1:7" x14ac:dyDescent="0.35">
      <c r="A127" s="24"/>
      <c r="B127" s="1"/>
      <c r="C127" s="31"/>
      <c r="D127" s="21"/>
      <c r="E127" s="1"/>
      <c r="F127" s="1"/>
      <c r="G127" s="1"/>
    </row>
    <row r="128" spans="1:7" x14ac:dyDescent="0.35">
      <c r="A128" s="24"/>
      <c r="B128" s="1"/>
      <c r="C128" s="31"/>
      <c r="D128" s="21"/>
      <c r="E128" s="1"/>
      <c r="F128" s="1"/>
      <c r="G128" s="1"/>
    </row>
    <row r="129" spans="1:7" x14ac:dyDescent="0.35">
      <c r="A129" s="24"/>
      <c r="B129" s="1"/>
      <c r="C129" s="31"/>
      <c r="D129" s="21"/>
      <c r="E129" s="1"/>
      <c r="F129" s="1"/>
      <c r="G129" s="1"/>
    </row>
    <row r="130" spans="1:7" x14ac:dyDescent="0.35">
      <c r="A130" s="24"/>
      <c r="B130" s="1"/>
      <c r="C130" s="31"/>
      <c r="D130" s="21"/>
      <c r="E130" s="1"/>
      <c r="F130" s="1"/>
      <c r="G130" s="1"/>
    </row>
    <row r="131" spans="1:7" x14ac:dyDescent="0.35">
      <c r="A131" s="24"/>
      <c r="B131" s="1"/>
      <c r="C131" s="31"/>
      <c r="D131" s="21"/>
      <c r="E131" s="1"/>
      <c r="F131" s="1"/>
      <c r="G131" s="1"/>
    </row>
    <row r="132" spans="1:7" x14ac:dyDescent="0.35">
      <c r="A132" s="24"/>
      <c r="B132" s="1"/>
      <c r="C132" s="31"/>
      <c r="D132" s="21"/>
      <c r="E132" s="1"/>
      <c r="F132" s="1"/>
      <c r="G132" s="1"/>
    </row>
    <row r="133" spans="1:7" x14ac:dyDescent="0.35">
      <c r="A133" s="24"/>
      <c r="B133" s="1"/>
      <c r="C133" s="31"/>
      <c r="D133" s="21"/>
      <c r="E133" s="1"/>
      <c r="F133" s="1"/>
      <c r="G133" s="1"/>
    </row>
    <row r="134" spans="1:7" x14ac:dyDescent="0.35">
      <c r="A134" s="24"/>
      <c r="B134" s="1"/>
      <c r="C134" s="31"/>
      <c r="D134" s="21"/>
      <c r="E134" s="1"/>
      <c r="F134" s="1"/>
      <c r="G134" s="1"/>
    </row>
    <row r="135" spans="1:7" x14ac:dyDescent="0.35">
      <c r="A135" s="24"/>
      <c r="B135" s="1"/>
      <c r="C135" s="31"/>
      <c r="D135" s="21"/>
      <c r="E135" s="1"/>
      <c r="F135" s="1"/>
      <c r="G135" s="1"/>
    </row>
    <row r="136" spans="1:7" x14ac:dyDescent="0.35">
      <c r="A136" s="24"/>
      <c r="B136" s="1"/>
      <c r="C136" s="31"/>
      <c r="D136" s="21"/>
      <c r="E136" s="1"/>
      <c r="F136" s="1"/>
      <c r="G136" s="1"/>
    </row>
    <row r="137" spans="1:7" x14ac:dyDescent="0.35">
      <c r="A137" s="24"/>
      <c r="B137" s="1"/>
      <c r="C137" s="31"/>
      <c r="D137" s="21"/>
      <c r="E137" s="1"/>
      <c r="F137" s="1"/>
      <c r="G137" s="1"/>
    </row>
    <row r="138" spans="1:7" x14ac:dyDescent="0.35">
      <c r="A138" s="24"/>
      <c r="B138" s="1"/>
      <c r="C138" s="31"/>
      <c r="D138" s="21"/>
      <c r="E138" s="1"/>
      <c r="F138" s="1"/>
      <c r="G138" s="1"/>
    </row>
    <row r="139" spans="1:7" x14ac:dyDescent="0.35">
      <c r="A139" s="24"/>
      <c r="B139" s="1"/>
      <c r="C139" s="31"/>
      <c r="D139" s="21"/>
      <c r="E139" s="1"/>
      <c r="F139" s="1"/>
      <c r="G139" s="1"/>
    </row>
    <row r="140" spans="1:7" x14ac:dyDescent="0.35">
      <c r="A140" s="24"/>
      <c r="B140" s="1"/>
      <c r="C140" s="31"/>
      <c r="D140" s="21"/>
      <c r="E140" s="1"/>
      <c r="F140" s="1"/>
      <c r="G140" s="1"/>
    </row>
    <row r="141" spans="1:7" x14ac:dyDescent="0.35">
      <c r="A141" s="24"/>
      <c r="B141" s="1"/>
      <c r="C141" s="31"/>
      <c r="D141" s="21"/>
      <c r="E141" s="1"/>
      <c r="F141" s="1"/>
      <c r="G141" s="1"/>
    </row>
    <row r="142" spans="1:7" x14ac:dyDescent="0.35">
      <c r="A142" s="24"/>
      <c r="B142" s="1"/>
      <c r="C142" s="31"/>
      <c r="D142" s="21"/>
      <c r="E142" s="1"/>
      <c r="F142" s="1"/>
      <c r="G142" s="1"/>
    </row>
    <row r="143" spans="1:7" x14ac:dyDescent="0.35">
      <c r="A143" s="24"/>
      <c r="B143" s="1"/>
      <c r="C143" s="31"/>
      <c r="D143" s="21"/>
      <c r="E143" s="1"/>
      <c r="F143" s="1"/>
      <c r="G143" s="1"/>
    </row>
    <row r="144" spans="1:7" x14ac:dyDescent="0.35">
      <c r="A144" s="24"/>
      <c r="B144" s="1"/>
      <c r="C144" s="31"/>
      <c r="D144" s="21"/>
      <c r="E144" s="1"/>
      <c r="F144" s="1"/>
      <c r="G144" s="1"/>
    </row>
    <row r="145" spans="1:7" x14ac:dyDescent="0.35">
      <c r="A145" s="24"/>
      <c r="B145" s="1"/>
      <c r="C145" s="31"/>
      <c r="D145" s="21"/>
      <c r="E145" s="1"/>
      <c r="F145" s="1"/>
      <c r="G145" s="1"/>
    </row>
    <row r="146" spans="1:7" x14ac:dyDescent="0.35">
      <c r="A146" s="24"/>
      <c r="B146" s="1"/>
      <c r="C146" s="31"/>
      <c r="D146" s="21"/>
      <c r="E146" s="1"/>
      <c r="F146" s="1"/>
      <c r="G146" s="1"/>
    </row>
    <row r="147" spans="1:7" x14ac:dyDescent="0.35">
      <c r="A147" s="24"/>
      <c r="B147" s="1"/>
      <c r="C147" s="31"/>
      <c r="D147" s="21"/>
      <c r="E147" s="1"/>
      <c r="F147" s="1"/>
      <c r="G147" s="1"/>
    </row>
    <row r="148" spans="1:7" x14ac:dyDescent="0.35">
      <c r="A148" s="24"/>
      <c r="B148" s="1"/>
      <c r="C148" s="31"/>
      <c r="D148" s="21"/>
      <c r="E148" s="1"/>
      <c r="F148" s="1"/>
      <c r="G148" s="1"/>
    </row>
    <row r="149" spans="1:7" x14ac:dyDescent="0.35">
      <c r="A149" s="24"/>
      <c r="B149" s="1"/>
      <c r="C149" s="31"/>
      <c r="D149" s="21"/>
      <c r="E149" s="1"/>
      <c r="F149" s="1"/>
      <c r="G149" s="1"/>
    </row>
    <row r="150" spans="1:7" x14ac:dyDescent="0.35">
      <c r="A150" s="24"/>
      <c r="B150" s="1"/>
      <c r="C150" s="31"/>
      <c r="D150" s="21"/>
      <c r="E150" s="1"/>
      <c r="F150" s="1"/>
      <c r="G150" s="1"/>
    </row>
    <row r="151" spans="1:7" x14ac:dyDescent="0.35">
      <c r="A151" s="24"/>
      <c r="B151" s="1"/>
      <c r="C151" s="31"/>
      <c r="D151" s="21"/>
      <c r="E151" s="1"/>
      <c r="F151" s="1"/>
      <c r="G151" s="1"/>
    </row>
    <row r="152" spans="1:7" x14ac:dyDescent="0.35">
      <c r="A152" s="24"/>
      <c r="B152" s="1"/>
      <c r="C152" s="31"/>
      <c r="D152" s="21"/>
      <c r="E152" s="1"/>
      <c r="F152" s="1"/>
      <c r="G152" s="1"/>
    </row>
    <row r="153" spans="1:7" x14ac:dyDescent="0.35">
      <c r="A153" s="24"/>
      <c r="B153" s="1"/>
      <c r="C153" s="31"/>
      <c r="D153" s="21"/>
      <c r="E153" s="1"/>
      <c r="F153" s="1"/>
      <c r="G153" s="1"/>
    </row>
    <row r="154" spans="1:7" x14ac:dyDescent="0.35">
      <c r="A154" s="24"/>
      <c r="B154" s="1"/>
      <c r="C154" s="31"/>
      <c r="D154" s="21"/>
      <c r="E154" s="1"/>
      <c r="F154" s="1"/>
      <c r="G154" s="1"/>
    </row>
    <row r="155" spans="1:7" x14ac:dyDescent="0.35">
      <c r="A155" s="24"/>
      <c r="B155" s="1"/>
      <c r="C155" s="31"/>
      <c r="D155" s="21"/>
      <c r="E155" s="1"/>
      <c r="F155" s="1"/>
      <c r="G155" s="1"/>
    </row>
    <row r="156" spans="1:7" x14ac:dyDescent="0.35">
      <c r="A156" s="24"/>
      <c r="B156" s="1"/>
      <c r="C156" s="31"/>
      <c r="D156" s="21"/>
      <c r="E156" s="1"/>
      <c r="F156" s="1"/>
      <c r="G156" s="1"/>
    </row>
    <row r="157" spans="1:7" x14ac:dyDescent="0.35">
      <c r="A157" s="24"/>
      <c r="B157" s="1"/>
      <c r="C157" s="31"/>
      <c r="D157" s="21"/>
      <c r="E157" s="1"/>
      <c r="F157" s="1"/>
      <c r="G157" s="1"/>
    </row>
    <row r="158" spans="1:7" x14ac:dyDescent="0.35">
      <c r="A158" s="24"/>
      <c r="B158" s="1"/>
      <c r="C158" s="31"/>
      <c r="D158" s="21"/>
      <c r="E158" s="1"/>
      <c r="F158" s="1"/>
      <c r="G158" s="1"/>
    </row>
    <row r="159" spans="1:7" x14ac:dyDescent="0.35">
      <c r="A159" s="24"/>
      <c r="B159" s="1"/>
      <c r="C159" s="31"/>
      <c r="D159" s="21"/>
      <c r="E159" s="1"/>
      <c r="F159" s="1"/>
      <c r="G159" s="1"/>
    </row>
    <row r="160" spans="1:7" x14ac:dyDescent="0.35">
      <c r="A160" s="24"/>
      <c r="B160" s="1"/>
      <c r="C160" s="31"/>
      <c r="D160" s="21"/>
      <c r="E160" s="1"/>
      <c r="F160" s="1"/>
      <c r="G160" s="1"/>
    </row>
    <row r="161" spans="1:7" x14ac:dyDescent="0.35">
      <c r="A161" s="24"/>
      <c r="B161" s="1"/>
      <c r="C161" s="31"/>
      <c r="D161" s="21"/>
      <c r="E161" s="1"/>
      <c r="F161" s="1"/>
      <c r="G161" s="1"/>
    </row>
    <row r="162" spans="1:7" x14ac:dyDescent="0.35">
      <c r="A162" s="24"/>
      <c r="B162" s="1"/>
      <c r="C162" s="31"/>
      <c r="D162" s="21"/>
      <c r="E162" s="1"/>
      <c r="F162" s="1"/>
      <c r="G162" s="1"/>
    </row>
    <row r="163" spans="1:7" x14ac:dyDescent="0.35">
      <c r="A163" s="24"/>
      <c r="B163" s="1"/>
      <c r="C163" s="31"/>
      <c r="D163" s="21"/>
      <c r="E163" s="1"/>
      <c r="F163" s="1"/>
      <c r="G163" s="1"/>
    </row>
    <row r="164" spans="1:7" x14ac:dyDescent="0.35">
      <c r="A164" s="24"/>
      <c r="B164" s="1"/>
      <c r="C164" s="31"/>
      <c r="D164" s="21"/>
      <c r="E164" s="1"/>
      <c r="F164" s="1"/>
      <c r="G164" s="1"/>
    </row>
    <row r="165" spans="1:7" x14ac:dyDescent="0.35">
      <c r="A165" s="24"/>
      <c r="B165" s="1"/>
      <c r="C165" s="31"/>
      <c r="D165" s="21"/>
      <c r="E165" s="1"/>
      <c r="F165" s="1"/>
      <c r="G165" s="1"/>
    </row>
    <row r="166" spans="1:7" x14ac:dyDescent="0.35">
      <c r="A166" s="24"/>
      <c r="B166" s="1"/>
      <c r="C166" s="31"/>
      <c r="D166" s="21"/>
      <c r="E166" s="1"/>
      <c r="F166" s="1"/>
      <c r="G166" s="1"/>
    </row>
    <row r="167" spans="1:7" x14ac:dyDescent="0.35">
      <c r="A167" s="24"/>
      <c r="B167" s="1"/>
      <c r="C167" s="31"/>
      <c r="D167" s="21"/>
      <c r="E167" s="1"/>
      <c r="F167" s="1"/>
      <c r="G167" s="1"/>
    </row>
    <row r="168" spans="1:7" x14ac:dyDescent="0.35">
      <c r="A168" s="24"/>
      <c r="B168" s="1"/>
      <c r="C168" s="31"/>
      <c r="D168" s="21"/>
      <c r="E168" s="1"/>
      <c r="F168" s="1"/>
      <c r="G168" s="1"/>
    </row>
    <row r="169" spans="1:7" x14ac:dyDescent="0.35">
      <c r="A169" s="24"/>
      <c r="B169" s="1"/>
      <c r="C169" s="31"/>
      <c r="D169" s="21"/>
      <c r="E169" s="1"/>
      <c r="F169" s="1"/>
      <c r="G169" s="1"/>
    </row>
    <row r="170" spans="1:7" x14ac:dyDescent="0.35">
      <c r="A170" s="24"/>
      <c r="B170" s="1"/>
      <c r="C170" s="31"/>
      <c r="D170" s="21"/>
      <c r="E170" s="1"/>
      <c r="F170" s="1"/>
      <c r="G170" s="1"/>
    </row>
    <row r="171" spans="1:7" x14ac:dyDescent="0.35">
      <c r="A171" s="24"/>
      <c r="B171" s="1"/>
      <c r="C171" s="31"/>
      <c r="D171" s="21"/>
      <c r="E171" s="1"/>
      <c r="F171" s="1"/>
      <c r="G171" s="1"/>
    </row>
    <row r="172" spans="1:7" x14ac:dyDescent="0.35">
      <c r="A172" s="24"/>
      <c r="B172" s="1"/>
      <c r="C172" s="31"/>
      <c r="D172" s="21"/>
      <c r="E172" s="1"/>
      <c r="F172" s="1"/>
      <c r="G172" s="1"/>
    </row>
    <row r="173" spans="1:7" x14ac:dyDescent="0.35">
      <c r="A173" s="24"/>
      <c r="B173" s="1"/>
      <c r="C173" s="31"/>
      <c r="D173" s="21"/>
      <c r="E173" s="1"/>
      <c r="F173" s="1"/>
      <c r="G173" s="1"/>
    </row>
    <row r="174" spans="1:7" x14ac:dyDescent="0.35">
      <c r="A174" s="24"/>
      <c r="B174" s="1"/>
      <c r="C174" s="31"/>
      <c r="D174" s="21"/>
      <c r="E174" s="1"/>
      <c r="F174" s="1"/>
      <c r="G174" s="1"/>
    </row>
    <row r="175" spans="1:7" x14ac:dyDescent="0.35">
      <c r="A175" s="24"/>
      <c r="B175" s="1"/>
      <c r="C175" s="31"/>
      <c r="D175" s="21"/>
      <c r="E175" s="1"/>
      <c r="F175" s="1"/>
      <c r="G175" s="1"/>
    </row>
    <row r="176" spans="1:7" x14ac:dyDescent="0.35">
      <c r="A176" s="24"/>
      <c r="B176" s="1"/>
      <c r="C176" s="31"/>
      <c r="D176" s="21"/>
      <c r="E176" s="1"/>
      <c r="F176" s="1"/>
      <c r="G176" s="1"/>
    </row>
    <row r="177" spans="1:7" x14ac:dyDescent="0.35">
      <c r="A177" s="24"/>
      <c r="B177" s="1"/>
      <c r="C177" s="31"/>
      <c r="D177" s="21"/>
      <c r="E177" s="1"/>
      <c r="F177" s="1"/>
      <c r="G177" s="1"/>
    </row>
    <row r="178" spans="1:7" x14ac:dyDescent="0.35">
      <c r="A178" s="24"/>
      <c r="B178" s="1"/>
      <c r="C178" s="31"/>
      <c r="D178" s="21"/>
      <c r="E178" s="1"/>
      <c r="F178" s="1"/>
      <c r="G178" s="1"/>
    </row>
    <row r="179" spans="1:7" x14ac:dyDescent="0.35">
      <c r="A179" s="24"/>
      <c r="B179" s="1"/>
      <c r="C179" s="31"/>
      <c r="D179" s="21"/>
      <c r="E179" s="1"/>
      <c r="F179" s="1"/>
      <c r="G179" s="1"/>
    </row>
    <row r="180" spans="1:7" x14ac:dyDescent="0.35">
      <c r="A180" s="24"/>
      <c r="B180" s="1"/>
      <c r="C180" s="31"/>
      <c r="D180" s="21"/>
      <c r="E180" s="1"/>
      <c r="F180" s="1"/>
      <c r="G180" s="1"/>
    </row>
    <row r="181" spans="1:7" x14ac:dyDescent="0.35">
      <c r="A181" s="24"/>
      <c r="B181" s="1"/>
      <c r="C181" s="31"/>
      <c r="D181" s="21"/>
      <c r="E181" s="1"/>
      <c r="F181" s="1"/>
      <c r="G181" s="1"/>
    </row>
    <row r="182" spans="1:7" x14ac:dyDescent="0.35">
      <c r="A182" s="24"/>
      <c r="B182" s="1"/>
      <c r="C182" s="31"/>
      <c r="D182" s="21"/>
      <c r="E182" s="1"/>
      <c r="F182" s="1"/>
      <c r="G182" s="1"/>
    </row>
    <row r="183" spans="1:7" x14ac:dyDescent="0.35">
      <c r="A183" s="24"/>
      <c r="B183" s="1"/>
      <c r="C183" s="31"/>
      <c r="D183" s="21"/>
      <c r="E183" s="1"/>
      <c r="F183" s="1"/>
      <c r="G183" s="1"/>
    </row>
    <row r="184" spans="1:7" x14ac:dyDescent="0.35">
      <c r="A184" s="24"/>
      <c r="B184" s="1"/>
      <c r="C184" s="31"/>
      <c r="D184" s="21"/>
      <c r="E184" s="1"/>
      <c r="F184" s="1"/>
      <c r="G184" s="1"/>
    </row>
    <row r="185" spans="1:7" x14ac:dyDescent="0.35">
      <c r="A185" s="24"/>
      <c r="B185" s="1"/>
      <c r="C185" s="31"/>
      <c r="D185" s="21"/>
      <c r="E185" s="1"/>
      <c r="F185" s="1"/>
      <c r="G185" s="1"/>
    </row>
    <row r="186" spans="1:7" x14ac:dyDescent="0.35">
      <c r="A186" s="24"/>
      <c r="B186" s="1"/>
      <c r="C186" s="31"/>
      <c r="D186" s="21"/>
      <c r="E186" s="1"/>
      <c r="F186" s="1"/>
      <c r="G186" s="1"/>
    </row>
    <row r="187" spans="1:7" x14ac:dyDescent="0.35">
      <c r="A187" s="24"/>
      <c r="B187" s="1"/>
      <c r="C187" s="31"/>
      <c r="D187" s="21"/>
      <c r="E187" s="1"/>
      <c r="F187" s="1"/>
      <c r="G187" s="1"/>
    </row>
    <row r="188" spans="1:7" x14ac:dyDescent="0.35">
      <c r="A188" s="24"/>
      <c r="B188" s="1"/>
      <c r="C188" s="31"/>
      <c r="D188" s="21"/>
      <c r="E188" s="1"/>
      <c r="F188" s="1"/>
      <c r="G188" s="1"/>
    </row>
    <row r="189" spans="1:7" x14ac:dyDescent="0.35">
      <c r="A189" s="24"/>
      <c r="B189" s="1"/>
      <c r="C189" s="31"/>
      <c r="D189" s="21"/>
      <c r="E189" s="1"/>
      <c r="F189" s="1"/>
      <c r="G189" s="1"/>
    </row>
    <row r="190" spans="1:7" x14ac:dyDescent="0.35">
      <c r="A190" s="24"/>
      <c r="B190" s="1"/>
      <c r="C190" s="31"/>
      <c r="D190" s="21"/>
      <c r="E190" s="1"/>
      <c r="F190" s="1"/>
      <c r="G190" s="1"/>
    </row>
    <row r="191" spans="1:7" x14ac:dyDescent="0.35">
      <c r="A191" s="24"/>
      <c r="B191" s="1"/>
      <c r="C191" s="31"/>
      <c r="D191" s="21"/>
      <c r="E191" s="1"/>
      <c r="F191" s="1"/>
      <c r="G191" s="1"/>
    </row>
    <row r="192" spans="1:7" x14ac:dyDescent="0.35">
      <c r="A192" s="24"/>
      <c r="B192" s="1"/>
      <c r="C192" s="31"/>
      <c r="D192" s="21"/>
      <c r="E192" s="1"/>
      <c r="F192" s="1"/>
      <c r="G192" s="1"/>
    </row>
    <row r="193" spans="1:7" x14ac:dyDescent="0.35">
      <c r="A193" s="24"/>
      <c r="B193" s="1"/>
      <c r="C193" s="31"/>
      <c r="D193" s="21"/>
      <c r="E193" s="1"/>
      <c r="F193" s="1"/>
      <c r="G193" s="1"/>
    </row>
    <row r="194" spans="1:7" x14ac:dyDescent="0.35">
      <c r="A194" s="24"/>
      <c r="B194" s="1"/>
      <c r="C194" s="31"/>
      <c r="D194" s="21"/>
      <c r="E194" s="1"/>
      <c r="F194" s="1"/>
      <c r="G194" s="1"/>
    </row>
    <row r="195" spans="1:7" x14ac:dyDescent="0.35">
      <c r="A195" s="24"/>
      <c r="B195" s="1"/>
      <c r="C195" s="31"/>
      <c r="D195" s="21"/>
      <c r="E195" s="1"/>
      <c r="F195" s="1"/>
      <c r="G195" s="1"/>
    </row>
    <row r="196" spans="1:7" x14ac:dyDescent="0.35">
      <c r="A196" s="24"/>
      <c r="B196" s="1"/>
      <c r="C196" s="31"/>
      <c r="D196" s="21"/>
      <c r="E196" s="1"/>
      <c r="F196" s="1"/>
      <c r="G196" s="1"/>
    </row>
    <row r="197" spans="1:7" x14ac:dyDescent="0.35">
      <c r="A197" s="24"/>
      <c r="B197" s="1"/>
      <c r="C197" s="31"/>
      <c r="D197" s="21"/>
      <c r="E197" s="1"/>
      <c r="F197" s="1"/>
      <c r="G197" s="1"/>
    </row>
    <row r="198" spans="1:7" x14ac:dyDescent="0.35">
      <c r="A198" s="24"/>
      <c r="B198" s="1"/>
      <c r="C198" s="31"/>
      <c r="D198" s="21"/>
      <c r="E198" s="1"/>
      <c r="F198" s="1"/>
      <c r="G198" s="1"/>
    </row>
    <row r="199" spans="1:7" x14ac:dyDescent="0.35">
      <c r="A199" s="24"/>
      <c r="B199" s="1"/>
      <c r="C199" s="31"/>
      <c r="D199" s="21"/>
      <c r="E199" s="1"/>
      <c r="F199" s="1"/>
      <c r="G199" s="1"/>
    </row>
    <row r="200" spans="1:7" x14ac:dyDescent="0.35">
      <c r="A200" s="24"/>
      <c r="B200" s="1"/>
      <c r="C200" s="31"/>
      <c r="D200" s="21"/>
      <c r="E200" s="1"/>
      <c r="F200" s="1"/>
      <c r="G200" s="1"/>
    </row>
    <row r="201" spans="1:7" x14ac:dyDescent="0.35">
      <c r="A201" s="24"/>
      <c r="B201" s="1"/>
      <c r="C201" s="31"/>
      <c r="D201" s="21"/>
      <c r="E201" s="1"/>
      <c r="F201" s="1"/>
      <c r="G201" s="1"/>
    </row>
    <row r="202" spans="1:7" x14ac:dyDescent="0.35">
      <c r="A202" s="24"/>
      <c r="B202" s="1"/>
      <c r="C202" s="31"/>
      <c r="D202" s="21"/>
      <c r="E202" s="1"/>
      <c r="F202" s="1"/>
      <c r="G202" s="1"/>
    </row>
    <row r="203" spans="1:7" x14ac:dyDescent="0.35">
      <c r="A203" s="24"/>
      <c r="B203" s="1"/>
      <c r="C203" s="31"/>
      <c r="D203" s="21"/>
      <c r="E203" s="1"/>
      <c r="F203" s="1"/>
      <c r="G203" s="1"/>
    </row>
    <row r="204" spans="1:7" x14ac:dyDescent="0.35">
      <c r="A204" s="24"/>
      <c r="B204" s="1"/>
      <c r="C204" s="31"/>
      <c r="D204" s="21"/>
      <c r="E204" s="1"/>
      <c r="F204" s="1"/>
      <c r="G204" s="1"/>
    </row>
    <row r="205" spans="1:7" x14ac:dyDescent="0.35">
      <c r="A205" s="24"/>
      <c r="B205" s="1"/>
      <c r="C205" s="31"/>
      <c r="D205" s="21"/>
      <c r="E205" s="1"/>
      <c r="F205" s="1"/>
      <c r="G205" s="1"/>
    </row>
    <row r="206" spans="1:7" x14ac:dyDescent="0.35">
      <c r="A206" s="24"/>
      <c r="B206" s="1"/>
      <c r="C206" s="31"/>
      <c r="D206" s="21"/>
      <c r="E206" s="1"/>
      <c r="F206" s="1"/>
      <c r="G206" s="1"/>
    </row>
    <row r="207" spans="1:7" x14ac:dyDescent="0.35">
      <c r="A207" s="24"/>
      <c r="B207" s="1"/>
      <c r="C207" s="31"/>
      <c r="D207" s="21"/>
      <c r="E207" s="1"/>
      <c r="F207" s="1"/>
      <c r="G207" s="1"/>
    </row>
    <row r="208" spans="1:7" x14ac:dyDescent="0.35">
      <c r="A208" s="24"/>
      <c r="B208" s="1"/>
      <c r="C208" s="31"/>
      <c r="D208" s="21"/>
      <c r="E208" s="1"/>
      <c r="F208" s="1"/>
      <c r="G208" s="1"/>
    </row>
    <row r="209" spans="1:7" x14ac:dyDescent="0.35">
      <c r="A209" s="24"/>
      <c r="B209" s="1"/>
      <c r="C209" s="31"/>
      <c r="D209" s="21"/>
      <c r="E209" s="1"/>
      <c r="F209" s="1"/>
      <c r="G209" s="1"/>
    </row>
    <row r="210" spans="1:7" x14ac:dyDescent="0.35">
      <c r="A210" s="24"/>
      <c r="B210" s="1"/>
      <c r="C210" s="31"/>
      <c r="D210" s="21"/>
      <c r="E210" s="1"/>
      <c r="F210" s="1"/>
      <c r="G210" s="1"/>
    </row>
    <row r="211" spans="1:7" x14ac:dyDescent="0.35">
      <c r="A211" s="24"/>
      <c r="B211" s="1"/>
      <c r="C211" s="31"/>
      <c r="D211" s="21"/>
      <c r="E211" s="1"/>
      <c r="F211" s="1"/>
      <c r="G211" s="1"/>
    </row>
    <row r="212" spans="1:7" x14ac:dyDescent="0.35">
      <c r="A212" s="24"/>
      <c r="B212" s="1"/>
      <c r="C212" s="31"/>
      <c r="D212" s="21"/>
      <c r="E212" s="1"/>
      <c r="F212" s="1"/>
      <c r="G212" s="1"/>
    </row>
    <row r="213" spans="1:7" x14ac:dyDescent="0.35">
      <c r="A213" s="24"/>
      <c r="B213" s="1"/>
      <c r="C213" s="31"/>
      <c r="D213" s="21"/>
      <c r="E213" s="1"/>
      <c r="F213" s="1"/>
      <c r="G213" s="1"/>
    </row>
    <row r="214" spans="1:7" x14ac:dyDescent="0.35">
      <c r="A214" s="24"/>
      <c r="B214" s="1"/>
      <c r="C214" s="31"/>
      <c r="D214" s="21"/>
      <c r="E214" s="1"/>
      <c r="F214" s="1"/>
      <c r="G214" s="1"/>
    </row>
    <row r="215" spans="1:7" x14ac:dyDescent="0.35">
      <c r="A215" s="24"/>
      <c r="B215" s="1"/>
      <c r="C215" s="31"/>
      <c r="D215" s="21"/>
      <c r="E215" s="1"/>
      <c r="F215" s="1"/>
      <c r="G215" s="1"/>
    </row>
    <row r="216" spans="1:7" x14ac:dyDescent="0.35">
      <c r="A216" s="24"/>
      <c r="B216" s="1"/>
      <c r="C216" s="31"/>
      <c r="D216" s="21"/>
      <c r="E216" s="1"/>
      <c r="F216" s="1"/>
      <c r="G216" s="1"/>
    </row>
    <row r="217" spans="1:7" x14ac:dyDescent="0.35">
      <c r="A217" s="24"/>
      <c r="B217" s="1"/>
      <c r="C217" s="31"/>
      <c r="D217" s="21"/>
      <c r="E217" s="1"/>
      <c r="F217" s="1"/>
      <c r="G217" s="1"/>
    </row>
    <row r="218" spans="1:7" x14ac:dyDescent="0.35">
      <c r="A218" s="24"/>
      <c r="B218" s="1"/>
      <c r="C218" s="31"/>
      <c r="D218" s="21"/>
      <c r="E218" s="1"/>
      <c r="F218" s="1"/>
      <c r="G218" s="1"/>
    </row>
    <row r="219" spans="1:7" x14ac:dyDescent="0.35">
      <c r="A219" s="24"/>
      <c r="B219" s="1"/>
      <c r="C219" s="31"/>
      <c r="D219" s="21"/>
      <c r="E219" s="1"/>
      <c r="F219" s="1"/>
      <c r="G219" s="1"/>
    </row>
    <row r="220" spans="1:7" x14ac:dyDescent="0.35">
      <c r="A220" s="24"/>
      <c r="B220" s="1"/>
      <c r="C220" s="31"/>
      <c r="D220" s="21"/>
      <c r="E220" s="1"/>
      <c r="F220" s="1"/>
      <c r="G220" s="1"/>
    </row>
    <row r="221" spans="1:7" x14ac:dyDescent="0.35">
      <c r="A221" s="24"/>
      <c r="B221" s="1"/>
      <c r="C221" s="31"/>
      <c r="D221" s="21"/>
      <c r="E221" s="1"/>
      <c r="F221" s="1"/>
      <c r="G221" s="1"/>
    </row>
    <row r="222" spans="1:7" x14ac:dyDescent="0.35">
      <c r="A222" s="24"/>
      <c r="B222" s="1"/>
      <c r="C222" s="31"/>
      <c r="D222" s="21"/>
      <c r="E222" s="1"/>
      <c r="F222" s="1"/>
      <c r="G222" s="1"/>
    </row>
    <row r="223" spans="1:7" x14ac:dyDescent="0.35">
      <c r="A223" s="24"/>
      <c r="B223" s="1"/>
      <c r="C223" s="31"/>
      <c r="D223" s="21"/>
      <c r="E223" s="1"/>
      <c r="F223" s="1"/>
      <c r="G223" s="1"/>
    </row>
    <row r="224" spans="1:7" x14ac:dyDescent="0.35">
      <c r="A224" s="24"/>
      <c r="B224" s="1"/>
      <c r="C224" s="31"/>
      <c r="D224" s="21"/>
      <c r="E224" s="1"/>
      <c r="F224" s="1"/>
      <c r="G224" s="1"/>
    </row>
    <row r="225" spans="1:7" x14ac:dyDescent="0.35">
      <c r="A225" s="24"/>
      <c r="B225" s="1"/>
      <c r="C225" s="31"/>
      <c r="D225" s="21"/>
      <c r="E225" s="1"/>
      <c r="F225" s="1"/>
      <c r="G225" s="1"/>
    </row>
    <row r="226" spans="1:7" x14ac:dyDescent="0.35">
      <c r="A226" s="24"/>
      <c r="B226" s="1"/>
      <c r="C226" s="31"/>
      <c r="D226" s="21"/>
      <c r="E226" s="1"/>
      <c r="F226" s="1"/>
      <c r="G226" s="1"/>
    </row>
    <row r="227" spans="1:7" x14ac:dyDescent="0.35">
      <c r="A227" s="24"/>
      <c r="B227" s="1"/>
      <c r="C227" s="31"/>
      <c r="D227" s="21"/>
      <c r="E227" s="1"/>
      <c r="F227" s="1"/>
      <c r="G227" s="1"/>
    </row>
    <row r="228" spans="1:7" x14ac:dyDescent="0.35">
      <c r="A228" s="24"/>
      <c r="B228" s="1"/>
      <c r="C228" s="31"/>
      <c r="D228" s="21"/>
      <c r="E228" s="1"/>
      <c r="F228" s="1"/>
      <c r="G228" s="1"/>
    </row>
    <row r="229" spans="1:7" x14ac:dyDescent="0.35">
      <c r="A229" s="24"/>
      <c r="B229" s="1"/>
      <c r="C229" s="31"/>
      <c r="D229" s="21"/>
      <c r="E229" s="1"/>
      <c r="F229" s="1"/>
      <c r="G229" s="1"/>
    </row>
    <row r="230" spans="1:7" x14ac:dyDescent="0.35">
      <c r="A230" s="24"/>
      <c r="B230" s="1"/>
      <c r="C230" s="31"/>
      <c r="D230" s="21"/>
      <c r="E230" s="1"/>
      <c r="F230" s="1"/>
      <c r="G230" s="1"/>
    </row>
    <row r="231" spans="1:7" x14ac:dyDescent="0.35">
      <c r="A231" s="24"/>
      <c r="B231" s="1"/>
      <c r="C231" s="31"/>
      <c r="D231" s="21"/>
      <c r="E231" s="1"/>
      <c r="F231" s="1"/>
      <c r="G231" s="1"/>
    </row>
    <row r="232" spans="1:7" x14ac:dyDescent="0.35">
      <c r="A232" s="24"/>
      <c r="B232" s="1"/>
      <c r="C232" s="31"/>
      <c r="D232" s="21"/>
      <c r="E232" s="1"/>
      <c r="F232" s="1"/>
      <c r="G232" s="1"/>
    </row>
    <row r="233" spans="1:7" x14ac:dyDescent="0.35">
      <c r="A233" s="24"/>
      <c r="B233" s="1"/>
      <c r="C233" s="31"/>
      <c r="D233" s="21"/>
      <c r="E233" s="1"/>
      <c r="F233" s="1"/>
      <c r="G233" s="1"/>
    </row>
    <row r="234" spans="1:7" x14ac:dyDescent="0.35">
      <c r="A234" s="24"/>
      <c r="B234" s="1"/>
      <c r="C234" s="31"/>
      <c r="D234" s="21"/>
      <c r="E234" s="1"/>
      <c r="F234" s="1"/>
      <c r="G234" s="1"/>
    </row>
    <row r="235" spans="1:7" x14ac:dyDescent="0.35">
      <c r="A235" s="24"/>
      <c r="B235" s="1"/>
      <c r="C235" s="31"/>
      <c r="D235" s="21"/>
      <c r="E235" s="1"/>
      <c r="F235" s="1"/>
      <c r="G235" s="1"/>
    </row>
    <row r="236" spans="1:7" x14ac:dyDescent="0.35">
      <c r="A236" s="24"/>
      <c r="B236" s="1"/>
      <c r="C236" s="31"/>
      <c r="D236" s="21"/>
      <c r="E236" s="1"/>
      <c r="F236" s="1"/>
      <c r="G236" s="1"/>
    </row>
    <row r="237" spans="1:7" x14ac:dyDescent="0.35">
      <c r="A237" s="24"/>
      <c r="B237" s="1"/>
      <c r="C237" s="31"/>
      <c r="D237" s="21"/>
      <c r="E237" s="1"/>
      <c r="F237" s="1"/>
      <c r="G237" s="1"/>
    </row>
    <row r="238" spans="1:7" x14ac:dyDescent="0.35">
      <c r="A238" s="24"/>
      <c r="B238" s="1"/>
      <c r="C238" s="31"/>
      <c r="D238" s="21"/>
      <c r="E238" s="1"/>
      <c r="F238" s="1"/>
      <c r="G238" s="1"/>
    </row>
    <row r="239" spans="1:7" x14ac:dyDescent="0.35">
      <c r="A239" s="24"/>
      <c r="B239" s="1"/>
      <c r="C239" s="31"/>
      <c r="D239" s="21"/>
      <c r="E239" s="1"/>
      <c r="F239" s="1"/>
      <c r="G239" s="1"/>
    </row>
    <row r="240" spans="1:7" x14ac:dyDescent="0.35">
      <c r="A240" s="24"/>
      <c r="B240" s="1"/>
      <c r="C240" s="31"/>
      <c r="D240" s="21"/>
      <c r="E240" s="1"/>
      <c r="F240" s="1"/>
      <c r="G240" s="1"/>
    </row>
    <row r="241" spans="1:7" x14ac:dyDescent="0.35">
      <c r="A241" s="24"/>
      <c r="B241" s="1"/>
      <c r="C241" s="31"/>
      <c r="D241" s="21"/>
      <c r="E241" s="1"/>
      <c r="F241" s="1"/>
      <c r="G241" s="1"/>
    </row>
    <row r="242" spans="1:7" x14ac:dyDescent="0.35">
      <c r="A242" s="24"/>
      <c r="B242" s="1"/>
      <c r="C242" s="31"/>
      <c r="D242" s="21"/>
      <c r="E242" s="1"/>
      <c r="F242" s="1"/>
      <c r="G242" s="1"/>
    </row>
    <row r="243" spans="1:7" x14ac:dyDescent="0.35">
      <c r="A243" s="24"/>
      <c r="B243" s="1"/>
      <c r="C243" s="31"/>
      <c r="D243" s="21"/>
      <c r="E243" s="1"/>
      <c r="F243" s="1"/>
      <c r="G243" s="1"/>
    </row>
    <row r="244" spans="1:7" x14ac:dyDescent="0.35">
      <c r="A244" s="24"/>
      <c r="B244" s="1"/>
      <c r="C244" s="31"/>
      <c r="D244" s="21"/>
      <c r="E244" s="1"/>
      <c r="F244" s="1"/>
      <c r="G244" s="1"/>
    </row>
    <row r="245" spans="1:7" x14ac:dyDescent="0.35">
      <c r="A245" s="24"/>
      <c r="B245" s="1"/>
      <c r="C245" s="31"/>
      <c r="D245" s="21"/>
      <c r="E245" s="1"/>
      <c r="F245" s="1"/>
      <c r="G245" s="1"/>
    </row>
    <row r="246" spans="1:7" x14ac:dyDescent="0.35">
      <c r="A246" s="24"/>
      <c r="B246" s="1"/>
      <c r="C246" s="31"/>
      <c r="D246" s="21"/>
      <c r="E246" s="1"/>
      <c r="F246" s="1"/>
      <c r="G246" s="1"/>
    </row>
    <row r="247" spans="1:7" x14ac:dyDescent="0.35">
      <c r="A247" s="24"/>
      <c r="B247" s="1"/>
      <c r="C247" s="31"/>
      <c r="D247" s="21"/>
      <c r="E247" s="1"/>
      <c r="F247" s="1"/>
      <c r="G247" s="1"/>
    </row>
    <row r="248" spans="1:7" x14ac:dyDescent="0.35">
      <c r="A248" s="24"/>
      <c r="B248" s="1"/>
      <c r="C248" s="31"/>
      <c r="D248" s="21"/>
      <c r="E248" s="1"/>
      <c r="F248" s="1"/>
      <c r="G248" s="1"/>
    </row>
    <row r="249" spans="1:7" x14ac:dyDescent="0.35">
      <c r="A249" s="24"/>
      <c r="B249" s="1"/>
      <c r="C249" s="31"/>
      <c r="D249" s="21"/>
      <c r="E249" s="1"/>
      <c r="F249" s="1"/>
      <c r="G249" s="1"/>
    </row>
    <row r="250" spans="1:7" x14ac:dyDescent="0.35">
      <c r="A250" s="24"/>
      <c r="B250" s="1"/>
      <c r="C250" s="31"/>
      <c r="D250" s="21"/>
      <c r="E250" s="1"/>
      <c r="F250" s="1"/>
      <c r="G250" s="1"/>
    </row>
    <row r="251" spans="1:7" x14ac:dyDescent="0.35">
      <c r="A251" s="24"/>
      <c r="B251" s="1"/>
      <c r="C251" s="31"/>
      <c r="D251" s="21"/>
      <c r="E251" s="1"/>
      <c r="F251" s="1"/>
      <c r="G251" s="1"/>
    </row>
    <row r="252" spans="1:7" x14ac:dyDescent="0.35">
      <c r="A252" s="24"/>
      <c r="B252" s="1"/>
      <c r="C252" s="31"/>
      <c r="D252" s="21"/>
      <c r="E252" s="1"/>
      <c r="F252" s="1"/>
      <c r="G252" s="1"/>
    </row>
    <row r="253" spans="1:7" x14ac:dyDescent="0.35">
      <c r="A253" s="24"/>
      <c r="B253" s="1"/>
      <c r="C253" s="31"/>
      <c r="D253" s="21"/>
      <c r="E253" s="1"/>
      <c r="F253" s="1"/>
      <c r="G253" s="1"/>
    </row>
    <row r="254" spans="1:7" x14ac:dyDescent="0.35">
      <c r="A254" s="24"/>
      <c r="B254" s="1"/>
      <c r="C254" s="31"/>
      <c r="D254" s="21"/>
      <c r="E254" s="1"/>
      <c r="F254" s="1"/>
      <c r="G254" s="1"/>
    </row>
    <row r="255" spans="1:7" x14ac:dyDescent="0.35">
      <c r="A255" s="24"/>
      <c r="B255" s="1"/>
      <c r="C255" s="31"/>
      <c r="D255" s="21"/>
      <c r="E255" s="1"/>
      <c r="F255" s="1"/>
      <c r="G255" s="1"/>
    </row>
    <row r="256" spans="1:7" x14ac:dyDescent="0.35">
      <c r="A256" s="24"/>
      <c r="B256" s="1"/>
      <c r="C256" s="31"/>
      <c r="D256" s="21"/>
      <c r="E256" s="1"/>
      <c r="F256" s="1"/>
      <c r="G256" s="1"/>
    </row>
    <row r="257" spans="1:7" x14ac:dyDescent="0.35">
      <c r="A257" s="24"/>
      <c r="B257" s="1"/>
      <c r="C257" s="31"/>
      <c r="D257" s="21"/>
      <c r="E257" s="1"/>
      <c r="F257" s="1"/>
      <c r="G257" s="1"/>
    </row>
    <row r="258" spans="1:7" x14ac:dyDescent="0.35">
      <c r="B258" s="1"/>
    </row>
    <row r="259" spans="1:7" x14ac:dyDescent="0.35">
      <c r="B259" s="1"/>
    </row>
    <row r="260" spans="1:7" x14ac:dyDescent="0.35">
      <c r="B260" s="1"/>
    </row>
    <row r="261" spans="1:7" x14ac:dyDescent="0.35">
      <c r="B261" s="1"/>
    </row>
    <row r="262" spans="1:7" x14ac:dyDescent="0.35">
      <c r="B262" s="1"/>
    </row>
    <row r="263" spans="1:7" x14ac:dyDescent="0.35">
      <c r="B263" s="1"/>
    </row>
    <row r="264" spans="1:7" x14ac:dyDescent="0.35">
      <c r="B264" s="1"/>
    </row>
    <row r="265" spans="1:7" x14ac:dyDescent="0.35">
      <c r="B265" s="1"/>
    </row>
    <row r="266" spans="1:7" x14ac:dyDescent="0.35">
      <c r="B266" s="1"/>
    </row>
    <row r="267" spans="1:7" x14ac:dyDescent="0.35">
      <c r="B267" s="1"/>
    </row>
    <row r="268" spans="1:7" x14ac:dyDescent="0.35">
      <c r="B268" s="1"/>
    </row>
    <row r="269" spans="1:7" x14ac:dyDescent="0.35">
      <c r="B269" s="1"/>
    </row>
    <row r="270" spans="1:7" x14ac:dyDescent="0.35">
      <c r="B270" s="1"/>
    </row>
    <row r="271" spans="1:7" x14ac:dyDescent="0.35">
      <c r="B271" s="1"/>
    </row>
    <row r="272" spans="1:7" x14ac:dyDescent="0.35">
      <c r="B272" s="1"/>
    </row>
    <row r="273" spans="2:2" x14ac:dyDescent="0.35">
      <c r="B273" s="1"/>
    </row>
    <row r="274" spans="2:2" x14ac:dyDescent="0.35">
      <c r="B274" s="1"/>
    </row>
    <row r="275" spans="2:2" x14ac:dyDescent="0.35">
      <c r="B275" s="1"/>
    </row>
    <row r="276" spans="2:2" x14ac:dyDescent="0.35">
      <c r="B276" s="1"/>
    </row>
    <row r="277" spans="2:2" x14ac:dyDescent="0.35">
      <c r="B277" s="1"/>
    </row>
    <row r="278" spans="2:2" x14ac:dyDescent="0.35">
      <c r="B278" s="1"/>
    </row>
    <row r="279" spans="2:2" x14ac:dyDescent="0.35">
      <c r="B279" s="1"/>
    </row>
    <row r="280" spans="2:2" x14ac:dyDescent="0.35">
      <c r="B280" s="1"/>
    </row>
    <row r="281" spans="2:2" x14ac:dyDescent="0.35">
      <c r="B281" s="1"/>
    </row>
    <row r="282" spans="2:2" x14ac:dyDescent="0.35">
      <c r="B282" s="1"/>
    </row>
    <row r="283" spans="2:2" x14ac:dyDescent="0.35">
      <c r="B283" s="1"/>
    </row>
    <row r="284" spans="2:2" x14ac:dyDescent="0.35">
      <c r="B284" s="1"/>
    </row>
    <row r="285" spans="2:2" x14ac:dyDescent="0.35">
      <c r="B285" s="1"/>
    </row>
    <row r="286" spans="2:2" x14ac:dyDescent="0.35">
      <c r="B286" s="1"/>
    </row>
    <row r="287" spans="2:2" x14ac:dyDescent="0.35">
      <c r="B287" s="1"/>
    </row>
    <row r="288" spans="2:2" x14ac:dyDescent="0.35">
      <c r="B288" s="1"/>
    </row>
  </sheetData>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79E89-5665-45CD-B335-0FA661058F36}">
  <sheetPr codeName="Sheet13"/>
  <dimension ref="A1:AO288"/>
  <sheetViews>
    <sheetView rightToLeft="1" workbookViewId="0">
      <pane xSplit="1" ySplit="1" topLeftCell="B112" activePane="bottomRight" state="frozen"/>
      <selection activeCell="D96" sqref="D96"/>
      <selection pane="topRight" activeCell="D96" sqref="D96"/>
      <selection pane="bottomLeft" activeCell="D96" sqref="D96"/>
      <selection pane="bottomRight" activeCell="C120" sqref="C120"/>
    </sheetView>
  </sheetViews>
  <sheetFormatPr defaultColWidth="8.81640625" defaultRowHeight="14.5" x14ac:dyDescent="0.35"/>
  <cols>
    <col min="1" max="1" width="52.1796875" style="8" customWidth="1"/>
    <col min="2" max="2" width="10" style="6" customWidth="1"/>
    <col min="3" max="3" width="10" style="2" customWidth="1"/>
    <col min="4" max="4" width="10.453125" style="8" customWidth="1"/>
    <col min="5" max="5" width="11.81640625" style="2" customWidth="1"/>
    <col min="6" max="8" width="8.81640625" style="2"/>
    <col min="9" max="16" width="8.81640625" style="1" customWidth="1"/>
    <col min="17" max="18" width="8.81640625" style="30" customWidth="1"/>
    <col min="19" max="35" width="8.81640625" style="1" customWidth="1"/>
    <col min="36" max="36" width="8.81640625" style="2"/>
    <col min="37" max="37" width="10.08984375" style="2" bestFit="1" customWidth="1"/>
    <col min="38" max="38" width="8.81640625" style="2"/>
    <col min="39" max="39" width="10.54296875" style="2" bestFit="1" customWidth="1"/>
    <col min="40" max="40" width="8.81640625" style="2"/>
    <col min="41" max="41" width="17" style="2" bestFit="1" customWidth="1"/>
    <col min="42" max="16384" width="8.81640625" style="2"/>
  </cols>
  <sheetData>
    <row r="1" spans="1:41" ht="15" thickBot="1" x14ac:dyDescent="0.4">
      <c r="A1" s="7" t="s">
        <v>0</v>
      </c>
      <c r="B1" s="4">
        <v>2025</v>
      </c>
      <c r="C1" s="4">
        <v>2022</v>
      </c>
      <c r="D1" s="7">
        <v>2021</v>
      </c>
      <c r="E1" s="4">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ht="29" x14ac:dyDescent="0.35">
      <c r="A2" s="5" t="s">
        <v>30</v>
      </c>
      <c r="B2" s="6" t="s">
        <v>15</v>
      </c>
      <c r="C2" s="6" t="s">
        <v>15</v>
      </c>
      <c r="D2" s="5" t="s">
        <v>15</v>
      </c>
      <c r="E2" s="59" t="s">
        <v>15</v>
      </c>
      <c r="F2" s="13" t="s">
        <v>363</v>
      </c>
      <c r="G2" s="50" t="s">
        <v>15</v>
      </c>
      <c r="H2" s="50" t="s">
        <v>422</v>
      </c>
      <c r="I2" s="50" t="s">
        <v>421</v>
      </c>
      <c r="J2" s="50" t="s">
        <v>440</v>
      </c>
      <c r="K2" s="50" t="s">
        <v>914</v>
      </c>
      <c r="L2" s="50" t="s">
        <v>950</v>
      </c>
      <c r="M2" s="50" t="s">
        <v>923</v>
      </c>
      <c r="N2" s="50" t="s">
        <v>228</v>
      </c>
      <c r="O2" s="50" t="s">
        <v>1513</v>
      </c>
      <c r="P2" s="50" t="s">
        <v>1169</v>
      </c>
      <c r="Q2" s="29"/>
      <c r="R2" s="50" t="s">
        <v>1015</v>
      </c>
      <c r="S2" s="50" t="s">
        <v>2031</v>
      </c>
      <c r="T2" s="50" t="s">
        <v>34</v>
      </c>
      <c r="U2" s="3"/>
      <c r="V2" s="3"/>
      <c r="W2" s="50" t="s">
        <v>287</v>
      </c>
      <c r="X2" s="3"/>
      <c r="Y2" s="3"/>
      <c r="Z2" s="3"/>
      <c r="AA2" s="50" t="s">
        <v>515</v>
      </c>
      <c r="AB2" s="3"/>
      <c r="AC2" s="3"/>
      <c r="AD2" s="3"/>
      <c r="AE2" s="3"/>
      <c r="AF2" s="3"/>
      <c r="AG2" s="50" t="s">
        <v>1449</v>
      </c>
      <c r="AH2" s="3" t="s">
        <v>1070</v>
      </c>
      <c r="AI2" s="3"/>
      <c r="AK2" s="2">
        <f>COUNTA(C2:AI2)</f>
        <v>21</v>
      </c>
      <c r="AM2" s="2">
        <f>COUNTA(G2:P2,S2:T2)</f>
        <v>12</v>
      </c>
      <c r="AO2" s="2">
        <f>COUNTIF(AM2:AM118,"&gt;=2")</f>
        <v>32</v>
      </c>
    </row>
    <row r="3" spans="1:41" x14ac:dyDescent="0.35">
      <c r="A3" s="5" t="s">
        <v>1533</v>
      </c>
      <c r="C3" s="6"/>
      <c r="D3" s="5"/>
      <c r="E3" s="1"/>
      <c r="F3" s="1"/>
      <c r="G3" s="1"/>
      <c r="H3" s="1"/>
      <c r="O3" s="54" t="s">
        <v>1536</v>
      </c>
      <c r="T3" s="54" t="s">
        <v>16</v>
      </c>
      <c r="U3" s="54" t="s">
        <v>982</v>
      </c>
      <c r="V3" s="54" t="s">
        <v>2479</v>
      </c>
      <c r="W3" s="54" t="s">
        <v>59</v>
      </c>
      <c r="Z3" s="1" t="s">
        <v>1677</v>
      </c>
      <c r="AK3" s="2">
        <f t="shared" ref="AK3:AK66" si="0">COUNTA(C3:AI3)</f>
        <v>6</v>
      </c>
      <c r="AM3" s="2">
        <f t="shared" ref="AM3:AM66" si="1">COUNTA(G3:P3,S3:T3)</f>
        <v>2</v>
      </c>
    </row>
    <row r="4" spans="1:41" x14ac:dyDescent="0.35">
      <c r="A4" s="5" t="s">
        <v>2242</v>
      </c>
      <c r="C4" s="6"/>
      <c r="D4" s="5"/>
      <c r="E4" s="1"/>
      <c r="F4" s="13"/>
      <c r="G4" s="3"/>
      <c r="H4" s="3"/>
      <c r="I4" s="3"/>
      <c r="J4" s="3"/>
      <c r="K4" s="3"/>
      <c r="L4" s="3"/>
      <c r="M4" s="3"/>
      <c r="N4" s="3"/>
      <c r="O4" s="3"/>
      <c r="P4" s="54" t="s">
        <v>923</v>
      </c>
      <c r="R4" s="54" t="s">
        <v>1021</v>
      </c>
      <c r="S4" s="54" t="s">
        <v>2037</v>
      </c>
      <c r="T4" s="54" t="s">
        <v>15</v>
      </c>
      <c r="U4" s="54" t="s">
        <v>4081</v>
      </c>
      <c r="W4" s="54" t="s">
        <v>13</v>
      </c>
      <c r="AA4" s="54" t="s">
        <v>44</v>
      </c>
      <c r="AE4" s="54" t="s">
        <v>1506</v>
      </c>
      <c r="AF4" s="1" t="s">
        <v>443</v>
      </c>
      <c r="AK4" s="2">
        <f t="shared" si="0"/>
        <v>9</v>
      </c>
      <c r="AM4" s="2">
        <f t="shared" si="1"/>
        <v>3</v>
      </c>
    </row>
    <row r="5" spans="1:41" x14ac:dyDescent="0.35">
      <c r="A5" s="5" t="s">
        <v>646</v>
      </c>
      <c r="C5" s="76" t="s">
        <v>63</v>
      </c>
      <c r="D5" s="5"/>
      <c r="E5" s="59" t="s">
        <v>63</v>
      </c>
      <c r="F5" s="1"/>
      <c r="G5" s="66" t="s">
        <v>63</v>
      </c>
      <c r="H5" s="1" t="s">
        <v>230</v>
      </c>
      <c r="AK5" s="2">
        <f t="shared" si="0"/>
        <v>4</v>
      </c>
      <c r="AM5" s="2">
        <f t="shared" si="1"/>
        <v>2</v>
      </c>
    </row>
    <row r="6" spans="1:41" x14ac:dyDescent="0.35">
      <c r="A6" s="5" t="s">
        <v>645</v>
      </c>
      <c r="C6" s="6"/>
      <c r="D6" s="5"/>
      <c r="E6" s="1"/>
      <c r="F6" s="1"/>
      <c r="G6" s="10"/>
      <c r="H6" s="1"/>
      <c r="I6" s="54" t="s">
        <v>64</v>
      </c>
      <c r="J6" s="54" t="s">
        <v>735</v>
      </c>
      <c r="K6" s="54" t="s">
        <v>951</v>
      </c>
      <c r="L6" s="54" t="s">
        <v>917</v>
      </c>
      <c r="M6" s="54" t="s">
        <v>932</v>
      </c>
      <c r="N6" s="54" t="s">
        <v>1300</v>
      </c>
      <c r="O6" s="54" t="s">
        <v>1539</v>
      </c>
      <c r="P6" s="54" t="s">
        <v>925</v>
      </c>
      <c r="R6" s="54" t="s">
        <v>1196</v>
      </c>
      <c r="S6" s="54" t="s">
        <v>2039</v>
      </c>
      <c r="T6" s="54" t="s">
        <v>192</v>
      </c>
      <c r="U6" s="1" t="s">
        <v>1988</v>
      </c>
      <c r="AK6" s="2">
        <f t="shared" si="0"/>
        <v>12</v>
      </c>
      <c r="AM6" s="2">
        <f t="shared" si="1"/>
        <v>10</v>
      </c>
    </row>
    <row r="7" spans="1:41" x14ac:dyDescent="0.35">
      <c r="A7" s="5" t="s">
        <v>736</v>
      </c>
      <c r="C7" s="6"/>
      <c r="D7" s="5"/>
      <c r="E7" s="1"/>
      <c r="F7" s="1"/>
      <c r="G7" s="10"/>
      <c r="H7" s="1"/>
      <c r="J7" s="54" t="s">
        <v>737</v>
      </c>
      <c r="K7" s="54" t="s">
        <v>952</v>
      </c>
      <c r="N7" s="1" t="s">
        <v>1301</v>
      </c>
      <c r="AK7" s="2">
        <f t="shared" si="0"/>
        <v>3</v>
      </c>
      <c r="AM7" s="2">
        <f t="shared" si="1"/>
        <v>3</v>
      </c>
    </row>
    <row r="8" spans="1:41" x14ac:dyDescent="0.35">
      <c r="A8" s="5" t="s">
        <v>644</v>
      </c>
      <c r="C8" s="6"/>
      <c r="D8" s="5"/>
      <c r="E8" s="1"/>
      <c r="F8" s="1"/>
      <c r="G8" s="10"/>
      <c r="H8" s="1"/>
      <c r="I8" s="54" t="s">
        <v>444</v>
      </c>
      <c r="J8" s="54" t="s">
        <v>738</v>
      </c>
      <c r="K8" s="1" t="s">
        <v>953</v>
      </c>
      <c r="AK8" s="2">
        <f t="shared" si="0"/>
        <v>3</v>
      </c>
      <c r="AM8" s="2">
        <f t="shared" si="1"/>
        <v>3</v>
      </c>
    </row>
    <row r="9" spans="1:41" x14ac:dyDescent="0.35">
      <c r="A9" s="5" t="s">
        <v>736</v>
      </c>
      <c r="C9" s="6"/>
      <c r="D9" s="5"/>
      <c r="E9" s="1"/>
      <c r="F9" s="1"/>
      <c r="G9" s="10"/>
      <c r="H9" s="1"/>
      <c r="J9" s="54" t="s">
        <v>739</v>
      </c>
      <c r="K9" s="1" t="s">
        <v>954</v>
      </c>
      <c r="AK9" s="2">
        <f t="shared" si="0"/>
        <v>2</v>
      </c>
      <c r="AM9" s="2">
        <f t="shared" si="1"/>
        <v>2</v>
      </c>
    </row>
    <row r="10" spans="1:41" x14ac:dyDescent="0.35">
      <c r="A10" s="5" t="s">
        <v>2966</v>
      </c>
      <c r="C10" s="6"/>
      <c r="D10" s="5"/>
      <c r="E10" s="1"/>
      <c r="F10" s="1"/>
      <c r="G10" s="10"/>
      <c r="H10" s="1"/>
      <c r="AF10" s="1" t="s">
        <v>57</v>
      </c>
      <c r="AK10" s="2">
        <f t="shared" si="0"/>
        <v>1</v>
      </c>
      <c r="AM10" s="2">
        <f t="shared" si="1"/>
        <v>0</v>
      </c>
    </row>
    <row r="11" spans="1:41" ht="29" x14ac:dyDescent="0.35">
      <c r="A11" s="5" t="s">
        <v>180</v>
      </c>
      <c r="B11" s="6" t="s">
        <v>181</v>
      </c>
      <c r="C11" s="6" t="s">
        <v>181</v>
      </c>
      <c r="D11" s="5"/>
      <c r="E11" s="1"/>
      <c r="F11" s="10"/>
      <c r="G11" s="85" t="s">
        <v>181</v>
      </c>
      <c r="H11" s="10" t="s">
        <v>181</v>
      </c>
      <c r="I11" s="10" t="s">
        <v>181</v>
      </c>
      <c r="J11" s="53" t="s">
        <v>181</v>
      </c>
      <c r="K11" s="61" t="s">
        <v>876</v>
      </c>
      <c r="N11" s="53" t="s">
        <v>410</v>
      </c>
      <c r="AF11" s="1" t="s">
        <v>1263</v>
      </c>
      <c r="AK11" s="2">
        <f t="shared" si="0"/>
        <v>8</v>
      </c>
      <c r="AM11" s="2">
        <f t="shared" si="1"/>
        <v>6</v>
      </c>
    </row>
    <row r="12" spans="1:41" ht="29" x14ac:dyDescent="0.35">
      <c r="A12" s="5" t="s">
        <v>182</v>
      </c>
      <c r="B12" s="6" t="s">
        <v>183</v>
      </c>
      <c r="C12" s="1" t="s">
        <v>183</v>
      </c>
      <c r="D12" s="5"/>
      <c r="E12" s="1"/>
      <c r="F12" s="10"/>
      <c r="G12" s="85" t="s">
        <v>183</v>
      </c>
      <c r="H12" s="10" t="s">
        <v>183</v>
      </c>
      <c r="I12" s="10" t="s">
        <v>183</v>
      </c>
      <c r="J12" s="53" t="s">
        <v>183</v>
      </c>
      <c r="K12" s="61" t="s">
        <v>877</v>
      </c>
      <c r="L12" s="53" t="s">
        <v>876</v>
      </c>
      <c r="N12" s="53" t="s">
        <v>181</v>
      </c>
      <c r="AF12" s="1" t="s">
        <v>1779</v>
      </c>
      <c r="AK12" s="2">
        <f t="shared" si="0"/>
        <v>9</v>
      </c>
      <c r="AM12" s="2">
        <f t="shared" si="1"/>
        <v>7</v>
      </c>
    </row>
    <row r="13" spans="1:41" ht="29" x14ac:dyDescent="0.35">
      <c r="A13" s="5" t="s">
        <v>191</v>
      </c>
      <c r="C13" s="1"/>
      <c r="D13" s="5"/>
      <c r="E13" s="1"/>
      <c r="F13" s="1"/>
      <c r="G13" s="61" t="s">
        <v>192</v>
      </c>
      <c r="H13" s="61" t="s">
        <v>64</v>
      </c>
      <c r="I13" s="61" t="s">
        <v>431</v>
      </c>
      <c r="J13" s="1" t="s">
        <v>110</v>
      </c>
      <c r="AK13" s="2">
        <f t="shared" si="0"/>
        <v>4</v>
      </c>
      <c r="AM13" s="2">
        <f t="shared" si="1"/>
        <v>4</v>
      </c>
    </row>
    <row r="14" spans="1:41" ht="43.5" x14ac:dyDescent="0.35">
      <c r="A14" s="5" t="s">
        <v>414</v>
      </c>
      <c r="C14" s="53" t="s">
        <v>3244</v>
      </c>
      <c r="D14" s="5"/>
      <c r="E14" s="1"/>
      <c r="F14" s="1"/>
      <c r="G14" s="1"/>
      <c r="H14" s="66" t="s">
        <v>17</v>
      </c>
      <c r="I14" s="61" t="s">
        <v>192</v>
      </c>
      <c r="J14" s="53" t="s">
        <v>425</v>
      </c>
      <c r="K14" s="10" t="s">
        <v>907</v>
      </c>
      <c r="AK14" s="2">
        <f t="shared" si="0"/>
        <v>5</v>
      </c>
      <c r="AM14" s="2">
        <f t="shared" si="1"/>
        <v>4</v>
      </c>
    </row>
    <row r="15" spans="1:41" ht="29" x14ac:dyDescent="0.35">
      <c r="A15" s="5" t="s">
        <v>487</v>
      </c>
      <c r="C15" s="5"/>
      <c r="D15" s="5"/>
      <c r="E15" s="1"/>
      <c r="F15" s="1"/>
      <c r="G15" s="1"/>
      <c r="H15" s="66" t="s">
        <v>243</v>
      </c>
      <c r="I15" s="61" t="s">
        <v>242</v>
      </c>
      <c r="J15" s="61" t="s">
        <v>519</v>
      </c>
      <c r="K15" s="61" t="s">
        <v>980</v>
      </c>
      <c r="L15" s="61" t="s">
        <v>932</v>
      </c>
      <c r="N15" s="53" t="s">
        <v>1368</v>
      </c>
      <c r="O15" s="53" t="s">
        <v>1542</v>
      </c>
      <c r="P15" s="53" t="s">
        <v>931</v>
      </c>
      <c r="Q15" s="30" t="s">
        <v>522</v>
      </c>
      <c r="AK15" s="2">
        <f t="shared" si="0"/>
        <v>9</v>
      </c>
      <c r="AM15" s="2">
        <f t="shared" si="1"/>
        <v>8</v>
      </c>
    </row>
    <row r="16" spans="1:41" ht="29" x14ac:dyDescent="0.35">
      <c r="A16" s="5" t="s">
        <v>488</v>
      </c>
      <c r="C16" s="1"/>
      <c r="D16" s="5"/>
      <c r="E16" s="1"/>
      <c r="F16" s="1"/>
      <c r="G16" s="1"/>
      <c r="H16" s="66" t="s">
        <v>104</v>
      </c>
      <c r="I16" s="66" t="s">
        <v>243</v>
      </c>
      <c r="J16" s="61" t="s">
        <v>520</v>
      </c>
      <c r="K16" s="61" t="s">
        <v>981</v>
      </c>
      <c r="L16" s="61" t="s">
        <v>933</v>
      </c>
      <c r="N16" s="53" t="s">
        <v>1369</v>
      </c>
      <c r="O16" s="53" t="s">
        <v>1543</v>
      </c>
      <c r="P16" s="1" t="s">
        <v>933</v>
      </c>
      <c r="AK16" s="2">
        <f t="shared" si="0"/>
        <v>8</v>
      </c>
      <c r="AM16" s="2">
        <f t="shared" si="1"/>
        <v>8</v>
      </c>
    </row>
    <row r="17" spans="1:39" x14ac:dyDescent="0.35">
      <c r="A17" s="5" t="s">
        <v>489</v>
      </c>
      <c r="C17" s="1"/>
      <c r="D17" s="5"/>
      <c r="E17" s="1"/>
      <c r="F17" s="1"/>
      <c r="G17" s="1"/>
      <c r="H17" s="66" t="s">
        <v>490</v>
      </c>
      <c r="I17" s="66" t="s">
        <v>104</v>
      </c>
      <c r="J17" s="61" t="s">
        <v>522</v>
      </c>
      <c r="K17" s="61" t="s">
        <v>983</v>
      </c>
      <c r="L17" s="61" t="s">
        <v>1170</v>
      </c>
      <c r="N17" s="53" t="s">
        <v>1371</v>
      </c>
      <c r="O17" s="53" t="s">
        <v>1545</v>
      </c>
      <c r="P17" s="1" t="s">
        <v>1170</v>
      </c>
      <c r="AK17" s="2">
        <f t="shared" si="0"/>
        <v>8</v>
      </c>
      <c r="AM17" s="2">
        <f t="shared" si="1"/>
        <v>8</v>
      </c>
    </row>
    <row r="18" spans="1:39" x14ac:dyDescent="0.35">
      <c r="A18" s="5" t="s">
        <v>491</v>
      </c>
      <c r="C18" s="1"/>
      <c r="D18" s="5"/>
      <c r="E18" s="1"/>
      <c r="F18" s="1"/>
      <c r="G18" s="1"/>
      <c r="H18" s="66" t="s">
        <v>245</v>
      </c>
      <c r="I18" s="66" t="s">
        <v>490</v>
      </c>
      <c r="J18" s="61" t="s">
        <v>524</v>
      </c>
      <c r="K18" s="61" t="s">
        <v>984</v>
      </c>
      <c r="L18" s="61" t="s">
        <v>935</v>
      </c>
      <c r="N18" s="53" t="s">
        <v>1372</v>
      </c>
      <c r="O18" s="53" t="s">
        <v>1546</v>
      </c>
      <c r="P18" s="1" t="s">
        <v>935</v>
      </c>
      <c r="AK18" s="2">
        <f t="shared" si="0"/>
        <v>8</v>
      </c>
      <c r="AM18" s="2">
        <f t="shared" si="1"/>
        <v>8</v>
      </c>
    </row>
    <row r="19" spans="1:39" x14ac:dyDescent="0.35">
      <c r="A19" s="5" t="s">
        <v>492</v>
      </c>
      <c r="C19" s="1"/>
      <c r="D19" s="5"/>
      <c r="E19" s="1"/>
      <c r="F19" s="1"/>
      <c r="G19" s="1"/>
      <c r="H19" s="66" t="s">
        <v>247</v>
      </c>
      <c r="I19" s="66" t="s">
        <v>245</v>
      </c>
      <c r="J19" s="10"/>
      <c r="K19" s="10"/>
      <c r="L19" s="10"/>
      <c r="AK19" s="2">
        <f t="shared" si="0"/>
        <v>2</v>
      </c>
      <c r="AM19" s="2">
        <f t="shared" si="1"/>
        <v>2</v>
      </c>
    </row>
    <row r="20" spans="1:39" x14ac:dyDescent="0.35">
      <c r="A20" s="5" t="s">
        <v>493</v>
      </c>
      <c r="C20" s="1"/>
      <c r="D20" s="5"/>
      <c r="E20" s="1"/>
      <c r="F20" s="1"/>
      <c r="G20" s="1"/>
      <c r="H20" s="66" t="s">
        <v>249</v>
      </c>
      <c r="I20" s="66" t="s">
        <v>247</v>
      </c>
      <c r="J20" s="61" t="s">
        <v>525</v>
      </c>
      <c r="K20" s="61" t="s">
        <v>985</v>
      </c>
      <c r="L20" s="61" t="s">
        <v>937</v>
      </c>
      <c r="N20" s="53" t="s">
        <v>1373</v>
      </c>
      <c r="O20" s="53" t="s">
        <v>1547</v>
      </c>
      <c r="P20" s="1" t="s">
        <v>937</v>
      </c>
      <c r="AK20" s="2">
        <f t="shared" si="0"/>
        <v>8</v>
      </c>
      <c r="AM20" s="2">
        <f t="shared" si="1"/>
        <v>8</v>
      </c>
    </row>
    <row r="21" spans="1:39" x14ac:dyDescent="0.35">
      <c r="A21" s="5" t="s">
        <v>494</v>
      </c>
      <c r="C21" s="1"/>
      <c r="D21" s="5"/>
      <c r="E21" s="1"/>
      <c r="F21" s="1"/>
      <c r="G21" s="1"/>
      <c r="H21" s="66" t="s">
        <v>251</v>
      </c>
      <c r="I21" s="10"/>
      <c r="J21" s="61" t="s">
        <v>276</v>
      </c>
      <c r="K21" s="61" t="s">
        <v>986</v>
      </c>
      <c r="L21" s="10"/>
      <c r="AK21" s="2">
        <f t="shared" si="0"/>
        <v>3</v>
      </c>
      <c r="AM21" s="2">
        <f t="shared" si="1"/>
        <v>3</v>
      </c>
    </row>
    <row r="22" spans="1:39" x14ac:dyDescent="0.35">
      <c r="A22" s="5" t="s">
        <v>651</v>
      </c>
      <c r="C22" s="1"/>
      <c r="D22" s="5"/>
      <c r="E22" s="1"/>
      <c r="F22" s="1"/>
      <c r="G22" s="1"/>
      <c r="H22" s="10"/>
      <c r="I22" s="66" t="s">
        <v>249</v>
      </c>
      <c r="J22" s="10"/>
      <c r="K22" s="10"/>
      <c r="L22" s="61" t="s">
        <v>938</v>
      </c>
      <c r="N22" s="53" t="s">
        <v>1376</v>
      </c>
      <c r="O22" s="53" t="s">
        <v>1549</v>
      </c>
      <c r="P22" s="1" t="s">
        <v>940</v>
      </c>
      <c r="AK22" s="2">
        <f t="shared" si="0"/>
        <v>5</v>
      </c>
      <c r="AM22" s="2">
        <f t="shared" si="1"/>
        <v>5</v>
      </c>
    </row>
    <row r="23" spans="1:39" x14ac:dyDescent="0.35">
      <c r="A23" s="5" t="s">
        <v>652</v>
      </c>
      <c r="C23" s="1"/>
      <c r="D23" s="5"/>
      <c r="E23" s="1"/>
      <c r="F23" s="1"/>
      <c r="G23" s="1"/>
      <c r="H23" s="10"/>
      <c r="I23" s="66" t="s">
        <v>251</v>
      </c>
      <c r="J23" s="10"/>
      <c r="K23" s="10"/>
      <c r="L23" s="10"/>
      <c r="AK23" s="2">
        <f t="shared" si="0"/>
        <v>1</v>
      </c>
      <c r="AM23" s="2">
        <f t="shared" si="1"/>
        <v>1</v>
      </c>
    </row>
    <row r="24" spans="1:39" x14ac:dyDescent="0.35">
      <c r="A24" s="5" t="s">
        <v>653</v>
      </c>
      <c r="C24" s="1"/>
      <c r="D24" s="5"/>
      <c r="E24" s="1"/>
      <c r="F24" s="1"/>
      <c r="G24" s="1"/>
      <c r="H24" s="10"/>
      <c r="I24" s="66" t="s">
        <v>253</v>
      </c>
      <c r="J24" s="10"/>
      <c r="K24" s="10"/>
      <c r="L24" s="10"/>
      <c r="AK24" s="2">
        <f t="shared" si="0"/>
        <v>1</v>
      </c>
      <c r="AM24" s="2">
        <f t="shared" si="1"/>
        <v>1</v>
      </c>
    </row>
    <row r="25" spans="1:39" x14ac:dyDescent="0.35">
      <c r="A25" s="5" t="s">
        <v>495</v>
      </c>
      <c r="C25" s="1"/>
      <c r="D25" s="5"/>
      <c r="E25" s="1"/>
      <c r="F25" s="1"/>
      <c r="G25" s="1"/>
      <c r="H25" s="66" t="s">
        <v>253</v>
      </c>
      <c r="I25" s="66" t="s">
        <v>497</v>
      </c>
      <c r="J25" s="61" t="s">
        <v>278</v>
      </c>
      <c r="K25" s="61" t="s">
        <v>987</v>
      </c>
      <c r="L25" s="61" t="s">
        <v>940</v>
      </c>
      <c r="N25" s="53" t="s">
        <v>1377</v>
      </c>
      <c r="O25" s="53" t="s">
        <v>1550</v>
      </c>
      <c r="P25" s="1" t="s">
        <v>941</v>
      </c>
      <c r="AK25" s="2">
        <f t="shared" si="0"/>
        <v>8</v>
      </c>
      <c r="AM25" s="2">
        <f t="shared" si="1"/>
        <v>8</v>
      </c>
    </row>
    <row r="26" spans="1:39" x14ac:dyDescent="0.35">
      <c r="A26" s="5" t="s">
        <v>496</v>
      </c>
      <c r="C26" s="5"/>
      <c r="D26" s="5"/>
      <c r="E26" s="1"/>
      <c r="F26" s="1"/>
      <c r="G26" s="1"/>
      <c r="H26" s="66" t="s">
        <v>497</v>
      </c>
      <c r="I26" s="66" t="s">
        <v>499</v>
      </c>
      <c r="J26" s="61" t="s">
        <v>118</v>
      </c>
      <c r="K26" s="61" t="s">
        <v>988</v>
      </c>
      <c r="L26" s="61" t="s">
        <v>941</v>
      </c>
      <c r="N26" s="53" t="s">
        <v>1378</v>
      </c>
      <c r="O26" s="53" t="s">
        <v>1551</v>
      </c>
      <c r="AK26" s="2">
        <f t="shared" si="0"/>
        <v>7</v>
      </c>
      <c r="AM26" s="2">
        <f t="shared" si="1"/>
        <v>7</v>
      </c>
    </row>
    <row r="27" spans="1:39" x14ac:dyDescent="0.35">
      <c r="A27" s="5" t="s">
        <v>655</v>
      </c>
      <c r="C27" s="5"/>
      <c r="D27" s="5"/>
      <c r="E27" s="1"/>
      <c r="F27" s="1"/>
      <c r="G27" s="1"/>
      <c r="H27" s="10"/>
      <c r="I27" s="66" t="s">
        <v>500</v>
      </c>
      <c r="J27" s="61" t="s">
        <v>120</v>
      </c>
      <c r="K27" s="61" t="s">
        <v>989</v>
      </c>
      <c r="L27" s="61" t="s">
        <v>943</v>
      </c>
      <c r="N27" s="53" t="s">
        <v>1379</v>
      </c>
      <c r="O27" s="53" t="s">
        <v>1552</v>
      </c>
      <c r="P27" s="1" t="s">
        <v>943</v>
      </c>
      <c r="AK27" s="2">
        <f t="shared" si="0"/>
        <v>7</v>
      </c>
      <c r="AM27" s="2">
        <f t="shared" si="1"/>
        <v>7</v>
      </c>
    </row>
    <row r="28" spans="1:39" x14ac:dyDescent="0.35">
      <c r="A28" s="5" t="s">
        <v>654</v>
      </c>
      <c r="C28" s="5"/>
      <c r="D28" s="5"/>
      <c r="E28" s="1"/>
      <c r="F28" s="1"/>
      <c r="G28" s="1"/>
      <c r="H28" s="10"/>
      <c r="I28" s="66" t="s">
        <v>501</v>
      </c>
      <c r="J28" s="10"/>
      <c r="K28" s="10"/>
      <c r="L28" s="10"/>
      <c r="AK28" s="2">
        <f t="shared" si="0"/>
        <v>1</v>
      </c>
      <c r="AM28" s="2">
        <f t="shared" si="1"/>
        <v>1</v>
      </c>
    </row>
    <row r="29" spans="1:39" x14ac:dyDescent="0.35">
      <c r="A29" s="5" t="s">
        <v>751</v>
      </c>
      <c r="C29" s="5"/>
      <c r="D29" s="5"/>
      <c r="E29" s="1"/>
      <c r="F29" s="1"/>
      <c r="G29" s="1"/>
      <c r="H29" s="10"/>
      <c r="I29" s="10"/>
      <c r="J29" s="61" t="s">
        <v>521</v>
      </c>
      <c r="K29" s="61" t="s">
        <v>982</v>
      </c>
      <c r="L29" s="61" t="s">
        <v>936</v>
      </c>
      <c r="N29" s="53" t="s">
        <v>1370</v>
      </c>
      <c r="O29" s="53" t="s">
        <v>1544</v>
      </c>
      <c r="P29" s="1" t="s">
        <v>936</v>
      </c>
      <c r="AK29" s="2">
        <f t="shared" si="0"/>
        <v>6</v>
      </c>
      <c r="AM29" s="2">
        <f t="shared" si="1"/>
        <v>6</v>
      </c>
    </row>
    <row r="30" spans="1:39" x14ac:dyDescent="0.35">
      <c r="A30" s="5" t="s">
        <v>752</v>
      </c>
      <c r="C30" s="5"/>
      <c r="D30" s="5"/>
      <c r="E30" s="1"/>
      <c r="F30" s="1"/>
      <c r="G30" s="1"/>
      <c r="H30" s="10"/>
      <c r="I30" s="10"/>
      <c r="J30" s="61" t="s">
        <v>281</v>
      </c>
      <c r="K30" s="61" t="s">
        <v>990</v>
      </c>
      <c r="N30" s="53" t="s">
        <v>1380</v>
      </c>
      <c r="O30" s="53" t="s">
        <v>1553</v>
      </c>
      <c r="AK30" s="2">
        <f t="shared" si="0"/>
        <v>4</v>
      </c>
      <c r="AM30" s="2">
        <f t="shared" si="1"/>
        <v>4</v>
      </c>
    </row>
    <row r="31" spans="1:39" x14ac:dyDescent="0.35">
      <c r="A31" s="5" t="s">
        <v>1374</v>
      </c>
      <c r="C31" s="5"/>
      <c r="D31" s="5"/>
      <c r="E31" s="1"/>
      <c r="F31" s="1"/>
      <c r="G31" s="1"/>
      <c r="H31" s="10"/>
      <c r="I31" s="10"/>
      <c r="J31" s="10"/>
      <c r="K31" s="10"/>
      <c r="N31" s="53" t="s">
        <v>1375</v>
      </c>
      <c r="O31" s="53" t="s">
        <v>1548</v>
      </c>
      <c r="P31" s="1" t="s">
        <v>938</v>
      </c>
      <c r="AK31" s="2">
        <f t="shared" si="0"/>
        <v>3</v>
      </c>
      <c r="AM31" s="2">
        <f t="shared" si="1"/>
        <v>3</v>
      </c>
    </row>
    <row r="32" spans="1:39" ht="29" x14ac:dyDescent="0.35">
      <c r="A32" s="5" t="s">
        <v>498</v>
      </c>
      <c r="C32" s="5"/>
      <c r="D32" s="5"/>
      <c r="E32" s="1"/>
      <c r="F32" s="1"/>
      <c r="G32" s="1"/>
      <c r="H32" s="10" t="s">
        <v>499</v>
      </c>
      <c r="AK32" s="2">
        <f t="shared" si="0"/>
        <v>1</v>
      </c>
      <c r="AM32" s="2">
        <f t="shared" si="1"/>
        <v>1</v>
      </c>
    </row>
    <row r="33" spans="1:39" ht="29" x14ac:dyDescent="0.35">
      <c r="A33" s="5" t="s">
        <v>1859</v>
      </c>
      <c r="C33" s="5"/>
      <c r="D33" s="5"/>
      <c r="E33" s="1"/>
      <c r="F33" s="1"/>
      <c r="G33" s="1"/>
      <c r="H33" s="10"/>
      <c r="Q33" s="30" t="s">
        <v>532</v>
      </c>
      <c r="AK33" s="2">
        <f t="shared" si="0"/>
        <v>1</v>
      </c>
      <c r="AM33" s="2">
        <f t="shared" si="1"/>
        <v>0</v>
      </c>
    </row>
    <row r="34" spans="1:39" x14ac:dyDescent="0.35">
      <c r="A34" s="5" t="s">
        <v>509</v>
      </c>
      <c r="C34" s="5"/>
      <c r="D34" s="5"/>
      <c r="E34" s="1"/>
      <c r="F34" s="1"/>
      <c r="G34" s="1"/>
      <c r="H34" s="53" t="s">
        <v>510</v>
      </c>
      <c r="I34" s="1" t="s">
        <v>659</v>
      </c>
      <c r="AK34" s="2">
        <f t="shared" si="0"/>
        <v>2</v>
      </c>
      <c r="AM34" s="2">
        <f t="shared" si="1"/>
        <v>2</v>
      </c>
    </row>
    <row r="35" spans="1:39" ht="43.5" x14ac:dyDescent="0.35">
      <c r="A35" s="5" t="s">
        <v>650</v>
      </c>
      <c r="C35" s="5"/>
      <c r="D35" s="5"/>
      <c r="E35" s="1"/>
      <c r="F35" s="1"/>
      <c r="G35" s="1"/>
      <c r="H35" s="1"/>
      <c r="I35" s="10" t="s">
        <v>101</v>
      </c>
      <c r="AK35" s="2">
        <f t="shared" si="0"/>
        <v>1</v>
      </c>
      <c r="AM35" s="2">
        <f t="shared" si="1"/>
        <v>1</v>
      </c>
    </row>
    <row r="36" spans="1:39" ht="29" x14ac:dyDescent="0.35">
      <c r="A36" s="5" t="s">
        <v>1381</v>
      </c>
      <c r="C36" s="5"/>
      <c r="D36" s="5"/>
      <c r="E36" s="1"/>
      <c r="F36" s="1"/>
      <c r="G36" s="1"/>
      <c r="H36" s="1"/>
      <c r="N36" s="53" t="s">
        <v>1382</v>
      </c>
      <c r="O36" s="53" t="s">
        <v>1554</v>
      </c>
      <c r="P36" s="1" t="s">
        <v>944</v>
      </c>
      <c r="AK36" s="2">
        <f t="shared" si="0"/>
        <v>3</v>
      </c>
      <c r="AM36" s="2">
        <f t="shared" si="1"/>
        <v>3</v>
      </c>
    </row>
    <row r="37" spans="1:39" x14ac:dyDescent="0.35">
      <c r="A37" s="5" t="s">
        <v>1383</v>
      </c>
      <c r="C37" s="5"/>
      <c r="D37" s="5"/>
      <c r="E37" s="1"/>
      <c r="F37" s="1"/>
      <c r="G37" s="1"/>
      <c r="H37" s="1"/>
      <c r="N37" s="53" t="s">
        <v>1385</v>
      </c>
      <c r="O37" s="53" t="s">
        <v>1555</v>
      </c>
      <c r="P37" s="53" t="s">
        <v>1364</v>
      </c>
      <c r="R37" s="53" t="s">
        <v>1056</v>
      </c>
      <c r="S37" s="53" t="s">
        <v>2168</v>
      </c>
      <c r="T37" s="1" t="s">
        <v>886</v>
      </c>
      <c r="AK37" s="2">
        <f t="shared" si="0"/>
        <v>6</v>
      </c>
      <c r="AM37" s="2">
        <f t="shared" si="1"/>
        <v>5</v>
      </c>
    </row>
    <row r="38" spans="1:39" x14ac:dyDescent="0.35">
      <c r="A38" s="5" t="s">
        <v>1386</v>
      </c>
      <c r="C38" s="5"/>
      <c r="D38" s="5"/>
      <c r="E38" s="1"/>
      <c r="F38" s="1"/>
      <c r="G38" s="1"/>
      <c r="H38" s="1"/>
      <c r="N38" s="53" t="s">
        <v>1384</v>
      </c>
      <c r="O38" s="53" t="s">
        <v>1556</v>
      </c>
      <c r="P38" s="53" t="s">
        <v>1365</v>
      </c>
      <c r="R38" s="53" t="s">
        <v>1441</v>
      </c>
      <c r="S38" s="53" t="s">
        <v>2169</v>
      </c>
      <c r="T38" s="1" t="s">
        <v>889</v>
      </c>
      <c r="AK38" s="2">
        <f t="shared" si="0"/>
        <v>6</v>
      </c>
      <c r="AM38" s="2">
        <f t="shared" si="1"/>
        <v>5</v>
      </c>
    </row>
    <row r="39" spans="1:39" ht="29" x14ac:dyDescent="0.35">
      <c r="A39" s="5" t="s">
        <v>1857</v>
      </c>
      <c r="C39" s="5"/>
      <c r="D39" s="5"/>
      <c r="E39" s="1"/>
      <c r="F39" s="1"/>
      <c r="G39" s="1"/>
      <c r="H39" s="1"/>
      <c r="Q39" s="30" t="s">
        <v>120</v>
      </c>
      <c r="AK39" s="2">
        <f t="shared" si="0"/>
        <v>1</v>
      </c>
      <c r="AM39" s="2">
        <f t="shared" si="1"/>
        <v>0</v>
      </c>
    </row>
    <row r="40" spans="1:39" ht="29" x14ac:dyDescent="0.35">
      <c r="A40" s="5" t="s">
        <v>1858</v>
      </c>
      <c r="C40" s="5"/>
      <c r="D40" s="5"/>
      <c r="E40" s="1"/>
      <c r="F40" s="1"/>
      <c r="G40" s="1"/>
      <c r="H40" s="1"/>
      <c r="Q40" s="30" t="s">
        <v>281</v>
      </c>
      <c r="AK40" s="2">
        <f t="shared" si="0"/>
        <v>1</v>
      </c>
      <c r="AM40" s="2">
        <f t="shared" si="1"/>
        <v>0</v>
      </c>
    </row>
    <row r="41" spans="1:39" ht="29" x14ac:dyDescent="0.35">
      <c r="A41" s="5" t="s">
        <v>1907</v>
      </c>
      <c r="C41" s="5"/>
      <c r="D41" s="5"/>
      <c r="E41" s="1"/>
      <c r="F41" s="1"/>
      <c r="G41" s="1"/>
      <c r="H41" s="1"/>
      <c r="Q41" s="30" t="s">
        <v>901</v>
      </c>
      <c r="AK41" s="2">
        <f t="shared" si="0"/>
        <v>1</v>
      </c>
      <c r="AM41" s="2">
        <f t="shared" si="1"/>
        <v>0</v>
      </c>
    </row>
    <row r="42" spans="1:39" ht="29" x14ac:dyDescent="0.35">
      <c r="A42" s="5" t="s">
        <v>2189</v>
      </c>
      <c r="C42" s="5"/>
      <c r="D42" s="5"/>
      <c r="E42" s="1"/>
      <c r="F42" s="1"/>
      <c r="G42" s="1"/>
      <c r="H42" s="1"/>
      <c r="R42" s="53" t="s">
        <v>367</v>
      </c>
      <c r="S42" s="1" t="s">
        <v>2191</v>
      </c>
      <c r="AK42" s="2">
        <f t="shared" si="0"/>
        <v>2</v>
      </c>
      <c r="AM42" s="2">
        <f t="shared" si="1"/>
        <v>1</v>
      </c>
    </row>
    <row r="43" spans="1:39" ht="29" x14ac:dyDescent="0.35">
      <c r="A43" s="5" t="s">
        <v>2190</v>
      </c>
      <c r="C43" s="5"/>
      <c r="D43" s="5"/>
      <c r="E43" s="1"/>
      <c r="F43" s="1"/>
      <c r="G43" s="1"/>
      <c r="H43" s="1"/>
      <c r="R43" s="53" t="s">
        <v>1068</v>
      </c>
      <c r="S43" s="1" t="s">
        <v>2192</v>
      </c>
      <c r="AK43" s="2">
        <f t="shared" si="0"/>
        <v>2</v>
      </c>
      <c r="AM43" s="2">
        <f t="shared" si="1"/>
        <v>1</v>
      </c>
    </row>
    <row r="44" spans="1:39" ht="29" x14ac:dyDescent="0.35">
      <c r="A44" s="5" t="s">
        <v>2187</v>
      </c>
      <c r="C44" s="5"/>
      <c r="D44" s="5"/>
      <c r="E44" s="1"/>
      <c r="F44" s="1"/>
      <c r="G44" s="1"/>
      <c r="H44" s="1"/>
      <c r="R44" s="53" t="s">
        <v>1452</v>
      </c>
      <c r="S44" s="1" t="s">
        <v>2193</v>
      </c>
      <c r="AK44" s="2">
        <f t="shared" si="0"/>
        <v>2</v>
      </c>
      <c r="AM44" s="2">
        <f t="shared" si="1"/>
        <v>1</v>
      </c>
    </row>
    <row r="45" spans="1:39" ht="29" x14ac:dyDescent="0.35">
      <c r="A45" s="5" t="s">
        <v>2203</v>
      </c>
      <c r="C45" s="5"/>
      <c r="D45" s="5"/>
      <c r="E45" s="1"/>
      <c r="F45" s="1"/>
      <c r="G45" s="1"/>
      <c r="H45" s="1"/>
      <c r="R45" s="53" t="s">
        <v>1074</v>
      </c>
      <c r="S45" s="1" t="s">
        <v>2205</v>
      </c>
      <c r="AK45" s="2">
        <f t="shared" si="0"/>
        <v>2</v>
      </c>
      <c r="AM45" s="2">
        <f t="shared" si="1"/>
        <v>1</v>
      </c>
    </row>
    <row r="46" spans="1:39" ht="29" x14ac:dyDescent="0.35">
      <c r="A46" s="5" t="s">
        <v>2204</v>
      </c>
      <c r="C46" s="5"/>
      <c r="D46" s="5"/>
      <c r="E46" s="1"/>
      <c r="F46" s="1"/>
      <c r="G46" s="1"/>
      <c r="H46" s="1"/>
      <c r="R46" s="53" t="s">
        <v>1455</v>
      </c>
      <c r="S46" s="1" t="s">
        <v>2206</v>
      </c>
      <c r="AK46" s="2">
        <f t="shared" si="0"/>
        <v>2</v>
      </c>
      <c r="AM46" s="2">
        <f t="shared" si="1"/>
        <v>1</v>
      </c>
    </row>
    <row r="47" spans="1:39" ht="29" x14ac:dyDescent="0.35">
      <c r="A47" s="5" t="s">
        <v>2187</v>
      </c>
      <c r="C47" s="5"/>
      <c r="D47" s="5"/>
      <c r="E47" s="1"/>
      <c r="F47" s="1"/>
      <c r="G47" s="1"/>
      <c r="H47" s="1"/>
      <c r="R47" s="53" t="s">
        <v>1076</v>
      </c>
      <c r="S47" s="1" t="s">
        <v>2207</v>
      </c>
      <c r="AK47" s="2">
        <f t="shared" si="0"/>
        <v>2</v>
      </c>
      <c r="AM47" s="2">
        <f t="shared" si="1"/>
        <v>1</v>
      </c>
    </row>
    <row r="48" spans="1:39" ht="29" x14ac:dyDescent="0.35">
      <c r="A48" s="5" t="s">
        <v>2239</v>
      </c>
      <c r="C48" s="5"/>
      <c r="D48" s="5"/>
      <c r="E48" s="1"/>
      <c r="F48" s="1"/>
      <c r="G48" s="1"/>
      <c r="H48" s="1"/>
      <c r="T48" s="53" t="s">
        <v>13</v>
      </c>
      <c r="U48" s="53" t="s">
        <v>975</v>
      </c>
      <c r="W48" s="53" t="s">
        <v>10</v>
      </c>
      <c r="AA48" s="1" t="s">
        <v>15</v>
      </c>
      <c r="AK48" s="2">
        <f t="shared" si="0"/>
        <v>4</v>
      </c>
      <c r="AM48" s="2">
        <f t="shared" si="1"/>
        <v>1</v>
      </c>
    </row>
    <row r="49" spans="1:39" ht="29" x14ac:dyDescent="0.35">
      <c r="A49" s="5" t="s">
        <v>2286</v>
      </c>
      <c r="C49" s="5"/>
      <c r="D49" s="5"/>
      <c r="E49" s="1"/>
      <c r="F49" s="1"/>
      <c r="G49" s="1"/>
      <c r="H49" s="1"/>
      <c r="T49" s="1" t="s">
        <v>891</v>
      </c>
      <c r="AK49" s="2">
        <f t="shared" si="0"/>
        <v>1</v>
      </c>
      <c r="AM49" s="2">
        <f t="shared" si="1"/>
        <v>1</v>
      </c>
    </row>
    <row r="50" spans="1:39" ht="29" x14ac:dyDescent="0.35">
      <c r="A50" s="5" t="s">
        <v>2287</v>
      </c>
      <c r="C50" s="5"/>
      <c r="D50" s="5"/>
      <c r="E50" s="1"/>
      <c r="F50" s="1"/>
      <c r="G50" s="1"/>
      <c r="H50" s="1"/>
      <c r="T50" s="1" t="s">
        <v>892</v>
      </c>
      <c r="AK50" s="2">
        <f t="shared" si="0"/>
        <v>1</v>
      </c>
      <c r="AM50" s="2">
        <f t="shared" si="1"/>
        <v>1</v>
      </c>
    </row>
    <row r="51" spans="1:39" ht="29" x14ac:dyDescent="0.35">
      <c r="A51" s="5" t="s">
        <v>2288</v>
      </c>
      <c r="C51" s="5"/>
      <c r="D51" s="5"/>
      <c r="E51" s="1"/>
      <c r="F51" s="1"/>
      <c r="G51" s="1"/>
      <c r="H51" s="1"/>
      <c r="T51" s="1" t="s">
        <v>893</v>
      </c>
      <c r="AK51" s="2">
        <f t="shared" si="0"/>
        <v>1</v>
      </c>
      <c r="AM51" s="2">
        <f t="shared" si="1"/>
        <v>1</v>
      </c>
    </row>
    <row r="52" spans="1:39" ht="29" x14ac:dyDescent="0.35">
      <c r="A52" s="5" t="s">
        <v>2289</v>
      </c>
      <c r="C52" s="5"/>
      <c r="D52" s="5"/>
      <c r="E52" s="1"/>
      <c r="F52" s="1"/>
      <c r="G52" s="1"/>
      <c r="H52" s="1"/>
      <c r="T52" s="1" t="s">
        <v>894</v>
      </c>
      <c r="AK52" s="2">
        <f t="shared" si="0"/>
        <v>1</v>
      </c>
      <c r="AM52" s="2">
        <f t="shared" si="1"/>
        <v>1</v>
      </c>
    </row>
    <row r="53" spans="1:39" ht="29" x14ac:dyDescent="0.35">
      <c r="A53" s="5" t="s">
        <v>2290</v>
      </c>
      <c r="C53" s="5"/>
      <c r="D53" s="5"/>
      <c r="E53" s="1"/>
      <c r="F53" s="1"/>
      <c r="G53" s="1"/>
      <c r="H53" s="1"/>
      <c r="T53" s="1" t="s">
        <v>895</v>
      </c>
      <c r="AK53" s="2">
        <f t="shared" si="0"/>
        <v>1</v>
      </c>
      <c r="AM53" s="2">
        <f t="shared" si="1"/>
        <v>1</v>
      </c>
    </row>
    <row r="54" spans="1:39" ht="29" x14ac:dyDescent="0.35">
      <c r="A54" s="5" t="s">
        <v>2291</v>
      </c>
      <c r="C54" s="5"/>
      <c r="D54" s="5"/>
      <c r="E54" s="1"/>
      <c r="F54" s="1"/>
      <c r="G54" s="1"/>
      <c r="H54" s="1"/>
      <c r="T54" s="1" t="s">
        <v>896</v>
      </c>
      <c r="AK54" s="2">
        <f t="shared" si="0"/>
        <v>1</v>
      </c>
      <c r="AM54" s="2">
        <f t="shared" si="1"/>
        <v>1</v>
      </c>
    </row>
    <row r="55" spans="1:39" ht="29" x14ac:dyDescent="0.35">
      <c r="A55" s="5" t="s">
        <v>2296</v>
      </c>
      <c r="C55" s="5"/>
      <c r="D55" s="5"/>
      <c r="E55" s="1"/>
      <c r="F55" s="1"/>
      <c r="G55" s="1"/>
      <c r="H55" s="1"/>
      <c r="T55" s="1" t="s">
        <v>929</v>
      </c>
      <c r="AK55" s="2">
        <f t="shared" si="0"/>
        <v>1</v>
      </c>
      <c r="AM55" s="2">
        <f t="shared" si="1"/>
        <v>1</v>
      </c>
    </row>
    <row r="56" spans="1:39" ht="29" x14ac:dyDescent="0.35">
      <c r="A56" s="5" t="s">
        <v>2297</v>
      </c>
      <c r="C56" s="5"/>
      <c r="D56" s="5"/>
      <c r="E56" s="1"/>
      <c r="F56" s="1"/>
      <c r="G56" s="1"/>
      <c r="H56" s="1"/>
      <c r="T56" s="1" t="s">
        <v>930</v>
      </c>
      <c r="AK56" s="2">
        <f t="shared" si="0"/>
        <v>1</v>
      </c>
      <c r="AM56" s="2">
        <f t="shared" si="1"/>
        <v>1</v>
      </c>
    </row>
    <row r="57" spans="1:39" ht="29" x14ac:dyDescent="0.35">
      <c r="A57" s="5" t="s">
        <v>2298</v>
      </c>
      <c r="C57" s="5"/>
      <c r="D57" s="5"/>
      <c r="E57" s="1"/>
      <c r="F57" s="1"/>
      <c r="G57" s="1"/>
      <c r="H57" s="1"/>
      <c r="T57" s="1" t="s">
        <v>931</v>
      </c>
      <c r="AK57" s="2">
        <f t="shared" si="0"/>
        <v>1</v>
      </c>
      <c r="AM57" s="2">
        <f t="shared" si="1"/>
        <v>1</v>
      </c>
    </row>
    <row r="58" spans="1:39" ht="29" x14ac:dyDescent="0.35">
      <c r="A58" s="5" t="s">
        <v>2299</v>
      </c>
      <c r="C58" s="5"/>
      <c r="D58" s="5"/>
      <c r="E58" s="1"/>
      <c r="F58" s="1"/>
      <c r="G58" s="1"/>
      <c r="H58" s="1"/>
      <c r="T58" s="1" t="s">
        <v>932</v>
      </c>
      <c r="AK58" s="2">
        <f t="shared" si="0"/>
        <v>1</v>
      </c>
      <c r="AM58" s="2">
        <f t="shared" si="1"/>
        <v>1</v>
      </c>
    </row>
    <row r="59" spans="1:39" x14ac:dyDescent="0.35">
      <c r="A59" s="5" t="s">
        <v>2305</v>
      </c>
      <c r="C59" s="5"/>
      <c r="D59" s="5"/>
      <c r="E59" s="1"/>
      <c r="F59" s="1"/>
      <c r="G59" s="1"/>
      <c r="H59" s="1"/>
      <c r="U59" s="53" t="s">
        <v>977</v>
      </c>
      <c r="V59" s="1" t="s">
        <v>1747</v>
      </c>
      <c r="AK59" s="2">
        <f t="shared" si="0"/>
        <v>2</v>
      </c>
      <c r="AM59" s="2">
        <f t="shared" si="1"/>
        <v>0</v>
      </c>
    </row>
    <row r="60" spans="1:39" ht="29" x14ac:dyDescent="0.35">
      <c r="A60" s="5" t="s">
        <v>2306</v>
      </c>
      <c r="C60" s="5"/>
      <c r="D60" s="5"/>
      <c r="E60" s="1"/>
      <c r="F60" s="1"/>
      <c r="G60" s="1"/>
      <c r="H60" s="1"/>
      <c r="U60" s="53" t="s">
        <v>1256</v>
      </c>
      <c r="V60" s="1" t="s">
        <v>1748</v>
      </c>
      <c r="AK60" s="2">
        <f t="shared" si="0"/>
        <v>2</v>
      </c>
      <c r="AM60" s="2">
        <f t="shared" si="1"/>
        <v>0</v>
      </c>
    </row>
    <row r="61" spans="1:39" x14ac:dyDescent="0.35">
      <c r="A61" s="5" t="s">
        <v>2307</v>
      </c>
      <c r="C61" s="5"/>
      <c r="D61" s="5"/>
      <c r="E61" s="1"/>
      <c r="F61" s="1"/>
      <c r="G61" s="1"/>
      <c r="H61" s="1"/>
      <c r="U61" s="54" t="s">
        <v>978</v>
      </c>
      <c r="V61" s="53" t="s">
        <v>1749</v>
      </c>
      <c r="W61" s="1" t="s">
        <v>521</v>
      </c>
      <c r="AK61" s="2">
        <f t="shared" si="0"/>
        <v>3</v>
      </c>
      <c r="AM61" s="2">
        <f t="shared" si="1"/>
        <v>0</v>
      </c>
    </row>
    <row r="62" spans="1:39" ht="29" x14ac:dyDescent="0.35">
      <c r="A62" s="5" t="s">
        <v>2308</v>
      </c>
      <c r="C62" s="5"/>
      <c r="D62" s="5"/>
      <c r="E62" s="1"/>
      <c r="F62" s="1"/>
      <c r="G62" s="1"/>
      <c r="H62" s="1"/>
      <c r="U62" s="53" t="s">
        <v>1180</v>
      </c>
      <c r="V62" s="1" t="s">
        <v>2476</v>
      </c>
      <c r="AK62" s="2">
        <f t="shared" si="0"/>
        <v>2</v>
      </c>
      <c r="AM62" s="2">
        <f t="shared" si="1"/>
        <v>0</v>
      </c>
    </row>
    <row r="63" spans="1:39" ht="29" x14ac:dyDescent="0.35">
      <c r="A63" s="5" t="s">
        <v>2309</v>
      </c>
      <c r="C63" s="5"/>
      <c r="D63" s="5"/>
      <c r="E63" s="1"/>
      <c r="F63" s="1"/>
      <c r="G63" s="1"/>
      <c r="H63" s="1"/>
      <c r="U63" s="53" t="s">
        <v>979</v>
      </c>
      <c r="V63" s="1" t="s">
        <v>2477</v>
      </c>
      <c r="AK63" s="2">
        <f t="shared" si="0"/>
        <v>2</v>
      </c>
      <c r="AM63" s="2">
        <f t="shared" si="1"/>
        <v>0</v>
      </c>
    </row>
    <row r="64" spans="1:39" ht="29" x14ac:dyDescent="0.35">
      <c r="A64" s="5" t="s">
        <v>2310</v>
      </c>
      <c r="C64" s="5"/>
      <c r="D64" s="5"/>
      <c r="E64" s="1"/>
      <c r="F64" s="1"/>
      <c r="G64" s="1"/>
      <c r="H64" s="1"/>
      <c r="U64" s="53" t="s">
        <v>1258</v>
      </c>
      <c r="V64" s="1" t="s">
        <v>2478</v>
      </c>
      <c r="AK64" s="2">
        <f t="shared" si="0"/>
        <v>2</v>
      </c>
      <c r="AM64" s="2">
        <f t="shared" si="1"/>
        <v>0</v>
      </c>
    </row>
    <row r="65" spans="1:39" ht="29" x14ac:dyDescent="0.35">
      <c r="A65" s="5" t="s">
        <v>2547</v>
      </c>
      <c r="C65" s="5"/>
      <c r="D65" s="5"/>
      <c r="E65" s="1"/>
      <c r="F65" s="1"/>
      <c r="G65" s="1"/>
      <c r="H65" s="1"/>
      <c r="W65" s="1" t="s">
        <v>515</v>
      </c>
      <c r="AK65" s="2">
        <f t="shared" si="0"/>
        <v>1</v>
      </c>
      <c r="AM65" s="2">
        <f t="shared" si="1"/>
        <v>0</v>
      </c>
    </row>
    <row r="66" spans="1:39" ht="29" x14ac:dyDescent="0.35">
      <c r="A66" s="5" t="s">
        <v>2548</v>
      </c>
      <c r="C66" s="5"/>
      <c r="D66" s="5"/>
      <c r="E66" s="1"/>
      <c r="F66" s="1"/>
      <c r="G66" s="1"/>
      <c r="H66" s="1"/>
      <c r="W66" s="1" t="s">
        <v>519</v>
      </c>
      <c r="AK66" s="2">
        <f t="shared" si="0"/>
        <v>1</v>
      </c>
      <c r="AM66" s="2">
        <f t="shared" si="1"/>
        <v>0</v>
      </c>
    </row>
    <row r="67" spans="1:39" ht="29" x14ac:dyDescent="0.35">
      <c r="A67" s="5" t="s">
        <v>2549</v>
      </c>
      <c r="C67" s="5"/>
      <c r="D67" s="5"/>
      <c r="E67" s="1"/>
      <c r="F67" s="1"/>
      <c r="G67" s="1"/>
      <c r="H67" s="1"/>
      <c r="W67" s="1" t="s">
        <v>520</v>
      </c>
      <c r="AK67" s="2">
        <f t="shared" ref="AK67:AK118" si="2">COUNTA(C67:AI67)</f>
        <v>1</v>
      </c>
      <c r="AM67" s="2">
        <f t="shared" ref="AM67:AM118" si="3">COUNTA(G67:P67,S67:T67)</f>
        <v>0</v>
      </c>
    </row>
    <row r="68" spans="1:39" ht="43.5" x14ac:dyDescent="0.35">
      <c r="A68" s="5" t="s">
        <v>2550</v>
      </c>
      <c r="C68" s="5"/>
      <c r="D68" s="5"/>
      <c r="E68" s="1"/>
      <c r="F68" s="1"/>
      <c r="G68" s="1"/>
      <c r="H68" s="1"/>
      <c r="W68" s="1" t="s">
        <v>522</v>
      </c>
      <c r="AK68" s="2">
        <f t="shared" si="2"/>
        <v>1</v>
      </c>
      <c r="AM68" s="2">
        <f t="shared" si="3"/>
        <v>0</v>
      </c>
    </row>
    <row r="69" spans="1:39" ht="29" x14ac:dyDescent="0.35">
      <c r="A69" s="5" t="s">
        <v>1163</v>
      </c>
      <c r="C69" s="5"/>
      <c r="D69" s="5"/>
      <c r="E69" s="1"/>
      <c r="F69" s="1"/>
      <c r="G69" s="1"/>
      <c r="H69" s="1"/>
      <c r="L69" s="1" t="s">
        <v>910</v>
      </c>
      <c r="AK69" s="2">
        <f t="shared" si="2"/>
        <v>1</v>
      </c>
      <c r="AM69" s="2">
        <f t="shared" si="3"/>
        <v>1</v>
      </c>
    </row>
    <row r="70" spans="1:39" ht="29" x14ac:dyDescent="0.35">
      <c r="A70" s="5" t="s">
        <v>1164</v>
      </c>
      <c r="C70" s="5"/>
      <c r="D70" s="5"/>
      <c r="E70" s="1"/>
      <c r="F70" s="1"/>
      <c r="G70" s="1"/>
      <c r="H70" s="1"/>
      <c r="L70" s="1" t="s">
        <v>911</v>
      </c>
      <c r="AK70" s="2">
        <f t="shared" si="2"/>
        <v>1</v>
      </c>
      <c r="AM70" s="2">
        <f t="shared" si="3"/>
        <v>1</v>
      </c>
    </row>
    <row r="71" spans="1:39" ht="29" x14ac:dyDescent="0.35">
      <c r="A71" s="5" t="s">
        <v>1165</v>
      </c>
      <c r="C71" s="1"/>
      <c r="D71" s="5"/>
      <c r="E71" s="1"/>
      <c r="F71" s="1"/>
      <c r="G71" s="1"/>
      <c r="H71" s="1"/>
      <c r="L71" s="1" t="s">
        <v>912</v>
      </c>
      <c r="AK71" s="2">
        <f t="shared" si="2"/>
        <v>1</v>
      </c>
      <c r="AM71" s="2">
        <f t="shared" si="3"/>
        <v>1</v>
      </c>
    </row>
    <row r="72" spans="1:39" ht="29" x14ac:dyDescent="0.35">
      <c r="A72" s="5" t="s">
        <v>1295</v>
      </c>
      <c r="C72" s="1"/>
      <c r="D72" s="5"/>
      <c r="E72" s="1"/>
      <c r="F72" s="1"/>
      <c r="G72" s="1"/>
      <c r="H72" s="1"/>
      <c r="N72" s="1" t="s">
        <v>490</v>
      </c>
      <c r="AK72" s="2">
        <f t="shared" si="2"/>
        <v>1</v>
      </c>
      <c r="AM72" s="2">
        <f t="shared" si="3"/>
        <v>1</v>
      </c>
    </row>
    <row r="73" spans="1:39" ht="29" x14ac:dyDescent="0.35">
      <c r="A73" s="5" t="s">
        <v>1296</v>
      </c>
      <c r="C73" s="1"/>
      <c r="D73" s="5"/>
      <c r="E73" s="1"/>
      <c r="F73" s="1"/>
      <c r="G73" s="1"/>
      <c r="H73" s="1"/>
      <c r="N73" s="1" t="s">
        <v>245</v>
      </c>
      <c r="AK73" s="2">
        <f t="shared" si="2"/>
        <v>1</v>
      </c>
      <c r="AM73" s="2">
        <f t="shared" si="3"/>
        <v>1</v>
      </c>
    </row>
    <row r="74" spans="1:39" ht="29" x14ac:dyDescent="0.35">
      <c r="A74" s="5" t="s">
        <v>1297</v>
      </c>
      <c r="C74" s="1"/>
      <c r="D74" s="5"/>
      <c r="E74" s="1"/>
      <c r="F74" s="1"/>
      <c r="G74" s="1"/>
      <c r="H74" s="1"/>
      <c r="N74" s="1" t="s">
        <v>247</v>
      </c>
      <c r="AK74" s="2">
        <f t="shared" si="2"/>
        <v>1</v>
      </c>
      <c r="AM74" s="2">
        <f t="shared" si="3"/>
        <v>1</v>
      </c>
    </row>
    <row r="75" spans="1:39" ht="29" x14ac:dyDescent="0.35">
      <c r="A75" s="5" t="s">
        <v>1298</v>
      </c>
      <c r="C75" s="1"/>
      <c r="D75" s="5"/>
      <c r="E75" s="1"/>
      <c r="F75" s="1"/>
      <c r="G75" s="1"/>
      <c r="H75" s="1"/>
      <c r="N75" s="1" t="s">
        <v>249</v>
      </c>
      <c r="AK75" s="2">
        <f t="shared" si="2"/>
        <v>1</v>
      </c>
      <c r="AM75" s="2">
        <f t="shared" si="3"/>
        <v>1</v>
      </c>
    </row>
    <row r="76" spans="1:39" ht="29" x14ac:dyDescent="0.35">
      <c r="A76" s="5" t="s">
        <v>1299</v>
      </c>
      <c r="C76" s="1"/>
      <c r="D76" s="5"/>
      <c r="E76" s="1"/>
      <c r="F76" s="1"/>
      <c r="G76" s="1"/>
      <c r="H76" s="1"/>
      <c r="N76" s="1" t="s">
        <v>251</v>
      </c>
      <c r="AK76" s="2">
        <f t="shared" si="2"/>
        <v>1</v>
      </c>
      <c r="AM76" s="2">
        <f t="shared" si="3"/>
        <v>1</v>
      </c>
    </row>
    <row r="77" spans="1:39" x14ac:dyDescent="0.35">
      <c r="A77" s="5" t="s">
        <v>2338</v>
      </c>
      <c r="C77" s="1"/>
      <c r="D77" s="5"/>
      <c r="E77" s="1"/>
      <c r="F77" s="1"/>
      <c r="G77" s="1"/>
      <c r="H77" s="1"/>
      <c r="U77" s="54" t="s">
        <v>1030</v>
      </c>
      <c r="W77" s="53" t="s">
        <v>424</v>
      </c>
      <c r="AH77" s="53" t="s">
        <v>2301</v>
      </c>
      <c r="AI77" s="1" t="s">
        <v>917</v>
      </c>
      <c r="AK77" s="2">
        <f t="shared" si="2"/>
        <v>4</v>
      </c>
      <c r="AM77" s="2">
        <f t="shared" si="3"/>
        <v>0</v>
      </c>
    </row>
    <row r="78" spans="1:39" x14ac:dyDescent="0.35">
      <c r="A78" s="5" t="s">
        <v>2339</v>
      </c>
      <c r="C78" s="1"/>
      <c r="D78" s="5"/>
      <c r="E78" s="1"/>
      <c r="F78" s="1"/>
      <c r="G78" s="1"/>
      <c r="H78" s="1"/>
      <c r="U78" s="54" t="s">
        <v>1197</v>
      </c>
      <c r="W78" s="53" t="s">
        <v>425</v>
      </c>
      <c r="AH78" s="53" t="s">
        <v>1966</v>
      </c>
      <c r="AI78" s="1" t="s">
        <v>916</v>
      </c>
      <c r="AK78" s="2">
        <f t="shared" si="2"/>
        <v>4</v>
      </c>
      <c r="AM78" s="2">
        <f t="shared" si="3"/>
        <v>0</v>
      </c>
    </row>
    <row r="79" spans="1:39" x14ac:dyDescent="0.35">
      <c r="A79" s="5" t="s">
        <v>2340</v>
      </c>
      <c r="C79" s="1"/>
      <c r="D79" s="5"/>
      <c r="E79" s="1"/>
      <c r="F79" s="1"/>
      <c r="G79" s="1"/>
      <c r="H79" s="1"/>
      <c r="U79" s="54" t="s">
        <v>1035</v>
      </c>
      <c r="W79" s="53" t="s">
        <v>427</v>
      </c>
      <c r="AH79" s="53" t="s">
        <v>971</v>
      </c>
      <c r="AI79" s="1" t="s">
        <v>918</v>
      </c>
      <c r="AK79" s="2">
        <f t="shared" si="2"/>
        <v>4</v>
      </c>
      <c r="AM79" s="2">
        <f t="shared" si="3"/>
        <v>0</v>
      </c>
    </row>
    <row r="80" spans="1:39" x14ac:dyDescent="0.35">
      <c r="A80" s="5" t="s">
        <v>3082</v>
      </c>
      <c r="C80" s="5"/>
      <c r="D80" s="5"/>
      <c r="E80" s="1"/>
      <c r="F80" s="1"/>
      <c r="G80" s="1"/>
      <c r="H80" s="1"/>
      <c r="AI80" s="1" t="s">
        <v>922</v>
      </c>
      <c r="AK80" s="2">
        <f t="shared" si="2"/>
        <v>1</v>
      </c>
      <c r="AM80" s="2">
        <f t="shared" si="3"/>
        <v>0</v>
      </c>
    </row>
    <row r="81" spans="1:39" x14ac:dyDescent="0.35">
      <c r="A81" s="5" t="s">
        <v>3084</v>
      </c>
      <c r="C81" s="1"/>
      <c r="D81" s="5"/>
      <c r="E81" s="1"/>
      <c r="F81" s="1"/>
      <c r="G81" s="1"/>
      <c r="H81" s="1"/>
      <c r="AI81" s="1" t="s">
        <v>923</v>
      </c>
      <c r="AK81" s="2">
        <f t="shared" si="2"/>
        <v>1</v>
      </c>
      <c r="AM81" s="2">
        <f t="shared" si="3"/>
        <v>0</v>
      </c>
    </row>
    <row r="82" spans="1:39" x14ac:dyDescent="0.35">
      <c r="A82" s="5" t="s">
        <v>3083</v>
      </c>
      <c r="C82" s="1"/>
      <c r="D82" s="5"/>
      <c r="E82" s="1"/>
      <c r="F82" s="1"/>
      <c r="G82" s="1"/>
      <c r="H82" s="1"/>
      <c r="AI82" s="1" t="s">
        <v>924</v>
      </c>
      <c r="AK82" s="2">
        <f t="shared" si="2"/>
        <v>1</v>
      </c>
      <c r="AM82" s="2">
        <f t="shared" si="3"/>
        <v>0</v>
      </c>
    </row>
    <row r="83" spans="1:39" x14ac:dyDescent="0.35">
      <c r="A83" s="5" t="s">
        <v>2909</v>
      </c>
      <c r="C83" s="1"/>
      <c r="D83" s="5"/>
      <c r="E83" s="1"/>
      <c r="F83" s="1"/>
      <c r="G83" s="1"/>
      <c r="H83" s="1"/>
      <c r="AE83" s="1" t="s">
        <v>2910</v>
      </c>
      <c r="AK83" s="2">
        <f t="shared" si="2"/>
        <v>1</v>
      </c>
      <c r="AM83" s="2">
        <f t="shared" si="3"/>
        <v>0</v>
      </c>
    </row>
    <row r="84" spans="1:39" x14ac:dyDescent="0.35">
      <c r="A84" s="5" t="s">
        <v>1630</v>
      </c>
      <c r="C84" s="1"/>
      <c r="D84" s="5"/>
      <c r="E84" s="1"/>
      <c r="F84" s="1"/>
      <c r="G84" s="1"/>
      <c r="H84" s="1"/>
      <c r="O84" s="54" t="s">
        <v>1631</v>
      </c>
      <c r="T84" s="53" t="s">
        <v>915</v>
      </c>
      <c r="U84" s="54" t="s">
        <v>2147</v>
      </c>
      <c r="V84" s="54" t="s">
        <v>2483</v>
      </c>
      <c r="W84" s="53" t="s">
        <v>300</v>
      </c>
      <c r="X84" s="54" t="s">
        <v>1058</v>
      </c>
      <c r="AC84" s="54" t="s">
        <v>2205</v>
      </c>
      <c r="AD84" s="54" t="s">
        <v>2018</v>
      </c>
      <c r="AG84" s="54" t="s">
        <v>1439</v>
      </c>
      <c r="AH84" s="1" t="s">
        <v>1201</v>
      </c>
      <c r="AK84" s="2">
        <f t="shared" si="2"/>
        <v>10</v>
      </c>
      <c r="AM84" s="2">
        <f t="shared" si="3"/>
        <v>2</v>
      </c>
    </row>
    <row r="85" spans="1:39" x14ac:dyDescent="0.35">
      <c r="A85" s="5" t="s">
        <v>2577</v>
      </c>
      <c r="C85" s="1"/>
      <c r="D85" s="5"/>
      <c r="E85" s="1"/>
      <c r="F85" s="1"/>
      <c r="G85" s="1"/>
      <c r="H85" s="1"/>
      <c r="X85" s="1" t="s">
        <v>1445</v>
      </c>
      <c r="AK85" s="2">
        <f t="shared" si="2"/>
        <v>1</v>
      </c>
      <c r="AM85" s="2">
        <f t="shared" si="3"/>
        <v>0</v>
      </c>
    </row>
    <row r="86" spans="1:39" x14ac:dyDescent="0.35">
      <c r="A86" s="5" t="s">
        <v>2484</v>
      </c>
      <c r="C86" s="1"/>
      <c r="D86" s="5"/>
      <c r="E86" s="1"/>
      <c r="F86" s="1"/>
      <c r="G86" s="1"/>
      <c r="H86" s="1"/>
      <c r="V86" s="1" t="s">
        <v>2486</v>
      </c>
      <c r="AK86" s="2">
        <f t="shared" si="2"/>
        <v>1</v>
      </c>
      <c r="AM86" s="2">
        <f t="shared" si="3"/>
        <v>0</v>
      </c>
    </row>
    <row r="87" spans="1:39" x14ac:dyDescent="0.35">
      <c r="A87" s="5" t="s">
        <v>2485</v>
      </c>
      <c r="C87" s="1"/>
      <c r="D87" s="5"/>
      <c r="E87" s="1"/>
      <c r="F87" s="1"/>
      <c r="G87" s="1"/>
      <c r="H87" s="1"/>
      <c r="V87" s="1" t="s">
        <v>2487</v>
      </c>
      <c r="AK87" s="2">
        <f t="shared" si="2"/>
        <v>1</v>
      </c>
      <c r="AM87" s="2">
        <f t="shared" si="3"/>
        <v>0</v>
      </c>
    </row>
    <row r="88" spans="1:39" x14ac:dyDescent="0.35">
      <c r="A88" s="5" t="s">
        <v>2488</v>
      </c>
      <c r="C88" s="1"/>
      <c r="D88" s="5"/>
      <c r="E88" s="1"/>
      <c r="F88" s="1"/>
      <c r="G88" s="1"/>
      <c r="H88" s="1"/>
      <c r="V88" s="54" t="s">
        <v>2489</v>
      </c>
      <c r="AE88" s="54" t="s">
        <v>2912</v>
      </c>
      <c r="AH88" s="1" t="s">
        <v>1038</v>
      </c>
      <c r="AK88" s="2">
        <f t="shared" si="2"/>
        <v>3</v>
      </c>
      <c r="AM88" s="2">
        <f t="shared" si="3"/>
        <v>0</v>
      </c>
    </row>
    <row r="89" spans="1:39" ht="29" x14ac:dyDescent="0.35">
      <c r="A89" s="5" t="s">
        <v>3044</v>
      </c>
      <c r="C89" s="1"/>
      <c r="D89" s="5"/>
      <c r="E89" s="1"/>
      <c r="F89" s="1"/>
      <c r="G89" s="1"/>
      <c r="H89" s="1"/>
      <c r="AH89" s="1" t="s">
        <v>1245</v>
      </c>
      <c r="AK89" s="2">
        <f t="shared" si="2"/>
        <v>1</v>
      </c>
      <c r="AM89" s="2">
        <f t="shared" si="3"/>
        <v>0</v>
      </c>
    </row>
    <row r="90" spans="1:39" ht="29" x14ac:dyDescent="0.35">
      <c r="A90" s="5" t="s">
        <v>2369</v>
      </c>
      <c r="C90" s="1"/>
      <c r="D90" s="5"/>
      <c r="E90" s="1"/>
      <c r="F90" s="1"/>
      <c r="G90" s="1"/>
      <c r="H90" s="1"/>
      <c r="U90" s="54" t="s">
        <v>2142</v>
      </c>
      <c r="V90" s="1" t="s">
        <v>2482</v>
      </c>
      <c r="AK90" s="2">
        <f t="shared" si="2"/>
        <v>2</v>
      </c>
      <c r="AM90" s="2">
        <f t="shared" si="3"/>
        <v>0</v>
      </c>
    </row>
    <row r="91" spans="1:39" ht="43.5" x14ac:dyDescent="0.35">
      <c r="A91" s="5" t="s">
        <v>2032</v>
      </c>
      <c r="C91" s="1"/>
      <c r="D91" s="5"/>
      <c r="E91" s="1"/>
      <c r="F91" s="1"/>
      <c r="G91" s="1"/>
      <c r="H91" s="1"/>
      <c r="R91" s="54" t="s">
        <v>1016</v>
      </c>
      <c r="S91" s="53" t="s">
        <v>2033</v>
      </c>
      <c r="T91" s="53" t="s">
        <v>33</v>
      </c>
      <c r="AF91" s="1" t="s">
        <v>58</v>
      </c>
      <c r="AK91" s="2">
        <f t="shared" si="2"/>
        <v>4</v>
      </c>
      <c r="AM91" s="2">
        <f t="shared" si="3"/>
        <v>2</v>
      </c>
    </row>
    <row r="92" spans="1:39" ht="29" x14ac:dyDescent="0.35">
      <c r="A92" s="5" t="s">
        <v>2561</v>
      </c>
      <c r="C92" s="1"/>
      <c r="D92" s="5"/>
      <c r="E92" s="1"/>
      <c r="F92" s="1"/>
      <c r="G92" s="1"/>
      <c r="H92" s="1"/>
      <c r="W92" s="1" t="s">
        <v>553</v>
      </c>
      <c r="AK92" s="2">
        <f t="shared" si="2"/>
        <v>1</v>
      </c>
      <c r="AM92" s="2">
        <f t="shared" si="3"/>
        <v>0</v>
      </c>
    </row>
    <row r="93" spans="1:39" ht="29" x14ac:dyDescent="0.35">
      <c r="A93" s="5" t="s">
        <v>3109</v>
      </c>
      <c r="C93" s="1"/>
      <c r="D93" s="5"/>
      <c r="E93" s="1"/>
      <c r="F93" s="1"/>
      <c r="G93" s="1"/>
      <c r="H93" s="1"/>
      <c r="AI93" s="1" t="s">
        <v>974</v>
      </c>
      <c r="AK93" s="2">
        <f t="shared" si="2"/>
        <v>1</v>
      </c>
      <c r="AM93" s="2">
        <f t="shared" si="3"/>
        <v>0</v>
      </c>
    </row>
    <row r="94" spans="1:39" ht="29" x14ac:dyDescent="0.35">
      <c r="A94" s="5" t="s">
        <v>2563</v>
      </c>
      <c r="C94" s="1"/>
      <c r="D94" s="5"/>
      <c r="E94" s="1"/>
      <c r="F94" s="1"/>
      <c r="G94" s="1"/>
      <c r="H94" s="1"/>
      <c r="W94" s="54" t="s">
        <v>296</v>
      </c>
      <c r="AE94" s="1" t="s">
        <v>2911</v>
      </c>
      <c r="AK94" s="2">
        <f t="shared" si="2"/>
        <v>2</v>
      </c>
      <c r="AM94" s="2">
        <f t="shared" si="3"/>
        <v>0</v>
      </c>
    </row>
    <row r="95" spans="1:39" ht="29" x14ac:dyDescent="0.35">
      <c r="A95" s="5" t="s">
        <v>2571</v>
      </c>
      <c r="C95" s="1"/>
      <c r="D95" s="5"/>
      <c r="E95" s="1"/>
      <c r="F95" s="1"/>
      <c r="G95" s="1"/>
      <c r="H95" s="1"/>
      <c r="X95" s="1" t="s">
        <v>1434</v>
      </c>
      <c r="AK95" s="2">
        <f t="shared" si="2"/>
        <v>1</v>
      </c>
      <c r="AM95" s="2">
        <f t="shared" si="3"/>
        <v>0</v>
      </c>
    </row>
    <row r="96" spans="1:39" ht="29" x14ac:dyDescent="0.35">
      <c r="A96" s="5" t="s">
        <v>2891</v>
      </c>
      <c r="C96" s="1"/>
      <c r="D96" s="5"/>
      <c r="E96" s="1"/>
      <c r="F96" s="1"/>
      <c r="G96" s="1"/>
      <c r="H96" s="1"/>
      <c r="AE96" s="53" t="s">
        <v>2892</v>
      </c>
      <c r="AF96" s="1" t="s">
        <v>1247</v>
      </c>
      <c r="AK96" s="2">
        <f t="shared" si="2"/>
        <v>2</v>
      </c>
      <c r="AM96" s="2">
        <f t="shared" si="3"/>
        <v>0</v>
      </c>
    </row>
    <row r="97" spans="1:39" ht="43.5" x14ac:dyDescent="0.35">
      <c r="A97" s="5" t="s">
        <v>2582</v>
      </c>
      <c r="C97" s="1"/>
      <c r="D97" s="5"/>
      <c r="E97" s="1"/>
      <c r="F97" s="1"/>
      <c r="G97" s="1"/>
      <c r="H97" s="1"/>
      <c r="Z97" s="1" t="s">
        <v>1675</v>
      </c>
      <c r="AC97" s="2"/>
      <c r="AK97" s="2">
        <f t="shared" si="2"/>
        <v>1</v>
      </c>
      <c r="AM97" s="2">
        <f t="shared" si="3"/>
        <v>0</v>
      </c>
    </row>
    <row r="98" spans="1:39" ht="43.5" x14ac:dyDescent="0.35">
      <c r="A98" s="5" t="s">
        <v>2583</v>
      </c>
      <c r="C98" s="1"/>
      <c r="D98" s="5"/>
      <c r="E98" s="1"/>
      <c r="F98" s="1"/>
      <c r="G98" s="1"/>
      <c r="H98" s="1"/>
      <c r="Z98" s="1" t="s">
        <v>1676</v>
      </c>
      <c r="AK98" s="2">
        <f t="shared" si="2"/>
        <v>1</v>
      </c>
      <c r="AM98" s="2">
        <f t="shared" si="3"/>
        <v>0</v>
      </c>
    </row>
    <row r="99" spans="1:39" x14ac:dyDescent="0.35">
      <c r="A99" s="5" t="s">
        <v>2863</v>
      </c>
      <c r="C99" s="1"/>
      <c r="D99" s="5"/>
      <c r="E99" s="1"/>
      <c r="F99" s="1"/>
      <c r="G99" s="1"/>
      <c r="H99" s="1"/>
      <c r="AE99" s="53" t="s">
        <v>1505</v>
      </c>
      <c r="AF99" s="1" t="s">
        <v>440</v>
      </c>
      <c r="AK99" s="2">
        <f t="shared" si="2"/>
        <v>2</v>
      </c>
      <c r="AM99" s="2">
        <f t="shared" si="3"/>
        <v>0</v>
      </c>
    </row>
    <row r="100" spans="1:39" ht="29" x14ac:dyDescent="0.35">
      <c r="A100" s="5" t="s">
        <v>2949</v>
      </c>
      <c r="C100" s="1"/>
      <c r="D100" s="5"/>
      <c r="E100" s="1"/>
      <c r="F100" s="1"/>
      <c r="G100" s="1"/>
      <c r="H100" s="1"/>
      <c r="AE100" s="1" t="s">
        <v>2950</v>
      </c>
      <c r="AK100" s="2">
        <f t="shared" si="2"/>
        <v>1</v>
      </c>
      <c r="AM100" s="2">
        <f t="shared" si="3"/>
        <v>0</v>
      </c>
    </row>
    <row r="101" spans="1:39" ht="29" x14ac:dyDescent="0.35">
      <c r="A101" s="5" t="s">
        <v>3060</v>
      </c>
      <c r="C101" s="1"/>
      <c r="D101" s="5"/>
      <c r="E101" s="1"/>
      <c r="F101" s="1"/>
      <c r="G101" s="1"/>
      <c r="H101" s="1"/>
      <c r="AH101" s="53" t="s">
        <v>1072</v>
      </c>
      <c r="AI101" s="1" t="s">
        <v>365</v>
      </c>
      <c r="AK101" s="2">
        <f t="shared" si="2"/>
        <v>2</v>
      </c>
      <c r="AM101" s="2">
        <f t="shared" si="3"/>
        <v>0</v>
      </c>
    </row>
    <row r="102" spans="1:39" ht="29" x14ac:dyDescent="0.35">
      <c r="A102" s="5" t="s">
        <v>3110</v>
      </c>
      <c r="C102" s="1"/>
      <c r="D102" s="5"/>
      <c r="E102" s="1"/>
      <c r="F102" s="1"/>
      <c r="G102" s="1"/>
      <c r="H102" s="1"/>
      <c r="AI102" s="1" t="s">
        <v>1256</v>
      </c>
      <c r="AK102" s="2">
        <f t="shared" si="2"/>
        <v>1</v>
      </c>
      <c r="AM102" s="2">
        <f t="shared" si="3"/>
        <v>0</v>
      </c>
    </row>
    <row r="103" spans="1:39" ht="29" x14ac:dyDescent="0.35">
      <c r="A103" s="5" t="s">
        <v>3111</v>
      </c>
      <c r="C103" s="1"/>
      <c r="D103" s="5"/>
      <c r="E103" s="1"/>
      <c r="F103" s="1"/>
      <c r="G103" s="1"/>
      <c r="H103" s="1"/>
      <c r="AI103" s="1" t="s">
        <v>978</v>
      </c>
      <c r="AK103" s="2">
        <f t="shared" si="2"/>
        <v>1</v>
      </c>
      <c r="AM103" s="2">
        <f t="shared" si="3"/>
        <v>0</v>
      </c>
    </row>
    <row r="104" spans="1:39" ht="29" x14ac:dyDescent="0.35">
      <c r="A104" s="5" t="s">
        <v>3112</v>
      </c>
      <c r="C104" s="1"/>
      <c r="D104" s="5"/>
      <c r="E104" s="1"/>
      <c r="F104" s="1"/>
      <c r="G104" s="1"/>
      <c r="H104" s="1"/>
      <c r="AI104" s="1" t="s">
        <v>1180</v>
      </c>
      <c r="AK104" s="2">
        <f t="shared" si="2"/>
        <v>1</v>
      </c>
      <c r="AM104" s="2">
        <f t="shared" si="3"/>
        <v>0</v>
      </c>
    </row>
    <row r="105" spans="1:39" ht="29" x14ac:dyDescent="0.35">
      <c r="A105" s="5" t="s">
        <v>3113</v>
      </c>
      <c r="C105" s="1"/>
      <c r="D105" s="5"/>
      <c r="E105" s="1"/>
      <c r="F105" s="1"/>
      <c r="G105" s="1"/>
      <c r="H105" s="1"/>
      <c r="AI105" s="1" t="s">
        <v>979</v>
      </c>
      <c r="AK105" s="2">
        <f t="shared" si="2"/>
        <v>1</v>
      </c>
      <c r="AM105" s="2">
        <f t="shared" si="3"/>
        <v>0</v>
      </c>
    </row>
    <row r="106" spans="1:39" ht="29" x14ac:dyDescent="0.35">
      <c r="A106" s="5" t="s">
        <v>3114</v>
      </c>
      <c r="C106" s="1"/>
      <c r="D106" s="5"/>
      <c r="E106" s="1"/>
      <c r="F106" s="1"/>
      <c r="G106" s="1"/>
      <c r="H106" s="1"/>
      <c r="AI106" s="1" t="s">
        <v>1258</v>
      </c>
      <c r="AK106" s="2">
        <f t="shared" si="2"/>
        <v>1</v>
      </c>
      <c r="AM106" s="2">
        <f t="shared" si="3"/>
        <v>0</v>
      </c>
    </row>
    <row r="107" spans="1:39" ht="29" x14ac:dyDescent="0.35">
      <c r="A107" s="5" t="s">
        <v>3115</v>
      </c>
      <c r="C107" s="1"/>
      <c r="D107" s="5"/>
      <c r="E107" s="1"/>
      <c r="F107" s="1"/>
      <c r="G107" s="1"/>
      <c r="H107" s="1"/>
      <c r="AI107" s="1" t="s">
        <v>980</v>
      </c>
      <c r="AK107" s="2">
        <f t="shared" si="2"/>
        <v>1</v>
      </c>
      <c r="AM107" s="2">
        <f t="shared" si="3"/>
        <v>0</v>
      </c>
    </row>
    <row r="108" spans="1:39" ht="29" x14ac:dyDescent="0.35">
      <c r="A108" s="5" t="s">
        <v>3116</v>
      </c>
      <c r="C108" s="1"/>
      <c r="D108" s="5"/>
      <c r="E108" s="1"/>
      <c r="F108" s="1"/>
      <c r="G108" s="1"/>
      <c r="H108" s="1"/>
      <c r="AI108" s="1" t="s">
        <v>981</v>
      </c>
      <c r="AK108" s="2">
        <f t="shared" si="2"/>
        <v>1</v>
      </c>
      <c r="AM108" s="2">
        <f t="shared" si="3"/>
        <v>0</v>
      </c>
    </row>
    <row r="109" spans="1:39" ht="29" x14ac:dyDescent="0.35">
      <c r="A109" s="5" t="s">
        <v>3118</v>
      </c>
      <c r="C109" s="1"/>
      <c r="D109" s="5"/>
      <c r="E109" s="1"/>
      <c r="F109" s="1"/>
      <c r="G109" s="1"/>
      <c r="H109" s="1"/>
      <c r="AI109" s="1" t="s">
        <v>1444</v>
      </c>
      <c r="AK109" s="2">
        <f t="shared" si="2"/>
        <v>1</v>
      </c>
      <c r="AM109" s="2">
        <f t="shared" si="3"/>
        <v>0</v>
      </c>
    </row>
    <row r="110" spans="1:39" x14ac:dyDescent="0.35">
      <c r="A110" s="5" t="s">
        <v>3119</v>
      </c>
      <c r="C110" s="1"/>
      <c r="D110" s="5"/>
      <c r="E110" s="1"/>
      <c r="F110" s="1"/>
      <c r="G110" s="1"/>
      <c r="H110" s="1"/>
      <c r="AI110" s="1" t="s">
        <v>1058</v>
      </c>
      <c r="AK110" s="2">
        <f t="shared" si="2"/>
        <v>1</v>
      </c>
      <c r="AM110" s="2">
        <f t="shared" si="3"/>
        <v>0</v>
      </c>
    </row>
    <row r="111" spans="1:39" x14ac:dyDescent="0.35">
      <c r="A111" s="5" t="s">
        <v>3121</v>
      </c>
      <c r="C111" s="1"/>
      <c r="D111" s="5"/>
      <c r="E111" s="1"/>
      <c r="F111" s="1"/>
      <c r="G111" s="1"/>
      <c r="H111" s="1"/>
      <c r="AI111" s="1" t="s">
        <v>1447</v>
      </c>
      <c r="AK111" s="2">
        <f t="shared" si="2"/>
        <v>1</v>
      </c>
      <c r="AM111" s="2">
        <f t="shared" si="3"/>
        <v>0</v>
      </c>
    </row>
    <row r="112" spans="1:39" ht="29" x14ac:dyDescent="0.35">
      <c r="A112" s="5" t="s">
        <v>3122</v>
      </c>
      <c r="C112" s="1"/>
      <c r="D112" s="5"/>
      <c r="E112" s="1"/>
      <c r="F112" s="1"/>
      <c r="G112" s="1"/>
      <c r="H112" s="1"/>
      <c r="AI112" s="1" t="s">
        <v>1448</v>
      </c>
      <c r="AK112" s="2">
        <f t="shared" si="2"/>
        <v>1</v>
      </c>
      <c r="AM112" s="2">
        <f t="shared" si="3"/>
        <v>0</v>
      </c>
    </row>
    <row r="113" spans="1:39" ht="29" x14ac:dyDescent="0.35">
      <c r="A113" s="5" t="s">
        <v>3123</v>
      </c>
      <c r="C113" s="1"/>
      <c r="D113" s="5"/>
      <c r="E113" s="1"/>
      <c r="F113" s="1"/>
      <c r="G113" s="1"/>
      <c r="H113" s="1"/>
      <c r="AI113" s="1" t="s">
        <v>1449</v>
      </c>
      <c r="AK113" s="2">
        <f t="shared" si="2"/>
        <v>1</v>
      </c>
      <c r="AM113" s="2">
        <f t="shared" si="3"/>
        <v>0</v>
      </c>
    </row>
    <row r="114" spans="1:39" x14ac:dyDescent="0.35">
      <c r="A114" s="5" t="s">
        <v>3125</v>
      </c>
      <c r="C114" s="1"/>
      <c r="D114" s="5"/>
      <c r="E114" s="1"/>
      <c r="F114" s="1"/>
      <c r="G114" s="1"/>
      <c r="H114" s="1"/>
      <c r="AI114" s="1" t="s">
        <v>1067</v>
      </c>
      <c r="AK114" s="2">
        <f t="shared" si="2"/>
        <v>1</v>
      </c>
      <c r="AM114" s="2">
        <f t="shared" si="3"/>
        <v>0</v>
      </c>
    </row>
    <row r="115" spans="1:39" x14ac:dyDescent="0.35">
      <c r="A115" s="5" t="s">
        <v>3124</v>
      </c>
      <c r="C115" s="1"/>
      <c r="D115" s="5"/>
      <c r="E115" s="1"/>
      <c r="F115" s="1"/>
      <c r="G115" s="1"/>
      <c r="H115" s="1"/>
      <c r="AI115" s="1" t="s">
        <v>367</v>
      </c>
      <c r="AK115" s="2">
        <f t="shared" si="2"/>
        <v>1</v>
      </c>
      <c r="AM115" s="2">
        <f t="shared" si="3"/>
        <v>0</v>
      </c>
    </row>
    <row r="116" spans="1:39" x14ac:dyDescent="0.35">
      <c r="A116" s="5" t="s">
        <v>3126</v>
      </c>
      <c r="C116" s="1"/>
      <c r="D116" s="5"/>
      <c r="E116" s="1"/>
      <c r="F116" s="1"/>
      <c r="G116" s="1"/>
      <c r="H116" s="1"/>
      <c r="AI116" s="1" t="s">
        <v>1068</v>
      </c>
      <c r="AK116" s="2">
        <f t="shared" si="2"/>
        <v>1</v>
      </c>
      <c r="AM116" s="2">
        <f t="shared" si="3"/>
        <v>0</v>
      </c>
    </row>
    <row r="117" spans="1:39" x14ac:dyDescent="0.35">
      <c r="A117" s="5" t="s">
        <v>3127</v>
      </c>
      <c r="C117" s="1"/>
      <c r="D117" s="5"/>
      <c r="E117" s="1"/>
      <c r="F117" s="1"/>
      <c r="G117" s="1"/>
      <c r="H117" s="1"/>
      <c r="AI117" s="1" t="s">
        <v>1069</v>
      </c>
      <c r="AK117" s="2">
        <f t="shared" si="2"/>
        <v>1</v>
      </c>
      <c r="AM117" s="2">
        <f t="shared" si="3"/>
        <v>0</v>
      </c>
    </row>
    <row r="118" spans="1:39" ht="29" x14ac:dyDescent="0.35">
      <c r="A118" s="5" t="s">
        <v>3145</v>
      </c>
      <c r="C118" s="1"/>
      <c r="D118" s="5" t="s">
        <v>3146</v>
      </c>
      <c r="E118" s="1"/>
      <c r="F118" s="1"/>
      <c r="G118" s="1"/>
      <c r="H118" s="1"/>
      <c r="AK118" s="2">
        <f t="shared" si="2"/>
        <v>1</v>
      </c>
      <c r="AM118" s="2">
        <f t="shared" si="3"/>
        <v>0</v>
      </c>
    </row>
    <row r="119" spans="1:39" ht="43.5" x14ac:dyDescent="0.35">
      <c r="A119" s="5" t="s">
        <v>3290</v>
      </c>
      <c r="C119" s="1" t="s">
        <v>3291</v>
      </c>
      <c r="D119" s="5"/>
      <c r="E119" s="1"/>
      <c r="F119" s="1"/>
      <c r="G119" s="1"/>
      <c r="H119" s="1"/>
    </row>
    <row r="120" spans="1:39" ht="43.5" x14ac:dyDescent="0.35">
      <c r="A120" s="5" t="s">
        <v>7896</v>
      </c>
      <c r="B120" s="6" t="s">
        <v>3244</v>
      </c>
      <c r="C120" s="1"/>
      <c r="D120" s="5"/>
      <c r="E120" s="1"/>
      <c r="F120" s="1"/>
      <c r="G120" s="1"/>
      <c r="H120" s="1"/>
    </row>
    <row r="121" spans="1:39" x14ac:dyDescent="0.35">
      <c r="A121" s="5"/>
      <c r="C121" s="1"/>
      <c r="D121" s="5"/>
      <c r="E121" s="1"/>
      <c r="F121" s="1"/>
      <c r="G121" s="1"/>
      <c r="H121" s="1"/>
    </row>
    <row r="122" spans="1:39" x14ac:dyDescent="0.35">
      <c r="A122" s="5"/>
      <c r="C122" s="1"/>
      <c r="D122" s="5"/>
      <c r="E122" s="1"/>
      <c r="F122" s="1"/>
      <c r="G122" s="1"/>
      <c r="H122" s="1"/>
    </row>
    <row r="123" spans="1:39" x14ac:dyDescent="0.35">
      <c r="A123" s="5"/>
      <c r="C123" s="1"/>
      <c r="D123" s="5"/>
      <c r="E123" s="1"/>
      <c r="F123" s="1"/>
      <c r="G123" s="1"/>
      <c r="H123" s="1"/>
    </row>
    <row r="124" spans="1:39" x14ac:dyDescent="0.35">
      <c r="A124" s="5"/>
      <c r="C124" s="1"/>
      <c r="D124" s="5"/>
      <c r="E124" s="1"/>
      <c r="F124" s="1"/>
      <c r="G124" s="1"/>
      <c r="H124" s="1"/>
    </row>
    <row r="125" spans="1:39" x14ac:dyDescent="0.35">
      <c r="A125" s="5"/>
      <c r="C125" s="1"/>
      <c r="D125" s="5"/>
      <c r="E125" s="1"/>
      <c r="F125" s="1"/>
      <c r="G125" s="1"/>
      <c r="H125" s="1"/>
    </row>
    <row r="126" spans="1:39" x14ac:dyDescent="0.35">
      <c r="A126" s="5"/>
      <c r="C126" s="1"/>
      <c r="D126" s="5"/>
      <c r="E126" s="1"/>
      <c r="F126" s="1"/>
      <c r="G126" s="1"/>
      <c r="H126" s="1"/>
    </row>
    <row r="127" spans="1:39" x14ac:dyDescent="0.35">
      <c r="A127" s="5"/>
      <c r="C127" s="1"/>
      <c r="D127" s="5"/>
      <c r="E127" s="1"/>
      <c r="F127" s="1"/>
      <c r="G127" s="1"/>
      <c r="H127" s="1"/>
    </row>
    <row r="128" spans="1:39" x14ac:dyDescent="0.35">
      <c r="A128" s="5"/>
      <c r="C128" s="1"/>
      <c r="D128" s="5"/>
      <c r="E128" s="1"/>
      <c r="F128" s="1"/>
      <c r="G128" s="1"/>
      <c r="H128" s="1"/>
    </row>
    <row r="129" spans="1:8" x14ac:dyDescent="0.35">
      <c r="A129" s="5"/>
      <c r="C129" s="1"/>
      <c r="D129" s="5"/>
      <c r="E129" s="1"/>
      <c r="F129" s="1"/>
      <c r="G129" s="1"/>
      <c r="H129" s="1"/>
    </row>
    <row r="130" spans="1:8" x14ac:dyDescent="0.35">
      <c r="A130" s="5"/>
      <c r="C130" s="1"/>
      <c r="D130" s="5"/>
      <c r="E130" s="1"/>
      <c r="F130" s="1"/>
      <c r="G130" s="1"/>
      <c r="H130" s="1"/>
    </row>
    <row r="131" spans="1:8" x14ac:dyDescent="0.35">
      <c r="A131" s="5"/>
      <c r="C131" s="1"/>
      <c r="D131" s="5"/>
      <c r="E131" s="1"/>
      <c r="F131" s="1"/>
      <c r="G131" s="1"/>
      <c r="H131" s="1"/>
    </row>
    <row r="132" spans="1:8" x14ac:dyDescent="0.35">
      <c r="A132" s="5"/>
      <c r="C132" s="1"/>
      <c r="D132" s="5"/>
      <c r="E132" s="1"/>
      <c r="F132" s="1"/>
      <c r="G132" s="1"/>
      <c r="H132" s="1"/>
    </row>
    <row r="133" spans="1:8" x14ac:dyDescent="0.35">
      <c r="A133" s="5"/>
      <c r="C133" s="1"/>
      <c r="D133" s="5"/>
      <c r="E133" s="1"/>
      <c r="F133" s="1"/>
      <c r="G133" s="1"/>
      <c r="H133" s="1"/>
    </row>
    <row r="134" spans="1:8" x14ac:dyDescent="0.35">
      <c r="A134" s="5"/>
      <c r="C134" s="1"/>
      <c r="D134" s="5"/>
      <c r="E134" s="1"/>
      <c r="F134" s="1"/>
      <c r="G134" s="1"/>
      <c r="H134" s="1"/>
    </row>
    <row r="135" spans="1:8" x14ac:dyDescent="0.35">
      <c r="A135" s="5"/>
      <c r="C135" s="1"/>
      <c r="D135" s="5"/>
      <c r="E135" s="1"/>
      <c r="F135" s="1"/>
      <c r="G135" s="1"/>
      <c r="H135" s="1"/>
    </row>
    <row r="136" spans="1:8" x14ac:dyDescent="0.35">
      <c r="A136" s="5"/>
      <c r="C136" s="1"/>
      <c r="D136" s="5"/>
      <c r="E136" s="1"/>
      <c r="F136" s="1"/>
      <c r="G136" s="1"/>
      <c r="H136" s="1"/>
    </row>
    <row r="137" spans="1:8" x14ac:dyDescent="0.35">
      <c r="A137" s="5"/>
      <c r="C137" s="1"/>
      <c r="D137" s="5"/>
      <c r="E137" s="1"/>
      <c r="F137" s="1"/>
      <c r="G137" s="1"/>
      <c r="H137" s="1"/>
    </row>
    <row r="138" spans="1:8" x14ac:dyDescent="0.35">
      <c r="A138" s="5"/>
      <c r="C138" s="1"/>
      <c r="D138" s="5"/>
      <c r="E138" s="1"/>
      <c r="F138" s="1"/>
      <c r="G138" s="1"/>
      <c r="H138" s="1"/>
    </row>
    <row r="139" spans="1:8" x14ac:dyDescent="0.35">
      <c r="A139" s="5"/>
      <c r="C139" s="1"/>
      <c r="D139" s="5"/>
      <c r="E139" s="1"/>
      <c r="F139" s="1"/>
      <c r="G139" s="1"/>
      <c r="H139" s="1"/>
    </row>
    <row r="140" spans="1:8" x14ac:dyDescent="0.35">
      <c r="A140" s="5"/>
      <c r="C140" s="1"/>
      <c r="D140" s="5"/>
      <c r="E140" s="1"/>
      <c r="F140" s="1"/>
      <c r="G140" s="1"/>
      <c r="H140" s="1"/>
    </row>
    <row r="141" spans="1:8" x14ac:dyDescent="0.35">
      <c r="A141" s="5"/>
      <c r="C141" s="1"/>
      <c r="D141" s="5"/>
      <c r="E141" s="1"/>
      <c r="F141" s="1"/>
      <c r="G141" s="1"/>
      <c r="H141" s="1"/>
    </row>
    <row r="142" spans="1:8" x14ac:dyDescent="0.35">
      <c r="A142" s="5"/>
      <c r="C142" s="1"/>
      <c r="D142" s="5"/>
      <c r="E142" s="1"/>
      <c r="F142" s="1"/>
      <c r="G142" s="1"/>
      <c r="H142" s="1"/>
    </row>
    <row r="143" spans="1:8" x14ac:dyDescent="0.35">
      <c r="A143" s="5"/>
      <c r="C143" s="1"/>
      <c r="D143" s="5"/>
      <c r="E143" s="1"/>
      <c r="F143" s="1"/>
      <c r="G143" s="1"/>
      <c r="H143" s="1"/>
    </row>
    <row r="144" spans="1:8" x14ac:dyDescent="0.35">
      <c r="A144" s="5"/>
      <c r="C144" s="1"/>
      <c r="D144" s="5"/>
      <c r="E144" s="1"/>
      <c r="F144" s="1"/>
      <c r="G144" s="1"/>
      <c r="H144" s="1"/>
    </row>
    <row r="145" spans="1:8" x14ac:dyDescent="0.35">
      <c r="A145" s="5"/>
      <c r="C145" s="1"/>
      <c r="D145" s="5"/>
      <c r="E145" s="1"/>
      <c r="F145" s="1"/>
      <c r="G145" s="1"/>
      <c r="H145" s="1"/>
    </row>
    <row r="146" spans="1:8" x14ac:dyDescent="0.35">
      <c r="A146" s="5"/>
      <c r="C146" s="1"/>
      <c r="D146" s="5"/>
      <c r="E146" s="1"/>
      <c r="F146" s="1"/>
      <c r="G146" s="1"/>
      <c r="H146" s="1"/>
    </row>
    <row r="147" spans="1:8" x14ac:dyDescent="0.35">
      <c r="A147" s="5"/>
      <c r="C147" s="1"/>
      <c r="D147" s="5"/>
      <c r="E147" s="1"/>
      <c r="F147" s="1"/>
      <c r="G147" s="1"/>
      <c r="H147" s="1"/>
    </row>
    <row r="148" spans="1:8" x14ac:dyDescent="0.35">
      <c r="A148" s="5"/>
      <c r="C148" s="1"/>
      <c r="D148" s="5"/>
      <c r="E148" s="1"/>
      <c r="F148" s="1"/>
      <c r="G148" s="1"/>
      <c r="H148" s="1"/>
    </row>
    <row r="149" spans="1:8" x14ac:dyDescent="0.35">
      <c r="A149" s="5"/>
      <c r="C149" s="1"/>
      <c r="D149" s="5"/>
      <c r="E149" s="1"/>
      <c r="F149" s="1"/>
      <c r="G149" s="1"/>
      <c r="H149" s="1"/>
    </row>
    <row r="150" spans="1:8" x14ac:dyDescent="0.35">
      <c r="A150" s="5"/>
      <c r="C150" s="1"/>
      <c r="D150" s="5"/>
      <c r="E150" s="1"/>
      <c r="F150" s="1"/>
      <c r="G150" s="1"/>
      <c r="H150" s="1"/>
    </row>
    <row r="151" spans="1:8" x14ac:dyDescent="0.35">
      <c r="A151" s="5"/>
      <c r="C151" s="1"/>
      <c r="D151" s="5"/>
      <c r="E151" s="1"/>
      <c r="F151" s="1"/>
      <c r="G151" s="1"/>
      <c r="H151" s="1"/>
    </row>
    <row r="152" spans="1:8" x14ac:dyDescent="0.35">
      <c r="A152" s="5"/>
      <c r="C152" s="1"/>
      <c r="D152" s="5"/>
      <c r="E152" s="1"/>
      <c r="F152" s="1"/>
      <c r="G152" s="1"/>
      <c r="H152" s="1"/>
    </row>
    <row r="153" spans="1:8" x14ac:dyDescent="0.35">
      <c r="A153" s="5"/>
      <c r="C153" s="1"/>
      <c r="D153" s="5"/>
      <c r="E153" s="1"/>
      <c r="F153" s="1"/>
      <c r="G153" s="1"/>
      <c r="H153" s="1"/>
    </row>
    <row r="154" spans="1:8" x14ac:dyDescent="0.35">
      <c r="A154" s="5"/>
      <c r="C154" s="1"/>
      <c r="D154" s="5"/>
      <c r="E154" s="1"/>
      <c r="F154" s="1"/>
      <c r="G154" s="1"/>
      <c r="H154" s="1"/>
    </row>
    <row r="155" spans="1:8" x14ac:dyDescent="0.35">
      <c r="A155" s="5"/>
      <c r="C155" s="1"/>
      <c r="D155" s="5"/>
      <c r="E155" s="1"/>
      <c r="F155" s="1"/>
      <c r="G155" s="1"/>
      <c r="H155" s="1"/>
    </row>
    <row r="156" spans="1:8" x14ac:dyDescent="0.35">
      <c r="A156" s="5"/>
      <c r="C156" s="1"/>
      <c r="D156" s="5"/>
      <c r="E156" s="1"/>
      <c r="F156" s="1"/>
      <c r="G156" s="1"/>
      <c r="H156" s="1"/>
    </row>
    <row r="157" spans="1:8" x14ac:dyDescent="0.35">
      <c r="A157" s="5"/>
      <c r="C157" s="1"/>
      <c r="D157" s="5"/>
      <c r="E157" s="1"/>
      <c r="F157" s="1"/>
      <c r="G157" s="1"/>
      <c r="H157" s="1"/>
    </row>
    <row r="158" spans="1:8" x14ac:dyDescent="0.35">
      <c r="A158" s="5"/>
      <c r="C158" s="1"/>
      <c r="D158" s="5"/>
      <c r="E158" s="1"/>
      <c r="F158" s="1"/>
      <c r="G158" s="1"/>
      <c r="H158" s="1"/>
    </row>
    <row r="159" spans="1:8" x14ac:dyDescent="0.35">
      <c r="A159" s="5"/>
      <c r="C159" s="1"/>
      <c r="D159" s="5"/>
      <c r="E159" s="1"/>
      <c r="F159" s="1"/>
      <c r="G159" s="1"/>
      <c r="H159" s="1"/>
    </row>
    <row r="160" spans="1:8" x14ac:dyDescent="0.35">
      <c r="A160" s="5"/>
      <c r="C160" s="1"/>
      <c r="D160" s="5"/>
      <c r="E160" s="1"/>
      <c r="F160" s="1"/>
      <c r="G160" s="1"/>
      <c r="H160" s="1"/>
    </row>
    <row r="161" spans="1:8" x14ac:dyDescent="0.35">
      <c r="A161" s="5"/>
      <c r="C161" s="1"/>
      <c r="D161" s="5"/>
      <c r="E161" s="1"/>
      <c r="F161" s="1"/>
      <c r="G161" s="1"/>
      <c r="H161" s="1"/>
    </row>
    <row r="162" spans="1:8" x14ac:dyDescent="0.35">
      <c r="A162" s="5"/>
      <c r="C162" s="1"/>
      <c r="D162" s="5"/>
      <c r="E162" s="1"/>
      <c r="F162" s="1"/>
      <c r="G162" s="1"/>
      <c r="H162" s="1"/>
    </row>
    <row r="163" spans="1:8" x14ac:dyDescent="0.35">
      <c r="A163" s="5"/>
      <c r="C163" s="1"/>
      <c r="D163" s="5"/>
      <c r="E163" s="1"/>
      <c r="F163" s="1"/>
      <c r="G163" s="1"/>
      <c r="H163" s="1"/>
    </row>
    <row r="164" spans="1:8" x14ac:dyDescent="0.35">
      <c r="A164" s="5"/>
      <c r="C164" s="1"/>
      <c r="D164" s="5"/>
      <c r="E164" s="1"/>
      <c r="F164" s="1"/>
      <c r="G164" s="1"/>
      <c r="H164" s="1"/>
    </row>
    <row r="165" spans="1:8" x14ac:dyDescent="0.35">
      <c r="A165" s="5"/>
      <c r="C165" s="1"/>
      <c r="D165" s="5"/>
      <c r="E165" s="1"/>
      <c r="F165" s="1"/>
      <c r="G165" s="1"/>
      <c r="H165" s="1"/>
    </row>
    <row r="166" spans="1:8" x14ac:dyDescent="0.35">
      <c r="A166" s="5"/>
      <c r="C166" s="1"/>
      <c r="D166" s="5"/>
      <c r="E166" s="1"/>
      <c r="F166" s="1"/>
      <c r="G166" s="1"/>
      <c r="H166" s="1"/>
    </row>
    <row r="167" spans="1:8" x14ac:dyDescent="0.35">
      <c r="A167" s="5"/>
      <c r="C167" s="1"/>
      <c r="D167" s="5"/>
      <c r="E167" s="1"/>
      <c r="F167" s="1"/>
      <c r="G167" s="1"/>
      <c r="H167" s="1"/>
    </row>
    <row r="168" spans="1:8" x14ac:dyDescent="0.35">
      <c r="A168" s="5"/>
      <c r="C168" s="1"/>
      <c r="D168" s="5"/>
      <c r="E168" s="1"/>
      <c r="F168" s="1"/>
      <c r="G168" s="1"/>
      <c r="H168" s="1"/>
    </row>
    <row r="169" spans="1:8" x14ac:dyDescent="0.35">
      <c r="A169" s="5"/>
      <c r="C169" s="1"/>
      <c r="D169" s="5"/>
      <c r="E169" s="1"/>
      <c r="F169" s="1"/>
      <c r="G169" s="1"/>
      <c r="H169" s="1"/>
    </row>
    <row r="170" spans="1:8" x14ac:dyDescent="0.35">
      <c r="A170" s="5"/>
      <c r="C170" s="1"/>
      <c r="D170" s="5"/>
      <c r="E170" s="1"/>
      <c r="F170" s="1"/>
      <c r="G170" s="1"/>
      <c r="H170" s="1"/>
    </row>
    <row r="171" spans="1:8" x14ac:dyDescent="0.35">
      <c r="A171" s="5"/>
      <c r="C171" s="1"/>
      <c r="D171" s="5"/>
      <c r="E171" s="1"/>
      <c r="F171" s="1"/>
      <c r="G171" s="1"/>
      <c r="H171" s="1"/>
    </row>
    <row r="172" spans="1:8" x14ac:dyDescent="0.35">
      <c r="A172" s="5"/>
      <c r="C172" s="1"/>
      <c r="D172" s="5"/>
      <c r="E172" s="1"/>
      <c r="F172" s="1"/>
      <c r="G172" s="1"/>
      <c r="H172" s="1"/>
    </row>
    <row r="173" spans="1:8" x14ac:dyDescent="0.35">
      <c r="A173" s="5"/>
      <c r="C173" s="1"/>
      <c r="D173" s="5"/>
      <c r="E173" s="1"/>
      <c r="F173" s="1"/>
      <c r="G173" s="1"/>
      <c r="H173" s="1"/>
    </row>
    <row r="174" spans="1:8" x14ac:dyDescent="0.35">
      <c r="A174" s="5"/>
      <c r="C174" s="1"/>
      <c r="D174" s="5"/>
      <c r="E174" s="1"/>
      <c r="F174" s="1"/>
      <c r="G174" s="1"/>
      <c r="H174" s="1"/>
    </row>
    <row r="175" spans="1:8" x14ac:dyDescent="0.35">
      <c r="A175" s="5"/>
      <c r="C175" s="1"/>
      <c r="D175" s="5"/>
      <c r="E175" s="1"/>
      <c r="F175" s="1"/>
      <c r="G175" s="1"/>
      <c r="H175" s="1"/>
    </row>
    <row r="176" spans="1:8" x14ac:dyDescent="0.35">
      <c r="A176" s="5"/>
      <c r="C176" s="1"/>
      <c r="D176" s="5"/>
      <c r="E176" s="1"/>
      <c r="F176" s="1"/>
      <c r="G176" s="1"/>
      <c r="H176" s="1"/>
    </row>
    <row r="177" spans="1:8" x14ac:dyDescent="0.35">
      <c r="A177" s="5"/>
      <c r="C177" s="1"/>
      <c r="D177" s="5"/>
      <c r="E177" s="1"/>
      <c r="F177" s="1"/>
      <c r="G177" s="1"/>
      <c r="H177" s="1"/>
    </row>
    <row r="178" spans="1:8" x14ac:dyDescent="0.35">
      <c r="A178" s="5"/>
      <c r="C178" s="1"/>
      <c r="D178" s="5"/>
      <c r="E178" s="1"/>
      <c r="F178" s="1"/>
      <c r="G178" s="1"/>
      <c r="H178" s="1"/>
    </row>
    <row r="179" spans="1:8" x14ac:dyDescent="0.35">
      <c r="A179" s="5"/>
      <c r="C179" s="1"/>
      <c r="D179" s="5"/>
      <c r="E179" s="1"/>
      <c r="F179" s="1"/>
      <c r="G179" s="1"/>
      <c r="H179" s="1"/>
    </row>
    <row r="180" spans="1:8" x14ac:dyDescent="0.35">
      <c r="A180" s="5"/>
      <c r="C180" s="1"/>
      <c r="D180" s="5"/>
      <c r="E180" s="1"/>
      <c r="F180" s="1"/>
      <c r="G180" s="1"/>
      <c r="H180" s="1"/>
    </row>
    <row r="181" spans="1:8" x14ac:dyDescent="0.35">
      <c r="A181" s="5"/>
      <c r="C181" s="1"/>
      <c r="D181" s="5"/>
      <c r="E181" s="1"/>
      <c r="F181" s="1"/>
      <c r="G181" s="1"/>
      <c r="H181" s="1"/>
    </row>
    <row r="182" spans="1:8" x14ac:dyDescent="0.35">
      <c r="A182" s="5"/>
      <c r="C182" s="1"/>
      <c r="D182" s="5"/>
      <c r="E182" s="1"/>
      <c r="F182" s="1"/>
      <c r="G182" s="1"/>
      <c r="H182" s="1"/>
    </row>
    <row r="183" spans="1:8" x14ac:dyDescent="0.35">
      <c r="A183" s="5"/>
      <c r="C183" s="1"/>
      <c r="D183" s="5"/>
      <c r="E183" s="1"/>
      <c r="F183" s="1"/>
      <c r="G183" s="1"/>
      <c r="H183" s="1"/>
    </row>
    <row r="184" spans="1:8" x14ac:dyDescent="0.35">
      <c r="A184" s="5"/>
      <c r="C184" s="1"/>
      <c r="D184" s="5"/>
      <c r="E184" s="1"/>
      <c r="F184" s="1"/>
      <c r="G184" s="1"/>
      <c r="H184" s="1"/>
    </row>
    <row r="185" spans="1:8" x14ac:dyDescent="0.35">
      <c r="A185" s="5"/>
      <c r="C185" s="1"/>
      <c r="D185" s="5"/>
      <c r="E185" s="1"/>
      <c r="F185" s="1"/>
      <c r="G185" s="1"/>
      <c r="H185" s="1"/>
    </row>
    <row r="186" spans="1:8" x14ac:dyDescent="0.35">
      <c r="A186" s="5"/>
      <c r="C186" s="1"/>
      <c r="D186" s="5"/>
      <c r="E186" s="1"/>
      <c r="F186" s="1"/>
      <c r="G186" s="1"/>
      <c r="H186" s="1"/>
    </row>
    <row r="187" spans="1:8" x14ac:dyDescent="0.35">
      <c r="A187" s="5"/>
      <c r="C187" s="1"/>
      <c r="D187" s="5"/>
      <c r="E187" s="1"/>
      <c r="F187" s="1"/>
      <c r="G187" s="1"/>
      <c r="H187" s="1"/>
    </row>
    <row r="188" spans="1:8" x14ac:dyDescent="0.35">
      <c r="A188" s="5"/>
      <c r="C188" s="1"/>
      <c r="D188" s="5"/>
      <c r="E188" s="1"/>
      <c r="F188" s="1"/>
      <c r="G188" s="1"/>
      <c r="H188" s="1"/>
    </row>
    <row r="189" spans="1:8" x14ac:dyDescent="0.35">
      <c r="A189" s="5"/>
      <c r="C189" s="1"/>
      <c r="D189" s="5"/>
      <c r="E189" s="1"/>
      <c r="F189" s="1"/>
      <c r="G189" s="1"/>
      <c r="H189" s="1"/>
    </row>
    <row r="190" spans="1:8" x14ac:dyDescent="0.35">
      <c r="A190" s="5"/>
      <c r="C190" s="1"/>
      <c r="D190" s="5"/>
      <c r="E190" s="1"/>
      <c r="F190" s="1"/>
      <c r="G190" s="1"/>
      <c r="H190" s="1"/>
    </row>
    <row r="191" spans="1:8" x14ac:dyDescent="0.35">
      <c r="A191" s="5"/>
      <c r="C191" s="1"/>
      <c r="D191" s="5"/>
      <c r="E191" s="1"/>
      <c r="F191" s="1"/>
      <c r="G191" s="1"/>
      <c r="H191" s="1"/>
    </row>
    <row r="192" spans="1:8" x14ac:dyDescent="0.35">
      <c r="A192" s="5"/>
      <c r="C192" s="1"/>
      <c r="D192" s="5"/>
      <c r="E192" s="1"/>
      <c r="F192" s="1"/>
      <c r="G192" s="1"/>
      <c r="H192" s="1"/>
    </row>
    <row r="193" spans="1:8" x14ac:dyDescent="0.35">
      <c r="A193" s="5"/>
      <c r="C193" s="1"/>
      <c r="D193" s="5"/>
      <c r="E193" s="1"/>
      <c r="F193" s="1"/>
      <c r="G193" s="1"/>
      <c r="H193" s="1"/>
    </row>
    <row r="194" spans="1:8" x14ac:dyDescent="0.35">
      <c r="A194" s="5"/>
      <c r="C194" s="1"/>
      <c r="D194" s="5"/>
      <c r="E194" s="1"/>
      <c r="F194" s="1"/>
      <c r="G194" s="1"/>
      <c r="H194" s="1"/>
    </row>
    <row r="195" spans="1:8" x14ac:dyDescent="0.35">
      <c r="A195" s="5"/>
      <c r="C195" s="1"/>
      <c r="D195" s="5"/>
      <c r="E195" s="1"/>
      <c r="F195" s="1"/>
      <c r="G195" s="1"/>
      <c r="H195" s="1"/>
    </row>
    <row r="196" spans="1:8" x14ac:dyDescent="0.35">
      <c r="A196" s="5"/>
      <c r="C196" s="1"/>
      <c r="D196" s="5"/>
      <c r="E196" s="1"/>
      <c r="F196" s="1"/>
      <c r="G196" s="1"/>
      <c r="H196" s="1"/>
    </row>
    <row r="197" spans="1:8" x14ac:dyDescent="0.35">
      <c r="A197" s="5"/>
      <c r="C197" s="1"/>
      <c r="D197" s="5"/>
      <c r="E197" s="1"/>
      <c r="F197" s="1"/>
      <c r="G197" s="1"/>
      <c r="H197" s="1"/>
    </row>
    <row r="198" spans="1:8" x14ac:dyDescent="0.35">
      <c r="A198" s="5"/>
      <c r="C198" s="1"/>
      <c r="D198" s="5"/>
      <c r="E198" s="1"/>
      <c r="F198" s="1"/>
      <c r="G198" s="1"/>
      <c r="H198" s="1"/>
    </row>
    <row r="199" spans="1:8" x14ac:dyDescent="0.35">
      <c r="A199" s="5"/>
      <c r="C199" s="1"/>
      <c r="D199" s="5"/>
      <c r="E199" s="1"/>
      <c r="F199" s="1"/>
      <c r="G199" s="1"/>
      <c r="H199" s="1"/>
    </row>
    <row r="200" spans="1:8" x14ac:dyDescent="0.35">
      <c r="A200" s="5"/>
      <c r="C200" s="1"/>
      <c r="D200" s="5"/>
      <c r="E200" s="1"/>
      <c r="F200" s="1"/>
      <c r="G200" s="1"/>
      <c r="H200" s="1"/>
    </row>
    <row r="201" spans="1:8" x14ac:dyDescent="0.35">
      <c r="A201" s="5"/>
      <c r="C201" s="1"/>
      <c r="D201" s="5"/>
      <c r="E201" s="1"/>
      <c r="F201" s="1"/>
      <c r="G201" s="1"/>
      <c r="H201" s="1"/>
    </row>
    <row r="202" spans="1:8" x14ac:dyDescent="0.35">
      <c r="A202" s="5"/>
      <c r="C202" s="1"/>
      <c r="D202" s="5"/>
      <c r="E202" s="1"/>
      <c r="F202" s="1"/>
      <c r="G202" s="1"/>
      <c r="H202" s="1"/>
    </row>
    <row r="203" spans="1:8" x14ac:dyDescent="0.35">
      <c r="A203" s="5"/>
      <c r="C203" s="1"/>
      <c r="D203" s="5"/>
      <c r="E203" s="1"/>
      <c r="F203" s="1"/>
      <c r="G203" s="1"/>
      <c r="H203" s="1"/>
    </row>
    <row r="204" spans="1:8" x14ac:dyDescent="0.35">
      <c r="A204" s="5"/>
      <c r="C204" s="1"/>
      <c r="D204" s="5"/>
      <c r="E204" s="1"/>
      <c r="F204" s="1"/>
      <c r="G204" s="1"/>
      <c r="H204" s="1"/>
    </row>
    <row r="205" spans="1:8" x14ac:dyDescent="0.35">
      <c r="A205" s="5"/>
      <c r="C205" s="1"/>
      <c r="D205" s="5"/>
      <c r="E205" s="1"/>
      <c r="F205" s="1"/>
      <c r="G205" s="1"/>
      <c r="H205" s="1"/>
    </row>
    <row r="206" spans="1:8" x14ac:dyDescent="0.35">
      <c r="A206" s="5"/>
      <c r="C206" s="1"/>
      <c r="D206" s="5"/>
      <c r="E206" s="1"/>
      <c r="F206" s="1"/>
      <c r="G206" s="1"/>
      <c r="H206" s="1"/>
    </row>
    <row r="207" spans="1:8" x14ac:dyDescent="0.35">
      <c r="A207" s="5"/>
      <c r="C207" s="1"/>
      <c r="D207" s="5"/>
      <c r="E207" s="1"/>
      <c r="F207" s="1"/>
      <c r="G207" s="1"/>
      <c r="H207" s="1"/>
    </row>
    <row r="208" spans="1:8" x14ac:dyDescent="0.35">
      <c r="A208" s="5"/>
      <c r="C208" s="1"/>
      <c r="D208" s="5"/>
      <c r="E208" s="1"/>
      <c r="F208" s="1"/>
      <c r="G208" s="1"/>
      <c r="H208" s="1"/>
    </row>
    <row r="209" spans="1:8" x14ac:dyDescent="0.35">
      <c r="A209" s="5"/>
      <c r="C209" s="1"/>
      <c r="D209" s="5"/>
      <c r="E209" s="1"/>
      <c r="F209" s="1"/>
      <c r="G209" s="1"/>
      <c r="H209" s="1"/>
    </row>
    <row r="210" spans="1:8" x14ac:dyDescent="0.35">
      <c r="A210" s="5"/>
      <c r="C210" s="1"/>
      <c r="D210" s="5"/>
      <c r="E210" s="1"/>
      <c r="F210" s="1"/>
      <c r="G210" s="1"/>
      <c r="H210" s="1"/>
    </row>
    <row r="211" spans="1:8" x14ac:dyDescent="0.35">
      <c r="A211" s="5"/>
      <c r="C211" s="1"/>
      <c r="D211" s="5"/>
      <c r="E211" s="1"/>
      <c r="F211" s="1"/>
      <c r="G211" s="1"/>
      <c r="H211" s="1"/>
    </row>
    <row r="212" spans="1:8" x14ac:dyDescent="0.35">
      <c r="A212" s="5"/>
      <c r="C212" s="1"/>
      <c r="D212" s="5"/>
      <c r="E212" s="1"/>
      <c r="F212" s="1"/>
      <c r="G212" s="1"/>
      <c r="H212" s="1"/>
    </row>
    <row r="213" spans="1:8" x14ac:dyDescent="0.35">
      <c r="A213" s="5"/>
      <c r="C213" s="1"/>
      <c r="D213" s="5"/>
      <c r="E213" s="1"/>
      <c r="F213" s="1"/>
      <c r="G213" s="1"/>
      <c r="H213" s="1"/>
    </row>
    <row r="214" spans="1:8" x14ac:dyDescent="0.35">
      <c r="A214" s="5"/>
      <c r="C214" s="1"/>
      <c r="D214" s="5"/>
      <c r="E214" s="1"/>
      <c r="F214" s="1"/>
      <c r="G214" s="1"/>
      <c r="H214" s="1"/>
    </row>
    <row r="215" spans="1:8" x14ac:dyDescent="0.35">
      <c r="A215" s="5"/>
      <c r="C215" s="1"/>
      <c r="D215" s="5"/>
      <c r="E215" s="1"/>
      <c r="F215" s="1"/>
      <c r="G215" s="1"/>
      <c r="H215" s="1"/>
    </row>
    <row r="216" spans="1:8" x14ac:dyDescent="0.35">
      <c r="A216" s="5"/>
      <c r="C216" s="1"/>
      <c r="D216" s="5"/>
      <c r="E216" s="1"/>
      <c r="F216" s="1"/>
      <c r="G216" s="1"/>
      <c r="H216" s="1"/>
    </row>
    <row r="217" spans="1:8" x14ac:dyDescent="0.35">
      <c r="A217" s="5"/>
      <c r="C217" s="1"/>
      <c r="D217" s="5"/>
      <c r="E217" s="1"/>
      <c r="F217" s="1"/>
      <c r="G217" s="1"/>
      <c r="H217" s="1"/>
    </row>
    <row r="218" spans="1:8" x14ac:dyDescent="0.35">
      <c r="A218" s="5"/>
      <c r="C218" s="1"/>
      <c r="D218" s="5"/>
      <c r="E218" s="1"/>
      <c r="F218" s="1"/>
      <c r="G218" s="1"/>
      <c r="H218" s="1"/>
    </row>
    <row r="219" spans="1:8" x14ac:dyDescent="0.35">
      <c r="A219" s="5"/>
      <c r="C219" s="1"/>
      <c r="D219" s="5"/>
      <c r="E219" s="1"/>
      <c r="F219" s="1"/>
      <c r="G219" s="1"/>
      <c r="H219" s="1"/>
    </row>
    <row r="220" spans="1:8" x14ac:dyDescent="0.35">
      <c r="A220" s="5"/>
      <c r="C220" s="1"/>
      <c r="D220" s="5"/>
      <c r="E220" s="1"/>
      <c r="F220" s="1"/>
      <c r="G220" s="1"/>
      <c r="H220" s="1"/>
    </row>
    <row r="221" spans="1:8" x14ac:dyDescent="0.35">
      <c r="A221" s="5"/>
      <c r="C221" s="1"/>
      <c r="D221" s="5"/>
      <c r="E221" s="1"/>
      <c r="F221" s="1"/>
      <c r="G221" s="1"/>
      <c r="H221" s="1"/>
    </row>
    <row r="222" spans="1:8" x14ac:dyDescent="0.35">
      <c r="A222" s="5"/>
      <c r="C222" s="1"/>
      <c r="D222" s="5"/>
      <c r="E222" s="1"/>
      <c r="F222" s="1"/>
      <c r="G222" s="1"/>
      <c r="H222" s="1"/>
    </row>
    <row r="223" spans="1:8" x14ac:dyDescent="0.35">
      <c r="A223" s="5"/>
      <c r="C223" s="1"/>
      <c r="D223" s="5"/>
      <c r="E223" s="1"/>
      <c r="F223" s="1"/>
      <c r="G223" s="1"/>
      <c r="H223" s="1"/>
    </row>
    <row r="224" spans="1:8" x14ac:dyDescent="0.35">
      <c r="A224" s="5"/>
      <c r="C224" s="1"/>
      <c r="D224" s="5"/>
      <c r="E224" s="1"/>
      <c r="F224" s="1"/>
      <c r="G224" s="1"/>
      <c r="H224" s="1"/>
    </row>
    <row r="225" spans="1:8" x14ac:dyDescent="0.35">
      <c r="A225" s="5"/>
      <c r="C225" s="1"/>
      <c r="D225" s="5"/>
      <c r="E225" s="1"/>
      <c r="F225" s="1"/>
      <c r="G225" s="1"/>
      <c r="H225" s="1"/>
    </row>
    <row r="226" spans="1:8" x14ac:dyDescent="0.35">
      <c r="A226" s="5"/>
      <c r="C226" s="1"/>
      <c r="D226" s="5"/>
      <c r="E226" s="1"/>
      <c r="F226" s="1"/>
      <c r="G226" s="1"/>
      <c r="H226" s="1"/>
    </row>
    <row r="227" spans="1:8" x14ac:dyDescent="0.35">
      <c r="A227" s="5"/>
      <c r="C227" s="1"/>
      <c r="D227" s="5"/>
      <c r="E227" s="1"/>
      <c r="F227" s="1"/>
      <c r="G227" s="1"/>
      <c r="H227" s="1"/>
    </row>
    <row r="228" spans="1:8" x14ac:dyDescent="0.35">
      <c r="A228" s="5"/>
      <c r="C228" s="1"/>
      <c r="D228" s="5"/>
      <c r="E228" s="1"/>
      <c r="F228" s="1"/>
      <c r="G228" s="1"/>
      <c r="H228" s="1"/>
    </row>
    <row r="229" spans="1:8" x14ac:dyDescent="0.35">
      <c r="A229" s="5"/>
      <c r="C229" s="1"/>
      <c r="D229" s="5"/>
      <c r="E229" s="1"/>
      <c r="F229" s="1"/>
      <c r="G229" s="1"/>
      <c r="H229" s="1"/>
    </row>
    <row r="230" spans="1:8" x14ac:dyDescent="0.35">
      <c r="A230" s="5"/>
      <c r="C230" s="1"/>
      <c r="D230" s="5"/>
      <c r="E230" s="1"/>
      <c r="F230" s="1"/>
      <c r="G230" s="1"/>
      <c r="H230" s="1"/>
    </row>
    <row r="231" spans="1:8" x14ac:dyDescent="0.35">
      <c r="A231" s="5"/>
      <c r="C231" s="1"/>
      <c r="D231" s="5"/>
      <c r="E231" s="1"/>
      <c r="F231" s="1"/>
      <c r="G231" s="1"/>
      <c r="H231" s="1"/>
    </row>
    <row r="232" spans="1:8" x14ac:dyDescent="0.35">
      <c r="A232" s="5"/>
      <c r="C232" s="1"/>
      <c r="D232" s="5"/>
      <c r="E232" s="1"/>
      <c r="F232" s="1"/>
      <c r="G232" s="1"/>
      <c r="H232" s="1"/>
    </row>
    <row r="233" spans="1:8" x14ac:dyDescent="0.35">
      <c r="A233" s="5"/>
      <c r="C233" s="1"/>
      <c r="D233" s="5"/>
      <c r="E233" s="1"/>
      <c r="F233" s="1"/>
      <c r="G233" s="1"/>
      <c r="H233" s="1"/>
    </row>
    <row r="234" spans="1:8" x14ac:dyDescent="0.35">
      <c r="A234" s="5"/>
      <c r="C234" s="1"/>
      <c r="D234" s="5"/>
      <c r="E234" s="1"/>
      <c r="F234" s="1"/>
      <c r="G234" s="1"/>
      <c r="H234" s="1"/>
    </row>
    <row r="235" spans="1:8" x14ac:dyDescent="0.35">
      <c r="A235" s="5"/>
      <c r="C235" s="1"/>
      <c r="D235" s="5"/>
      <c r="E235" s="1"/>
      <c r="F235" s="1"/>
      <c r="G235" s="1"/>
      <c r="H235" s="1"/>
    </row>
    <row r="236" spans="1:8" x14ac:dyDescent="0.35">
      <c r="A236" s="5"/>
      <c r="C236" s="1"/>
      <c r="D236" s="5"/>
      <c r="E236" s="1"/>
      <c r="F236" s="1"/>
      <c r="G236" s="1"/>
      <c r="H236" s="1"/>
    </row>
    <row r="237" spans="1:8" x14ac:dyDescent="0.35">
      <c r="A237" s="5"/>
      <c r="C237" s="1"/>
      <c r="D237" s="5"/>
      <c r="E237" s="1"/>
      <c r="F237" s="1"/>
      <c r="G237" s="1"/>
      <c r="H237" s="1"/>
    </row>
    <row r="238" spans="1:8" x14ac:dyDescent="0.35">
      <c r="A238" s="5"/>
      <c r="C238" s="1"/>
      <c r="D238" s="5"/>
      <c r="E238" s="1"/>
      <c r="F238" s="1"/>
      <c r="G238" s="1"/>
      <c r="H238" s="1"/>
    </row>
    <row r="239" spans="1:8" x14ac:dyDescent="0.35">
      <c r="A239" s="5"/>
      <c r="C239" s="1"/>
      <c r="D239" s="5"/>
      <c r="E239" s="1"/>
      <c r="F239" s="1"/>
      <c r="G239" s="1"/>
      <c r="H239" s="1"/>
    </row>
    <row r="240" spans="1:8" x14ac:dyDescent="0.35">
      <c r="A240" s="5"/>
      <c r="C240" s="1"/>
      <c r="D240" s="5"/>
      <c r="E240" s="1"/>
      <c r="F240" s="1"/>
      <c r="G240" s="1"/>
      <c r="H240" s="1"/>
    </row>
    <row r="241" spans="1:8" x14ac:dyDescent="0.35">
      <c r="A241" s="5"/>
      <c r="C241" s="1"/>
      <c r="D241" s="5"/>
      <c r="E241" s="1"/>
      <c r="F241" s="1"/>
      <c r="G241" s="1"/>
      <c r="H241" s="1"/>
    </row>
    <row r="242" spans="1:8" x14ac:dyDescent="0.35">
      <c r="A242" s="5"/>
      <c r="C242" s="1"/>
      <c r="D242" s="5"/>
      <c r="E242" s="1"/>
      <c r="F242" s="1"/>
      <c r="G242" s="1"/>
      <c r="H242" s="1"/>
    </row>
    <row r="243" spans="1:8" x14ac:dyDescent="0.35">
      <c r="A243" s="5"/>
      <c r="C243" s="1"/>
      <c r="D243" s="5"/>
      <c r="E243" s="1"/>
      <c r="F243" s="1"/>
      <c r="G243" s="1"/>
      <c r="H243" s="1"/>
    </row>
    <row r="244" spans="1:8" x14ac:dyDescent="0.35">
      <c r="A244" s="5"/>
      <c r="C244" s="1"/>
      <c r="D244" s="5"/>
      <c r="E244" s="1"/>
      <c r="F244" s="1"/>
      <c r="G244" s="1"/>
      <c r="H244" s="1"/>
    </row>
    <row r="245" spans="1:8" x14ac:dyDescent="0.35">
      <c r="A245" s="5"/>
      <c r="C245" s="1"/>
      <c r="D245" s="5"/>
      <c r="E245" s="1"/>
      <c r="F245" s="1"/>
      <c r="G245" s="1"/>
      <c r="H245" s="1"/>
    </row>
    <row r="246" spans="1:8" x14ac:dyDescent="0.35">
      <c r="A246" s="5"/>
      <c r="C246" s="1"/>
      <c r="D246" s="5"/>
      <c r="E246" s="1"/>
      <c r="F246" s="1"/>
      <c r="G246" s="1"/>
      <c r="H246" s="1"/>
    </row>
    <row r="247" spans="1:8" x14ac:dyDescent="0.35">
      <c r="A247" s="5"/>
      <c r="C247" s="1"/>
      <c r="D247" s="5"/>
      <c r="E247" s="1"/>
      <c r="F247" s="1"/>
      <c r="G247" s="1"/>
      <c r="H247" s="1"/>
    </row>
    <row r="248" spans="1:8" x14ac:dyDescent="0.35">
      <c r="A248" s="5"/>
      <c r="C248" s="1"/>
      <c r="D248" s="5"/>
      <c r="E248" s="1"/>
      <c r="F248" s="1"/>
      <c r="G248" s="1"/>
      <c r="H248" s="1"/>
    </row>
    <row r="249" spans="1:8" x14ac:dyDescent="0.35">
      <c r="A249" s="5"/>
      <c r="C249" s="1"/>
      <c r="D249" s="5"/>
      <c r="E249" s="1"/>
      <c r="F249" s="1"/>
      <c r="G249" s="1"/>
      <c r="H249" s="1"/>
    </row>
    <row r="250" spans="1:8" x14ac:dyDescent="0.35">
      <c r="A250" s="5"/>
      <c r="C250" s="1"/>
      <c r="D250" s="5"/>
      <c r="E250" s="1"/>
      <c r="F250" s="1"/>
      <c r="G250" s="1"/>
      <c r="H250" s="1"/>
    </row>
    <row r="251" spans="1:8" x14ac:dyDescent="0.35">
      <c r="A251" s="5"/>
      <c r="C251" s="1"/>
      <c r="D251" s="5"/>
      <c r="E251" s="1"/>
      <c r="F251" s="1"/>
      <c r="G251" s="1"/>
      <c r="H251" s="1"/>
    </row>
    <row r="252" spans="1:8" x14ac:dyDescent="0.35">
      <c r="A252" s="5"/>
      <c r="C252" s="1"/>
      <c r="D252" s="5"/>
      <c r="E252" s="1"/>
      <c r="F252" s="1"/>
      <c r="G252" s="1"/>
      <c r="H252" s="1"/>
    </row>
    <row r="253" spans="1:8" x14ac:dyDescent="0.35">
      <c r="A253" s="5"/>
      <c r="C253" s="1"/>
      <c r="D253" s="5"/>
      <c r="E253" s="1"/>
      <c r="F253" s="1"/>
      <c r="G253" s="1"/>
      <c r="H253" s="1"/>
    </row>
    <row r="254" spans="1:8" x14ac:dyDescent="0.35">
      <c r="A254" s="5"/>
      <c r="C254" s="1"/>
      <c r="D254" s="5"/>
      <c r="E254" s="1"/>
      <c r="F254" s="1"/>
      <c r="G254" s="1"/>
      <c r="H254" s="1"/>
    </row>
    <row r="255" spans="1:8" x14ac:dyDescent="0.35">
      <c r="A255" s="5"/>
      <c r="C255" s="1"/>
      <c r="D255" s="5"/>
      <c r="E255" s="1"/>
      <c r="F255" s="1"/>
      <c r="G255" s="1"/>
      <c r="H255" s="1"/>
    </row>
    <row r="256" spans="1:8" x14ac:dyDescent="0.35">
      <c r="A256" s="5"/>
      <c r="C256" s="1"/>
      <c r="D256" s="5"/>
      <c r="E256" s="1"/>
      <c r="F256" s="1"/>
      <c r="G256" s="1"/>
      <c r="H256" s="1"/>
    </row>
    <row r="257" spans="1:8" x14ac:dyDescent="0.35">
      <c r="A257" s="5"/>
      <c r="C257" s="1"/>
      <c r="D257" s="5"/>
      <c r="E257" s="1"/>
      <c r="F257" s="1"/>
      <c r="G257" s="1"/>
      <c r="H257" s="1"/>
    </row>
    <row r="258" spans="1:8" x14ac:dyDescent="0.35">
      <c r="A258" s="5"/>
      <c r="C258" s="1"/>
      <c r="D258" s="5"/>
      <c r="E258" s="1"/>
      <c r="F258" s="1"/>
      <c r="G258" s="1"/>
      <c r="H258" s="1"/>
    </row>
    <row r="259" spans="1:8" x14ac:dyDescent="0.35">
      <c r="A259" s="5"/>
      <c r="C259" s="1"/>
      <c r="D259" s="5"/>
      <c r="E259" s="1"/>
      <c r="F259" s="1"/>
      <c r="G259" s="1"/>
      <c r="H259" s="1"/>
    </row>
    <row r="260" spans="1:8" x14ac:dyDescent="0.35">
      <c r="A260" s="5"/>
      <c r="C260" s="1"/>
      <c r="D260" s="5"/>
      <c r="E260" s="1"/>
      <c r="F260" s="1"/>
      <c r="G260" s="1"/>
      <c r="H260" s="1"/>
    </row>
    <row r="261" spans="1:8" x14ac:dyDescent="0.35">
      <c r="A261" s="5"/>
      <c r="C261" s="1"/>
      <c r="D261" s="5"/>
      <c r="E261" s="1"/>
      <c r="F261" s="1"/>
      <c r="G261" s="1"/>
      <c r="H261" s="1"/>
    </row>
    <row r="262" spans="1:8" x14ac:dyDescent="0.35">
      <c r="A262" s="5"/>
      <c r="C262" s="1"/>
      <c r="D262" s="5"/>
      <c r="E262" s="1"/>
      <c r="F262" s="1"/>
      <c r="G262" s="1"/>
      <c r="H262" s="1"/>
    </row>
    <row r="263" spans="1:8" x14ac:dyDescent="0.35">
      <c r="A263" s="5"/>
      <c r="C263" s="1"/>
      <c r="D263" s="5"/>
      <c r="E263" s="1"/>
      <c r="F263" s="1"/>
      <c r="G263" s="1"/>
      <c r="H263" s="1"/>
    </row>
    <row r="264" spans="1:8" x14ac:dyDescent="0.35">
      <c r="A264" s="5"/>
      <c r="C264" s="1"/>
      <c r="D264" s="5"/>
      <c r="E264" s="1"/>
      <c r="F264" s="1"/>
      <c r="G264" s="1"/>
      <c r="H264" s="1"/>
    </row>
    <row r="265" spans="1:8" x14ac:dyDescent="0.35">
      <c r="A265" s="5"/>
      <c r="C265" s="1"/>
      <c r="D265" s="5"/>
      <c r="E265" s="1"/>
      <c r="F265" s="1"/>
      <c r="G265" s="1"/>
      <c r="H265" s="1"/>
    </row>
    <row r="266" spans="1:8" x14ac:dyDescent="0.35">
      <c r="A266" s="5"/>
      <c r="C266" s="1"/>
      <c r="D266" s="5"/>
      <c r="E266" s="1"/>
      <c r="F266" s="1"/>
      <c r="G266" s="1"/>
      <c r="H266" s="1"/>
    </row>
    <row r="267" spans="1:8" x14ac:dyDescent="0.35">
      <c r="A267" s="5"/>
      <c r="C267" s="1"/>
      <c r="D267" s="5"/>
      <c r="E267" s="1"/>
      <c r="F267" s="1"/>
      <c r="G267" s="1"/>
      <c r="H267" s="1"/>
    </row>
    <row r="268" spans="1:8" x14ac:dyDescent="0.35">
      <c r="A268" s="5"/>
      <c r="C268" s="1"/>
      <c r="D268" s="5"/>
      <c r="E268" s="1"/>
      <c r="F268" s="1"/>
      <c r="G268" s="1"/>
      <c r="H268" s="1"/>
    </row>
    <row r="269" spans="1:8" x14ac:dyDescent="0.35">
      <c r="A269" s="5"/>
      <c r="C269" s="1"/>
      <c r="D269" s="5"/>
      <c r="E269" s="1"/>
      <c r="F269" s="1"/>
      <c r="G269" s="1"/>
      <c r="H269" s="1"/>
    </row>
    <row r="270" spans="1:8" x14ac:dyDescent="0.35">
      <c r="A270" s="5"/>
      <c r="C270" s="1"/>
      <c r="D270" s="5"/>
      <c r="E270" s="1"/>
      <c r="F270" s="1"/>
      <c r="G270" s="1"/>
      <c r="H270" s="1"/>
    </row>
    <row r="271" spans="1:8" x14ac:dyDescent="0.35">
      <c r="A271" s="5"/>
      <c r="C271" s="1"/>
      <c r="D271" s="5"/>
      <c r="E271" s="1"/>
      <c r="F271" s="1"/>
      <c r="G271" s="1"/>
      <c r="H271" s="1"/>
    </row>
    <row r="272" spans="1:8" x14ac:dyDescent="0.35">
      <c r="A272" s="5"/>
      <c r="C272" s="1"/>
      <c r="D272" s="5"/>
      <c r="E272" s="1"/>
      <c r="F272" s="1"/>
      <c r="G272" s="1"/>
      <c r="H272" s="1"/>
    </row>
    <row r="273" spans="1:8" x14ac:dyDescent="0.35">
      <c r="A273" s="5"/>
      <c r="C273" s="1"/>
      <c r="D273" s="5"/>
      <c r="E273" s="1"/>
      <c r="F273" s="1"/>
      <c r="G273" s="1"/>
      <c r="H273" s="1"/>
    </row>
    <row r="274" spans="1:8" x14ac:dyDescent="0.35">
      <c r="A274" s="5"/>
      <c r="C274" s="1"/>
      <c r="D274" s="5"/>
      <c r="E274" s="1"/>
      <c r="F274" s="1"/>
      <c r="G274" s="1"/>
      <c r="H274" s="1"/>
    </row>
    <row r="275" spans="1:8" x14ac:dyDescent="0.35">
      <c r="A275" s="5"/>
      <c r="C275" s="1"/>
      <c r="D275" s="5"/>
      <c r="E275" s="1"/>
      <c r="F275" s="1"/>
      <c r="G275" s="1"/>
      <c r="H275" s="1"/>
    </row>
    <row r="276" spans="1:8" x14ac:dyDescent="0.35">
      <c r="A276" s="5"/>
      <c r="C276" s="1"/>
      <c r="D276" s="5"/>
      <c r="E276" s="1"/>
      <c r="F276" s="1"/>
      <c r="G276" s="1"/>
      <c r="H276" s="1"/>
    </row>
    <row r="277" spans="1:8" x14ac:dyDescent="0.35">
      <c r="A277" s="5"/>
      <c r="C277" s="1"/>
      <c r="D277" s="5"/>
      <c r="E277" s="1"/>
      <c r="F277" s="1"/>
      <c r="G277" s="1"/>
      <c r="H277" s="1"/>
    </row>
    <row r="278" spans="1:8" x14ac:dyDescent="0.35">
      <c r="A278" s="5"/>
      <c r="C278" s="1"/>
      <c r="D278" s="5"/>
      <c r="E278" s="1"/>
      <c r="F278" s="1"/>
      <c r="G278" s="1"/>
      <c r="H278" s="1"/>
    </row>
    <row r="279" spans="1:8" x14ac:dyDescent="0.35">
      <c r="A279" s="5"/>
      <c r="C279" s="1"/>
      <c r="D279" s="5"/>
      <c r="E279" s="1"/>
      <c r="F279" s="1"/>
      <c r="G279" s="1"/>
      <c r="H279" s="1"/>
    </row>
    <row r="280" spans="1:8" x14ac:dyDescent="0.35">
      <c r="A280" s="5"/>
      <c r="C280" s="1"/>
      <c r="D280" s="5"/>
      <c r="E280" s="1"/>
      <c r="F280" s="1"/>
      <c r="G280" s="1"/>
      <c r="H280" s="1"/>
    </row>
    <row r="281" spans="1:8" x14ac:dyDescent="0.35">
      <c r="A281" s="5"/>
      <c r="C281" s="1"/>
      <c r="D281" s="5"/>
      <c r="E281" s="1"/>
      <c r="F281" s="1"/>
      <c r="G281" s="1"/>
      <c r="H281" s="1"/>
    </row>
    <row r="282" spans="1:8" x14ac:dyDescent="0.35">
      <c r="C282" s="1"/>
    </row>
    <row r="283" spans="1:8" x14ac:dyDescent="0.35">
      <c r="C283" s="1"/>
    </row>
    <row r="284" spans="1:8" x14ac:dyDescent="0.35">
      <c r="C284" s="1"/>
    </row>
    <row r="285" spans="1:8" x14ac:dyDescent="0.35">
      <c r="C285" s="1"/>
    </row>
    <row r="286" spans="1:8" x14ac:dyDescent="0.35">
      <c r="C286" s="1"/>
    </row>
    <row r="287" spans="1:8" x14ac:dyDescent="0.35">
      <c r="C287" s="1"/>
    </row>
    <row r="288" spans="1:8" x14ac:dyDescent="0.35">
      <c r="C288" s="1"/>
    </row>
  </sheetData>
  <phoneticPr fontId="10" type="noConversion"/>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B6AD-67D6-4986-A5EB-911A8C0E37C1}">
  <sheetPr codeName="Sheet14"/>
  <dimension ref="A1:AO288"/>
  <sheetViews>
    <sheetView rightToLeft="1" workbookViewId="0">
      <pane xSplit="1" ySplit="1" topLeftCell="B2" activePane="bottomRight" state="frozen"/>
      <selection activeCell="A6" sqref="A6"/>
      <selection pane="topRight" activeCell="A6" sqref="A6"/>
      <selection pane="bottomLeft" activeCell="A6" sqref="A6"/>
      <selection pane="bottomRight" activeCell="A6" sqref="A6"/>
    </sheetView>
  </sheetViews>
  <sheetFormatPr defaultColWidth="8.81640625" defaultRowHeight="14.5" x14ac:dyDescent="0.35"/>
  <cols>
    <col min="1" max="1" width="52.1796875" style="8" customWidth="1"/>
    <col min="2" max="3" width="10" style="2" customWidth="1"/>
    <col min="4" max="4" width="10.81640625" style="8" customWidth="1"/>
    <col min="5" max="5" width="11.81640625" style="2" customWidth="1"/>
    <col min="6" max="8" width="8.81640625" style="2"/>
    <col min="9" max="16" width="8.81640625" style="1" customWidth="1"/>
    <col min="17" max="18" width="8.81640625" style="30" customWidth="1"/>
    <col min="19" max="35" width="8.81640625" style="1" customWidth="1"/>
    <col min="36" max="36" width="8.81640625" style="2"/>
    <col min="37" max="37" width="10.08984375" style="2" bestFit="1" customWidth="1"/>
    <col min="38" max="38" width="8.81640625" style="2"/>
    <col min="39" max="39" width="10.54296875" style="2" bestFit="1" customWidth="1"/>
    <col min="40" max="40" width="8.81640625" style="2"/>
    <col min="41" max="41" width="17" style="2" bestFit="1" customWidth="1"/>
    <col min="42" max="16384" width="8.81640625" style="2"/>
  </cols>
  <sheetData>
    <row r="1" spans="1:41" ht="15" thickBot="1" x14ac:dyDescent="0.4">
      <c r="A1" s="7" t="s">
        <v>0</v>
      </c>
      <c r="B1" s="4">
        <v>2025</v>
      </c>
      <c r="C1" s="4">
        <v>2022</v>
      </c>
      <c r="D1" s="7">
        <v>2021</v>
      </c>
      <c r="E1" s="4">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ht="58" x14ac:dyDescent="0.35">
      <c r="A2" s="5" t="s">
        <v>27</v>
      </c>
      <c r="B2" s="64" t="s">
        <v>12</v>
      </c>
      <c r="C2" s="51" t="s">
        <v>3240</v>
      </c>
      <c r="D2" s="71" t="s">
        <v>3204</v>
      </c>
      <c r="E2" s="59" t="s">
        <v>12</v>
      </c>
      <c r="F2" s="3"/>
      <c r="G2" s="68" t="s">
        <v>12</v>
      </c>
      <c r="H2" s="68" t="s">
        <v>189</v>
      </c>
      <c r="I2" s="68" t="s">
        <v>190</v>
      </c>
      <c r="J2" s="50" t="s">
        <v>17</v>
      </c>
      <c r="K2" s="50" t="s">
        <v>897</v>
      </c>
      <c r="L2" s="50" t="s">
        <v>895</v>
      </c>
      <c r="M2" s="50" t="s">
        <v>909</v>
      </c>
      <c r="N2" s="50" t="s">
        <v>428</v>
      </c>
      <c r="O2" s="50" t="s">
        <v>1079</v>
      </c>
      <c r="P2" s="50" t="s">
        <v>948</v>
      </c>
      <c r="Q2" s="29"/>
      <c r="R2" s="50" t="s">
        <v>1077</v>
      </c>
      <c r="S2" s="3" t="s">
        <v>2208</v>
      </c>
      <c r="T2" s="3"/>
      <c r="U2" s="3"/>
      <c r="V2" s="3"/>
      <c r="W2" s="3"/>
      <c r="X2" s="3"/>
      <c r="Y2" s="3"/>
      <c r="Z2" s="3"/>
      <c r="AA2" s="3"/>
      <c r="AB2" s="3"/>
      <c r="AC2" s="3"/>
      <c r="AD2" s="3"/>
      <c r="AE2" s="3"/>
      <c r="AF2" s="3"/>
      <c r="AG2" s="3"/>
      <c r="AH2" s="3"/>
      <c r="AI2" s="3"/>
      <c r="AK2" s="2">
        <f>COUNTA(C2:AI2)</f>
        <v>15</v>
      </c>
      <c r="AM2" s="2">
        <f>COUNTA(G2:P2,S2:T2)</f>
        <v>11</v>
      </c>
      <c r="AO2" s="2">
        <f>COUNTIF(AM2:AM38,"&gt;=2")</f>
        <v>7</v>
      </c>
    </row>
    <row r="3" spans="1:41" x14ac:dyDescent="0.35">
      <c r="A3" s="5" t="s">
        <v>28</v>
      </c>
      <c r="B3" s="64" t="s">
        <v>13</v>
      </c>
      <c r="C3" s="51" t="s">
        <v>3241</v>
      </c>
      <c r="D3" s="71" t="s">
        <v>3205</v>
      </c>
      <c r="E3" s="59" t="s">
        <v>13</v>
      </c>
      <c r="F3" s="1"/>
      <c r="G3" s="61" t="s">
        <v>13</v>
      </c>
      <c r="H3" s="61" t="s">
        <v>190</v>
      </c>
      <c r="I3" s="61" t="s">
        <v>14</v>
      </c>
      <c r="J3" s="53" t="s">
        <v>192</v>
      </c>
      <c r="K3" s="53" t="s">
        <v>898</v>
      </c>
      <c r="L3" s="53" t="s">
        <v>896</v>
      </c>
      <c r="M3" s="53" t="s">
        <v>910</v>
      </c>
      <c r="N3" s="53" t="s">
        <v>431</v>
      </c>
      <c r="O3" s="53" t="s">
        <v>1080</v>
      </c>
      <c r="P3" s="53" t="s">
        <v>950</v>
      </c>
      <c r="R3" s="53" t="s">
        <v>1082</v>
      </c>
      <c r="S3" s="1" t="s">
        <v>2209</v>
      </c>
      <c r="AK3" s="2">
        <f t="shared" ref="AK3:AK38" si="0">COUNTA(C3:AI3)</f>
        <v>15</v>
      </c>
      <c r="AM3" s="2">
        <f t="shared" ref="AM3:AM38" si="1">COUNTA(G3:P3,S3:T3)</f>
        <v>11</v>
      </c>
    </row>
    <row r="4" spans="1:41" x14ac:dyDescent="0.35">
      <c r="A4" s="5" t="s">
        <v>188</v>
      </c>
      <c r="B4" s="64" t="s">
        <v>189</v>
      </c>
      <c r="C4" s="51" t="s">
        <v>3242</v>
      </c>
      <c r="D4" s="5"/>
      <c r="E4" s="1"/>
      <c r="F4" s="1"/>
      <c r="G4" s="61" t="s">
        <v>189</v>
      </c>
      <c r="H4" s="61" t="s">
        <v>14</v>
      </c>
      <c r="I4" s="61" t="s">
        <v>15</v>
      </c>
      <c r="J4" s="53" t="s">
        <v>194</v>
      </c>
      <c r="K4" s="53" t="s">
        <v>880</v>
      </c>
      <c r="L4" s="53" t="s">
        <v>897</v>
      </c>
      <c r="M4" s="53" t="s">
        <v>911</v>
      </c>
      <c r="N4" s="53" t="s">
        <v>432</v>
      </c>
      <c r="O4" s="53" t="s">
        <v>1081</v>
      </c>
      <c r="P4" s="53" t="s">
        <v>951</v>
      </c>
      <c r="R4" s="53" t="s">
        <v>1083</v>
      </c>
      <c r="S4" s="1" t="s">
        <v>2210</v>
      </c>
      <c r="AK4" s="2">
        <f t="shared" si="0"/>
        <v>13</v>
      </c>
      <c r="AM4" s="2">
        <f t="shared" si="1"/>
        <v>11</v>
      </c>
    </row>
    <row r="5" spans="1:41" x14ac:dyDescent="0.35">
      <c r="A5" s="5" t="s">
        <v>1278</v>
      </c>
      <c r="B5" s="5"/>
      <c r="C5" s="5"/>
      <c r="D5" s="5"/>
      <c r="E5" s="1"/>
      <c r="F5" s="1"/>
      <c r="G5" s="61" t="s">
        <v>190</v>
      </c>
      <c r="H5" s="61" t="s">
        <v>15</v>
      </c>
      <c r="I5" s="61" t="s">
        <v>16</v>
      </c>
      <c r="J5" s="53" t="s">
        <v>44</v>
      </c>
      <c r="K5" s="53" t="s">
        <v>899</v>
      </c>
      <c r="L5" s="53" t="s">
        <v>898</v>
      </c>
      <c r="M5" s="53" t="s">
        <v>912</v>
      </c>
      <c r="N5" s="53" t="s">
        <v>433</v>
      </c>
      <c r="O5" s="53" t="s">
        <v>1086</v>
      </c>
      <c r="P5" s="53" t="s">
        <v>952</v>
      </c>
      <c r="R5" s="53" t="s">
        <v>1084</v>
      </c>
      <c r="S5" s="1" t="s">
        <v>2211</v>
      </c>
      <c r="AK5" s="2">
        <f t="shared" si="0"/>
        <v>12</v>
      </c>
      <c r="AM5" s="2">
        <f t="shared" si="1"/>
        <v>11</v>
      </c>
    </row>
    <row r="6" spans="1:41" ht="29" x14ac:dyDescent="0.35">
      <c r="A6" s="5" t="s">
        <v>31</v>
      </c>
      <c r="B6" s="5" t="s">
        <v>16</v>
      </c>
      <c r="C6" s="6" t="s">
        <v>16</v>
      </c>
      <c r="D6" s="5" t="s">
        <v>16</v>
      </c>
      <c r="E6" s="54" t="s">
        <v>16</v>
      </c>
      <c r="F6" s="67" t="s">
        <v>364</v>
      </c>
      <c r="G6" s="53" t="s">
        <v>16</v>
      </c>
      <c r="H6" s="53" t="s">
        <v>421</v>
      </c>
      <c r="I6" s="53" t="s">
        <v>39</v>
      </c>
      <c r="J6" s="53" t="s">
        <v>437</v>
      </c>
      <c r="K6" s="53" t="s">
        <v>913</v>
      </c>
      <c r="L6" s="1" t="s">
        <v>948</v>
      </c>
      <c r="M6" s="53" t="s">
        <v>948</v>
      </c>
      <c r="N6" s="53" t="s">
        <v>1391</v>
      </c>
      <c r="O6" s="53" t="s">
        <v>1562</v>
      </c>
      <c r="P6" s="53" t="s">
        <v>953</v>
      </c>
      <c r="R6" s="53" t="s">
        <v>1440</v>
      </c>
      <c r="S6" s="53" t="s">
        <v>2167</v>
      </c>
      <c r="W6" s="53" t="s">
        <v>285</v>
      </c>
      <c r="AA6" s="53" t="s">
        <v>517</v>
      </c>
      <c r="AG6" s="53" t="s">
        <v>365</v>
      </c>
      <c r="AH6" s="1" t="s">
        <v>1069</v>
      </c>
      <c r="AK6" s="2">
        <f t="shared" si="0"/>
        <v>20</v>
      </c>
      <c r="AM6" s="2">
        <f t="shared" si="1"/>
        <v>11</v>
      </c>
    </row>
    <row r="7" spans="1:41" x14ac:dyDescent="0.35">
      <c r="A7" s="5" t="s">
        <v>288</v>
      </c>
      <c r="B7" s="5"/>
      <c r="C7" s="6"/>
      <c r="D7" s="5"/>
      <c r="E7" s="1"/>
      <c r="F7" s="1"/>
      <c r="G7" s="10" t="s">
        <v>289</v>
      </c>
      <c r="H7" s="1"/>
      <c r="AK7" s="2">
        <f t="shared" si="0"/>
        <v>1</v>
      </c>
      <c r="AM7" s="2">
        <f t="shared" si="1"/>
        <v>1</v>
      </c>
    </row>
    <row r="8" spans="1:41" x14ac:dyDescent="0.35">
      <c r="A8" s="5" t="s">
        <v>291</v>
      </c>
      <c r="B8" s="5"/>
      <c r="C8" s="6"/>
      <c r="D8" s="5"/>
      <c r="E8" s="1"/>
      <c r="F8" s="1"/>
      <c r="G8" s="10" t="s">
        <v>290</v>
      </c>
      <c r="H8" s="1"/>
      <c r="AK8" s="2">
        <f t="shared" si="0"/>
        <v>1</v>
      </c>
      <c r="AM8" s="2">
        <f t="shared" si="1"/>
        <v>1</v>
      </c>
    </row>
    <row r="9" spans="1:41" ht="43.5" x14ac:dyDescent="0.35">
      <c r="A9" s="5" t="s">
        <v>413</v>
      </c>
      <c r="B9" s="5"/>
      <c r="C9" s="6"/>
      <c r="D9" s="5"/>
      <c r="E9" s="1"/>
      <c r="F9" s="1"/>
      <c r="G9" s="1"/>
      <c r="H9" s="66" t="s">
        <v>16</v>
      </c>
      <c r="I9" s="61" t="s">
        <v>17</v>
      </c>
      <c r="J9" s="84" t="s">
        <v>424</v>
      </c>
      <c r="K9" s="53" t="s">
        <v>906</v>
      </c>
      <c r="M9" s="53" t="s">
        <v>913</v>
      </c>
      <c r="N9" s="54" t="s">
        <v>12</v>
      </c>
      <c r="O9" s="1" t="s">
        <v>362</v>
      </c>
      <c r="AK9" s="2">
        <f t="shared" si="0"/>
        <v>7</v>
      </c>
      <c r="AM9" s="2">
        <f t="shared" si="1"/>
        <v>7</v>
      </c>
    </row>
    <row r="10" spans="1:41" ht="29" x14ac:dyDescent="0.35">
      <c r="A10" s="5" t="s">
        <v>429</v>
      </c>
      <c r="B10" s="5" t="s">
        <v>428</v>
      </c>
      <c r="C10" s="83" t="s">
        <v>428</v>
      </c>
      <c r="D10" s="5"/>
      <c r="E10" s="1"/>
      <c r="F10" s="1"/>
      <c r="G10" s="1"/>
      <c r="H10" s="85" t="s">
        <v>428</v>
      </c>
      <c r="I10" s="61" t="s">
        <v>428</v>
      </c>
      <c r="J10" s="12" t="s">
        <v>444</v>
      </c>
      <c r="AK10" s="2">
        <f t="shared" si="0"/>
        <v>4</v>
      </c>
      <c r="AM10" s="2">
        <f t="shared" si="1"/>
        <v>3</v>
      </c>
    </row>
    <row r="11" spans="1:41" ht="29" x14ac:dyDescent="0.35">
      <c r="A11" s="5" t="s">
        <v>618</v>
      </c>
      <c r="B11" s="6"/>
      <c r="C11" s="6"/>
      <c r="D11" s="5"/>
      <c r="E11" s="1"/>
      <c r="F11" s="1"/>
      <c r="G11" s="1"/>
      <c r="H11" s="1"/>
      <c r="I11" s="10" t="s">
        <v>440</v>
      </c>
      <c r="AK11" s="2">
        <f t="shared" si="0"/>
        <v>1</v>
      </c>
      <c r="AM11" s="2">
        <f t="shared" si="1"/>
        <v>1</v>
      </c>
    </row>
    <row r="12" spans="1:41" ht="29" x14ac:dyDescent="0.35">
      <c r="A12" s="5" t="s">
        <v>1268</v>
      </c>
      <c r="B12" s="1"/>
      <c r="C12" s="1"/>
      <c r="D12" s="5"/>
      <c r="E12" s="1"/>
      <c r="F12" s="1"/>
      <c r="G12" s="1"/>
      <c r="H12" s="1"/>
      <c r="I12" s="10"/>
      <c r="N12" s="1" t="s">
        <v>11</v>
      </c>
      <c r="AK12" s="2">
        <f t="shared" si="0"/>
        <v>1</v>
      </c>
      <c r="AM12" s="2">
        <f t="shared" si="1"/>
        <v>1</v>
      </c>
    </row>
    <row r="13" spans="1:41" ht="58" x14ac:dyDescent="0.35">
      <c r="A13" s="5" t="s">
        <v>614</v>
      </c>
      <c r="B13" s="1"/>
      <c r="C13" s="1"/>
      <c r="D13" s="5"/>
      <c r="E13" s="1"/>
      <c r="F13" s="1"/>
      <c r="G13" s="1"/>
      <c r="H13" s="1"/>
      <c r="I13" s="10" t="s">
        <v>44</v>
      </c>
      <c r="AK13" s="2">
        <f t="shared" si="0"/>
        <v>1</v>
      </c>
      <c r="AM13" s="2">
        <f t="shared" si="1"/>
        <v>1</v>
      </c>
    </row>
    <row r="14" spans="1:41" ht="29" x14ac:dyDescent="0.35">
      <c r="A14" s="5" t="s">
        <v>1166</v>
      </c>
      <c r="B14" s="1"/>
      <c r="C14" s="1"/>
      <c r="D14" s="5"/>
      <c r="E14" s="1"/>
      <c r="F14" s="1"/>
      <c r="G14" s="1"/>
      <c r="H14" s="1"/>
      <c r="L14" s="1" t="s">
        <v>913</v>
      </c>
      <c r="AK14" s="2">
        <f t="shared" si="0"/>
        <v>1</v>
      </c>
      <c r="AM14" s="2">
        <f t="shared" si="1"/>
        <v>1</v>
      </c>
    </row>
    <row r="15" spans="1:41" ht="29" x14ac:dyDescent="0.35">
      <c r="A15" s="5" t="s">
        <v>1167</v>
      </c>
      <c r="B15" s="5"/>
      <c r="C15" s="5"/>
      <c r="D15" s="5"/>
      <c r="E15" s="1"/>
      <c r="F15" s="1"/>
      <c r="G15" s="1"/>
      <c r="H15" s="1"/>
      <c r="L15" s="1" t="s">
        <v>914</v>
      </c>
      <c r="AK15" s="2">
        <f t="shared" si="0"/>
        <v>1</v>
      </c>
      <c r="AM15" s="2">
        <f t="shared" si="1"/>
        <v>1</v>
      </c>
    </row>
    <row r="16" spans="1:41" ht="29" x14ac:dyDescent="0.35">
      <c r="A16" s="5" t="s">
        <v>1168</v>
      </c>
      <c r="B16" s="1"/>
      <c r="C16" s="1"/>
      <c r="D16" s="5"/>
      <c r="E16" s="1"/>
      <c r="F16" s="1"/>
      <c r="G16" s="1"/>
      <c r="H16" s="1"/>
      <c r="L16" s="1" t="s">
        <v>915</v>
      </c>
      <c r="AK16" s="2">
        <f t="shared" si="0"/>
        <v>1</v>
      </c>
      <c r="AM16" s="2">
        <f t="shared" si="1"/>
        <v>1</v>
      </c>
    </row>
    <row r="17" spans="1:39" ht="58" x14ac:dyDescent="0.35">
      <c r="A17" s="5" t="s">
        <v>1481</v>
      </c>
      <c r="B17" s="1"/>
      <c r="C17" s="1"/>
      <c r="D17" s="5"/>
      <c r="E17" s="1"/>
      <c r="F17" s="1"/>
      <c r="G17" s="1"/>
      <c r="H17" s="1"/>
      <c r="N17" s="1" t="s">
        <v>1485</v>
      </c>
      <c r="AK17" s="2">
        <f t="shared" si="0"/>
        <v>1</v>
      </c>
      <c r="AM17" s="2">
        <f t="shared" si="1"/>
        <v>1</v>
      </c>
    </row>
    <row r="18" spans="1:39" x14ac:dyDescent="0.35">
      <c r="A18" s="5" t="s">
        <v>1482</v>
      </c>
      <c r="B18" s="1"/>
      <c r="C18" s="1"/>
      <c r="D18" s="5"/>
      <c r="E18" s="1"/>
      <c r="F18" s="1"/>
      <c r="G18" s="1"/>
      <c r="H18" s="1"/>
      <c r="N18" s="1" t="s">
        <v>1486</v>
      </c>
      <c r="AK18" s="2">
        <f t="shared" si="0"/>
        <v>1</v>
      </c>
      <c r="AM18" s="2">
        <f t="shared" si="1"/>
        <v>1</v>
      </c>
    </row>
    <row r="19" spans="1:39" x14ac:dyDescent="0.35">
      <c r="A19" s="5" t="s">
        <v>1483</v>
      </c>
      <c r="B19" s="1"/>
      <c r="C19" s="1"/>
      <c r="D19" s="5"/>
      <c r="E19" s="1"/>
      <c r="F19" s="1"/>
      <c r="G19" s="1"/>
      <c r="H19" s="1"/>
      <c r="N19" s="1" t="s">
        <v>1487</v>
      </c>
      <c r="AK19" s="2">
        <f t="shared" si="0"/>
        <v>1</v>
      </c>
      <c r="AM19" s="2">
        <f t="shared" si="1"/>
        <v>1</v>
      </c>
    </row>
    <row r="20" spans="1:39" x14ac:dyDescent="0.35">
      <c r="A20" s="5" t="s">
        <v>1484</v>
      </c>
      <c r="B20" s="1"/>
      <c r="C20" s="1"/>
      <c r="D20" s="5"/>
      <c r="E20" s="1"/>
      <c r="F20" s="1"/>
      <c r="G20" s="1"/>
      <c r="H20" s="1"/>
      <c r="N20" s="1" t="s">
        <v>1488</v>
      </c>
      <c r="AK20" s="2">
        <f t="shared" si="0"/>
        <v>1</v>
      </c>
      <c r="AM20" s="2">
        <f t="shared" si="1"/>
        <v>1</v>
      </c>
    </row>
    <row r="21" spans="1:39" ht="29" x14ac:dyDescent="0.35">
      <c r="A21" s="5" t="s">
        <v>1704</v>
      </c>
      <c r="B21" s="1"/>
      <c r="C21" s="1"/>
      <c r="D21" s="5"/>
      <c r="E21" s="1"/>
      <c r="F21" s="1"/>
      <c r="G21" s="1"/>
      <c r="H21" s="1"/>
      <c r="P21" s="1" t="s">
        <v>954</v>
      </c>
      <c r="AK21" s="2">
        <f t="shared" si="0"/>
        <v>1</v>
      </c>
      <c r="AM21" s="2">
        <f t="shared" si="1"/>
        <v>1</v>
      </c>
    </row>
    <row r="22" spans="1:39" ht="29" x14ac:dyDescent="0.35">
      <c r="A22" s="5" t="s">
        <v>1705</v>
      </c>
      <c r="B22" s="1"/>
      <c r="C22" s="1"/>
      <c r="D22" s="5"/>
      <c r="E22" s="1"/>
      <c r="F22" s="1"/>
      <c r="G22" s="1"/>
      <c r="H22" s="1"/>
      <c r="P22" s="1" t="s">
        <v>955</v>
      </c>
      <c r="AK22" s="2">
        <f t="shared" si="0"/>
        <v>1</v>
      </c>
      <c r="AM22" s="2">
        <f t="shared" si="1"/>
        <v>1</v>
      </c>
    </row>
    <row r="23" spans="1:39" ht="29" x14ac:dyDescent="0.35">
      <c r="A23" s="5" t="s">
        <v>1706</v>
      </c>
      <c r="B23" s="1"/>
      <c r="C23" s="1"/>
      <c r="D23" s="5"/>
      <c r="E23" s="1"/>
      <c r="F23" s="1"/>
      <c r="G23" s="1"/>
      <c r="H23" s="1"/>
      <c r="P23" s="1" t="s">
        <v>956</v>
      </c>
      <c r="AK23" s="2">
        <f t="shared" si="0"/>
        <v>1</v>
      </c>
      <c r="AM23" s="2">
        <f t="shared" si="1"/>
        <v>1</v>
      </c>
    </row>
    <row r="24" spans="1:39" ht="29" x14ac:dyDescent="0.35">
      <c r="A24" s="5" t="s">
        <v>1707</v>
      </c>
      <c r="B24" s="1"/>
      <c r="C24" s="1"/>
      <c r="D24" s="5"/>
      <c r="E24" s="1"/>
      <c r="F24" s="1"/>
      <c r="G24" s="1"/>
      <c r="H24" s="1"/>
      <c r="P24" s="1" t="s">
        <v>957</v>
      </c>
      <c r="AK24" s="2">
        <f t="shared" si="0"/>
        <v>1</v>
      </c>
      <c r="AM24" s="2">
        <f t="shared" si="1"/>
        <v>1</v>
      </c>
    </row>
    <row r="25" spans="1:39" x14ac:dyDescent="0.35">
      <c r="A25" s="5" t="s">
        <v>1762</v>
      </c>
      <c r="B25" s="1"/>
      <c r="C25" s="1"/>
      <c r="D25" s="5"/>
      <c r="E25" s="1"/>
      <c r="F25" s="1"/>
      <c r="G25" s="1"/>
      <c r="H25" s="1"/>
      <c r="P25" s="1" t="s">
        <v>1320</v>
      </c>
      <c r="AK25" s="2">
        <f t="shared" si="0"/>
        <v>1</v>
      </c>
      <c r="AM25" s="2">
        <f t="shared" si="1"/>
        <v>1</v>
      </c>
    </row>
    <row r="26" spans="1:39" ht="29" x14ac:dyDescent="0.35">
      <c r="A26" s="5" t="s">
        <v>1764</v>
      </c>
      <c r="B26" s="5"/>
      <c r="C26" s="5"/>
      <c r="D26" s="5"/>
      <c r="E26" s="1"/>
      <c r="F26" s="1"/>
      <c r="G26" s="1"/>
      <c r="H26" s="1"/>
      <c r="P26" s="1" t="s">
        <v>1323</v>
      </c>
      <c r="AK26" s="2">
        <f t="shared" si="0"/>
        <v>1</v>
      </c>
      <c r="AM26" s="2">
        <f t="shared" si="1"/>
        <v>1</v>
      </c>
    </row>
    <row r="27" spans="1:39" ht="29" x14ac:dyDescent="0.35">
      <c r="A27" s="5" t="s">
        <v>1766</v>
      </c>
      <c r="B27" s="5"/>
      <c r="C27" s="5"/>
      <c r="D27" s="5"/>
      <c r="E27" s="1"/>
      <c r="F27" s="1"/>
      <c r="G27" s="1"/>
      <c r="H27" s="1"/>
      <c r="P27" s="1" t="s">
        <v>1351</v>
      </c>
      <c r="AK27" s="2">
        <f t="shared" si="0"/>
        <v>1</v>
      </c>
      <c r="AM27" s="2">
        <f t="shared" si="1"/>
        <v>1</v>
      </c>
    </row>
    <row r="28" spans="1:39" ht="29" x14ac:dyDescent="0.35">
      <c r="A28" s="5" t="s">
        <v>1767</v>
      </c>
      <c r="B28" s="5"/>
      <c r="C28" s="5"/>
      <c r="D28" s="5"/>
      <c r="E28" s="1"/>
      <c r="F28" s="1"/>
      <c r="G28" s="1"/>
      <c r="H28" s="1"/>
      <c r="P28" s="1" t="s">
        <v>1354</v>
      </c>
      <c r="AK28" s="2">
        <f t="shared" si="0"/>
        <v>1</v>
      </c>
      <c r="AM28" s="2">
        <f t="shared" si="1"/>
        <v>1</v>
      </c>
    </row>
    <row r="29" spans="1:39" x14ac:dyDescent="0.35">
      <c r="A29" s="5" t="s">
        <v>2183</v>
      </c>
      <c r="B29" s="5"/>
      <c r="C29" s="5"/>
      <c r="D29" s="5"/>
      <c r="E29" s="1"/>
      <c r="F29" s="1"/>
      <c r="G29" s="1"/>
      <c r="H29" s="1"/>
      <c r="R29" s="54" t="s">
        <v>1449</v>
      </c>
      <c r="S29" s="1" t="s">
        <v>2185</v>
      </c>
      <c r="AK29" s="2">
        <f t="shared" si="0"/>
        <v>2</v>
      </c>
      <c r="AM29" s="2">
        <f t="shared" si="1"/>
        <v>1</v>
      </c>
    </row>
    <row r="30" spans="1:39" ht="29" x14ac:dyDescent="0.35">
      <c r="A30" s="5" t="s">
        <v>2184</v>
      </c>
      <c r="B30" s="5"/>
      <c r="C30" s="5"/>
      <c r="D30" s="5"/>
      <c r="E30" s="1"/>
      <c r="F30" s="1"/>
      <c r="G30" s="1"/>
      <c r="H30" s="1"/>
      <c r="R30" s="54" t="s">
        <v>1067</v>
      </c>
      <c r="S30" s="1" t="s">
        <v>2186</v>
      </c>
      <c r="AK30" s="2">
        <f t="shared" si="0"/>
        <v>2</v>
      </c>
      <c r="AM30" s="2">
        <f t="shared" si="1"/>
        <v>1</v>
      </c>
    </row>
    <row r="31" spans="1:39" ht="29" x14ac:dyDescent="0.35">
      <c r="A31" s="5" t="s">
        <v>2187</v>
      </c>
      <c r="B31" s="5"/>
      <c r="C31" s="5"/>
      <c r="D31" s="5"/>
      <c r="E31" s="1"/>
      <c r="F31" s="1"/>
      <c r="G31" s="1"/>
      <c r="H31" s="1"/>
      <c r="R31" s="54" t="s">
        <v>366</v>
      </c>
      <c r="S31" s="1" t="s">
        <v>2188</v>
      </c>
      <c r="AK31" s="2">
        <f t="shared" si="0"/>
        <v>2</v>
      </c>
      <c r="AM31" s="2">
        <f t="shared" si="1"/>
        <v>1</v>
      </c>
    </row>
    <row r="32" spans="1:39" x14ac:dyDescent="0.35">
      <c r="A32" s="5" t="s">
        <v>2333</v>
      </c>
      <c r="B32" s="5"/>
      <c r="C32" s="5"/>
      <c r="D32" s="5"/>
      <c r="E32" s="1"/>
      <c r="F32" s="1"/>
      <c r="G32" s="1"/>
      <c r="H32" s="1"/>
      <c r="U32" s="54" t="s">
        <v>1011</v>
      </c>
      <c r="AI32" s="1" t="s">
        <v>1084</v>
      </c>
      <c r="AK32" s="2">
        <f t="shared" si="0"/>
        <v>2</v>
      </c>
      <c r="AM32" s="2">
        <f t="shared" si="1"/>
        <v>0</v>
      </c>
    </row>
    <row r="33" spans="1:39" ht="29" x14ac:dyDescent="0.35">
      <c r="A33" s="5" t="s">
        <v>2334</v>
      </c>
      <c r="B33" s="5"/>
      <c r="C33" s="5"/>
      <c r="D33" s="5"/>
      <c r="E33" s="1"/>
      <c r="F33" s="1"/>
      <c r="G33" s="1"/>
      <c r="H33" s="1"/>
      <c r="U33" s="1" t="s">
        <v>1012</v>
      </c>
      <c r="AK33" s="2">
        <f t="shared" si="0"/>
        <v>1</v>
      </c>
      <c r="AM33" s="2">
        <f t="shared" si="1"/>
        <v>0</v>
      </c>
    </row>
    <row r="34" spans="1:39" ht="29" x14ac:dyDescent="0.35">
      <c r="A34" s="5" t="s">
        <v>2554</v>
      </c>
      <c r="B34" s="5"/>
      <c r="C34" s="5"/>
      <c r="D34" s="5"/>
      <c r="E34" s="1"/>
      <c r="F34" s="1"/>
      <c r="G34" s="1"/>
      <c r="H34" s="1"/>
      <c r="W34" s="1" t="s">
        <v>118</v>
      </c>
      <c r="AK34" s="2">
        <f t="shared" si="0"/>
        <v>1</v>
      </c>
      <c r="AM34" s="2">
        <f t="shared" si="1"/>
        <v>0</v>
      </c>
    </row>
    <row r="35" spans="1:39" x14ac:dyDescent="0.35">
      <c r="A35" s="5" t="s">
        <v>3022</v>
      </c>
      <c r="B35" s="5"/>
      <c r="C35" s="5"/>
      <c r="D35" s="5"/>
      <c r="E35" s="1"/>
      <c r="F35" s="1"/>
      <c r="G35" s="1"/>
      <c r="H35" s="1"/>
      <c r="AH35" s="54" t="s">
        <v>977</v>
      </c>
      <c r="AI35" s="1" t="s">
        <v>1179</v>
      </c>
      <c r="AK35" s="2">
        <f t="shared" si="0"/>
        <v>2</v>
      </c>
      <c r="AM35" s="2">
        <f t="shared" si="1"/>
        <v>0</v>
      </c>
    </row>
    <row r="36" spans="1:39" ht="29" x14ac:dyDescent="0.35">
      <c r="A36" s="5" t="s">
        <v>3105</v>
      </c>
      <c r="B36" s="5"/>
      <c r="C36" s="5"/>
      <c r="D36" s="5"/>
      <c r="E36" s="1"/>
      <c r="F36" s="1"/>
      <c r="G36" s="1"/>
      <c r="H36" s="1"/>
      <c r="AI36" s="1" t="s">
        <v>971</v>
      </c>
      <c r="AK36" s="2">
        <f t="shared" si="0"/>
        <v>1</v>
      </c>
      <c r="AM36" s="2">
        <f t="shared" si="1"/>
        <v>0</v>
      </c>
    </row>
    <row r="37" spans="1:39" x14ac:dyDescent="0.35">
      <c r="A37" s="5" t="s">
        <v>3106</v>
      </c>
      <c r="B37" s="5"/>
      <c r="C37" s="5"/>
      <c r="D37" s="5"/>
      <c r="E37" s="1"/>
      <c r="F37" s="1"/>
      <c r="G37" s="1"/>
      <c r="H37" s="1"/>
      <c r="AI37" s="1" t="s">
        <v>972</v>
      </c>
      <c r="AK37" s="2">
        <f t="shared" si="0"/>
        <v>1</v>
      </c>
      <c r="AM37" s="2">
        <f t="shared" si="1"/>
        <v>0</v>
      </c>
    </row>
    <row r="38" spans="1:39" ht="29" x14ac:dyDescent="0.35">
      <c r="A38" s="5" t="s">
        <v>3120</v>
      </c>
      <c r="B38" s="5"/>
      <c r="C38" s="5"/>
      <c r="D38" s="5"/>
      <c r="E38" s="1"/>
      <c r="F38" s="1"/>
      <c r="G38" s="1"/>
      <c r="H38" s="1"/>
      <c r="AI38" s="1" t="s">
        <v>362</v>
      </c>
      <c r="AK38" s="2">
        <f t="shared" si="0"/>
        <v>1</v>
      </c>
      <c r="AM38" s="2">
        <f t="shared" si="1"/>
        <v>0</v>
      </c>
    </row>
    <row r="39" spans="1:39" ht="87" x14ac:dyDescent="0.35">
      <c r="A39" s="5" t="s">
        <v>7897</v>
      </c>
      <c r="B39" s="5" t="s">
        <v>190</v>
      </c>
      <c r="C39" s="5"/>
      <c r="D39" s="5"/>
      <c r="E39" s="1"/>
      <c r="F39" s="1"/>
      <c r="G39" s="1"/>
      <c r="H39" s="1"/>
    </row>
    <row r="40" spans="1:39" x14ac:dyDescent="0.35">
      <c r="A40" s="5"/>
      <c r="B40" s="5"/>
      <c r="C40" s="5"/>
      <c r="D40" s="5"/>
      <c r="E40" s="1"/>
      <c r="F40" s="1"/>
      <c r="G40" s="1"/>
      <c r="H40" s="1"/>
    </row>
    <row r="41" spans="1:39" x14ac:dyDescent="0.35">
      <c r="A41" s="5"/>
      <c r="B41" s="5"/>
      <c r="C41" s="5"/>
      <c r="D41" s="5"/>
      <c r="E41" s="1"/>
      <c r="F41" s="1"/>
      <c r="G41" s="1"/>
      <c r="H41" s="1"/>
    </row>
    <row r="42" spans="1:39" x14ac:dyDescent="0.35">
      <c r="A42" s="5"/>
      <c r="B42" s="5"/>
      <c r="C42" s="5"/>
      <c r="D42" s="5"/>
      <c r="E42" s="1"/>
      <c r="F42" s="1"/>
      <c r="G42" s="1"/>
      <c r="H42" s="1"/>
    </row>
    <row r="43" spans="1:39" x14ac:dyDescent="0.35">
      <c r="A43" s="5"/>
      <c r="B43" s="5"/>
      <c r="C43" s="5"/>
      <c r="D43" s="5"/>
      <c r="E43" s="1"/>
      <c r="F43" s="1"/>
      <c r="G43" s="1"/>
      <c r="H43" s="1"/>
    </row>
    <row r="44" spans="1:39" x14ac:dyDescent="0.35">
      <c r="A44" s="5"/>
      <c r="B44" s="5"/>
      <c r="C44" s="5"/>
      <c r="D44" s="5"/>
      <c r="E44" s="1"/>
      <c r="F44" s="1"/>
      <c r="G44" s="1"/>
      <c r="H44" s="1"/>
    </row>
    <row r="45" spans="1:39" x14ac:dyDescent="0.35">
      <c r="A45" s="5"/>
      <c r="B45" s="5"/>
      <c r="C45" s="5"/>
      <c r="D45" s="5"/>
      <c r="E45" s="1"/>
      <c r="F45" s="1"/>
      <c r="G45" s="1"/>
      <c r="H45" s="1"/>
    </row>
    <row r="46" spans="1:39" x14ac:dyDescent="0.35">
      <c r="A46" s="5"/>
      <c r="B46" s="5"/>
      <c r="C46" s="5"/>
      <c r="D46" s="5"/>
      <c r="E46" s="1"/>
      <c r="F46" s="1"/>
      <c r="G46" s="1"/>
      <c r="H46" s="1"/>
    </row>
    <row r="47" spans="1:39" x14ac:dyDescent="0.35">
      <c r="A47" s="5"/>
      <c r="B47" s="5"/>
      <c r="C47" s="5"/>
      <c r="D47" s="5"/>
      <c r="E47" s="1"/>
      <c r="F47" s="1"/>
      <c r="G47" s="1"/>
      <c r="H47" s="1"/>
    </row>
    <row r="48" spans="1:39" x14ac:dyDescent="0.35">
      <c r="A48" s="5"/>
      <c r="B48" s="5"/>
      <c r="C48" s="5"/>
      <c r="D48" s="5"/>
      <c r="E48" s="1"/>
      <c r="F48" s="1"/>
      <c r="G48" s="1"/>
      <c r="H48" s="1"/>
    </row>
    <row r="49" spans="1:8" x14ac:dyDescent="0.35">
      <c r="A49" s="5"/>
      <c r="B49" s="5"/>
      <c r="C49" s="5"/>
      <c r="D49" s="5"/>
      <c r="E49" s="1"/>
      <c r="F49" s="1"/>
      <c r="G49" s="1"/>
      <c r="H49" s="1"/>
    </row>
    <row r="50" spans="1:8" x14ac:dyDescent="0.35">
      <c r="A50" s="5"/>
      <c r="B50" s="5"/>
      <c r="C50" s="5"/>
      <c r="D50" s="5"/>
      <c r="E50" s="1"/>
      <c r="F50" s="1"/>
      <c r="G50" s="1"/>
      <c r="H50" s="1"/>
    </row>
    <row r="51" spans="1:8" x14ac:dyDescent="0.35">
      <c r="A51" s="5"/>
      <c r="B51" s="5"/>
      <c r="C51" s="5"/>
      <c r="D51" s="5"/>
      <c r="E51" s="1"/>
      <c r="F51" s="1"/>
      <c r="G51" s="1"/>
      <c r="H51" s="1"/>
    </row>
    <row r="52" spans="1:8" x14ac:dyDescent="0.35">
      <c r="A52" s="5"/>
      <c r="B52" s="5"/>
      <c r="C52" s="5"/>
      <c r="D52" s="5"/>
      <c r="E52" s="1"/>
      <c r="F52" s="1"/>
      <c r="G52" s="1"/>
      <c r="H52" s="1"/>
    </row>
    <row r="53" spans="1:8" x14ac:dyDescent="0.35">
      <c r="A53" s="5"/>
      <c r="B53" s="5"/>
      <c r="C53" s="5"/>
      <c r="D53" s="5"/>
      <c r="E53" s="1"/>
      <c r="F53" s="1"/>
      <c r="G53" s="1"/>
      <c r="H53" s="1"/>
    </row>
    <row r="54" spans="1:8" x14ac:dyDescent="0.35">
      <c r="A54" s="5"/>
      <c r="B54" s="5"/>
      <c r="C54" s="5"/>
      <c r="D54" s="5"/>
      <c r="E54" s="1"/>
      <c r="F54" s="1"/>
      <c r="G54" s="1"/>
      <c r="H54" s="1"/>
    </row>
    <row r="55" spans="1:8" x14ac:dyDescent="0.35">
      <c r="A55" s="5"/>
      <c r="B55" s="5"/>
      <c r="C55" s="5"/>
      <c r="D55" s="5"/>
      <c r="E55" s="1"/>
      <c r="F55" s="1"/>
      <c r="G55" s="1"/>
      <c r="H55" s="1"/>
    </row>
    <row r="56" spans="1:8" x14ac:dyDescent="0.35">
      <c r="A56" s="5"/>
      <c r="B56" s="5"/>
      <c r="C56" s="5"/>
      <c r="D56" s="5"/>
      <c r="E56" s="1"/>
      <c r="F56" s="1"/>
      <c r="G56" s="1"/>
      <c r="H56" s="1"/>
    </row>
    <row r="57" spans="1:8" x14ac:dyDescent="0.35">
      <c r="A57" s="5"/>
      <c r="B57" s="5"/>
      <c r="C57" s="5"/>
      <c r="D57" s="5"/>
      <c r="E57" s="1"/>
      <c r="F57" s="1"/>
      <c r="G57" s="1"/>
      <c r="H57" s="1"/>
    </row>
    <row r="58" spans="1:8" x14ac:dyDescent="0.35">
      <c r="A58" s="5"/>
      <c r="B58" s="5"/>
      <c r="C58" s="5"/>
      <c r="D58" s="5"/>
      <c r="E58" s="1"/>
      <c r="F58" s="1"/>
      <c r="G58" s="1"/>
      <c r="H58" s="1"/>
    </row>
    <row r="59" spans="1:8" x14ac:dyDescent="0.35">
      <c r="A59" s="5"/>
      <c r="B59" s="5"/>
      <c r="C59" s="5"/>
      <c r="D59" s="5"/>
      <c r="E59" s="1"/>
      <c r="F59" s="1"/>
      <c r="G59" s="1"/>
      <c r="H59" s="1"/>
    </row>
    <row r="60" spans="1:8" x14ac:dyDescent="0.35">
      <c r="A60" s="5"/>
      <c r="B60" s="5"/>
      <c r="C60" s="5"/>
      <c r="D60" s="5"/>
      <c r="E60" s="1"/>
      <c r="F60" s="1"/>
      <c r="G60" s="1"/>
      <c r="H60" s="1"/>
    </row>
    <row r="61" spans="1:8" x14ac:dyDescent="0.35">
      <c r="A61" s="5"/>
      <c r="B61" s="5"/>
      <c r="C61" s="5"/>
      <c r="D61" s="5"/>
      <c r="E61" s="1"/>
      <c r="F61" s="1"/>
      <c r="G61" s="1"/>
      <c r="H61" s="1"/>
    </row>
    <row r="62" spans="1:8" x14ac:dyDescent="0.35">
      <c r="A62" s="5"/>
      <c r="B62" s="5"/>
      <c r="C62" s="5"/>
      <c r="D62" s="5"/>
      <c r="E62" s="1"/>
      <c r="F62" s="1"/>
      <c r="G62" s="1"/>
      <c r="H62" s="1"/>
    </row>
    <row r="63" spans="1:8" x14ac:dyDescent="0.35">
      <c r="A63" s="5"/>
      <c r="B63" s="5"/>
      <c r="C63" s="5"/>
      <c r="D63" s="5"/>
      <c r="E63" s="1"/>
      <c r="F63" s="1"/>
      <c r="G63" s="1"/>
      <c r="H63" s="1"/>
    </row>
    <row r="64" spans="1:8" x14ac:dyDescent="0.35">
      <c r="A64" s="5"/>
      <c r="B64" s="5"/>
      <c r="C64" s="5"/>
      <c r="D64" s="5"/>
      <c r="E64" s="1"/>
      <c r="F64" s="1"/>
      <c r="G64" s="1"/>
      <c r="H64" s="1"/>
    </row>
    <row r="65" spans="1:8" x14ac:dyDescent="0.35">
      <c r="A65" s="5"/>
      <c r="B65" s="5"/>
      <c r="C65" s="5"/>
      <c r="D65" s="5"/>
      <c r="E65" s="1"/>
      <c r="F65" s="1"/>
      <c r="G65" s="1"/>
      <c r="H65" s="1"/>
    </row>
    <row r="66" spans="1:8" x14ac:dyDescent="0.35">
      <c r="A66" s="5"/>
      <c r="B66" s="5"/>
      <c r="C66" s="5"/>
      <c r="D66" s="5"/>
      <c r="E66" s="1"/>
      <c r="F66" s="1"/>
      <c r="G66" s="1"/>
      <c r="H66" s="1"/>
    </row>
    <row r="67" spans="1:8" x14ac:dyDescent="0.35">
      <c r="A67" s="5"/>
      <c r="B67" s="5"/>
      <c r="C67" s="5"/>
      <c r="D67" s="5"/>
      <c r="E67" s="1"/>
      <c r="F67" s="1"/>
      <c r="G67" s="1"/>
      <c r="H67" s="1"/>
    </row>
    <row r="68" spans="1:8" x14ac:dyDescent="0.35">
      <c r="A68" s="5"/>
      <c r="B68" s="5"/>
      <c r="C68" s="5"/>
      <c r="D68" s="5"/>
      <c r="E68" s="1"/>
      <c r="F68" s="1"/>
      <c r="G68" s="1"/>
      <c r="H68" s="1"/>
    </row>
    <row r="69" spans="1:8" x14ac:dyDescent="0.35">
      <c r="A69" s="5"/>
      <c r="B69" s="5"/>
      <c r="C69" s="5"/>
      <c r="D69" s="5"/>
      <c r="E69" s="1"/>
      <c r="F69" s="1"/>
      <c r="G69" s="1"/>
      <c r="H69" s="1"/>
    </row>
    <row r="70" spans="1:8" x14ac:dyDescent="0.35">
      <c r="A70" s="5"/>
      <c r="B70" s="5"/>
      <c r="C70" s="5"/>
      <c r="D70" s="5"/>
      <c r="E70" s="1"/>
      <c r="F70" s="1"/>
      <c r="G70" s="1"/>
      <c r="H70" s="1"/>
    </row>
    <row r="71" spans="1:8" x14ac:dyDescent="0.35">
      <c r="A71" s="5"/>
      <c r="B71" s="1"/>
      <c r="C71" s="1"/>
      <c r="D71" s="5"/>
      <c r="E71" s="1"/>
      <c r="F71" s="1"/>
      <c r="G71" s="1"/>
      <c r="H71" s="1"/>
    </row>
    <row r="72" spans="1:8" x14ac:dyDescent="0.35">
      <c r="A72" s="5"/>
      <c r="B72" s="1"/>
      <c r="C72" s="1"/>
      <c r="D72" s="5"/>
      <c r="E72" s="1"/>
      <c r="F72" s="1"/>
      <c r="G72" s="1"/>
      <c r="H72" s="1"/>
    </row>
    <row r="73" spans="1:8" x14ac:dyDescent="0.35">
      <c r="A73" s="5"/>
      <c r="B73" s="1"/>
      <c r="C73" s="1"/>
      <c r="D73" s="5"/>
      <c r="E73" s="1"/>
      <c r="F73" s="1"/>
      <c r="G73" s="1"/>
      <c r="H73" s="1"/>
    </row>
    <row r="74" spans="1:8" x14ac:dyDescent="0.35">
      <c r="A74" s="5"/>
      <c r="B74" s="1"/>
      <c r="C74" s="1"/>
      <c r="D74" s="5"/>
      <c r="E74" s="1"/>
      <c r="F74" s="1"/>
      <c r="G74" s="1"/>
      <c r="H74" s="1"/>
    </row>
    <row r="75" spans="1:8" x14ac:dyDescent="0.35">
      <c r="A75" s="5"/>
      <c r="B75" s="1"/>
      <c r="C75" s="1"/>
      <c r="D75" s="5"/>
      <c r="E75" s="1"/>
      <c r="F75" s="1"/>
      <c r="G75" s="1"/>
      <c r="H75" s="1"/>
    </row>
    <row r="76" spans="1:8" x14ac:dyDescent="0.35">
      <c r="A76" s="5"/>
      <c r="B76" s="1"/>
      <c r="C76" s="1"/>
      <c r="D76" s="5"/>
      <c r="E76" s="1"/>
      <c r="F76" s="1"/>
      <c r="G76" s="1"/>
      <c r="H76" s="1"/>
    </row>
    <row r="77" spans="1:8" x14ac:dyDescent="0.35">
      <c r="A77" s="5"/>
      <c r="B77" s="1"/>
      <c r="C77" s="1"/>
      <c r="D77" s="5"/>
      <c r="E77" s="1"/>
      <c r="F77" s="1"/>
      <c r="G77" s="1"/>
      <c r="H77" s="1"/>
    </row>
    <row r="78" spans="1:8" x14ac:dyDescent="0.35">
      <c r="A78" s="5"/>
      <c r="B78" s="1"/>
      <c r="C78" s="1"/>
      <c r="D78" s="5"/>
      <c r="E78" s="1"/>
      <c r="F78" s="1"/>
      <c r="G78" s="1"/>
      <c r="H78" s="1"/>
    </row>
    <row r="79" spans="1:8" x14ac:dyDescent="0.35">
      <c r="A79" s="5"/>
      <c r="B79" s="1"/>
      <c r="C79" s="1"/>
      <c r="D79" s="5"/>
      <c r="E79" s="1"/>
      <c r="F79" s="1"/>
      <c r="G79" s="1"/>
      <c r="H79" s="1"/>
    </row>
    <row r="80" spans="1:8" x14ac:dyDescent="0.35">
      <c r="A80" s="5"/>
      <c r="B80" s="5"/>
      <c r="C80" s="5"/>
      <c r="D80" s="5"/>
      <c r="E80" s="1"/>
      <c r="F80" s="1"/>
      <c r="G80" s="1"/>
      <c r="H80" s="1"/>
    </row>
    <row r="81" spans="1:8" x14ac:dyDescent="0.35">
      <c r="A81" s="5"/>
      <c r="B81" s="1"/>
      <c r="C81" s="1"/>
      <c r="D81" s="5"/>
      <c r="E81" s="1"/>
      <c r="F81" s="1"/>
      <c r="G81" s="1"/>
      <c r="H81" s="1"/>
    </row>
    <row r="82" spans="1:8" x14ac:dyDescent="0.35">
      <c r="A82" s="5"/>
      <c r="B82" s="1"/>
      <c r="C82" s="1"/>
      <c r="D82" s="5"/>
      <c r="E82" s="1"/>
      <c r="F82" s="1"/>
      <c r="G82" s="1"/>
      <c r="H82" s="1"/>
    </row>
    <row r="83" spans="1:8" x14ac:dyDescent="0.35">
      <c r="A83" s="5"/>
      <c r="B83" s="1"/>
      <c r="C83" s="1"/>
      <c r="D83" s="5"/>
      <c r="E83" s="1"/>
      <c r="F83" s="1"/>
      <c r="G83" s="1"/>
      <c r="H83" s="1"/>
    </row>
    <row r="84" spans="1:8" x14ac:dyDescent="0.35">
      <c r="A84" s="5"/>
      <c r="B84" s="1"/>
      <c r="C84" s="1"/>
      <c r="D84" s="5"/>
      <c r="E84" s="1"/>
      <c r="F84" s="1"/>
      <c r="G84" s="1"/>
      <c r="H84" s="1"/>
    </row>
    <row r="85" spans="1:8" x14ac:dyDescent="0.35">
      <c r="A85" s="5"/>
      <c r="B85" s="1"/>
      <c r="C85" s="1"/>
      <c r="D85" s="5"/>
      <c r="E85" s="1"/>
      <c r="F85" s="1"/>
      <c r="G85" s="1"/>
      <c r="H85" s="1"/>
    </row>
    <row r="86" spans="1:8" x14ac:dyDescent="0.35">
      <c r="A86" s="5"/>
      <c r="B86" s="1"/>
      <c r="C86" s="1"/>
      <c r="D86" s="5"/>
      <c r="E86" s="1"/>
      <c r="F86" s="1"/>
      <c r="G86" s="1"/>
      <c r="H86" s="1"/>
    </row>
    <row r="87" spans="1:8" x14ac:dyDescent="0.35">
      <c r="A87" s="5"/>
      <c r="B87" s="1"/>
      <c r="C87" s="1"/>
      <c r="D87" s="5"/>
      <c r="E87" s="1"/>
      <c r="F87" s="1"/>
      <c r="G87" s="1"/>
      <c r="H87" s="1"/>
    </row>
    <row r="88" spans="1:8" x14ac:dyDescent="0.35">
      <c r="A88" s="5"/>
      <c r="B88" s="1"/>
      <c r="C88" s="1"/>
      <c r="D88" s="5"/>
      <c r="E88" s="1"/>
      <c r="F88" s="1"/>
      <c r="G88" s="1"/>
      <c r="H88" s="1"/>
    </row>
    <row r="89" spans="1:8" x14ac:dyDescent="0.35">
      <c r="A89" s="5"/>
      <c r="B89" s="1"/>
      <c r="C89" s="1"/>
      <c r="D89" s="5"/>
      <c r="E89" s="1"/>
      <c r="F89" s="1"/>
      <c r="G89" s="1"/>
      <c r="H89" s="1"/>
    </row>
    <row r="90" spans="1:8" x14ac:dyDescent="0.35">
      <c r="A90" s="5"/>
      <c r="B90" s="1"/>
      <c r="C90" s="1"/>
      <c r="D90" s="5"/>
      <c r="E90" s="1"/>
      <c r="F90" s="1"/>
      <c r="G90" s="1"/>
      <c r="H90" s="1"/>
    </row>
    <row r="91" spans="1:8" x14ac:dyDescent="0.35">
      <c r="A91" s="5"/>
      <c r="B91" s="1"/>
      <c r="C91" s="1"/>
      <c r="D91" s="5"/>
      <c r="E91" s="1"/>
      <c r="F91" s="1"/>
      <c r="G91" s="1"/>
      <c r="H91" s="1"/>
    </row>
    <row r="92" spans="1:8" x14ac:dyDescent="0.35">
      <c r="A92" s="5"/>
      <c r="B92" s="1"/>
      <c r="C92" s="1"/>
      <c r="D92" s="5"/>
      <c r="E92" s="1"/>
      <c r="F92" s="1"/>
      <c r="G92" s="1"/>
      <c r="H92" s="1"/>
    </row>
    <row r="93" spans="1:8" x14ac:dyDescent="0.35">
      <c r="A93" s="5"/>
      <c r="B93" s="1"/>
      <c r="C93" s="1"/>
      <c r="D93" s="5"/>
      <c r="E93" s="1"/>
      <c r="F93" s="1"/>
      <c r="G93" s="1"/>
      <c r="H93" s="1"/>
    </row>
    <row r="94" spans="1:8" x14ac:dyDescent="0.35">
      <c r="A94" s="5"/>
      <c r="B94" s="1"/>
      <c r="C94" s="1"/>
      <c r="D94" s="5"/>
      <c r="E94" s="1"/>
      <c r="F94" s="1"/>
      <c r="G94" s="1"/>
      <c r="H94" s="1"/>
    </row>
    <row r="95" spans="1:8" x14ac:dyDescent="0.35">
      <c r="A95" s="5"/>
      <c r="B95" s="1"/>
      <c r="C95" s="1"/>
      <c r="D95" s="5"/>
      <c r="E95" s="1"/>
      <c r="F95" s="1"/>
      <c r="G95" s="1"/>
      <c r="H95" s="1"/>
    </row>
    <row r="96" spans="1:8" x14ac:dyDescent="0.35">
      <c r="A96" s="5"/>
      <c r="B96" s="1"/>
      <c r="C96" s="1"/>
      <c r="D96" s="5"/>
      <c r="E96" s="1"/>
      <c r="F96" s="1"/>
      <c r="G96" s="1"/>
      <c r="H96" s="1"/>
    </row>
    <row r="97" spans="1:8" x14ac:dyDescent="0.35">
      <c r="A97" s="5"/>
      <c r="B97" s="1"/>
      <c r="C97" s="1"/>
      <c r="D97" s="5"/>
      <c r="E97" s="1"/>
      <c r="F97" s="1"/>
      <c r="G97" s="1"/>
      <c r="H97" s="1"/>
    </row>
    <row r="98" spans="1:8" x14ac:dyDescent="0.35">
      <c r="A98" s="5"/>
      <c r="B98" s="1"/>
      <c r="C98" s="1"/>
      <c r="D98" s="5"/>
      <c r="E98" s="1"/>
      <c r="F98" s="1"/>
      <c r="G98" s="1"/>
      <c r="H98" s="1"/>
    </row>
    <row r="99" spans="1:8" x14ac:dyDescent="0.35">
      <c r="A99" s="5"/>
      <c r="B99" s="1"/>
      <c r="C99" s="1"/>
      <c r="D99" s="5"/>
      <c r="E99" s="1"/>
      <c r="F99" s="1"/>
      <c r="G99" s="1"/>
      <c r="H99" s="1"/>
    </row>
    <row r="100" spans="1:8" x14ac:dyDescent="0.35">
      <c r="A100" s="5"/>
      <c r="B100" s="1"/>
      <c r="C100" s="1"/>
      <c r="D100" s="5"/>
      <c r="E100" s="1"/>
      <c r="F100" s="1"/>
      <c r="G100" s="1"/>
      <c r="H100" s="1"/>
    </row>
    <row r="101" spans="1:8" x14ac:dyDescent="0.35">
      <c r="A101" s="5"/>
      <c r="B101" s="1"/>
      <c r="C101" s="1"/>
      <c r="D101" s="5"/>
      <c r="E101" s="1"/>
      <c r="F101" s="1"/>
      <c r="G101" s="1"/>
      <c r="H101" s="1"/>
    </row>
    <row r="102" spans="1:8" x14ac:dyDescent="0.35">
      <c r="A102" s="5"/>
      <c r="B102" s="1"/>
      <c r="C102" s="1"/>
      <c r="D102" s="5"/>
      <c r="E102" s="1"/>
      <c r="F102" s="1"/>
      <c r="G102" s="1"/>
      <c r="H102" s="1"/>
    </row>
    <row r="103" spans="1:8" x14ac:dyDescent="0.35">
      <c r="A103" s="5"/>
      <c r="B103" s="1"/>
      <c r="C103" s="1"/>
      <c r="D103" s="5"/>
      <c r="E103" s="1"/>
      <c r="F103" s="1"/>
      <c r="G103" s="1"/>
      <c r="H103" s="1"/>
    </row>
    <row r="104" spans="1:8" x14ac:dyDescent="0.35">
      <c r="A104" s="5"/>
      <c r="B104" s="1"/>
      <c r="C104" s="1"/>
      <c r="D104" s="5"/>
      <c r="E104" s="1"/>
      <c r="F104" s="1"/>
      <c r="G104" s="1"/>
      <c r="H104" s="1"/>
    </row>
    <row r="105" spans="1:8" x14ac:dyDescent="0.35">
      <c r="A105" s="5"/>
      <c r="B105" s="1"/>
      <c r="C105" s="1"/>
      <c r="D105" s="5"/>
      <c r="E105" s="1"/>
      <c r="F105" s="1"/>
      <c r="G105" s="1"/>
      <c r="H105" s="1"/>
    </row>
    <row r="106" spans="1:8" x14ac:dyDescent="0.35">
      <c r="A106" s="5"/>
      <c r="B106" s="1"/>
      <c r="C106" s="1"/>
      <c r="D106" s="5"/>
      <c r="E106" s="1"/>
      <c r="F106" s="1"/>
      <c r="G106" s="1"/>
      <c r="H106" s="1"/>
    </row>
    <row r="107" spans="1:8" x14ac:dyDescent="0.35">
      <c r="A107" s="5"/>
      <c r="B107" s="1"/>
      <c r="C107" s="1"/>
      <c r="D107" s="5"/>
      <c r="E107" s="1"/>
      <c r="F107" s="1"/>
      <c r="G107" s="1"/>
      <c r="H107" s="1"/>
    </row>
    <row r="108" spans="1:8" x14ac:dyDescent="0.35">
      <c r="A108" s="5"/>
      <c r="B108" s="1"/>
      <c r="C108" s="1"/>
      <c r="D108" s="5"/>
      <c r="E108" s="1"/>
      <c r="F108" s="1"/>
      <c r="G108" s="1"/>
      <c r="H108" s="1"/>
    </row>
    <row r="109" spans="1:8" x14ac:dyDescent="0.35">
      <c r="A109" s="5"/>
      <c r="B109" s="1"/>
      <c r="C109" s="1"/>
      <c r="D109" s="5"/>
      <c r="E109" s="1"/>
      <c r="F109" s="1"/>
      <c r="G109" s="1"/>
      <c r="H109" s="1"/>
    </row>
    <row r="110" spans="1:8" x14ac:dyDescent="0.35">
      <c r="A110" s="5"/>
      <c r="B110" s="1"/>
      <c r="C110" s="1"/>
      <c r="D110" s="5"/>
      <c r="E110" s="1"/>
      <c r="F110" s="1"/>
      <c r="G110" s="1"/>
      <c r="H110" s="1"/>
    </row>
    <row r="111" spans="1:8" x14ac:dyDescent="0.35">
      <c r="A111" s="5"/>
      <c r="B111" s="1"/>
      <c r="C111" s="1"/>
      <c r="D111" s="5"/>
      <c r="E111" s="1"/>
      <c r="F111" s="1"/>
      <c r="G111" s="1"/>
      <c r="H111" s="1"/>
    </row>
    <row r="112" spans="1:8" x14ac:dyDescent="0.35">
      <c r="A112" s="5"/>
      <c r="B112" s="1"/>
      <c r="C112" s="1"/>
      <c r="D112" s="5"/>
      <c r="E112" s="1"/>
      <c r="F112" s="1"/>
      <c r="G112" s="1"/>
      <c r="H112" s="1"/>
    </row>
    <row r="113" spans="1:8" x14ac:dyDescent="0.35">
      <c r="A113" s="5"/>
      <c r="B113" s="1"/>
      <c r="C113" s="1"/>
      <c r="D113" s="5"/>
      <c r="E113" s="1"/>
      <c r="F113" s="1"/>
      <c r="G113" s="1"/>
      <c r="H113" s="1"/>
    </row>
    <row r="114" spans="1:8" x14ac:dyDescent="0.35">
      <c r="A114" s="5"/>
      <c r="B114" s="1"/>
      <c r="C114" s="1"/>
      <c r="D114" s="5"/>
      <c r="E114" s="1"/>
      <c r="F114" s="1"/>
      <c r="G114" s="1"/>
      <c r="H114" s="1"/>
    </row>
    <row r="115" spans="1:8" x14ac:dyDescent="0.35">
      <c r="A115" s="5"/>
      <c r="B115" s="1"/>
      <c r="C115" s="1"/>
      <c r="D115" s="5"/>
      <c r="E115" s="1"/>
      <c r="F115" s="1"/>
      <c r="G115" s="1"/>
      <c r="H115" s="1"/>
    </row>
    <row r="116" spans="1:8" x14ac:dyDescent="0.35">
      <c r="A116" s="5"/>
      <c r="B116" s="1"/>
      <c r="C116" s="1"/>
      <c r="D116" s="5"/>
      <c r="E116" s="1"/>
      <c r="F116" s="1"/>
      <c r="G116" s="1"/>
      <c r="H116" s="1"/>
    </row>
    <row r="117" spans="1:8" x14ac:dyDescent="0.35">
      <c r="A117" s="5"/>
      <c r="B117" s="1"/>
      <c r="C117" s="1"/>
      <c r="D117" s="5"/>
      <c r="E117" s="1"/>
      <c r="F117" s="1"/>
      <c r="G117" s="1"/>
      <c r="H117" s="1"/>
    </row>
    <row r="118" spans="1:8" x14ac:dyDescent="0.35">
      <c r="A118" s="5"/>
      <c r="B118" s="1"/>
      <c r="C118" s="1"/>
      <c r="D118" s="5"/>
      <c r="E118" s="1"/>
      <c r="F118" s="1"/>
      <c r="G118" s="1"/>
      <c r="H118" s="1"/>
    </row>
    <row r="119" spans="1:8" x14ac:dyDescent="0.35">
      <c r="A119" s="5"/>
      <c r="B119" s="1"/>
      <c r="C119" s="1"/>
      <c r="D119" s="5"/>
      <c r="E119" s="1"/>
      <c r="F119" s="1"/>
      <c r="G119" s="1"/>
      <c r="H119" s="1"/>
    </row>
    <row r="120" spans="1:8" x14ac:dyDescent="0.35">
      <c r="A120" s="5"/>
      <c r="B120" s="1"/>
      <c r="C120" s="1"/>
      <c r="D120" s="5"/>
      <c r="E120" s="1"/>
      <c r="F120" s="1"/>
      <c r="G120" s="1"/>
      <c r="H120" s="1"/>
    </row>
    <row r="121" spans="1:8" x14ac:dyDescent="0.35">
      <c r="A121" s="5"/>
      <c r="B121" s="1"/>
      <c r="C121" s="1"/>
      <c r="D121" s="5"/>
      <c r="E121" s="1"/>
      <c r="F121" s="1"/>
      <c r="G121" s="1"/>
      <c r="H121" s="1"/>
    </row>
    <row r="122" spans="1:8" x14ac:dyDescent="0.35">
      <c r="A122" s="5"/>
      <c r="B122" s="1"/>
      <c r="C122" s="1"/>
      <c r="D122" s="5"/>
      <c r="E122" s="1"/>
      <c r="F122" s="1"/>
      <c r="G122" s="1"/>
      <c r="H122" s="1"/>
    </row>
    <row r="123" spans="1:8" x14ac:dyDescent="0.35">
      <c r="A123" s="5"/>
      <c r="B123" s="1"/>
      <c r="C123" s="1"/>
      <c r="D123" s="5"/>
      <c r="E123" s="1"/>
      <c r="F123" s="1"/>
      <c r="G123" s="1"/>
      <c r="H123" s="1"/>
    </row>
    <row r="124" spans="1:8" x14ac:dyDescent="0.35">
      <c r="A124" s="5"/>
      <c r="B124" s="1"/>
      <c r="C124" s="1"/>
      <c r="D124" s="5"/>
      <c r="E124" s="1"/>
      <c r="F124" s="1"/>
      <c r="G124" s="1"/>
      <c r="H124" s="1"/>
    </row>
    <row r="125" spans="1:8" x14ac:dyDescent="0.35">
      <c r="A125" s="5"/>
      <c r="B125" s="1"/>
      <c r="C125" s="1"/>
      <c r="D125" s="5"/>
      <c r="E125" s="1"/>
      <c r="F125" s="1"/>
      <c r="G125" s="1"/>
      <c r="H125" s="1"/>
    </row>
    <row r="126" spans="1:8" x14ac:dyDescent="0.35">
      <c r="A126" s="5"/>
      <c r="B126" s="1"/>
      <c r="C126" s="1"/>
      <c r="D126" s="5"/>
      <c r="E126" s="1"/>
      <c r="F126" s="1"/>
      <c r="G126" s="1"/>
      <c r="H126" s="1"/>
    </row>
    <row r="127" spans="1:8" x14ac:dyDescent="0.35">
      <c r="A127" s="5"/>
      <c r="B127" s="1"/>
      <c r="C127" s="1"/>
      <c r="D127" s="5"/>
      <c r="E127" s="1"/>
      <c r="F127" s="1"/>
      <c r="G127" s="1"/>
      <c r="H127" s="1"/>
    </row>
    <row r="128" spans="1:8" x14ac:dyDescent="0.35">
      <c r="A128" s="5"/>
      <c r="B128" s="1"/>
      <c r="C128" s="1"/>
      <c r="D128" s="5"/>
      <c r="E128" s="1"/>
      <c r="F128" s="1"/>
      <c r="G128" s="1"/>
      <c r="H128" s="1"/>
    </row>
    <row r="129" spans="1:8" x14ac:dyDescent="0.35">
      <c r="A129" s="5"/>
      <c r="B129" s="1"/>
      <c r="C129" s="1"/>
      <c r="D129" s="5"/>
      <c r="E129" s="1"/>
      <c r="F129" s="1"/>
      <c r="G129" s="1"/>
      <c r="H129" s="1"/>
    </row>
    <row r="130" spans="1:8" x14ac:dyDescent="0.35">
      <c r="A130" s="5"/>
      <c r="B130" s="1"/>
      <c r="C130" s="1"/>
      <c r="D130" s="5"/>
      <c r="E130" s="1"/>
      <c r="F130" s="1"/>
      <c r="G130" s="1"/>
      <c r="H130" s="1"/>
    </row>
    <row r="131" spans="1:8" x14ac:dyDescent="0.35">
      <c r="A131" s="5"/>
      <c r="B131" s="1"/>
      <c r="C131" s="1"/>
      <c r="D131" s="5"/>
      <c r="E131" s="1"/>
      <c r="F131" s="1"/>
      <c r="G131" s="1"/>
      <c r="H131" s="1"/>
    </row>
    <row r="132" spans="1:8" x14ac:dyDescent="0.35">
      <c r="A132" s="5"/>
      <c r="B132" s="1"/>
      <c r="C132" s="1"/>
      <c r="D132" s="5"/>
      <c r="E132" s="1"/>
      <c r="F132" s="1"/>
      <c r="G132" s="1"/>
      <c r="H132" s="1"/>
    </row>
    <row r="133" spans="1:8" x14ac:dyDescent="0.35">
      <c r="A133" s="5"/>
      <c r="B133" s="1"/>
      <c r="C133" s="1"/>
      <c r="D133" s="5"/>
      <c r="E133" s="1"/>
      <c r="F133" s="1"/>
      <c r="G133" s="1"/>
      <c r="H133" s="1"/>
    </row>
    <row r="134" spans="1:8" x14ac:dyDescent="0.35">
      <c r="A134" s="5"/>
      <c r="B134" s="1"/>
      <c r="C134" s="1"/>
      <c r="D134" s="5"/>
      <c r="E134" s="1"/>
      <c r="F134" s="1"/>
      <c r="G134" s="1"/>
      <c r="H134" s="1"/>
    </row>
    <row r="135" spans="1:8" x14ac:dyDescent="0.35">
      <c r="A135" s="5"/>
      <c r="B135" s="1"/>
      <c r="C135" s="1"/>
      <c r="D135" s="5"/>
      <c r="E135" s="1"/>
      <c r="F135" s="1"/>
      <c r="G135" s="1"/>
      <c r="H135" s="1"/>
    </row>
    <row r="136" spans="1:8" x14ac:dyDescent="0.35">
      <c r="A136" s="5"/>
      <c r="B136" s="1"/>
      <c r="C136" s="1"/>
      <c r="D136" s="5"/>
      <c r="E136" s="1"/>
      <c r="F136" s="1"/>
      <c r="G136" s="1"/>
      <c r="H136" s="1"/>
    </row>
    <row r="137" spans="1:8" x14ac:dyDescent="0.35">
      <c r="A137" s="5"/>
      <c r="B137" s="1"/>
      <c r="C137" s="1"/>
      <c r="D137" s="5"/>
      <c r="E137" s="1"/>
      <c r="F137" s="1"/>
      <c r="G137" s="1"/>
      <c r="H137" s="1"/>
    </row>
    <row r="138" spans="1:8" x14ac:dyDescent="0.35">
      <c r="A138" s="5"/>
      <c r="B138" s="1"/>
      <c r="C138" s="1"/>
      <c r="D138" s="5"/>
      <c r="E138" s="1"/>
      <c r="F138" s="1"/>
      <c r="G138" s="1"/>
      <c r="H138" s="1"/>
    </row>
    <row r="139" spans="1:8" x14ac:dyDescent="0.35">
      <c r="A139" s="5"/>
      <c r="B139" s="1"/>
      <c r="C139" s="1"/>
      <c r="D139" s="5"/>
      <c r="E139" s="1"/>
      <c r="F139" s="1"/>
      <c r="G139" s="1"/>
      <c r="H139" s="1"/>
    </row>
    <row r="140" spans="1:8" x14ac:dyDescent="0.35">
      <c r="A140" s="5"/>
      <c r="B140" s="1"/>
      <c r="C140" s="1"/>
      <c r="D140" s="5"/>
      <c r="E140" s="1"/>
      <c r="F140" s="1"/>
      <c r="G140" s="1"/>
      <c r="H140" s="1"/>
    </row>
    <row r="141" spans="1:8" x14ac:dyDescent="0.35">
      <c r="A141" s="5"/>
      <c r="B141" s="1"/>
      <c r="C141" s="1"/>
      <c r="D141" s="5"/>
      <c r="E141" s="1"/>
      <c r="F141" s="1"/>
      <c r="G141" s="1"/>
      <c r="H141" s="1"/>
    </row>
    <row r="142" spans="1:8" x14ac:dyDescent="0.35">
      <c r="A142" s="5"/>
      <c r="B142" s="1"/>
      <c r="C142" s="1"/>
      <c r="D142" s="5"/>
      <c r="E142" s="1"/>
      <c r="F142" s="1"/>
      <c r="G142" s="1"/>
      <c r="H142" s="1"/>
    </row>
    <row r="143" spans="1:8" x14ac:dyDescent="0.35">
      <c r="A143" s="5"/>
      <c r="B143" s="1"/>
      <c r="C143" s="1"/>
      <c r="D143" s="5"/>
      <c r="E143" s="1"/>
      <c r="F143" s="1"/>
      <c r="G143" s="1"/>
      <c r="H143" s="1"/>
    </row>
    <row r="144" spans="1:8" x14ac:dyDescent="0.35">
      <c r="A144" s="5"/>
      <c r="B144" s="1"/>
      <c r="C144" s="1"/>
      <c r="D144" s="5"/>
      <c r="E144" s="1"/>
      <c r="F144" s="1"/>
      <c r="G144" s="1"/>
      <c r="H144" s="1"/>
    </row>
    <row r="145" spans="1:8" x14ac:dyDescent="0.35">
      <c r="A145" s="5"/>
      <c r="B145" s="1"/>
      <c r="C145" s="1"/>
      <c r="D145" s="5"/>
      <c r="E145" s="1"/>
      <c r="F145" s="1"/>
      <c r="G145" s="1"/>
      <c r="H145" s="1"/>
    </row>
    <row r="146" spans="1:8" x14ac:dyDescent="0.35">
      <c r="A146" s="5"/>
      <c r="B146" s="1"/>
      <c r="C146" s="1"/>
      <c r="D146" s="5"/>
      <c r="E146" s="1"/>
      <c r="F146" s="1"/>
      <c r="G146" s="1"/>
      <c r="H146" s="1"/>
    </row>
    <row r="147" spans="1:8" x14ac:dyDescent="0.35">
      <c r="A147" s="5"/>
      <c r="B147" s="1"/>
      <c r="C147" s="1"/>
      <c r="D147" s="5"/>
      <c r="E147" s="1"/>
      <c r="F147" s="1"/>
      <c r="G147" s="1"/>
      <c r="H147" s="1"/>
    </row>
    <row r="148" spans="1:8" x14ac:dyDescent="0.35">
      <c r="A148" s="5"/>
      <c r="B148" s="1"/>
      <c r="C148" s="1"/>
      <c r="D148" s="5"/>
      <c r="E148" s="1"/>
      <c r="F148" s="1"/>
      <c r="G148" s="1"/>
      <c r="H148" s="1"/>
    </row>
    <row r="149" spans="1:8" x14ac:dyDescent="0.35">
      <c r="A149" s="5"/>
      <c r="B149" s="1"/>
      <c r="C149" s="1"/>
      <c r="D149" s="5"/>
      <c r="E149" s="1"/>
      <c r="F149" s="1"/>
      <c r="G149" s="1"/>
      <c r="H149" s="1"/>
    </row>
    <row r="150" spans="1:8" x14ac:dyDescent="0.35">
      <c r="A150" s="5"/>
      <c r="B150" s="1"/>
      <c r="C150" s="1"/>
      <c r="D150" s="5"/>
      <c r="E150" s="1"/>
      <c r="F150" s="1"/>
      <c r="G150" s="1"/>
      <c r="H150" s="1"/>
    </row>
    <row r="151" spans="1:8" x14ac:dyDescent="0.35">
      <c r="A151" s="5"/>
      <c r="B151" s="1"/>
      <c r="C151" s="1"/>
      <c r="D151" s="5"/>
      <c r="E151" s="1"/>
      <c r="F151" s="1"/>
      <c r="G151" s="1"/>
      <c r="H151" s="1"/>
    </row>
    <row r="152" spans="1:8" x14ac:dyDescent="0.35">
      <c r="A152" s="5"/>
      <c r="B152" s="1"/>
      <c r="C152" s="1"/>
      <c r="D152" s="5"/>
      <c r="E152" s="1"/>
      <c r="F152" s="1"/>
      <c r="G152" s="1"/>
      <c r="H152" s="1"/>
    </row>
    <row r="153" spans="1:8" x14ac:dyDescent="0.35">
      <c r="A153" s="5"/>
      <c r="B153" s="1"/>
      <c r="C153" s="1"/>
      <c r="D153" s="5"/>
      <c r="E153" s="1"/>
      <c r="F153" s="1"/>
      <c r="G153" s="1"/>
      <c r="H153" s="1"/>
    </row>
    <row r="154" spans="1:8" x14ac:dyDescent="0.35">
      <c r="A154" s="5"/>
      <c r="B154" s="1"/>
      <c r="C154" s="1"/>
      <c r="D154" s="5"/>
      <c r="E154" s="1"/>
      <c r="F154" s="1"/>
      <c r="G154" s="1"/>
      <c r="H154" s="1"/>
    </row>
    <row r="155" spans="1:8" x14ac:dyDescent="0.35">
      <c r="A155" s="5"/>
      <c r="B155" s="1"/>
      <c r="C155" s="1"/>
      <c r="D155" s="5"/>
      <c r="E155" s="1"/>
      <c r="F155" s="1"/>
      <c r="G155" s="1"/>
      <c r="H155" s="1"/>
    </row>
    <row r="156" spans="1:8" x14ac:dyDescent="0.35">
      <c r="A156" s="5"/>
      <c r="B156" s="1"/>
      <c r="C156" s="1"/>
      <c r="D156" s="5"/>
      <c r="E156" s="1"/>
      <c r="F156" s="1"/>
      <c r="G156" s="1"/>
      <c r="H156" s="1"/>
    </row>
    <row r="157" spans="1:8" x14ac:dyDescent="0.35">
      <c r="A157" s="5"/>
      <c r="B157" s="1"/>
      <c r="C157" s="1"/>
      <c r="D157" s="5"/>
      <c r="E157" s="1"/>
      <c r="F157" s="1"/>
      <c r="G157" s="1"/>
      <c r="H157" s="1"/>
    </row>
    <row r="158" spans="1:8" x14ac:dyDescent="0.35">
      <c r="A158" s="5"/>
      <c r="B158" s="1"/>
      <c r="C158" s="1"/>
      <c r="D158" s="5"/>
      <c r="E158" s="1"/>
      <c r="F158" s="1"/>
      <c r="G158" s="1"/>
      <c r="H158" s="1"/>
    </row>
    <row r="159" spans="1:8" x14ac:dyDescent="0.35">
      <c r="A159" s="5"/>
      <c r="B159" s="1"/>
      <c r="C159" s="1"/>
      <c r="D159" s="5"/>
      <c r="E159" s="1"/>
      <c r="F159" s="1"/>
      <c r="G159" s="1"/>
      <c r="H159" s="1"/>
    </row>
    <row r="160" spans="1:8" x14ac:dyDescent="0.35">
      <c r="A160" s="5"/>
      <c r="B160" s="1"/>
      <c r="C160" s="1"/>
      <c r="D160" s="5"/>
      <c r="E160" s="1"/>
      <c r="F160" s="1"/>
      <c r="G160" s="1"/>
      <c r="H160" s="1"/>
    </row>
    <row r="161" spans="1:8" x14ac:dyDescent="0.35">
      <c r="A161" s="5"/>
      <c r="B161" s="1"/>
      <c r="C161" s="1"/>
      <c r="D161" s="5"/>
      <c r="E161" s="1"/>
      <c r="F161" s="1"/>
      <c r="G161" s="1"/>
      <c r="H161" s="1"/>
    </row>
    <row r="162" spans="1:8" x14ac:dyDescent="0.35">
      <c r="A162" s="5"/>
      <c r="B162" s="1"/>
      <c r="C162" s="1"/>
      <c r="D162" s="5"/>
      <c r="E162" s="1"/>
      <c r="F162" s="1"/>
      <c r="G162" s="1"/>
      <c r="H162" s="1"/>
    </row>
    <row r="163" spans="1:8" x14ac:dyDescent="0.35">
      <c r="A163" s="5"/>
      <c r="B163" s="1"/>
      <c r="C163" s="1"/>
      <c r="D163" s="5"/>
      <c r="E163" s="1"/>
      <c r="F163" s="1"/>
      <c r="G163" s="1"/>
      <c r="H163" s="1"/>
    </row>
    <row r="164" spans="1:8" x14ac:dyDescent="0.35">
      <c r="A164" s="5"/>
      <c r="B164" s="1"/>
      <c r="C164" s="1"/>
      <c r="D164" s="5"/>
      <c r="E164" s="1"/>
      <c r="F164" s="1"/>
      <c r="G164" s="1"/>
      <c r="H164" s="1"/>
    </row>
    <row r="165" spans="1:8" x14ac:dyDescent="0.35">
      <c r="A165" s="5"/>
      <c r="B165" s="1"/>
      <c r="C165" s="1"/>
      <c r="D165" s="5"/>
      <c r="E165" s="1"/>
      <c r="F165" s="1"/>
      <c r="G165" s="1"/>
      <c r="H165" s="1"/>
    </row>
    <row r="166" spans="1:8" x14ac:dyDescent="0.35">
      <c r="A166" s="5"/>
      <c r="B166" s="1"/>
      <c r="C166" s="1"/>
      <c r="D166" s="5"/>
      <c r="E166" s="1"/>
      <c r="F166" s="1"/>
      <c r="G166" s="1"/>
      <c r="H166" s="1"/>
    </row>
    <row r="167" spans="1:8" x14ac:dyDescent="0.35">
      <c r="A167" s="5"/>
      <c r="B167" s="1"/>
      <c r="C167" s="1"/>
      <c r="D167" s="5"/>
      <c r="E167" s="1"/>
      <c r="F167" s="1"/>
      <c r="G167" s="1"/>
      <c r="H167" s="1"/>
    </row>
    <row r="168" spans="1:8" x14ac:dyDescent="0.35">
      <c r="A168" s="5"/>
      <c r="B168" s="1"/>
      <c r="C168" s="1"/>
      <c r="D168" s="5"/>
      <c r="E168" s="1"/>
      <c r="F168" s="1"/>
      <c r="G168" s="1"/>
      <c r="H168" s="1"/>
    </row>
    <row r="169" spans="1:8" x14ac:dyDescent="0.35">
      <c r="A169" s="5"/>
      <c r="B169" s="1"/>
      <c r="C169" s="1"/>
      <c r="D169" s="5"/>
      <c r="E169" s="1"/>
      <c r="F169" s="1"/>
      <c r="G169" s="1"/>
      <c r="H169" s="1"/>
    </row>
    <row r="170" spans="1:8" x14ac:dyDescent="0.35">
      <c r="A170" s="5"/>
      <c r="B170" s="1"/>
      <c r="C170" s="1"/>
      <c r="D170" s="5"/>
      <c r="E170" s="1"/>
      <c r="F170" s="1"/>
      <c r="G170" s="1"/>
      <c r="H170" s="1"/>
    </row>
    <row r="171" spans="1:8" x14ac:dyDescent="0.35">
      <c r="A171" s="5"/>
      <c r="B171" s="1"/>
      <c r="C171" s="1"/>
      <c r="D171" s="5"/>
      <c r="E171" s="1"/>
      <c r="F171" s="1"/>
      <c r="G171" s="1"/>
      <c r="H171" s="1"/>
    </row>
    <row r="172" spans="1:8" x14ac:dyDescent="0.35">
      <c r="A172" s="5"/>
      <c r="B172" s="1"/>
      <c r="C172" s="1"/>
      <c r="D172" s="5"/>
      <c r="E172" s="1"/>
      <c r="F172" s="1"/>
      <c r="G172" s="1"/>
      <c r="H172" s="1"/>
    </row>
    <row r="173" spans="1:8" x14ac:dyDescent="0.35">
      <c r="A173" s="5"/>
      <c r="B173" s="1"/>
      <c r="C173" s="1"/>
      <c r="D173" s="5"/>
      <c r="E173" s="1"/>
      <c r="F173" s="1"/>
      <c r="G173" s="1"/>
      <c r="H173" s="1"/>
    </row>
    <row r="174" spans="1:8" x14ac:dyDescent="0.35">
      <c r="A174" s="5"/>
      <c r="B174" s="1"/>
      <c r="C174" s="1"/>
      <c r="D174" s="5"/>
      <c r="E174" s="1"/>
      <c r="F174" s="1"/>
      <c r="G174" s="1"/>
      <c r="H174" s="1"/>
    </row>
    <row r="175" spans="1:8" x14ac:dyDescent="0.35">
      <c r="A175" s="5"/>
      <c r="B175" s="1"/>
      <c r="C175" s="1"/>
      <c r="D175" s="5"/>
      <c r="E175" s="1"/>
      <c r="F175" s="1"/>
      <c r="G175" s="1"/>
      <c r="H175" s="1"/>
    </row>
    <row r="176" spans="1:8" x14ac:dyDescent="0.35">
      <c r="A176" s="5"/>
      <c r="B176" s="1"/>
      <c r="C176" s="1"/>
      <c r="D176" s="5"/>
      <c r="E176" s="1"/>
      <c r="F176" s="1"/>
      <c r="G176" s="1"/>
      <c r="H176" s="1"/>
    </row>
    <row r="177" spans="1:8" x14ac:dyDescent="0.35">
      <c r="A177" s="5"/>
      <c r="B177" s="1"/>
      <c r="C177" s="1"/>
      <c r="D177" s="5"/>
      <c r="E177" s="1"/>
      <c r="F177" s="1"/>
      <c r="G177" s="1"/>
      <c r="H177" s="1"/>
    </row>
    <row r="178" spans="1:8" x14ac:dyDescent="0.35">
      <c r="A178" s="5"/>
      <c r="B178" s="1"/>
      <c r="C178" s="1"/>
      <c r="D178" s="5"/>
      <c r="E178" s="1"/>
      <c r="F178" s="1"/>
      <c r="G178" s="1"/>
      <c r="H178" s="1"/>
    </row>
    <row r="179" spans="1:8" x14ac:dyDescent="0.35">
      <c r="A179" s="5"/>
      <c r="B179" s="1"/>
      <c r="C179" s="1"/>
      <c r="D179" s="5"/>
      <c r="E179" s="1"/>
      <c r="F179" s="1"/>
      <c r="G179" s="1"/>
      <c r="H179" s="1"/>
    </row>
    <row r="180" spans="1:8" x14ac:dyDescent="0.35">
      <c r="A180" s="5"/>
      <c r="B180" s="1"/>
      <c r="C180" s="1"/>
      <c r="D180" s="5"/>
      <c r="E180" s="1"/>
      <c r="F180" s="1"/>
      <c r="G180" s="1"/>
      <c r="H180" s="1"/>
    </row>
    <row r="181" spans="1:8" x14ac:dyDescent="0.35">
      <c r="A181" s="5"/>
      <c r="B181" s="1"/>
      <c r="C181" s="1"/>
      <c r="D181" s="5"/>
      <c r="E181" s="1"/>
      <c r="F181" s="1"/>
      <c r="G181" s="1"/>
      <c r="H181" s="1"/>
    </row>
    <row r="182" spans="1:8" x14ac:dyDescent="0.35">
      <c r="A182" s="5"/>
      <c r="B182" s="1"/>
      <c r="C182" s="1"/>
      <c r="D182" s="5"/>
      <c r="E182" s="1"/>
      <c r="F182" s="1"/>
      <c r="G182" s="1"/>
      <c r="H182" s="1"/>
    </row>
    <row r="183" spans="1:8" x14ac:dyDescent="0.35">
      <c r="A183" s="5"/>
      <c r="B183" s="1"/>
      <c r="C183" s="1"/>
      <c r="D183" s="5"/>
      <c r="E183" s="1"/>
      <c r="F183" s="1"/>
      <c r="G183" s="1"/>
      <c r="H183" s="1"/>
    </row>
    <row r="184" spans="1:8" x14ac:dyDescent="0.35">
      <c r="A184" s="5"/>
      <c r="B184" s="1"/>
      <c r="C184" s="1"/>
      <c r="D184" s="5"/>
      <c r="E184" s="1"/>
      <c r="F184" s="1"/>
      <c r="G184" s="1"/>
      <c r="H184" s="1"/>
    </row>
    <row r="185" spans="1:8" x14ac:dyDescent="0.35">
      <c r="A185" s="5"/>
      <c r="B185" s="1"/>
      <c r="C185" s="1"/>
      <c r="D185" s="5"/>
      <c r="E185" s="1"/>
      <c r="F185" s="1"/>
      <c r="G185" s="1"/>
      <c r="H185" s="1"/>
    </row>
    <row r="186" spans="1:8" x14ac:dyDescent="0.35">
      <c r="A186" s="5"/>
      <c r="B186" s="1"/>
      <c r="C186" s="1"/>
      <c r="D186" s="5"/>
      <c r="E186" s="1"/>
      <c r="F186" s="1"/>
      <c r="G186" s="1"/>
      <c r="H186" s="1"/>
    </row>
    <row r="187" spans="1:8" x14ac:dyDescent="0.35">
      <c r="A187" s="5"/>
      <c r="B187" s="1"/>
      <c r="C187" s="1"/>
      <c r="D187" s="5"/>
      <c r="E187" s="1"/>
      <c r="F187" s="1"/>
      <c r="G187" s="1"/>
      <c r="H187" s="1"/>
    </row>
    <row r="188" spans="1:8" x14ac:dyDescent="0.35">
      <c r="A188" s="5"/>
      <c r="B188" s="1"/>
      <c r="C188" s="1"/>
      <c r="D188" s="5"/>
      <c r="E188" s="1"/>
      <c r="F188" s="1"/>
      <c r="G188" s="1"/>
      <c r="H188" s="1"/>
    </row>
    <row r="189" spans="1:8" x14ac:dyDescent="0.35">
      <c r="A189" s="5"/>
      <c r="B189" s="1"/>
      <c r="C189" s="1"/>
      <c r="D189" s="5"/>
      <c r="E189" s="1"/>
      <c r="F189" s="1"/>
      <c r="G189" s="1"/>
      <c r="H189" s="1"/>
    </row>
    <row r="190" spans="1:8" x14ac:dyDescent="0.35">
      <c r="A190" s="5"/>
      <c r="B190" s="1"/>
      <c r="C190" s="1"/>
      <c r="D190" s="5"/>
      <c r="E190" s="1"/>
      <c r="F190" s="1"/>
      <c r="G190" s="1"/>
      <c r="H190" s="1"/>
    </row>
    <row r="191" spans="1:8" x14ac:dyDescent="0.35">
      <c r="A191" s="5"/>
      <c r="B191" s="1"/>
      <c r="C191" s="1"/>
      <c r="D191" s="5"/>
      <c r="E191" s="1"/>
      <c r="F191" s="1"/>
      <c r="G191" s="1"/>
      <c r="H191" s="1"/>
    </row>
    <row r="192" spans="1:8" x14ac:dyDescent="0.35">
      <c r="A192" s="5"/>
      <c r="B192" s="1"/>
      <c r="C192" s="1"/>
      <c r="D192" s="5"/>
      <c r="E192" s="1"/>
      <c r="F192" s="1"/>
      <c r="G192" s="1"/>
      <c r="H192" s="1"/>
    </row>
    <row r="193" spans="1:8" x14ac:dyDescent="0.35">
      <c r="A193" s="5"/>
      <c r="B193" s="1"/>
      <c r="C193" s="1"/>
      <c r="D193" s="5"/>
      <c r="E193" s="1"/>
      <c r="F193" s="1"/>
      <c r="G193" s="1"/>
      <c r="H193" s="1"/>
    </row>
    <row r="194" spans="1:8" x14ac:dyDescent="0.35">
      <c r="A194" s="5"/>
      <c r="B194" s="1"/>
      <c r="C194" s="1"/>
      <c r="D194" s="5"/>
      <c r="E194" s="1"/>
      <c r="F194" s="1"/>
      <c r="G194" s="1"/>
      <c r="H194" s="1"/>
    </row>
    <row r="195" spans="1:8" x14ac:dyDescent="0.35">
      <c r="A195" s="5"/>
      <c r="B195" s="1"/>
      <c r="C195" s="1"/>
      <c r="D195" s="5"/>
      <c r="E195" s="1"/>
      <c r="F195" s="1"/>
      <c r="G195" s="1"/>
      <c r="H195" s="1"/>
    </row>
    <row r="196" spans="1:8" x14ac:dyDescent="0.35">
      <c r="A196" s="5"/>
      <c r="B196" s="1"/>
      <c r="C196" s="1"/>
      <c r="D196" s="5"/>
      <c r="E196" s="1"/>
      <c r="F196" s="1"/>
      <c r="G196" s="1"/>
      <c r="H196" s="1"/>
    </row>
    <row r="197" spans="1:8" x14ac:dyDescent="0.35">
      <c r="A197" s="5"/>
      <c r="B197" s="1"/>
      <c r="C197" s="1"/>
      <c r="D197" s="5"/>
      <c r="E197" s="1"/>
      <c r="F197" s="1"/>
      <c r="G197" s="1"/>
      <c r="H197" s="1"/>
    </row>
    <row r="198" spans="1:8" x14ac:dyDescent="0.35">
      <c r="A198" s="5"/>
      <c r="B198" s="1"/>
      <c r="C198" s="1"/>
      <c r="D198" s="5"/>
      <c r="E198" s="1"/>
      <c r="F198" s="1"/>
      <c r="G198" s="1"/>
      <c r="H198" s="1"/>
    </row>
    <row r="199" spans="1:8" x14ac:dyDescent="0.35">
      <c r="A199" s="5"/>
      <c r="B199" s="1"/>
      <c r="C199" s="1"/>
      <c r="D199" s="5"/>
      <c r="E199" s="1"/>
      <c r="F199" s="1"/>
      <c r="G199" s="1"/>
      <c r="H199" s="1"/>
    </row>
    <row r="200" spans="1:8" x14ac:dyDescent="0.35">
      <c r="A200" s="5"/>
      <c r="B200" s="1"/>
      <c r="C200" s="1"/>
      <c r="D200" s="5"/>
      <c r="E200" s="1"/>
      <c r="F200" s="1"/>
      <c r="G200" s="1"/>
      <c r="H200" s="1"/>
    </row>
    <row r="201" spans="1:8" x14ac:dyDescent="0.35">
      <c r="A201" s="5"/>
      <c r="B201" s="1"/>
      <c r="C201" s="1"/>
      <c r="D201" s="5"/>
      <c r="E201" s="1"/>
      <c r="F201" s="1"/>
      <c r="G201" s="1"/>
      <c r="H201" s="1"/>
    </row>
    <row r="202" spans="1:8" x14ac:dyDescent="0.35">
      <c r="A202" s="5"/>
      <c r="B202" s="1"/>
      <c r="C202" s="1"/>
      <c r="D202" s="5"/>
      <c r="E202" s="1"/>
      <c r="F202" s="1"/>
      <c r="G202" s="1"/>
      <c r="H202" s="1"/>
    </row>
    <row r="203" spans="1:8" x14ac:dyDescent="0.35">
      <c r="A203" s="5"/>
      <c r="B203" s="1"/>
      <c r="C203" s="1"/>
      <c r="D203" s="5"/>
      <c r="E203" s="1"/>
      <c r="F203" s="1"/>
      <c r="G203" s="1"/>
      <c r="H203" s="1"/>
    </row>
    <row r="204" spans="1:8" x14ac:dyDescent="0.35">
      <c r="A204" s="5"/>
      <c r="B204" s="1"/>
      <c r="C204" s="1"/>
      <c r="D204" s="5"/>
      <c r="E204" s="1"/>
      <c r="F204" s="1"/>
      <c r="G204" s="1"/>
      <c r="H204" s="1"/>
    </row>
    <row r="205" spans="1:8" x14ac:dyDescent="0.35">
      <c r="A205" s="5"/>
      <c r="B205" s="1"/>
      <c r="C205" s="1"/>
      <c r="D205" s="5"/>
      <c r="E205" s="1"/>
      <c r="F205" s="1"/>
      <c r="G205" s="1"/>
      <c r="H205" s="1"/>
    </row>
    <row r="206" spans="1:8" x14ac:dyDescent="0.35">
      <c r="A206" s="5"/>
      <c r="B206" s="1"/>
      <c r="C206" s="1"/>
      <c r="D206" s="5"/>
      <c r="E206" s="1"/>
      <c r="F206" s="1"/>
      <c r="G206" s="1"/>
      <c r="H206" s="1"/>
    </row>
    <row r="207" spans="1:8" x14ac:dyDescent="0.35">
      <c r="A207" s="5"/>
      <c r="B207" s="1"/>
      <c r="C207" s="1"/>
      <c r="D207" s="5"/>
      <c r="E207" s="1"/>
      <c r="F207" s="1"/>
      <c r="G207" s="1"/>
      <c r="H207" s="1"/>
    </row>
    <row r="208" spans="1:8" x14ac:dyDescent="0.35">
      <c r="A208" s="5"/>
      <c r="B208" s="1"/>
      <c r="C208" s="1"/>
      <c r="D208" s="5"/>
      <c r="E208" s="1"/>
      <c r="F208" s="1"/>
      <c r="G208" s="1"/>
      <c r="H208" s="1"/>
    </row>
    <row r="209" spans="1:8" x14ac:dyDescent="0.35">
      <c r="A209" s="5"/>
      <c r="B209" s="1"/>
      <c r="C209" s="1"/>
      <c r="D209" s="5"/>
      <c r="E209" s="1"/>
      <c r="F209" s="1"/>
      <c r="G209" s="1"/>
      <c r="H209" s="1"/>
    </row>
    <row r="210" spans="1:8" x14ac:dyDescent="0.35">
      <c r="A210" s="5"/>
      <c r="B210" s="1"/>
      <c r="C210" s="1"/>
      <c r="D210" s="5"/>
      <c r="E210" s="1"/>
      <c r="F210" s="1"/>
      <c r="G210" s="1"/>
      <c r="H210" s="1"/>
    </row>
    <row r="211" spans="1:8" x14ac:dyDescent="0.35">
      <c r="A211" s="5"/>
      <c r="B211" s="1"/>
      <c r="C211" s="1"/>
      <c r="D211" s="5"/>
      <c r="E211" s="1"/>
      <c r="F211" s="1"/>
      <c r="G211" s="1"/>
      <c r="H211" s="1"/>
    </row>
    <row r="212" spans="1:8" x14ac:dyDescent="0.35">
      <c r="A212" s="5"/>
      <c r="B212" s="1"/>
      <c r="C212" s="1"/>
      <c r="D212" s="5"/>
      <c r="E212" s="1"/>
      <c r="F212" s="1"/>
      <c r="G212" s="1"/>
      <c r="H212" s="1"/>
    </row>
    <row r="213" spans="1:8" x14ac:dyDescent="0.35">
      <c r="A213" s="5"/>
      <c r="B213" s="1"/>
      <c r="C213" s="1"/>
      <c r="D213" s="5"/>
      <c r="E213" s="1"/>
      <c r="F213" s="1"/>
      <c r="G213" s="1"/>
      <c r="H213" s="1"/>
    </row>
    <row r="214" spans="1:8" x14ac:dyDescent="0.35">
      <c r="A214" s="5"/>
      <c r="B214" s="1"/>
      <c r="C214" s="1"/>
      <c r="D214" s="5"/>
      <c r="E214" s="1"/>
      <c r="F214" s="1"/>
      <c r="G214" s="1"/>
      <c r="H214" s="1"/>
    </row>
    <row r="215" spans="1:8" x14ac:dyDescent="0.35">
      <c r="A215" s="5"/>
      <c r="B215" s="1"/>
      <c r="C215" s="1"/>
      <c r="D215" s="5"/>
      <c r="E215" s="1"/>
      <c r="F215" s="1"/>
      <c r="G215" s="1"/>
      <c r="H215" s="1"/>
    </row>
    <row r="216" spans="1:8" x14ac:dyDescent="0.35">
      <c r="A216" s="5"/>
      <c r="B216" s="1"/>
      <c r="C216" s="1"/>
      <c r="D216" s="5"/>
      <c r="E216" s="1"/>
      <c r="F216" s="1"/>
      <c r="G216" s="1"/>
      <c r="H216" s="1"/>
    </row>
    <row r="217" spans="1:8" x14ac:dyDescent="0.35">
      <c r="A217" s="5"/>
      <c r="B217" s="1"/>
      <c r="C217" s="1"/>
      <c r="D217" s="5"/>
      <c r="E217" s="1"/>
      <c r="F217" s="1"/>
      <c r="G217" s="1"/>
      <c r="H217" s="1"/>
    </row>
    <row r="218" spans="1:8" x14ac:dyDescent="0.35">
      <c r="A218" s="5"/>
      <c r="B218" s="1"/>
      <c r="C218" s="1"/>
      <c r="D218" s="5"/>
      <c r="E218" s="1"/>
      <c r="F218" s="1"/>
      <c r="G218" s="1"/>
      <c r="H218" s="1"/>
    </row>
    <row r="219" spans="1:8" x14ac:dyDescent="0.35">
      <c r="A219" s="5"/>
      <c r="B219" s="1"/>
      <c r="C219" s="1"/>
      <c r="D219" s="5"/>
      <c r="E219" s="1"/>
      <c r="F219" s="1"/>
      <c r="G219" s="1"/>
      <c r="H219" s="1"/>
    </row>
    <row r="220" spans="1:8" x14ac:dyDescent="0.35">
      <c r="A220" s="5"/>
      <c r="B220" s="1"/>
      <c r="C220" s="1"/>
      <c r="D220" s="5"/>
      <c r="E220" s="1"/>
      <c r="F220" s="1"/>
      <c r="G220" s="1"/>
      <c r="H220" s="1"/>
    </row>
    <row r="221" spans="1:8" x14ac:dyDescent="0.35">
      <c r="A221" s="5"/>
      <c r="B221" s="1"/>
      <c r="C221" s="1"/>
      <c r="D221" s="5"/>
      <c r="E221" s="1"/>
      <c r="F221" s="1"/>
      <c r="G221" s="1"/>
      <c r="H221" s="1"/>
    </row>
    <row r="222" spans="1:8" x14ac:dyDescent="0.35">
      <c r="A222" s="5"/>
      <c r="B222" s="1"/>
      <c r="C222" s="1"/>
      <c r="D222" s="5"/>
      <c r="E222" s="1"/>
      <c r="F222" s="1"/>
      <c r="G222" s="1"/>
      <c r="H222" s="1"/>
    </row>
    <row r="223" spans="1:8" x14ac:dyDescent="0.35">
      <c r="A223" s="5"/>
      <c r="B223" s="1"/>
      <c r="C223" s="1"/>
      <c r="D223" s="5"/>
      <c r="E223" s="1"/>
      <c r="F223" s="1"/>
      <c r="G223" s="1"/>
      <c r="H223" s="1"/>
    </row>
    <row r="224" spans="1:8" x14ac:dyDescent="0.35">
      <c r="A224" s="5"/>
      <c r="B224" s="1"/>
      <c r="C224" s="1"/>
      <c r="D224" s="5"/>
      <c r="E224" s="1"/>
      <c r="F224" s="1"/>
      <c r="G224" s="1"/>
      <c r="H224" s="1"/>
    </row>
    <row r="225" spans="1:8" x14ac:dyDescent="0.35">
      <c r="A225" s="5"/>
      <c r="B225" s="1"/>
      <c r="C225" s="1"/>
      <c r="D225" s="5"/>
      <c r="E225" s="1"/>
      <c r="F225" s="1"/>
      <c r="G225" s="1"/>
      <c r="H225" s="1"/>
    </row>
    <row r="226" spans="1:8" x14ac:dyDescent="0.35">
      <c r="A226" s="5"/>
      <c r="B226" s="1"/>
      <c r="C226" s="1"/>
      <c r="D226" s="5"/>
      <c r="E226" s="1"/>
      <c r="F226" s="1"/>
      <c r="G226" s="1"/>
      <c r="H226" s="1"/>
    </row>
    <row r="227" spans="1:8" x14ac:dyDescent="0.35">
      <c r="A227" s="5"/>
      <c r="B227" s="1"/>
      <c r="C227" s="1"/>
      <c r="D227" s="5"/>
      <c r="E227" s="1"/>
      <c r="F227" s="1"/>
      <c r="G227" s="1"/>
      <c r="H227" s="1"/>
    </row>
    <row r="228" spans="1:8" x14ac:dyDescent="0.35">
      <c r="A228" s="5"/>
      <c r="B228" s="1"/>
      <c r="C228" s="1"/>
      <c r="D228" s="5"/>
      <c r="E228" s="1"/>
      <c r="F228" s="1"/>
      <c r="G228" s="1"/>
      <c r="H228" s="1"/>
    </row>
    <row r="229" spans="1:8" x14ac:dyDescent="0.35">
      <c r="A229" s="5"/>
      <c r="B229" s="1"/>
      <c r="C229" s="1"/>
      <c r="D229" s="5"/>
      <c r="E229" s="1"/>
      <c r="F229" s="1"/>
      <c r="G229" s="1"/>
      <c r="H229" s="1"/>
    </row>
    <row r="230" spans="1:8" x14ac:dyDescent="0.35">
      <c r="A230" s="5"/>
      <c r="B230" s="1"/>
      <c r="C230" s="1"/>
      <c r="D230" s="5"/>
      <c r="E230" s="1"/>
      <c r="F230" s="1"/>
      <c r="G230" s="1"/>
      <c r="H230" s="1"/>
    </row>
    <row r="231" spans="1:8" x14ac:dyDescent="0.35">
      <c r="A231" s="5"/>
      <c r="B231" s="1"/>
      <c r="C231" s="1"/>
      <c r="D231" s="5"/>
      <c r="E231" s="1"/>
      <c r="F231" s="1"/>
      <c r="G231" s="1"/>
      <c r="H231" s="1"/>
    </row>
    <row r="232" spans="1:8" x14ac:dyDescent="0.35">
      <c r="A232" s="5"/>
      <c r="B232" s="1"/>
      <c r="C232" s="1"/>
      <c r="D232" s="5"/>
      <c r="E232" s="1"/>
      <c r="F232" s="1"/>
      <c r="G232" s="1"/>
      <c r="H232" s="1"/>
    </row>
    <row r="233" spans="1:8" x14ac:dyDescent="0.35">
      <c r="A233" s="5"/>
      <c r="B233" s="1"/>
      <c r="C233" s="1"/>
      <c r="D233" s="5"/>
      <c r="E233" s="1"/>
      <c r="F233" s="1"/>
      <c r="G233" s="1"/>
      <c r="H233" s="1"/>
    </row>
    <row r="234" spans="1:8" x14ac:dyDescent="0.35">
      <c r="A234" s="5"/>
      <c r="B234" s="1"/>
      <c r="C234" s="1"/>
      <c r="D234" s="5"/>
      <c r="E234" s="1"/>
      <c r="F234" s="1"/>
      <c r="G234" s="1"/>
      <c r="H234" s="1"/>
    </row>
    <row r="235" spans="1:8" x14ac:dyDescent="0.35">
      <c r="A235" s="5"/>
      <c r="B235" s="1"/>
      <c r="C235" s="1"/>
      <c r="D235" s="5"/>
      <c r="E235" s="1"/>
      <c r="F235" s="1"/>
      <c r="G235" s="1"/>
      <c r="H235" s="1"/>
    </row>
    <row r="236" spans="1:8" x14ac:dyDescent="0.35">
      <c r="A236" s="5"/>
      <c r="B236" s="1"/>
      <c r="C236" s="1"/>
      <c r="D236" s="5"/>
      <c r="E236" s="1"/>
      <c r="F236" s="1"/>
      <c r="G236" s="1"/>
      <c r="H236" s="1"/>
    </row>
    <row r="237" spans="1:8" x14ac:dyDescent="0.35">
      <c r="A237" s="5"/>
      <c r="B237" s="1"/>
      <c r="C237" s="1"/>
      <c r="D237" s="5"/>
      <c r="E237" s="1"/>
      <c r="F237" s="1"/>
      <c r="G237" s="1"/>
      <c r="H237" s="1"/>
    </row>
    <row r="238" spans="1:8" x14ac:dyDescent="0.35">
      <c r="A238" s="5"/>
      <c r="B238" s="1"/>
      <c r="C238" s="1"/>
      <c r="D238" s="5"/>
      <c r="E238" s="1"/>
      <c r="F238" s="1"/>
      <c r="G238" s="1"/>
      <c r="H238" s="1"/>
    </row>
    <row r="239" spans="1:8" x14ac:dyDescent="0.35">
      <c r="A239" s="5"/>
      <c r="B239" s="1"/>
      <c r="C239" s="1"/>
      <c r="D239" s="5"/>
      <c r="E239" s="1"/>
      <c r="F239" s="1"/>
      <c r="G239" s="1"/>
      <c r="H239" s="1"/>
    </row>
    <row r="240" spans="1:8" x14ac:dyDescent="0.35">
      <c r="A240" s="5"/>
      <c r="B240" s="1"/>
      <c r="C240" s="1"/>
      <c r="D240" s="5"/>
      <c r="E240" s="1"/>
      <c r="F240" s="1"/>
      <c r="G240" s="1"/>
      <c r="H240" s="1"/>
    </row>
    <row r="241" spans="1:8" x14ac:dyDescent="0.35">
      <c r="A241" s="5"/>
      <c r="B241" s="1"/>
      <c r="C241" s="1"/>
      <c r="D241" s="5"/>
      <c r="E241" s="1"/>
      <c r="F241" s="1"/>
      <c r="G241" s="1"/>
      <c r="H241" s="1"/>
    </row>
    <row r="242" spans="1:8" x14ac:dyDescent="0.35">
      <c r="A242" s="5"/>
      <c r="B242" s="1"/>
      <c r="C242" s="1"/>
      <c r="D242" s="5"/>
      <c r="E242" s="1"/>
      <c r="F242" s="1"/>
      <c r="G242" s="1"/>
      <c r="H242" s="1"/>
    </row>
    <row r="243" spans="1:8" x14ac:dyDescent="0.35">
      <c r="A243" s="5"/>
      <c r="B243" s="1"/>
      <c r="C243" s="1"/>
      <c r="D243" s="5"/>
      <c r="E243" s="1"/>
      <c r="F243" s="1"/>
      <c r="G243" s="1"/>
      <c r="H243" s="1"/>
    </row>
    <row r="244" spans="1:8" x14ac:dyDescent="0.35">
      <c r="A244" s="5"/>
      <c r="B244" s="1"/>
      <c r="C244" s="1"/>
      <c r="D244" s="5"/>
      <c r="E244" s="1"/>
      <c r="F244" s="1"/>
      <c r="G244" s="1"/>
      <c r="H244" s="1"/>
    </row>
    <row r="245" spans="1:8" x14ac:dyDescent="0.35">
      <c r="A245" s="5"/>
      <c r="B245" s="1"/>
      <c r="C245" s="1"/>
      <c r="D245" s="5"/>
      <c r="E245" s="1"/>
      <c r="F245" s="1"/>
      <c r="G245" s="1"/>
      <c r="H245" s="1"/>
    </row>
    <row r="246" spans="1:8" x14ac:dyDescent="0.35">
      <c r="A246" s="5"/>
      <c r="B246" s="1"/>
      <c r="C246" s="1"/>
      <c r="D246" s="5"/>
      <c r="E246" s="1"/>
      <c r="F246" s="1"/>
      <c r="G246" s="1"/>
      <c r="H246" s="1"/>
    </row>
    <row r="247" spans="1:8" x14ac:dyDescent="0.35">
      <c r="A247" s="5"/>
      <c r="B247" s="1"/>
      <c r="C247" s="1"/>
      <c r="D247" s="5"/>
      <c r="E247" s="1"/>
      <c r="F247" s="1"/>
      <c r="G247" s="1"/>
      <c r="H247" s="1"/>
    </row>
    <row r="248" spans="1:8" x14ac:dyDescent="0.35">
      <c r="A248" s="5"/>
      <c r="B248" s="1"/>
      <c r="C248" s="1"/>
      <c r="D248" s="5"/>
      <c r="E248" s="1"/>
      <c r="F248" s="1"/>
      <c r="G248" s="1"/>
      <c r="H248" s="1"/>
    </row>
    <row r="249" spans="1:8" x14ac:dyDescent="0.35">
      <c r="A249" s="5"/>
      <c r="B249" s="1"/>
      <c r="C249" s="1"/>
      <c r="D249" s="5"/>
      <c r="E249" s="1"/>
      <c r="F249" s="1"/>
      <c r="G249" s="1"/>
      <c r="H249" s="1"/>
    </row>
    <row r="250" spans="1:8" x14ac:dyDescent="0.35">
      <c r="A250" s="5"/>
      <c r="B250" s="1"/>
      <c r="C250" s="1"/>
      <c r="D250" s="5"/>
      <c r="E250" s="1"/>
      <c r="F250" s="1"/>
      <c r="G250" s="1"/>
      <c r="H250" s="1"/>
    </row>
    <row r="251" spans="1:8" x14ac:dyDescent="0.35">
      <c r="A251" s="5"/>
      <c r="B251" s="1"/>
      <c r="C251" s="1"/>
      <c r="D251" s="5"/>
      <c r="E251" s="1"/>
      <c r="F251" s="1"/>
      <c r="G251" s="1"/>
      <c r="H251" s="1"/>
    </row>
    <row r="252" spans="1:8" x14ac:dyDescent="0.35">
      <c r="A252" s="5"/>
      <c r="B252" s="1"/>
      <c r="C252" s="1"/>
      <c r="D252" s="5"/>
      <c r="E252" s="1"/>
      <c r="F252" s="1"/>
      <c r="G252" s="1"/>
      <c r="H252" s="1"/>
    </row>
    <row r="253" spans="1:8" x14ac:dyDescent="0.35">
      <c r="A253" s="5"/>
      <c r="B253" s="1"/>
      <c r="C253" s="1"/>
      <c r="D253" s="5"/>
      <c r="E253" s="1"/>
      <c r="F253" s="1"/>
      <c r="G253" s="1"/>
      <c r="H253" s="1"/>
    </row>
    <row r="254" spans="1:8" x14ac:dyDescent="0.35">
      <c r="A254" s="5"/>
      <c r="B254" s="1"/>
      <c r="C254" s="1"/>
      <c r="D254" s="5"/>
      <c r="E254" s="1"/>
      <c r="F254" s="1"/>
      <c r="G254" s="1"/>
      <c r="H254" s="1"/>
    </row>
    <row r="255" spans="1:8" x14ac:dyDescent="0.35">
      <c r="A255" s="5"/>
      <c r="B255" s="1"/>
      <c r="C255" s="1"/>
      <c r="D255" s="5"/>
      <c r="E255" s="1"/>
      <c r="F255" s="1"/>
      <c r="G255" s="1"/>
      <c r="H255" s="1"/>
    </row>
    <row r="256" spans="1:8" x14ac:dyDescent="0.35">
      <c r="A256" s="5"/>
      <c r="B256" s="1"/>
      <c r="C256" s="1"/>
      <c r="D256" s="5"/>
      <c r="E256" s="1"/>
      <c r="F256" s="1"/>
      <c r="G256" s="1"/>
      <c r="H256" s="1"/>
    </row>
    <row r="257" spans="1:8" x14ac:dyDescent="0.35">
      <c r="A257" s="5"/>
      <c r="B257" s="1"/>
      <c r="C257" s="1"/>
      <c r="D257" s="5"/>
      <c r="E257" s="1"/>
      <c r="F257" s="1"/>
      <c r="G257" s="1"/>
      <c r="H257" s="1"/>
    </row>
    <row r="258" spans="1:8" x14ac:dyDescent="0.35">
      <c r="A258" s="5"/>
      <c r="B258" s="1"/>
      <c r="C258" s="1"/>
      <c r="D258" s="5"/>
      <c r="E258" s="1"/>
      <c r="F258" s="1"/>
      <c r="G258" s="1"/>
      <c r="H258" s="1"/>
    </row>
    <row r="259" spans="1:8" x14ac:dyDescent="0.35">
      <c r="A259" s="5"/>
      <c r="B259" s="1"/>
      <c r="C259" s="1"/>
      <c r="D259" s="5"/>
      <c r="E259" s="1"/>
      <c r="F259" s="1"/>
      <c r="G259" s="1"/>
      <c r="H259" s="1"/>
    </row>
    <row r="260" spans="1:8" x14ac:dyDescent="0.35">
      <c r="A260" s="5"/>
      <c r="B260" s="1"/>
      <c r="C260" s="1"/>
      <c r="D260" s="5"/>
      <c r="E260" s="1"/>
      <c r="F260" s="1"/>
      <c r="G260" s="1"/>
      <c r="H260" s="1"/>
    </row>
    <row r="261" spans="1:8" x14ac:dyDescent="0.35">
      <c r="A261" s="5"/>
      <c r="B261" s="1"/>
      <c r="C261" s="1"/>
      <c r="D261" s="5"/>
      <c r="E261" s="1"/>
      <c r="F261" s="1"/>
      <c r="G261" s="1"/>
      <c r="H261" s="1"/>
    </row>
    <row r="262" spans="1:8" x14ac:dyDescent="0.35">
      <c r="B262" s="1"/>
      <c r="C262" s="1"/>
    </row>
    <row r="263" spans="1:8" x14ac:dyDescent="0.35">
      <c r="B263" s="1"/>
      <c r="C263" s="1"/>
    </row>
    <row r="264" spans="1:8" x14ac:dyDescent="0.35">
      <c r="B264" s="1"/>
      <c r="C264" s="1"/>
    </row>
    <row r="265" spans="1:8" x14ac:dyDescent="0.35">
      <c r="B265" s="1"/>
      <c r="C265" s="1"/>
    </row>
    <row r="266" spans="1:8" x14ac:dyDescent="0.35">
      <c r="B266" s="1"/>
      <c r="C266" s="1"/>
    </row>
    <row r="267" spans="1:8" x14ac:dyDescent="0.35">
      <c r="B267" s="1"/>
      <c r="C267" s="1"/>
    </row>
    <row r="268" spans="1:8" x14ac:dyDescent="0.35">
      <c r="B268" s="1"/>
      <c r="C268" s="1"/>
    </row>
    <row r="269" spans="1:8" x14ac:dyDescent="0.35">
      <c r="B269" s="1"/>
      <c r="C269" s="1"/>
    </row>
    <row r="270" spans="1:8" x14ac:dyDescent="0.35">
      <c r="B270" s="1"/>
      <c r="C270" s="1"/>
    </row>
    <row r="271" spans="1:8" x14ac:dyDescent="0.35">
      <c r="B271" s="1"/>
      <c r="C271" s="1"/>
    </row>
    <row r="272" spans="1:8" x14ac:dyDescent="0.35">
      <c r="B272" s="1"/>
      <c r="C272" s="1"/>
    </row>
    <row r="273" spans="2:3" x14ac:dyDescent="0.35">
      <c r="B273" s="1"/>
      <c r="C273" s="1"/>
    </row>
    <row r="274" spans="2:3" x14ac:dyDescent="0.35">
      <c r="B274" s="1"/>
      <c r="C274" s="1"/>
    </row>
    <row r="275" spans="2:3" x14ac:dyDescent="0.35">
      <c r="B275" s="1"/>
      <c r="C275" s="1"/>
    </row>
    <row r="276" spans="2:3" x14ac:dyDescent="0.35">
      <c r="B276" s="1"/>
      <c r="C276" s="1"/>
    </row>
    <row r="277" spans="2:3" x14ac:dyDescent="0.35">
      <c r="B277" s="1"/>
      <c r="C277" s="1"/>
    </row>
    <row r="278" spans="2:3" x14ac:dyDescent="0.35">
      <c r="B278" s="1"/>
      <c r="C278" s="1"/>
    </row>
    <row r="279" spans="2:3" x14ac:dyDescent="0.35">
      <c r="B279" s="1"/>
      <c r="C279" s="1"/>
    </row>
    <row r="280" spans="2:3" x14ac:dyDescent="0.35">
      <c r="B280" s="1"/>
      <c r="C280" s="1"/>
    </row>
    <row r="281" spans="2:3" x14ac:dyDescent="0.35">
      <c r="B281" s="1"/>
      <c r="C281" s="1"/>
    </row>
    <row r="282" spans="2:3" x14ac:dyDescent="0.35">
      <c r="B282" s="1"/>
      <c r="C282" s="1"/>
    </row>
    <row r="283" spans="2:3" x14ac:dyDescent="0.35">
      <c r="B283" s="1"/>
      <c r="C283" s="1"/>
    </row>
    <row r="284" spans="2:3" x14ac:dyDescent="0.35">
      <c r="B284" s="1"/>
      <c r="C284" s="1"/>
    </row>
    <row r="285" spans="2:3" x14ac:dyDescent="0.35">
      <c r="B285" s="1"/>
      <c r="C285" s="1"/>
    </row>
    <row r="286" spans="2:3" x14ac:dyDescent="0.35">
      <c r="B286" s="1"/>
      <c r="C286" s="1"/>
    </row>
    <row r="287" spans="2:3" x14ac:dyDescent="0.35">
      <c r="B287" s="1"/>
      <c r="C287" s="1"/>
    </row>
    <row r="288" spans="2:3" x14ac:dyDescent="0.35">
      <c r="B288" s="1"/>
      <c r="C288" s="1"/>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F5F9-6900-433A-88CC-FD41F9FDCD6D}">
  <sheetPr codeName="Sheet15"/>
  <dimension ref="A1:AO288"/>
  <sheetViews>
    <sheetView rightToLeft="1" workbookViewId="0">
      <pane xSplit="1" ySplit="1" topLeftCell="B143" activePane="bottomRight" state="frozen"/>
      <selection activeCell="A6" sqref="A6"/>
      <selection pane="topRight" activeCell="A6" sqref="A6"/>
      <selection pane="bottomLeft" activeCell="A6" sqref="A6"/>
      <selection pane="bottomRight" activeCell="B146" sqref="B146"/>
    </sheetView>
  </sheetViews>
  <sheetFormatPr defaultColWidth="8.81640625" defaultRowHeight="14.5" x14ac:dyDescent="0.35"/>
  <cols>
    <col min="1" max="1" width="52.1796875" style="8" customWidth="1"/>
    <col min="2" max="2" width="10" style="6" customWidth="1"/>
    <col min="3" max="3" width="10" style="2" customWidth="1"/>
    <col min="4" max="4" width="11.453125" style="8" customWidth="1"/>
    <col min="5" max="5" width="11.81640625" style="2" customWidth="1"/>
    <col min="6" max="8" width="8.81640625" style="2"/>
    <col min="9" max="16" width="8.81640625" style="1" customWidth="1"/>
    <col min="17" max="18" width="8.81640625" style="30" customWidth="1"/>
    <col min="19" max="35" width="8.81640625" style="1" customWidth="1"/>
    <col min="36" max="36" width="8.81640625" style="2"/>
    <col min="37" max="37" width="10.08984375" style="2" bestFit="1" customWidth="1"/>
    <col min="38" max="38" width="8.81640625" style="2"/>
    <col min="39" max="39" width="10.54296875" style="2" bestFit="1" customWidth="1"/>
    <col min="40" max="40" width="8.81640625" style="2"/>
    <col min="41" max="41" width="17" style="2" bestFit="1" customWidth="1"/>
    <col min="42" max="16384" width="8.81640625" style="2"/>
  </cols>
  <sheetData>
    <row r="1" spans="1:41" ht="15" thickBot="1" x14ac:dyDescent="0.4">
      <c r="A1" s="7" t="s">
        <v>0</v>
      </c>
      <c r="B1" s="4">
        <v>2025</v>
      </c>
      <c r="C1" s="4">
        <v>2022</v>
      </c>
      <c r="D1" s="7">
        <v>2021</v>
      </c>
      <c r="E1" s="4">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x14ac:dyDescent="0.35">
      <c r="A2" s="5" t="s">
        <v>1840</v>
      </c>
      <c r="C2" s="83" t="s">
        <v>64</v>
      </c>
      <c r="D2" s="76" t="s">
        <v>64</v>
      </c>
      <c r="E2" s="59" t="s">
        <v>64</v>
      </c>
      <c r="F2" s="3"/>
      <c r="G2" s="86" t="s">
        <v>64</v>
      </c>
      <c r="H2" s="56" t="s">
        <v>232</v>
      </c>
      <c r="I2" s="56" t="s">
        <v>82</v>
      </c>
      <c r="J2" s="56" t="s">
        <v>740</v>
      </c>
      <c r="K2" s="56" t="s">
        <v>955</v>
      </c>
      <c r="L2" s="56" t="s">
        <v>916</v>
      </c>
      <c r="M2" s="56" t="s">
        <v>933</v>
      </c>
      <c r="N2" s="56" t="s">
        <v>1302</v>
      </c>
      <c r="O2" s="56" t="s">
        <v>1540</v>
      </c>
      <c r="P2" s="56" t="s">
        <v>926</v>
      </c>
      <c r="Q2" s="29"/>
      <c r="R2" s="56" t="s">
        <v>1024</v>
      </c>
      <c r="S2" s="56" t="s">
        <v>2040</v>
      </c>
      <c r="T2" s="56" t="s">
        <v>194</v>
      </c>
      <c r="U2" s="3" t="s">
        <v>1252</v>
      </c>
      <c r="V2" s="3"/>
      <c r="W2" s="3"/>
      <c r="X2" s="3"/>
      <c r="Y2" s="3"/>
      <c r="Z2" s="3"/>
      <c r="AA2" s="3"/>
      <c r="AB2" s="3"/>
      <c r="AC2" s="3"/>
      <c r="AD2" s="3"/>
      <c r="AE2" s="3"/>
      <c r="AF2" s="3"/>
      <c r="AG2" s="3"/>
      <c r="AH2" s="3"/>
      <c r="AI2" s="3"/>
      <c r="AK2" s="2">
        <f>COUNTA(C2:AI2)</f>
        <v>17</v>
      </c>
      <c r="AM2" s="2">
        <f>COUNTA(G2:P2,S2:T2)</f>
        <v>12</v>
      </c>
      <c r="AO2" s="2">
        <f>COUNTIF(AM2:AM142,"&gt;=2")</f>
        <v>24</v>
      </c>
    </row>
    <row r="3" spans="1:41" x14ac:dyDescent="0.35">
      <c r="A3" s="5" t="s">
        <v>736</v>
      </c>
      <c r="C3" s="6"/>
      <c r="D3" s="5"/>
      <c r="E3" s="1"/>
      <c r="F3" s="3"/>
      <c r="G3" s="11"/>
      <c r="H3" s="3"/>
      <c r="I3" s="3"/>
      <c r="J3" s="56" t="s">
        <v>741</v>
      </c>
      <c r="K3" s="54" t="s">
        <v>956</v>
      </c>
      <c r="N3" s="1" t="s">
        <v>1303</v>
      </c>
      <c r="AK3" s="2">
        <f t="shared" ref="AK3:AK66" si="0">COUNTA(C3:AI3)</f>
        <v>3</v>
      </c>
      <c r="AM3" s="2">
        <f t="shared" ref="AM3:AM66" si="1">COUNTA(G3:P3,S3:T3)</f>
        <v>3</v>
      </c>
    </row>
    <row r="4" spans="1:41" ht="29" x14ac:dyDescent="0.35">
      <c r="A4" s="5" t="s">
        <v>1703</v>
      </c>
      <c r="C4" s="6"/>
      <c r="D4" s="5"/>
      <c r="E4" s="1"/>
      <c r="F4" s="1"/>
      <c r="G4" s="1"/>
      <c r="H4" s="1"/>
      <c r="O4" s="53" t="s">
        <v>1538</v>
      </c>
      <c r="T4" s="53" t="s">
        <v>17</v>
      </c>
      <c r="U4" s="53" t="s">
        <v>983</v>
      </c>
      <c r="V4" s="53" t="s">
        <v>2480</v>
      </c>
      <c r="X4" s="54" t="s">
        <v>1441</v>
      </c>
      <c r="AA4" s="53" t="s">
        <v>525</v>
      </c>
      <c r="AB4" s="53" t="s">
        <v>2711</v>
      </c>
      <c r="AC4" s="54" t="s">
        <v>2200</v>
      </c>
      <c r="AD4" s="1" t="s">
        <v>2006</v>
      </c>
      <c r="AK4" s="2">
        <f t="shared" si="0"/>
        <v>9</v>
      </c>
      <c r="AM4" s="2">
        <f t="shared" si="1"/>
        <v>2</v>
      </c>
    </row>
    <row r="5" spans="1:41" ht="29" x14ac:dyDescent="0.35">
      <c r="A5" s="5" t="s">
        <v>2243</v>
      </c>
      <c r="C5" s="5"/>
      <c r="D5" s="5"/>
      <c r="E5" s="1"/>
      <c r="F5" s="3"/>
      <c r="G5" s="11"/>
      <c r="H5" s="3"/>
      <c r="I5" s="3"/>
      <c r="J5" s="3"/>
      <c r="P5" s="54" t="s">
        <v>924</v>
      </c>
      <c r="Q5" s="54" t="s">
        <v>930</v>
      </c>
      <c r="R5" s="54" t="s">
        <v>1023</v>
      </c>
      <c r="S5" s="54" t="s">
        <v>2038</v>
      </c>
      <c r="U5" s="1" t="s">
        <v>974</v>
      </c>
      <c r="AK5" s="2">
        <f t="shared" si="0"/>
        <v>5</v>
      </c>
      <c r="AM5" s="2">
        <f t="shared" si="1"/>
        <v>2</v>
      </c>
    </row>
    <row r="6" spans="1:41" ht="29" x14ac:dyDescent="0.35">
      <c r="A6" s="5" t="s">
        <v>184</v>
      </c>
      <c r="B6" s="6" t="s">
        <v>185</v>
      </c>
      <c r="C6" s="6" t="s">
        <v>185</v>
      </c>
      <c r="D6" s="5"/>
      <c r="E6" s="1"/>
      <c r="F6" s="10"/>
      <c r="G6" s="10" t="s">
        <v>185</v>
      </c>
      <c r="H6" s="1"/>
      <c r="AK6" s="2">
        <f t="shared" si="0"/>
        <v>2</v>
      </c>
      <c r="AM6" s="2">
        <f t="shared" si="1"/>
        <v>1</v>
      </c>
    </row>
    <row r="7" spans="1:41" ht="29" x14ac:dyDescent="0.35">
      <c r="A7" s="5" t="s">
        <v>186</v>
      </c>
      <c r="C7" s="10" t="s">
        <v>187</v>
      </c>
      <c r="D7" s="5"/>
      <c r="E7" s="1"/>
      <c r="F7" s="1"/>
      <c r="G7" s="66" t="s">
        <v>187</v>
      </c>
      <c r="H7" s="61" t="s">
        <v>12</v>
      </c>
      <c r="I7" s="61" t="s">
        <v>13</v>
      </c>
      <c r="J7" s="53" t="s">
        <v>16</v>
      </c>
      <c r="K7" s="53" t="s">
        <v>896</v>
      </c>
      <c r="L7" s="53" t="s">
        <v>894</v>
      </c>
      <c r="M7" s="54" t="s">
        <v>895</v>
      </c>
      <c r="N7" s="54" t="s">
        <v>44</v>
      </c>
      <c r="O7" s="53" t="s">
        <v>1077</v>
      </c>
      <c r="P7" s="1" t="s">
        <v>916</v>
      </c>
      <c r="AK7" s="2">
        <f t="shared" si="0"/>
        <v>11</v>
      </c>
      <c r="AM7" s="2">
        <f t="shared" si="1"/>
        <v>10</v>
      </c>
    </row>
    <row r="8" spans="1:41" ht="29" x14ac:dyDescent="0.35">
      <c r="A8" s="5" t="s">
        <v>412</v>
      </c>
      <c r="C8" s="6"/>
      <c r="D8" s="5"/>
      <c r="E8" s="1"/>
      <c r="F8" s="1"/>
      <c r="G8" s="1"/>
      <c r="H8" s="61" t="s">
        <v>13</v>
      </c>
      <c r="I8" s="10" t="s">
        <v>189</v>
      </c>
      <c r="AK8" s="2">
        <f t="shared" si="0"/>
        <v>2</v>
      </c>
      <c r="AM8" s="2">
        <f t="shared" si="1"/>
        <v>2</v>
      </c>
    </row>
    <row r="9" spans="1:41" ht="58" x14ac:dyDescent="0.35">
      <c r="A9" s="5" t="s">
        <v>415</v>
      </c>
      <c r="C9" s="6"/>
      <c r="D9" s="5"/>
      <c r="E9" s="1"/>
      <c r="F9" s="1"/>
      <c r="G9" s="1"/>
      <c r="H9" s="66" t="s">
        <v>192</v>
      </c>
      <c r="I9" s="61" t="s">
        <v>194</v>
      </c>
      <c r="J9" s="53" t="s">
        <v>427</v>
      </c>
      <c r="K9" s="61" t="s">
        <v>908</v>
      </c>
      <c r="O9" s="54" t="s">
        <v>1087</v>
      </c>
      <c r="P9" s="53" t="s">
        <v>911</v>
      </c>
      <c r="Q9" s="53" t="s">
        <v>133</v>
      </c>
      <c r="R9" s="53" t="s">
        <v>993</v>
      </c>
      <c r="S9" s="1" t="s">
        <v>1982</v>
      </c>
      <c r="AK9" s="2">
        <f t="shared" si="0"/>
        <v>9</v>
      </c>
      <c r="AM9" s="2">
        <f t="shared" si="1"/>
        <v>7</v>
      </c>
    </row>
    <row r="10" spans="1:41" ht="43.5" x14ac:dyDescent="0.35">
      <c r="A10" s="5" t="s">
        <v>1866</v>
      </c>
      <c r="C10" s="6"/>
      <c r="D10" s="5"/>
      <c r="E10" s="1"/>
      <c r="F10" s="1"/>
      <c r="G10" s="1"/>
      <c r="H10" s="10"/>
      <c r="I10" s="10"/>
      <c r="K10" s="10"/>
      <c r="Q10" s="30" t="s">
        <v>289</v>
      </c>
      <c r="AK10" s="2">
        <f t="shared" si="0"/>
        <v>1</v>
      </c>
      <c r="AM10" s="2">
        <f t="shared" si="1"/>
        <v>0</v>
      </c>
    </row>
    <row r="11" spans="1:41" ht="29" x14ac:dyDescent="0.35">
      <c r="A11" s="5" t="s">
        <v>1867</v>
      </c>
      <c r="C11" s="6"/>
      <c r="D11" s="5"/>
      <c r="E11" s="1"/>
      <c r="F11" s="1"/>
      <c r="G11" s="1"/>
      <c r="H11" s="10"/>
      <c r="I11" s="10"/>
      <c r="K11" s="10"/>
      <c r="Q11" s="30" t="s">
        <v>290</v>
      </c>
      <c r="AK11" s="2">
        <f t="shared" si="0"/>
        <v>1</v>
      </c>
      <c r="AM11" s="2">
        <f t="shared" si="1"/>
        <v>0</v>
      </c>
    </row>
    <row r="12" spans="1:41" x14ac:dyDescent="0.35">
      <c r="A12" s="5" t="s">
        <v>417</v>
      </c>
      <c r="C12" s="1"/>
      <c r="D12" s="5"/>
      <c r="E12" s="1"/>
      <c r="F12" s="1"/>
      <c r="G12" s="1"/>
      <c r="H12" s="10" t="s">
        <v>33</v>
      </c>
      <c r="AK12" s="2">
        <f t="shared" si="0"/>
        <v>1</v>
      </c>
      <c r="AM12" s="2">
        <f t="shared" si="1"/>
        <v>1</v>
      </c>
    </row>
    <row r="13" spans="1:41" x14ac:dyDescent="0.35">
      <c r="A13" s="5" t="s">
        <v>712</v>
      </c>
      <c r="C13" s="1"/>
      <c r="D13" s="5"/>
      <c r="E13" s="1"/>
      <c r="F13" s="1"/>
      <c r="G13" s="1"/>
      <c r="H13" s="10"/>
      <c r="J13" s="1" t="s">
        <v>713</v>
      </c>
      <c r="AK13" s="2">
        <f t="shared" si="0"/>
        <v>1</v>
      </c>
      <c r="AM13" s="2">
        <f t="shared" si="1"/>
        <v>1</v>
      </c>
    </row>
    <row r="14" spans="1:41" ht="29" x14ac:dyDescent="0.35">
      <c r="A14" s="5" t="s">
        <v>714</v>
      </c>
      <c r="C14" s="1"/>
      <c r="D14" s="5"/>
      <c r="E14" s="1"/>
      <c r="F14" s="1"/>
      <c r="G14" s="1"/>
      <c r="H14" s="10"/>
      <c r="J14" s="1" t="s">
        <v>715</v>
      </c>
      <c r="AK14" s="2">
        <f t="shared" si="0"/>
        <v>1</v>
      </c>
      <c r="AM14" s="2">
        <f t="shared" si="1"/>
        <v>1</v>
      </c>
    </row>
    <row r="15" spans="1:41" ht="43.5" x14ac:dyDescent="0.35">
      <c r="A15" s="5" t="s">
        <v>430</v>
      </c>
      <c r="C15" s="5"/>
      <c r="D15" s="5"/>
      <c r="E15" s="1"/>
      <c r="F15" s="1"/>
      <c r="G15" s="1"/>
      <c r="H15" s="61" t="s">
        <v>431</v>
      </c>
      <c r="I15" s="61" t="s">
        <v>427</v>
      </c>
      <c r="J15" s="1" t="s">
        <v>64</v>
      </c>
      <c r="AK15" s="2">
        <f t="shared" si="0"/>
        <v>3</v>
      </c>
      <c r="AM15" s="2">
        <f t="shared" si="1"/>
        <v>3</v>
      </c>
    </row>
    <row r="16" spans="1:41" ht="29" x14ac:dyDescent="0.35">
      <c r="A16" s="5" t="s">
        <v>434</v>
      </c>
      <c r="C16" s="1"/>
      <c r="D16" s="5"/>
      <c r="E16" s="1"/>
      <c r="F16" s="1"/>
      <c r="G16" s="1"/>
      <c r="H16" s="10" t="s">
        <v>432</v>
      </c>
      <c r="AK16" s="2">
        <f t="shared" si="0"/>
        <v>1</v>
      </c>
      <c r="AM16" s="2">
        <f t="shared" si="1"/>
        <v>1</v>
      </c>
    </row>
    <row r="17" spans="1:39" ht="43.5" x14ac:dyDescent="0.35">
      <c r="A17" s="5" t="s">
        <v>435</v>
      </c>
      <c r="C17" s="1"/>
      <c r="D17" s="5"/>
      <c r="E17" s="1"/>
      <c r="F17" s="1"/>
      <c r="G17" s="1"/>
      <c r="H17" s="10" t="s">
        <v>433</v>
      </c>
      <c r="I17" s="10" t="s">
        <v>433</v>
      </c>
      <c r="AK17" s="2">
        <f t="shared" si="0"/>
        <v>2</v>
      </c>
      <c r="AM17" s="2">
        <f t="shared" si="1"/>
        <v>2</v>
      </c>
    </row>
    <row r="18" spans="1:39" ht="29" x14ac:dyDescent="0.35">
      <c r="A18" s="5" t="s">
        <v>616</v>
      </c>
      <c r="C18" s="1"/>
      <c r="D18" s="5"/>
      <c r="E18" s="1"/>
      <c r="F18" s="1"/>
      <c r="G18" s="1"/>
      <c r="H18" s="1"/>
      <c r="I18" s="10" t="s">
        <v>432</v>
      </c>
      <c r="J18" s="12" t="s">
        <v>649</v>
      </c>
      <c r="AK18" s="2">
        <f t="shared" si="0"/>
        <v>2</v>
      </c>
      <c r="AM18" s="2">
        <f t="shared" si="1"/>
        <v>2</v>
      </c>
    </row>
    <row r="19" spans="1:39" x14ac:dyDescent="0.35">
      <c r="A19" s="5" t="s">
        <v>3081</v>
      </c>
      <c r="C19" s="1"/>
      <c r="D19" s="5"/>
      <c r="E19" s="1"/>
      <c r="F19" s="1"/>
      <c r="G19" s="1"/>
      <c r="H19" s="1"/>
      <c r="J19" s="66" t="s">
        <v>185</v>
      </c>
      <c r="K19" s="61" t="s">
        <v>878</v>
      </c>
      <c r="O19" s="53" t="s">
        <v>1441</v>
      </c>
      <c r="P19" s="53" t="s">
        <v>1676</v>
      </c>
      <c r="Q19" s="53" t="s">
        <v>1779</v>
      </c>
      <c r="R19" s="53" t="s">
        <v>1966</v>
      </c>
      <c r="S19" s="53" t="s">
        <v>1967</v>
      </c>
      <c r="U19" s="53" t="s">
        <v>1194</v>
      </c>
      <c r="W19" s="54" t="s">
        <v>37</v>
      </c>
      <c r="AI19" s="1" t="s">
        <v>909</v>
      </c>
      <c r="AK19" s="2">
        <f t="shared" si="0"/>
        <v>10</v>
      </c>
      <c r="AM19" s="2">
        <f t="shared" si="1"/>
        <v>5</v>
      </c>
    </row>
    <row r="20" spans="1:39" x14ac:dyDescent="0.35">
      <c r="A20" s="5" t="s">
        <v>708</v>
      </c>
      <c r="C20" s="1"/>
      <c r="D20" s="5"/>
      <c r="E20" s="1"/>
      <c r="F20" s="1"/>
      <c r="G20" s="1"/>
      <c r="H20" s="1"/>
      <c r="J20" s="66" t="s">
        <v>10</v>
      </c>
      <c r="K20" s="61" t="s">
        <v>879</v>
      </c>
      <c r="O20" s="53" t="s">
        <v>1443</v>
      </c>
      <c r="P20" s="53" t="s">
        <v>1677</v>
      </c>
      <c r="Q20" s="53" t="s">
        <v>1263</v>
      </c>
      <c r="R20" s="53" t="s">
        <v>971</v>
      </c>
      <c r="S20" s="53" t="s">
        <v>1968</v>
      </c>
      <c r="U20" s="53" t="s">
        <v>1021</v>
      </c>
      <c r="W20" s="54" t="s">
        <v>39</v>
      </c>
      <c r="AI20" s="1" t="s">
        <v>910</v>
      </c>
      <c r="AK20" s="2">
        <f t="shared" si="0"/>
        <v>10</v>
      </c>
      <c r="AM20" s="2">
        <f t="shared" si="1"/>
        <v>5</v>
      </c>
    </row>
    <row r="21" spans="1:39" x14ac:dyDescent="0.35">
      <c r="A21" s="5" t="s">
        <v>709</v>
      </c>
      <c r="C21" s="1"/>
      <c r="D21" s="5"/>
      <c r="E21" s="1"/>
      <c r="F21" s="1"/>
      <c r="G21" s="1"/>
      <c r="H21" s="1"/>
      <c r="J21" s="66" t="s">
        <v>11</v>
      </c>
      <c r="K21" s="61" t="s">
        <v>883</v>
      </c>
      <c r="O21" s="53" t="s">
        <v>1057</v>
      </c>
      <c r="P21" s="53" t="s">
        <v>873</v>
      </c>
      <c r="Q21" s="53" t="s">
        <v>1264</v>
      </c>
      <c r="R21" s="53" t="s">
        <v>972</v>
      </c>
      <c r="S21" s="53" t="s">
        <v>1969</v>
      </c>
      <c r="U21" s="53" t="s">
        <v>1023</v>
      </c>
      <c r="W21" s="54" t="s">
        <v>421</v>
      </c>
      <c r="AI21" s="1" t="s">
        <v>911</v>
      </c>
      <c r="AK21" s="2">
        <f t="shared" si="0"/>
        <v>10</v>
      </c>
      <c r="AM21" s="2">
        <f t="shared" si="1"/>
        <v>5</v>
      </c>
    </row>
    <row r="22" spans="1:39" x14ac:dyDescent="0.35">
      <c r="A22" s="5" t="s">
        <v>2335</v>
      </c>
      <c r="C22" s="1"/>
      <c r="D22" s="5"/>
      <c r="E22" s="1"/>
      <c r="F22" s="1"/>
      <c r="G22" s="1"/>
      <c r="H22" s="1"/>
      <c r="J22" s="10"/>
      <c r="K22" s="10"/>
      <c r="U22" s="1" t="s">
        <v>1024</v>
      </c>
      <c r="AK22" s="2">
        <f t="shared" si="0"/>
        <v>1</v>
      </c>
      <c r="AM22" s="2">
        <f t="shared" si="1"/>
        <v>0</v>
      </c>
    </row>
    <row r="23" spans="1:39" x14ac:dyDescent="0.35">
      <c r="A23" s="5" t="s">
        <v>2336</v>
      </c>
      <c r="C23" s="1"/>
      <c r="D23" s="5"/>
      <c r="E23" s="1"/>
      <c r="F23" s="1"/>
      <c r="G23" s="1"/>
      <c r="H23" s="1"/>
      <c r="J23" s="10"/>
      <c r="K23" s="10"/>
      <c r="U23" s="1" t="s">
        <v>1026</v>
      </c>
      <c r="AK23" s="2">
        <f t="shared" si="0"/>
        <v>1</v>
      </c>
      <c r="AM23" s="2">
        <f t="shared" si="1"/>
        <v>0</v>
      </c>
    </row>
    <row r="24" spans="1:39" x14ac:dyDescent="0.35">
      <c r="A24" s="5" t="s">
        <v>2337</v>
      </c>
      <c r="C24" s="1"/>
      <c r="D24" s="5"/>
      <c r="E24" s="1"/>
      <c r="F24" s="1"/>
      <c r="G24" s="1"/>
      <c r="H24" s="1"/>
      <c r="J24" s="10"/>
      <c r="K24" s="10"/>
      <c r="U24" s="1" t="s">
        <v>1027</v>
      </c>
      <c r="AK24" s="2">
        <f t="shared" si="0"/>
        <v>1</v>
      </c>
      <c r="AM24" s="2">
        <f t="shared" si="1"/>
        <v>0</v>
      </c>
    </row>
    <row r="25" spans="1:39" ht="43.5" x14ac:dyDescent="0.35">
      <c r="A25" s="5" t="s">
        <v>719</v>
      </c>
      <c r="C25" s="1"/>
      <c r="D25" s="5"/>
      <c r="E25" s="1"/>
      <c r="F25" s="1"/>
      <c r="G25" s="1"/>
      <c r="H25" s="1"/>
      <c r="J25" s="61" t="s">
        <v>34</v>
      </c>
      <c r="K25" s="61" t="s">
        <v>881</v>
      </c>
      <c r="P25" s="1" t="s">
        <v>1319</v>
      </c>
      <c r="AK25" s="2">
        <f t="shared" si="0"/>
        <v>3</v>
      </c>
      <c r="AM25" s="2">
        <f t="shared" si="1"/>
        <v>3</v>
      </c>
    </row>
    <row r="26" spans="1:39" x14ac:dyDescent="0.35">
      <c r="A26" s="5" t="s">
        <v>720</v>
      </c>
      <c r="C26" s="5"/>
      <c r="D26" s="5"/>
      <c r="E26" s="1"/>
      <c r="F26" s="1"/>
      <c r="G26" s="1"/>
      <c r="H26" s="1"/>
      <c r="J26" s="61" t="s">
        <v>39</v>
      </c>
      <c r="K26" s="10" t="s">
        <v>903</v>
      </c>
      <c r="AK26" s="2">
        <f t="shared" si="0"/>
        <v>2</v>
      </c>
      <c r="AM26" s="2">
        <f t="shared" si="1"/>
        <v>2</v>
      </c>
    </row>
    <row r="27" spans="1:39" x14ac:dyDescent="0.35">
      <c r="A27" s="5" t="s">
        <v>717</v>
      </c>
      <c r="C27" s="5"/>
      <c r="D27" s="5"/>
      <c r="E27" s="1"/>
      <c r="F27" s="1"/>
      <c r="G27" s="1"/>
      <c r="H27" s="61" t="s">
        <v>39</v>
      </c>
      <c r="J27" s="61" t="s">
        <v>422</v>
      </c>
      <c r="K27" s="61" t="s">
        <v>904</v>
      </c>
      <c r="P27" s="1" t="s">
        <v>1330</v>
      </c>
      <c r="AK27" s="2">
        <f t="shared" si="0"/>
        <v>4</v>
      </c>
      <c r="AM27" s="2">
        <f t="shared" si="1"/>
        <v>4</v>
      </c>
    </row>
    <row r="28" spans="1:39" ht="29" x14ac:dyDescent="0.35">
      <c r="A28" s="5" t="s">
        <v>1208</v>
      </c>
      <c r="C28" s="5"/>
      <c r="D28" s="5"/>
      <c r="E28" s="1"/>
      <c r="F28" s="1"/>
      <c r="G28" s="1"/>
      <c r="H28" s="1"/>
      <c r="M28" s="54" t="s">
        <v>876</v>
      </c>
      <c r="N28" s="54" t="s">
        <v>189</v>
      </c>
      <c r="O28" s="1" t="s">
        <v>367</v>
      </c>
      <c r="AK28" s="2">
        <f t="shared" si="0"/>
        <v>3</v>
      </c>
      <c r="AM28" s="2">
        <f t="shared" si="1"/>
        <v>3</v>
      </c>
    </row>
    <row r="29" spans="1:39" ht="43.5" x14ac:dyDescent="0.35">
      <c r="A29" s="5" t="s">
        <v>1270</v>
      </c>
      <c r="C29" s="5"/>
      <c r="D29" s="5"/>
      <c r="E29" s="1"/>
      <c r="F29" s="1"/>
      <c r="G29" s="1"/>
      <c r="H29" s="1"/>
      <c r="N29" s="1" t="s">
        <v>190</v>
      </c>
      <c r="AK29" s="2">
        <f t="shared" si="0"/>
        <v>1</v>
      </c>
      <c r="AM29" s="2">
        <f t="shared" si="1"/>
        <v>1</v>
      </c>
    </row>
    <row r="30" spans="1:39" ht="29" x14ac:dyDescent="0.35">
      <c r="A30" s="5" t="s">
        <v>1266</v>
      </c>
      <c r="C30" s="5"/>
      <c r="D30" s="5"/>
      <c r="E30" s="1"/>
      <c r="F30" s="1"/>
      <c r="G30" s="1"/>
      <c r="H30" s="1"/>
      <c r="N30" s="1" t="s">
        <v>183</v>
      </c>
      <c r="AK30" s="2">
        <f t="shared" si="0"/>
        <v>1</v>
      </c>
      <c r="AM30" s="2">
        <f t="shared" si="1"/>
        <v>1</v>
      </c>
    </row>
    <row r="31" spans="1:39" ht="43.5" x14ac:dyDescent="0.35">
      <c r="A31" s="5" t="s">
        <v>1267</v>
      </c>
      <c r="C31" s="5"/>
      <c r="D31" s="5"/>
      <c r="E31" s="1"/>
      <c r="F31" s="1"/>
      <c r="G31" s="1"/>
      <c r="H31" s="1"/>
      <c r="N31" s="1" t="s">
        <v>185</v>
      </c>
      <c r="AK31" s="2">
        <f t="shared" si="0"/>
        <v>1</v>
      </c>
      <c r="AM31" s="2">
        <f t="shared" si="1"/>
        <v>1</v>
      </c>
    </row>
    <row r="32" spans="1:39" ht="29" x14ac:dyDescent="0.35">
      <c r="A32" s="24" t="s">
        <v>1493</v>
      </c>
      <c r="C32" s="5"/>
      <c r="D32" s="31"/>
      <c r="E32" s="1"/>
      <c r="F32" s="1"/>
      <c r="G32" s="1"/>
      <c r="H32" s="1"/>
      <c r="O32" s="1" t="s">
        <v>366</v>
      </c>
      <c r="AK32" s="2">
        <f t="shared" si="0"/>
        <v>1</v>
      </c>
      <c r="AM32" s="2">
        <f t="shared" si="1"/>
        <v>1</v>
      </c>
    </row>
    <row r="33" spans="1:39" ht="29" x14ac:dyDescent="0.35">
      <c r="A33" s="5" t="s">
        <v>1682</v>
      </c>
      <c r="C33" s="5"/>
      <c r="D33" s="5"/>
      <c r="E33" s="1"/>
      <c r="F33" s="1"/>
      <c r="G33" s="1"/>
      <c r="H33" s="1"/>
      <c r="P33" s="53" t="s">
        <v>889</v>
      </c>
      <c r="Q33" s="53" t="s">
        <v>10</v>
      </c>
      <c r="R33" s="53" t="s">
        <v>976</v>
      </c>
      <c r="S33" s="1" t="s">
        <v>1980</v>
      </c>
      <c r="AK33" s="2">
        <f t="shared" si="0"/>
        <v>4</v>
      </c>
      <c r="AM33" s="2">
        <f t="shared" si="1"/>
        <v>2</v>
      </c>
    </row>
    <row r="34" spans="1:39" ht="29" x14ac:dyDescent="0.35">
      <c r="A34" s="5" t="s">
        <v>3013</v>
      </c>
      <c r="C34" s="5"/>
      <c r="D34" s="5"/>
      <c r="E34" s="1"/>
      <c r="F34" s="1"/>
      <c r="G34" s="1"/>
      <c r="H34" s="1"/>
      <c r="AG34" s="53" t="s">
        <v>1067</v>
      </c>
      <c r="AH34" s="53" t="s">
        <v>1073</v>
      </c>
      <c r="AI34" s="1" t="s">
        <v>364</v>
      </c>
      <c r="AK34" s="2">
        <f t="shared" si="0"/>
        <v>3</v>
      </c>
      <c r="AM34" s="2">
        <f t="shared" si="1"/>
        <v>0</v>
      </c>
    </row>
    <row r="35" spans="1:39" ht="29" x14ac:dyDescent="0.35">
      <c r="A35" s="5" t="s">
        <v>1686</v>
      </c>
      <c r="C35" s="5"/>
      <c r="D35" s="5"/>
      <c r="E35" s="1"/>
      <c r="F35" s="1"/>
      <c r="G35" s="1"/>
      <c r="H35" s="1"/>
      <c r="P35" s="1" t="s">
        <v>898</v>
      </c>
      <c r="AK35" s="2">
        <f t="shared" si="0"/>
        <v>1</v>
      </c>
      <c r="AM35" s="2">
        <f t="shared" si="1"/>
        <v>1</v>
      </c>
    </row>
    <row r="36" spans="1:39" x14ac:dyDescent="0.35">
      <c r="A36" s="5" t="s">
        <v>1687</v>
      </c>
      <c r="C36" s="5"/>
      <c r="D36" s="5"/>
      <c r="E36" s="1"/>
      <c r="F36" s="1"/>
      <c r="G36" s="1"/>
      <c r="H36" s="1"/>
      <c r="P36" s="1" t="s">
        <v>880</v>
      </c>
      <c r="AK36" s="2">
        <f t="shared" si="0"/>
        <v>1</v>
      </c>
      <c r="AM36" s="2">
        <f t="shared" si="1"/>
        <v>1</v>
      </c>
    </row>
    <row r="37" spans="1:39" x14ac:dyDescent="0.35">
      <c r="A37" s="5" t="s">
        <v>1688</v>
      </c>
      <c r="C37" s="5"/>
      <c r="D37" s="5"/>
      <c r="E37" s="1"/>
      <c r="F37" s="1"/>
      <c r="G37" s="1"/>
      <c r="H37" s="1"/>
      <c r="P37" s="1" t="s">
        <v>899</v>
      </c>
      <c r="AK37" s="2">
        <f t="shared" si="0"/>
        <v>1</v>
      </c>
      <c r="AM37" s="2">
        <f t="shared" si="1"/>
        <v>1</v>
      </c>
    </row>
    <row r="38" spans="1:39" x14ac:dyDescent="0.35">
      <c r="A38" s="5" t="s">
        <v>1689</v>
      </c>
      <c r="C38" s="5"/>
      <c r="D38" s="5"/>
      <c r="E38" s="1"/>
      <c r="F38" s="1"/>
      <c r="G38" s="1"/>
      <c r="H38" s="1"/>
      <c r="P38" s="1" t="s">
        <v>900</v>
      </c>
      <c r="AK38" s="2">
        <f t="shared" si="0"/>
        <v>1</v>
      </c>
      <c r="AM38" s="2">
        <f t="shared" si="1"/>
        <v>1</v>
      </c>
    </row>
    <row r="39" spans="1:39" x14ac:dyDescent="0.35">
      <c r="A39" s="5" t="s">
        <v>1690</v>
      </c>
      <c r="C39" s="5"/>
      <c r="D39" s="5"/>
      <c r="E39" s="1"/>
      <c r="F39" s="1"/>
      <c r="G39" s="1"/>
      <c r="H39" s="1"/>
      <c r="P39" s="1" t="s">
        <v>881</v>
      </c>
      <c r="AK39" s="2">
        <f t="shared" si="0"/>
        <v>1</v>
      </c>
      <c r="AM39" s="2">
        <f t="shared" si="1"/>
        <v>1</v>
      </c>
    </row>
    <row r="40" spans="1:39" ht="29" x14ac:dyDescent="0.35">
      <c r="A40" s="5" t="s">
        <v>1691</v>
      </c>
      <c r="C40" s="5"/>
      <c r="D40" s="5"/>
      <c r="E40" s="1"/>
      <c r="F40" s="1"/>
      <c r="G40" s="1"/>
      <c r="H40" s="1"/>
      <c r="P40" s="53" t="s">
        <v>903</v>
      </c>
      <c r="Q40" s="53" t="s">
        <v>499</v>
      </c>
      <c r="R40" s="53" t="s">
        <v>984</v>
      </c>
      <c r="S40" s="1" t="s">
        <v>1987</v>
      </c>
      <c r="AK40" s="2">
        <f t="shared" si="0"/>
        <v>4</v>
      </c>
      <c r="AM40" s="2">
        <f t="shared" si="1"/>
        <v>2</v>
      </c>
    </row>
    <row r="41" spans="1:39" x14ac:dyDescent="0.35">
      <c r="A41" s="5" t="s">
        <v>1697</v>
      </c>
      <c r="C41" s="5"/>
      <c r="D41" s="5"/>
      <c r="E41" s="1"/>
      <c r="F41" s="1"/>
      <c r="G41" s="1"/>
      <c r="H41" s="1"/>
      <c r="P41" s="1" t="s">
        <v>901</v>
      </c>
      <c r="AK41" s="2">
        <f t="shared" si="0"/>
        <v>1</v>
      </c>
      <c r="AM41" s="2">
        <f t="shared" si="1"/>
        <v>1</v>
      </c>
    </row>
    <row r="42" spans="1:39" x14ac:dyDescent="0.35">
      <c r="A42" s="5" t="s">
        <v>1692</v>
      </c>
      <c r="C42" s="5"/>
      <c r="D42" s="5"/>
      <c r="E42" s="1"/>
      <c r="F42" s="1"/>
      <c r="G42" s="1"/>
      <c r="H42" s="1"/>
      <c r="P42" s="53" t="s">
        <v>902</v>
      </c>
      <c r="Q42" s="53" t="s">
        <v>500</v>
      </c>
      <c r="R42" s="53" t="s">
        <v>985</v>
      </c>
      <c r="S42" s="1" t="s">
        <v>1996</v>
      </c>
      <c r="AK42" s="2">
        <f t="shared" si="0"/>
        <v>4</v>
      </c>
      <c r="AM42" s="2">
        <f t="shared" si="1"/>
        <v>2</v>
      </c>
    </row>
    <row r="43" spans="1:39" x14ac:dyDescent="0.35">
      <c r="A43" s="5" t="s">
        <v>1836</v>
      </c>
      <c r="C43" s="5"/>
      <c r="D43" s="5"/>
      <c r="E43" s="1"/>
      <c r="F43" s="1"/>
      <c r="G43" s="1"/>
      <c r="H43" s="1"/>
      <c r="P43" s="53" t="s">
        <v>904</v>
      </c>
      <c r="Q43" s="53" t="s">
        <v>501</v>
      </c>
      <c r="R43" s="53" t="s">
        <v>986</v>
      </c>
      <c r="S43" s="1" t="s">
        <v>1985</v>
      </c>
      <c r="AK43" s="2">
        <f t="shared" si="0"/>
        <v>4</v>
      </c>
      <c r="AM43" s="2">
        <f t="shared" si="1"/>
        <v>2</v>
      </c>
    </row>
    <row r="44" spans="1:39" x14ac:dyDescent="0.35">
      <c r="A44" s="5" t="s">
        <v>1693</v>
      </c>
      <c r="C44" s="5"/>
      <c r="D44" s="5"/>
      <c r="E44" s="1"/>
      <c r="F44" s="1"/>
      <c r="G44" s="1"/>
      <c r="H44" s="1"/>
      <c r="P44" s="53" t="s">
        <v>906</v>
      </c>
      <c r="Q44" s="53" t="s">
        <v>503</v>
      </c>
      <c r="R44" s="53" t="s">
        <v>988</v>
      </c>
      <c r="S44" s="1" t="s">
        <v>1997</v>
      </c>
      <c r="AK44" s="2">
        <f t="shared" si="0"/>
        <v>4</v>
      </c>
      <c r="AM44" s="2">
        <f t="shared" si="1"/>
        <v>2</v>
      </c>
    </row>
    <row r="45" spans="1:39" x14ac:dyDescent="0.35">
      <c r="A45" s="5" t="s">
        <v>1837</v>
      </c>
      <c r="C45" s="5"/>
      <c r="D45" s="5"/>
      <c r="E45" s="1"/>
      <c r="F45" s="1"/>
      <c r="G45" s="1"/>
      <c r="H45" s="1"/>
      <c r="Q45" s="53" t="s">
        <v>504</v>
      </c>
      <c r="R45" s="53" t="s">
        <v>989</v>
      </c>
      <c r="S45" s="1" t="s">
        <v>1998</v>
      </c>
      <c r="AK45" s="2">
        <f t="shared" si="0"/>
        <v>3</v>
      </c>
      <c r="AM45" s="2">
        <f t="shared" si="1"/>
        <v>1</v>
      </c>
    </row>
    <row r="46" spans="1:39" x14ac:dyDescent="0.35">
      <c r="A46" s="5" t="s">
        <v>1694</v>
      </c>
      <c r="C46" s="5"/>
      <c r="D46" s="5"/>
      <c r="E46" s="1"/>
      <c r="F46" s="1"/>
      <c r="G46" s="1"/>
      <c r="H46" s="1"/>
      <c r="P46" s="1" t="s">
        <v>907</v>
      </c>
      <c r="AK46" s="2">
        <f t="shared" si="0"/>
        <v>1</v>
      </c>
      <c r="AM46" s="2">
        <f t="shared" si="1"/>
        <v>1</v>
      </c>
    </row>
    <row r="47" spans="1:39" x14ac:dyDescent="0.35">
      <c r="A47" s="5" t="s">
        <v>1695</v>
      </c>
      <c r="C47" s="5"/>
      <c r="D47" s="5"/>
      <c r="E47" s="1"/>
      <c r="F47" s="1"/>
      <c r="G47" s="1"/>
      <c r="H47" s="1"/>
      <c r="P47" s="53" t="s">
        <v>908</v>
      </c>
      <c r="Q47" s="53" t="s">
        <v>502</v>
      </c>
      <c r="R47" s="53" t="s">
        <v>987</v>
      </c>
      <c r="S47" s="1" t="s">
        <v>1986</v>
      </c>
      <c r="AK47" s="2">
        <f t="shared" si="0"/>
        <v>4</v>
      </c>
      <c r="AM47" s="2">
        <f t="shared" si="1"/>
        <v>2</v>
      </c>
    </row>
    <row r="48" spans="1:39" x14ac:dyDescent="0.35">
      <c r="A48" s="5" t="s">
        <v>1696</v>
      </c>
      <c r="C48" s="5"/>
      <c r="D48" s="5"/>
      <c r="E48" s="1"/>
      <c r="F48" s="1"/>
      <c r="G48" s="1"/>
      <c r="H48" s="1"/>
      <c r="P48" s="1" t="s">
        <v>909</v>
      </c>
      <c r="AK48" s="2">
        <f t="shared" si="0"/>
        <v>1</v>
      </c>
      <c r="AM48" s="2">
        <f t="shared" si="1"/>
        <v>1</v>
      </c>
    </row>
    <row r="49" spans="1:39" x14ac:dyDescent="0.35">
      <c r="A49" s="5" t="s">
        <v>1838</v>
      </c>
      <c r="C49" s="5"/>
      <c r="D49" s="5"/>
      <c r="E49" s="1"/>
      <c r="F49" s="1"/>
      <c r="G49" s="1"/>
      <c r="H49" s="1"/>
      <c r="Q49" s="53" t="s">
        <v>656</v>
      </c>
      <c r="R49" s="53" t="s">
        <v>990</v>
      </c>
      <c r="S49" s="1" t="s">
        <v>1999</v>
      </c>
      <c r="AK49" s="2">
        <f t="shared" si="0"/>
        <v>3</v>
      </c>
      <c r="AM49" s="2">
        <f t="shared" si="1"/>
        <v>1</v>
      </c>
    </row>
    <row r="50" spans="1:39" ht="58" x14ac:dyDescent="0.35">
      <c r="A50" s="5" t="s">
        <v>1698</v>
      </c>
      <c r="C50" s="5"/>
      <c r="D50" s="5"/>
      <c r="E50" s="1"/>
      <c r="F50" s="1"/>
      <c r="G50" s="1"/>
      <c r="H50" s="1"/>
      <c r="P50" s="53" t="s">
        <v>912</v>
      </c>
      <c r="Q50" s="53" t="s">
        <v>187</v>
      </c>
      <c r="R50" s="53" t="s">
        <v>995</v>
      </c>
      <c r="S50" s="1" t="s">
        <v>1983</v>
      </c>
      <c r="AK50" s="2">
        <f t="shared" si="0"/>
        <v>4</v>
      </c>
      <c r="AM50" s="2">
        <f t="shared" si="1"/>
        <v>2</v>
      </c>
    </row>
    <row r="51" spans="1:39" ht="72.5" x14ac:dyDescent="0.35">
      <c r="A51" s="5" t="s">
        <v>1784</v>
      </c>
      <c r="C51" s="5"/>
      <c r="D51" s="5"/>
      <c r="E51" s="1"/>
      <c r="F51" s="1"/>
      <c r="G51" s="1"/>
      <c r="H51" s="1"/>
      <c r="Q51" s="53" t="s">
        <v>11</v>
      </c>
      <c r="R51" s="53" t="s">
        <v>994</v>
      </c>
      <c r="S51" s="1" t="s">
        <v>2002</v>
      </c>
      <c r="AK51" s="2">
        <f t="shared" si="0"/>
        <v>3</v>
      </c>
      <c r="AM51" s="2">
        <f t="shared" si="1"/>
        <v>1</v>
      </c>
    </row>
    <row r="52" spans="1:39" ht="29" x14ac:dyDescent="0.35">
      <c r="A52" s="5" t="s">
        <v>1785</v>
      </c>
      <c r="C52" s="5"/>
      <c r="D52" s="5"/>
      <c r="E52" s="1"/>
      <c r="F52" s="1"/>
      <c r="G52" s="1"/>
      <c r="H52" s="1"/>
      <c r="Q52" s="30" t="s">
        <v>12</v>
      </c>
      <c r="AK52" s="2">
        <f t="shared" si="0"/>
        <v>1</v>
      </c>
      <c r="AM52" s="2">
        <f t="shared" si="1"/>
        <v>0</v>
      </c>
    </row>
    <row r="53" spans="1:39" ht="29" x14ac:dyDescent="0.35">
      <c r="A53" s="5" t="s">
        <v>1790</v>
      </c>
      <c r="C53" s="5"/>
      <c r="D53" s="5"/>
      <c r="E53" s="1"/>
      <c r="F53" s="1"/>
      <c r="G53" s="1"/>
      <c r="H53" s="1"/>
      <c r="Q53" s="30" t="s">
        <v>16</v>
      </c>
      <c r="AK53" s="2">
        <f t="shared" si="0"/>
        <v>1</v>
      </c>
      <c r="AM53" s="2">
        <f t="shared" si="1"/>
        <v>0</v>
      </c>
    </row>
    <row r="54" spans="1:39" ht="29" x14ac:dyDescent="0.35">
      <c r="A54" s="5" t="s">
        <v>1791</v>
      </c>
      <c r="C54" s="5"/>
      <c r="D54" s="5"/>
      <c r="E54" s="1"/>
      <c r="F54" s="1"/>
      <c r="G54" s="1"/>
      <c r="H54" s="1"/>
      <c r="Q54" s="30" t="s">
        <v>17</v>
      </c>
      <c r="AK54" s="2">
        <f t="shared" si="0"/>
        <v>1</v>
      </c>
      <c r="AM54" s="2">
        <f t="shared" si="1"/>
        <v>0</v>
      </c>
    </row>
    <row r="55" spans="1:39" ht="29" x14ac:dyDescent="0.35">
      <c r="A55" s="5" t="s">
        <v>1792</v>
      </c>
      <c r="C55" s="5"/>
      <c r="D55" s="5"/>
      <c r="E55" s="1"/>
      <c r="F55" s="1"/>
      <c r="G55" s="1"/>
      <c r="H55" s="1"/>
      <c r="Q55" s="30" t="s">
        <v>192</v>
      </c>
      <c r="AK55" s="2">
        <f t="shared" si="0"/>
        <v>1</v>
      </c>
      <c r="AM55" s="2">
        <f t="shared" si="1"/>
        <v>0</v>
      </c>
    </row>
    <row r="56" spans="1:39" ht="43.5" x14ac:dyDescent="0.35">
      <c r="A56" s="5" t="s">
        <v>1793</v>
      </c>
      <c r="C56" s="5"/>
      <c r="D56" s="5"/>
      <c r="E56" s="1"/>
      <c r="F56" s="1"/>
      <c r="G56" s="1"/>
      <c r="H56" s="1"/>
      <c r="Q56" s="30" t="s">
        <v>194</v>
      </c>
      <c r="AK56" s="2">
        <f t="shared" si="0"/>
        <v>1</v>
      </c>
      <c r="AM56" s="2">
        <f t="shared" si="1"/>
        <v>0</v>
      </c>
    </row>
    <row r="57" spans="1:39" ht="43.5" x14ac:dyDescent="0.35">
      <c r="A57" s="5" t="s">
        <v>1795</v>
      </c>
      <c r="C57" s="5"/>
      <c r="D57" s="5"/>
      <c r="E57" s="1"/>
      <c r="F57" s="1"/>
      <c r="G57" s="1"/>
      <c r="H57" s="1"/>
      <c r="Q57" s="30" t="s">
        <v>37</v>
      </c>
      <c r="AK57" s="2">
        <f t="shared" si="0"/>
        <v>1</v>
      </c>
      <c r="AM57" s="2">
        <f t="shared" si="1"/>
        <v>0</v>
      </c>
    </row>
    <row r="58" spans="1:39" x14ac:dyDescent="0.35">
      <c r="A58" s="5" t="s">
        <v>1796</v>
      </c>
      <c r="C58" s="5"/>
      <c r="D58" s="5"/>
      <c r="E58" s="1"/>
      <c r="F58" s="1"/>
      <c r="G58" s="1"/>
      <c r="H58" s="1"/>
      <c r="Q58" s="30" t="s">
        <v>39</v>
      </c>
      <c r="AK58" s="2">
        <f t="shared" si="0"/>
        <v>1</v>
      </c>
      <c r="AM58" s="2">
        <f t="shared" si="1"/>
        <v>0</v>
      </c>
    </row>
    <row r="59" spans="1:39" ht="29" x14ac:dyDescent="0.35">
      <c r="A59" s="5" t="s">
        <v>1797</v>
      </c>
      <c r="C59" s="5"/>
      <c r="D59" s="5"/>
      <c r="E59" s="1"/>
      <c r="F59" s="1"/>
      <c r="G59" s="1"/>
      <c r="H59" s="1"/>
      <c r="Q59" s="30" t="s">
        <v>421</v>
      </c>
      <c r="AK59" s="2">
        <f t="shared" si="0"/>
        <v>1</v>
      </c>
      <c r="AM59" s="2">
        <f t="shared" si="1"/>
        <v>0</v>
      </c>
    </row>
    <row r="60" spans="1:39" x14ac:dyDescent="0.35">
      <c r="A60" s="5" t="s">
        <v>1798</v>
      </c>
      <c r="C60" s="5"/>
      <c r="D60" s="5"/>
      <c r="E60" s="1"/>
      <c r="F60" s="1"/>
      <c r="G60" s="1"/>
      <c r="H60" s="1"/>
      <c r="Q60" s="30" t="s">
        <v>422</v>
      </c>
      <c r="AK60" s="2">
        <f t="shared" si="0"/>
        <v>1</v>
      </c>
      <c r="AM60" s="2">
        <f t="shared" si="1"/>
        <v>0</v>
      </c>
    </row>
    <row r="61" spans="1:39" x14ac:dyDescent="0.35">
      <c r="A61" s="5" t="s">
        <v>1799</v>
      </c>
      <c r="C61" s="5"/>
      <c r="D61" s="5"/>
      <c r="E61" s="1"/>
      <c r="F61" s="1"/>
      <c r="G61" s="1"/>
      <c r="H61" s="1"/>
      <c r="Q61" s="30" t="s">
        <v>424</v>
      </c>
      <c r="AK61" s="2">
        <f t="shared" si="0"/>
        <v>1</v>
      </c>
      <c r="AM61" s="2">
        <f t="shared" si="1"/>
        <v>0</v>
      </c>
    </row>
    <row r="62" spans="1:39" x14ac:dyDescent="0.35">
      <c r="A62" s="5" t="s">
        <v>1800</v>
      </c>
      <c r="C62" s="5"/>
      <c r="D62" s="5"/>
      <c r="E62" s="1"/>
      <c r="F62" s="1"/>
      <c r="G62" s="1"/>
      <c r="H62" s="1"/>
      <c r="Q62" s="30" t="s">
        <v>425</v>
      </c>
      <c r="AK62" s="2">
        <f t="shared" si="0"/>
        <v>1</v>
      </c>
      <c r="AM62" s="2">
        <f t="shared" si="1"/>
        <v>0</v>
      </c>
    </row>
    <row r="63" spans="1:39" ht="43.5" x14ac:dyDescent="0.35">
      <c r="A63" s="5" t="s">
        <v>1801</v>
      </c>
      <c r="C63" s="5"/>
      <c r="D63" s="5"/>
      <c r="E63" s="1"/>
      <c r="F63" s="1"/>
      <c r="G63" s="1"/>
      <c r="H63" s="1"/>
      <c r="Q63" s="30" t="s">
        <v>427</v>
      </c>
      <c r="AK63" s="2">
        <f t="shared" si="0"/>
        <v>1</v>
      </c>
      <c r="AM63" s="2">
        <f t="shared" si="1"/>
        <v>0</v>
      </c>
    </row>
    <row r="64" spans="1:39" ht="29" x14ac:dyDescent="0.35">
      <c r="A64" s="5" t="s">
        <v>1802</v>
      </c>
      <c r="C64" s="5"/>
      <c r="D64" s="5"/>
      <c r="E64" s="1"/>
      <c r="F64" s="1"/>
      <c r="G64" s="1"/>
      <c r="H64" s="1"/>
      <c r="Q64" s="30" t="s">
        <v>428</v>
      </c>
      <c r="AK64" s="2">
        <f t="shared" si="0"/>
        <v>1</v>
      </c>
      <c r="AM64" s="2">
        <f t="shared" si="1"/>
        <v>0</v>
      </c>
    </row>
    <row r="65" spans="1:39" ht="43.5" x14ac:dyDescent="0.35">
      <c r="A65" s="5" t="s">
        <v>1803</v>
      </c>
      <c r="C65" s="5"/>
      <c r="D65" s="5"/>
      <c r="E65" s="1"/>
      <c r="F65" s="1"/>
      <c r="G65" s="1"/>
      <c r="H65" s="1"/>
      <c r="Q65" s="30" t="s">
        <v>432</v>
      </c>
      <c r="AK65" s="2">
        <f t="shared" si="0"/>
        <v>1</v>
      </c>
      <c r="AM65" s="2">
        <f t="shared" si="1"/>
        <v>0</v>
      </c>
    </row>
    <row r="66" spans="1:39" x14ac:dyDescent="0.35">
      <c r="A66" s="5" t="s">
        <v>1804</v>
      </c>
      <c r="C66" s="5"/>
      <c r="D66" s="5"/>
      <c r="E66" s="1"/>
      <c r="F66" s="1"/>
      <c r="G66" s="1"/>
      <c r="H66" s="1"/>
      <c r="Q66" s="30" t="s">
        <v>433</v>
      </c>
      <c r="AK66" s="2">
        <f t="shared" si="0"/>
        <v>1</v>
      </c>
      <c r="AM66" s="2">
        <f t="shared" si="1"/>
        <v>0</v>
      </c>
    </row>
    <row r="67" spans="1:39" x14ac:dyDescent="0.35">
      <c r="A67" s="5" t="s">
        <v>1805</v>
      </c>
      <c r="C67" s="5"/>
      <c r="D67" s="5"/>
      <c r="E67" s="1"/>
      <c r="F67" s="1"/>
      <c r="G67" s="1"/>
      <c r="H67" s="1"/>
      <c r="Q67" s="30" t="s">
        <v>437</v>
      </c>
      <c r="AK67" s="2">
        <f t="shared" ref="AK67:AK130" si="2">COUNTA(C67:AI67)</f>
        <v>1</v>
      </c>
      <c r="AM67" s="2">
        <f t="shared" ref="AM67:AM130" si="3">COUNTA(G67:P67,S67:T67)</f>
        <v>0</v>
      </c>
    </row>
    <row r="68" spans="1:39" ht="29" x14ac:dyDescent="0.35">
      <c r="A68" s="5" t="s">
        <v>1806</v>
      </c>
      <c r="C68" s="5"/>
      <c r="D68" s="5"/>
      <c r="E68" s="1"/>
      <c r="F68" s="1"/>
      <c r="G68" s="1"/>
      <c r="H68" s="1"/>
      <c r="Q68" s="30" t="s">
        <v>440</v>
      </c>
      <c r="AK68" s="2">
        <f t="shared" si="2"/>
        <v>1</v>
      </c>
      <c r="AM68" s="2">
        <f t="shared" si="3"/>
        <v>0</v>
      </c>
    </row>
    <row r="69" spans="1:39" ht="29" x14ac:dyDescent="0.35">
      <c r="A69" s="5" t="s">
        <v>1807</v>
      </c>
      <c r="C69" s="5"/>
      <c r="D69" s="5"/>
      <c r="E69" s="1"/>
      <c r="F69" s="1"/>
      <c r="G69" s="1"/>
      <c r="H69" s="1"/>
      <c r="Q69" s="30" t="s">
        <v>441</v>
      </c>
      <c r="AK69" s="2">
        <f t="shared" si="2"/>
        <v>1</v>
      </c>
      <c r="AM69" s="2">
        <f t="shared" si="3"/>
        <v>0</v>
      </c>
    </row>
    <row r="70" spans="1:39" x14ac:dyDescent="0.35">
      <c r="A70" s="5" t="s">
        <v>1808</v>
      </c>
      <c r="C70" s="5"/>
      <c r="D70" s="5"/>
      <c r="E70" s="1"/>
      <c r="F70" s="1"/>
      <c r="G70" s="1"/>
      <c r="H70" s="1"/>
      <c r="Q70" s="30" t="s">
        <v>442</v>
      </c>
      <c r="AK70" s="2">
        <f t="shared" si="2"/>
        <v>1</v>
      </c>
      <c r="AM70" s="2">
        <f t="shared" si="3"/>
        <v>0</v>
      </c>
    </row>
    <row r="71" spans="1:39" x14ac:dyDescent="0.35">
      <c r="A71" s="5" t="s">
        <v>1809</v>
      </c>
      <c r="C71" s="1"/>
      <c r="D71" s="5"/>
      <c r="E71" s="1"/>
      <c r="F71" s="1"/>
      <c r="G71" s="1"/>
      <c r="H71" s="1"/>
      <c r="Q71" s="30" t="s">
        <v>443</v>
      </c>
      <c r="AK71" s="2">
        <f t="shared" si="2"/>
        <v>1</v>
      </c>
      <c r="AM71" s="2">
        <f t="shared" si="3"/>
        <v>0</v>
      </c>
    </row>
    <row r="72" spans="1:39" x14ac:dyDescent="0.35">
      <c r="A72" s="5" t="s">
        <v>1810</v>
      </c>
      <c r="C72" s="1"/>
      <c r="D72" s="5"/>
      <c r="E72" s="1"/>
      <c r="F72" s="1"/>
      <c r="G72" s="1"/>
      <c r="H72" s="1"/>
      <c r="Q72" s="30" t="s">
        <v>57</v>
      </c>
      <c r="AK72" s="2">
        <f t="shared" si="2"/>
        <v>1</v>
      </c>
      <c r="AM72" s="2">
        <f t="shared" si="3"/>
        <v>0</v>
      </c>
    </row>
    <row r="73" spans="1:39" x14ac:dyDescent="0.35">
      <c r="A73" s="5" t="s">
        <v>1811</v>
      </c>
      <c r="C73" s="1"/>
      <c r="D73" s="5"/>
      <c r="E73" s="1"/>
      <c r="F73" s="1"/>
      <c r="G73" s="1"/>
      <c r="H73" s="1"/>
      <c r="Q73" s="30" t="s">
        <v>62</v>
      </c>
      <c r="AK73" s="2">
        <f t="shared" si="2"/>
        <v>1</v>
      </c>
      <c r="AM73" s="2">
        <f t="shared" si="3"/>
        <v>0</v>
      </c>
    </row>
    <row r="74" spans="1:39" x14ac:dyDescent="0.35">
      <c r="A74" s="5" t="s">
        <v>1812</v>
      </c>
      <c r="C74" s="1"/>
      <c r="D74" s="5"/>
      <c r="E74" s="1"/>
      <c r="F74" s="1"/>
      <c r="G74" s="1"/>
      <c r="H74" s="1"/>
      <c r="Q74" s="30" t="s">
        <v>63</v>
      </c>
      <c r="AK74" s="2">
        <f t="shared" si="2"/>
        <v>1</v>
      </c>
      <c r="AM74" s="2">
        <f t="shared" si="3"/>
        <v>0</v>
      </c>
    </row>
    <row r="75" spans="1:39" x14ac:dyDescent="0.35">
      <c r="A75" s="5" t="s">
        <v>1813</v>
      </c>
      <c r="C75" s="1"/>
      <c r="D75" s="5"/>
      <c r="E75" s="1"/>
      <c r="F75" s="1"/>
      <c r="G75" s="1"/>
      <c r="H75" s="1"/>
      <c r="Q75" s="30" t="s">
        <v>64</v>
      </c>
      <c r="AK75" s="2">
        <f t="shared" si="2"/>
        <v>1</v>
      </c>
      <c r="AM75" s="2">
        <f t="shared" si="3"/>
        <v>0</v>
      </c>
    </row>
    <row r="76" spans="1:39" ht="43.5" x14ac:dyDescent="0.35">
      <c r="A76" s="5" t="s">
        <v>1814</v>
      </c>
      <c r="C76" s="1"/>
      <c r="D76" s="5"/>
      <c r="E76" s="1"/>
      <c r="F76" s="1"/>
      <c r="G76" s="1"/>
      <c r="H76" s="1"/>
      <c r="Q76" s="53" t="s">
        <v>444</v>
      </c>
      <c r="R76" s="53" t="s">
        <v>1069</v>
      </c>
      <c r="S76" s="1" t="s">
        <v>2195</v>
      </c>
      <c r="AK76" s="2">
        <f t="shared" si="2"/>
        <v>3</v>
      </c>
      <c r="AM76" s="2">
        <f t="shared" si="3"/>
        <v>1</v>
      </c>
    </row>
    <row r="77" spans="1:39" ht="29" x14ac:dyDescent="0.35">
      <c r="A77" s="5" t="s">
        <v>2194</v>
      </c>
      <c r="C77" s="1"/>
      <c r="D77" s="5"/>
      <c r="E77" s="1"/>
      <c r="F77" s="1"/>
      <c r="G77" s="1"/>
      <c r="H77" s="1"/>
      <c r="R77" s="53" t="s">
        <v>1070</v>
      </c>
      <c r="S77" s="1" t="s">
        <v>2196</v>
      </c>
      <c r="AK77" s="2">
        <f t="shared" si="2"/>
        <v>2</v>
      </c>
      <c r="AM77" s="2">
        <f t="shared" si="3"/>
        <v>1</v>
      </c>
    </row>
    <row r="78" spans="1:39" ht="29" x14ac:dyDescent="0.35">
      <c r="A78" s="5" t="s">
        <v>2187</v>
      </c>
      <c r="C78" s="1"/>
      <c r="D78" s="5"/>
      <c r="E78" s="1"/>
      <c r="F78" s="1"/>
      <c r="G78" s="1"/>
      <c r="H78" s="1"/>
      <c r="R78" s="53" t="s">
        <v>1072</v>
      </c>
      <c r="S78" s="1" t="s">
        <v>2197</v>
      </c>
      <c r="AK78" s="2">
        <f t="shared" si="2"/>
        <v>2</v>
      </c>
      <c r="AM78" s="2">
        <f t="shared" si="3"/>
        <v>1</v>
      </c>
    </row>
    <row r="79" spans="1:39" ht="29" x14ac:dyDescent="0.35">
      <c r="A79" s="5" t="s">
        <v>1815</v>
      </c>
      <c r="C79" s="1"/>
      <c r="D79" s="5"/>
      <c r="E79" s="1"/>
      <c r="F79" s="1"/>
      <c r="G79" s="1"/>
      <c r="H79" s="1"/>
      <c r="Q79" s="30" t="s">
        <v>110</v>
      </c>
      <c r="AK79" s="2">
        <f t="shared" si="2"/>
        <v>1</v>
      </c>
      <c r="AM79" s="2">
        <f t="shared" si="3"/>
        <v>0</v>
      </c>
    </row>
    <row r="80" spans="1:39" x14ac:dyDescent="0.35">
      <c r="A80" s="5" t="s">
        <v>1816</v>
      </c>
      <c r="C80" s="5"/>
      <c r="D80" s="5"/>
      <c r="E80" s="1"/>
      <c r="F80" s="1"/>
      <c r="G80" s="1"/>
      <c r="H80" s="1"/>
      <c r="Q80" s="30" t="s">
        <v>649</v>
      </c>
      <c r="AK80" s="2">
        <f t="shared" si="2"/>
        <v>1</v>
      </c>
      <c r="AM80" s="2">
        <f t="shared" si="3"/>
        <v>0</v>
      </c>
    </row>
    <row r="81" spans="1:39" x14ac:dyDescent="0.35">
      <c r="A81" s="5" t="s">
        <v>1817</v>
      </c>
      <c r="C81" s="1"/>
      <c r="D81" s="5"/>
      <c r="E81" s="1"/>
      <c r="F81" s="1"/>
      <c r="G81" s="1"/>
      <c r="H81" s="1"/>
      <c r="Q81" s="30" t="s">
        <v>222</v>
      </c>
      <c r="AK81" s="2">
        <f t="shared" si="2"/>
        <v>1</v>
      </c>
      <c r="AM81" s="2">
        <f t="shared" si="3"/>
        <v>0</v>
      </c>
    </row>
    <row r="82" spans="1:39" x14ac:dyDescent="0.35">
      <c r="A82" s="5" t="s">
        <v>1818</v>
      </c>
      <c r="C82" s="1"/>
      <c r="D82" s="5"/>
      <c r="E82" s="1"/>
      <c r="F82" s="1"/>
      <c r="G82" s="1"/>
      <c r="H82" s="1"/>
      <c r="Q82" s="30" t="s">
        <v>224</v>
      </c>
      <c r="AK82" s="2">
        <f t="shared" si="2"/>
        <v>1</v>
      </c>
      <c r="AM82" s="2">
        <f t="shared" si="3"/>
        <v>0</v>
      </c>
    </row>
    <row r="83" spans="1:39" x14ac:dyDescent="0.35">
      <c r="A83" s="5" t="s">
        <v>1819</v>
      </c>
      <c r="C83" s="1"/>
      <c r="D83" s="5"/>
      <c r="E83" s="1"/>
      <c r="F83" s="1"/>
      <c r="G83" s="1"/>
      <c r="H83" s="1"/>
      <c r="Q83" s="30" t="s">
        <v>226</v>
      </c>
      <c r="AK83" s="2">
        <f t="shared" si="2"/>
        <v>1</v>
      </c>
      <c r="AM83" s="2">
        <f t="shared" si="3"/>
        <v>0</v>
      </c>
    </row>
    <row r="84" spans="1:39" x14ac:dyDescent="0.35">
      <c r="A84" s="5" t="s">
        <v>1820</v>
      </c>
      <c r="C84" s="1"/>
      <c r="D84" s="5"/>
      <c r="E84" s="1"/>
      <c r="F84" s="1"/>
      <c r="G84" s="1"/>
      <c r="H84" s="1"/>
      <c r="Q84" s="30" t="s">
        <v>228</v>
      </c>
      <c r="AK84" s="2">
        <f t="shared" si="2"/>
        <v>1</v>
      </c>
      <c r="AM84" s="2">
        <f t="shared" si="3"/>
        <v>0</v>
      </c>
    </row>
    <row r="85" spans="1:39" ht="29" x14ac:dyDescent="0.35">
      <c r="A85" s="5" t="s">
        <v>1821</v>
      </c>
      <c r="C85" s="1"/>
      <c r="D85" s="5"/>
      <c r="E85" s="1"/>
      <c r="F85" s="1"/>
      <c r="G85" s="1"/>
      <c r="H85" s="1"/>
      <c r="Q85" s="30" t="s">
        <v>230</v>
      </c>
      <c r="AK85" s="2">
        <f t="shared" si="2"/>
        <v>1</v>
      </c>
      <c r="AM85" s="2">
        <f t="shared" si="3"/>
        <v>0</v>
      </c>
    </row>
    <row r="86" spans="1:39" ht="43.5" x14ac:dyDescent="0.35">
      <c r="A86" s="5" t="s">
        <v>1823</v>
      </c>
      <c r="C86" s="1"/>
      <c r="D86" s="5"/>
      <c r="E86" s="1"/>
      <c r="F86" s="1"/>
      <c r="G86" s="1"/>
      <c r="H86" s="1"/>
      <c r="Q86" s="30" t="s">
        <v>240</v>
      </c>
      <c r="AK86" s="2">
        <f t="shared" si="2"/>
        <v>1</v>
      </c>
      <c r="AM86" s="2">
        <f t="shared" si="3"/>
        <v>0</v>
      </c>
    </row>
    <row r="87" spans="1:39" ht="29" x14ac:dyDescent="0.35">
      <c r="A87" s="5" t="s">
        <v>1824</v>
      </c>
      <c r="C87" s="1"/>
      <c r="D87" s="5"/>
      <c r="E87" s="1"/>
      <c r="F87" s="1"/>
      <c r="G87" s="1"/>
      <c r="H87" s="1"/>
      <c r="Q87" s="30" t="s">
        <v>96</v>
      </c>
      <c r="AK87" s="2">
        <f t="shared" si="2"/>
        <v>1</v>
      </c>
      <c r="AM87" s="2">
        <f t="shared" si="3"/>
        <v>0</v>
      </c>
    </row>
    <row r="88" spans="1:39" ht="29" x14ac:dyDescent="0.35">
      <c r="A88" s="5" t="s">
        <v>1825</v>
      </c>
      <c r="C88" s="1"/>
      <c r="D88" s="5"/>
      <c r="E88" s="1"/>
      <c r="F88" s="1"/>
      <c r="G88" s="1"/>
      <c r="H88" s="1"/>
      <c r="Q88" s="30" t="s">
        <v>97</v>
      </c>
      <c r="AK88" s="2">
        <f t="shared" si="2"/>
        <v>1</v>
      </c>
      <c r="AM88" s="2">
        <f t="shared" si="3"/>
        <v>0</v>
      </c>
    </row>
    <row r="89" spans="1:39" ht="29" x14ac:dyDescent="0.35">
      <c r="A89" s="5" t="s">
        <v>1826</v>
      </c>
      <c r="C89" s="1"/>
      <c r="D89" s="5"/>
      <c r="E89" s="1"/>
      <c r="F89" s="1"/>
      <c r="G89" s="1"/>
      <c r="H89" s="1"/>
      <c r="Q89" s="53" t="s">
        <v>241</v>
      </c>
      <c r="R89" s="53" t="s">
        <v>980</v>
      </c>
      <c r="S89" s="1" t="s">
        <v>1984</v>
      </c>
      <c r="AK89" s="2">
        <f t="shared" si="2"/>
        <v>3</v>
      </c>
      <c r="AM89" s="2">
        <f t="shared" si="3"/>
        <v>1</v>
      </c>
    </row>
    <row r="90" spans="1:39" x14ac:dyDescent="0.35">
      <c r="A90" s="5" t="s">
        <v>1660</v>
      </c>
      <c r="C90" s="1"/>
      <c r="D90" s="5"/>
      <c r="E90" s="1"/>
      <c r="F90" s="1"/>
      <c r="G90" s="1"/>
      <c r="H90" s="1"/>
      <c r="Q90" s="53" t="s">
        <v>1827</v>
      </c>
      <c r="R90" s="53" t="s">
        <v>981</v>
      </c>
      <c r="S90" s="1" t="s">
        <v>1994</v>
      </c>
      <c r="AK90" s="2">
        <f t="shared" si="2"/>
        <v>3</v>
      </c>
      <c r="AM90" s="2">
        <f t="shared" si="3"/>
        <v>1</v>
      </c>
    </row>
    <row r="91" spans="1:39" x14ac:dyDescent="0.35">
      <c r="A91" s="5" t="s">
        <v>1839</v>
      </c>
      <c r="C91" s="1"/>
      <c r="D91" s="5"/>
      <c r="E91" s="1"/>
      <c r="F91" s="1"/>
      <c r="G91" s="1"/>
      <c r="H91" s="1"/>
      <c r="Q91" s="30" t="s">
        <v>506</v>
      </c>
      <c r="AK91" s="2">
        <f t="shared" si="2"/>
        <v>1</v>
      </c>
      <c r="AM91" s="2">
        <f t="shared" si="3"/>
        <v>0</v>
      </c>
    </row>
    <row r="92" spans="1:39" ht="43.5" x14ac:dyDescent="0.35">
      <c r="A92" s="5" t="s">
        <v>1841</v>
      </c>
      <c r="C92" s="1"/>
      <c r="D92" s="5"/>
      <c r="E92" s="1"/>
      <c r="F92" s="1"/>
      <c r="G92" s="1"/>
      <c r="H92" s="1"/>
      <c r="Q92" s="30" t="s">
        <v>508</v>
      </c>
      <c r="AK92" s="2">
        <f t="shared" si="2"/>
        <v>1</v>
      </c>
      <c r="AM92" s="2">
        <f t="shared" si="3"/>
        <v>0</v>
      </c>
    </row>
    <row r="93" spans="1:39" ht="29" x14ac:dyDescent="0.35">
      <c r="A93" s="5" t="s">
        <v>1842</v>
      </c>
      <c r="C93" s="1"/>
      <c r="D93" s="5"/>
      <c r="E93" s="1"/>
      <c r="F93" s="1"/>
      <c r="G93" s="1"/>
      <c r="H93" s="1"/>
      <c r="Q93" s="30" t="s">
        <v>510</v>
      </c>
      <c r="AK93" s="2">
        <f t="shared" si="2"/>
        <v>1</v>
      </c>
      <c r="AM93" s="2">
        <f t="shared" si="3"/>
        <v>0</v>
      </c>
    </row>
    <row r="94" spans="1:39" ht="29" x14ac:dyDescent="0.35">
      <c r="A94" s="5" t="s">
        <v>1843</v>
      </c>
      <c r="C94" s="1"/>
      <c r="D94" s="5"/>
      <c r="E94" s="1"/>
      <c r="F94" s="1"/>
      <c r="G94" s="1"/>
      <c r="H94" s="1"/>
      <c r="Q94" s="30" t="s">
        <v>264</v>
      </c>
      <c r="AK94" s="2">
        <f t="shared" si="2"/>
        <v>1</v>
      </c>
      <c r="AM94" s="2">
        <f t="shared" si="3"/>
        <v>0</v>
      </c>
    </row>
    <row r="95" spans="1:39" x14ac:dyDescent="0.35">
      <c r="A95" s="5" t="s">
        <v>1844</v>
      </c>
      <c r="C95" s="1"/>
      <c r="D95" s="5"/>
      <c r="E95" s="1"/>
      <c r="F95" s="1"/>
      <c r="G95" s="1"/>
      <c r="H95" s="1"/>
      <c r="Q95" s="30" t="s">
        <v>265</v>
      </c>
      <c r="AK95" s="2">
        <f t="shared" si="2"/>
        <v>1</v>
      </c>
      <c r="AM95" s="2">
        <f t="shared" si="3"/>
        <v>0</v>
      </c>
    </row>
    <row r="96" spans="1:39" x14ac:dyDescent="0.35">
      <c r="A96" s="5" t="s">
        <v>1845</v>
      </c>
      <c r="C96" s="1"/>
      <c r="D96" s="5"/>
      <c r="E96" s="1"/>
      <c r="F96" s="1"/>
      <c r="G96" s="1"/>
      <c r="H96" s="1"/>
      <c r="Q96" s="30" t="s">
        <v>267</v>
      </c>
      <c r="AK96" s="2">
        <f t="shared" si="2"/>
        <v>1</v>
      </c>
      <c r="AM96" s="2">
        <f t="shared" si="3"/>
        <v>0</v>
      </c>
    </row>
    <row r="97" spans="1:39" x14ac:dyDescent="0.35">
      <c r="A97" s="5" t="s">
        <v>1846</v>
      </c>
      <c r="C97" s="1"/>
      <c r="D97" s="5"/>
      <c r="E97" s="1"/>
      <c r="F97" s="1"/>
      <c r="G97" s="1"/>
      <c r="H97" s="1"/>
      <c r="Q97" s="30" t="s">
        <v>517</v>
      </c>
      <c r="AK97" s="2">
        <f t="shared" si="2"/>
        <v>1</v>
      </c>
      <c r="AM97" s="2">
        <f t="shared" si="3"/>
        <v>0</v>
      </c>
    </row>
    <row r="98" spans="1:39" x14ac:dyDescent="0.35">
      <c r="A98" s="5" t="s">
        <v>1847</v>
      </c>
      <c r="C98" s="1"/>
      <c r="D98" s="5"/>
      <c r="E98" s="1"/>
      <c r="F98" s="1"/>
      <c r="G98" s="1"/>
      <c r="H98" s="1"/>
      <c r="Q98" s="30" t="s">
        <v>515</v>
      </c>
      <c r="AK98" s="2">
        <f t="shared" si="2"/>
        <v>1</v>
      </c>
      <c r="AM98" s="2">
        <f t="shared" si="3"/>
        <v>0</v>
      </c>
    </row>
    <row r="99" spans="1:39" x14ac:dyDescent="0.35">
      <c r="A99" s="5" t="s">
        <v>1848</v>
      </c>
      <c r="C99" s="1"/>
      <c r="D99" s="5"/>
      <c r="E99" s="1"/>
      <c r="F99" s="1"/>
      <c r="G99" s="1"/>
      <c r="H99" s="1"/>
      <c r="Q99" s="30" t="s">
        <v>519</v>
      </c>
      <c r="AK99" s="2">
        <f t="shared" si="2"/>
        <v>1</v>
      </c>
      <c r="AM99" s="2">
        <f t="shared" si="3"/>
        <v>0</v>
      </c>
    </row>
    <row r="100" spans="1:39" ht="29" x14ac:dyDescent="0.35">
      <c r="A100" s="5" t="s">
        <v>1849</v>
      </c>
      <c r="C100" s="1"/>
      <c r="D100" s="5"/>
      <c r="E100" s="1"/>
      <c r="F100" s="1"/>
      <c r="G100" s="1"/>
      <c r="H100" s="1"/>
      <c r="Q100" s="30" t="s">
        <v>520</v>
      </c>
      <c r="AK100" s="2">
        <f t="shared" si="2"/>
        <v>1</v>
      </c>
      <c r="AM100" s="2">
        <f t="shared" si="3"/>
        <v>0</v>
      </c>
    </row>
    <row r="101" spans="1:39" ht="29" x14ac:dyDescent="0.35">
      <c r="A101" s="5" t="s">
        <v>1850</v>
      </c>
      <c r="C101" s="1"/>
      <c r="D101" s="5"/>
      <c r="E101" s="1"/>
      <c r="F101" s="1"/>
      <c r="G101" s="1"/>
      <c r="H101" s="1"/>
      <c r="Q101" s="30" t="s">
        <v>1851</v>
      </c>
      <c r="AK101" s="2">
        <f t="shared" si="2"/>
        <v>1</v>
      </c>
      <c r="AM101" s="2">
        <f t="shared" si="3"/>
        <v>0</v>
      </c>
    </row>
    <row r="102" spans="1:39" ht="29" x14ac:dyDescent="0.35">
      <c r="A102" s="5" t="s">
        <v>1852</v>
      </c>
      <c r="C102" s="1"/>
      <c r="D102" s="5"/>
      <c r="E102" s="1"/>
      <c r="F102" s="1"/>
      <c r="G102" s="1"/>
      <c r="H102" s="1"/>
      <c r="Q102" s="30" t="s">
        <v>524</v>
      </c>
      <c r="AK102" s="2">
        <f t="shared" si="2"/>
        <v>1</v>
      </c>
      <c r="AM102" s="2">
        <f t="shared" si="3"/>
        <v>0</v>
      </c>
    </row>
    <row r="103" spans="1:39" ht="29" x14ac:dyDescent="0.35">
      <c r="A103" s="5" t="s">
        <v>1853</v>
      </c>
      <c r="C103" s="1"/>
      <c r="D103" s="5"/>
      <c r="E103" s="1"/>
      <c r="F103" s="1"/>
      <c r="G103" s="1"/>
      <c r="H103" s="1"/>
      <c r="Q103" s="30" t="s">
        <v>525</v>
      </c>
      <c r="AK103" s="2">
        <f t="shared" si="2"/>
        <v>1</v>
      </c>
      <c r="AM103" s="2">
        <f t="shared" si="3"/>
        <v>0</v>
      </c>
    </row>
    <row r="104" spans="1:39" ht="29" x14ac:dyDescent="0.35">
      <c r="A104" s="5" t="s">
        <v>1860</v>
      </c>
      <c r="C104" s="1"/>
      <c r="D104" s="5"/>
      <c r="E104" s="1"/>
      <c r="F104" s="1"/>
      <c r="G104" s="1"/>
      <c r="H104" s="1"/>
      <c r="Q104" s="53" t="s">
        <v>533</v>
      </c>
      <c r="R104" s="53" t="s">
        <v>998</v>
      </c>
      <c r="S104" s="1" t="s">
        <v>2005</v>
      </c>
      <c r="AK104" s="2">
        <f t="shared" si="2"/>
        <v>3</v>
      </c>
      <c r="AM104" s="2">
        <f t="shared" si="3"/>
        <v>1</v>
      </c>
    </row>
    <row r="105" spans="1:39" ht="29" x14ac:dyDescent="0.35">
      <c r="A105" s="5" t="s">
        <v>1861</v>
      </c>
      <c r="C105" s="1"/>
      <c r="D105" s="5"/>
      <c r="E105" s="1"/>
      <c r="F105" s="1"/>
      <c r="G105" s="1"/>
      <c r="H105" s="1"/>
      <c r="Q105" s="30" t="s">
        <v>127</v>
      </c>
      <c r="AK105" s="2">
        <f t="shared" si="2"/>
        <v>1</v>
      </c>
      <c r="AM105" s="2">
        <f t="shared" si="3"/>
        <v>0</v>
      </c>
    </row>
    <row r="106" spans="1:39" x14ac:dyDescent="0.35">
      <c r="A106" s="5" t="s">
        <v>1862</v>
      </c>
      <c r="C106" s="1"/>
      <c r="D106" s="5"/>
      <c r="E106" s="1"/>
      <c r="F106" s="1"/>
      <c r="G106" s="1"/>
      <c r="H106" s="1"/>
      <c r="Q106" s="30" t="s">
        <v>283</v>
      </c>
      <c r="AK106" s="2">
        <f t="shared" si="2"/>
        <v>1</v>
      </c>
      <c r="AM106" s="2">
        <f t="shared" si="3"/>
        <v>0</v>
      </c>
    </row>
    <row r="107" spans="1:39" ht="29" x14ac:dyDescent="0.35">
      <c r="A107" s="5" t="s">
        <v>1890</v>
      </c>
      <c r="C107" s="1"/>
      <c r="D107" s="5"/>
      <c r="E107" s="1"/>
      <c r="F107" s="1"/>
      <c r="G107" s="1"/>
      <c r="H107" s="1"/>
      <c r="Q107" s="30" t="s">
        <v>879</v>
      </c>
      <c r="AK107" s="2">
        <f t="shared" si="2"/>
        <v>1</v>
      </c>
      <c r="AM107" s="2">
        <f t="shared" si="3"/>
        <v>0</v>
      </c>
    </row>
    <row r="108" spans="1:39" ht="29" x14ac:dyDescent="0.35">
      <c r="A108" s="5" t="s">
        <v>1863</v>
      </c>
      <c r="C108" s="1"/>
      <c r="D108" s="5"/>
      <c r="E108" s="1"/>
      <c r="F108" s="1"/>
      <c r="G108" s="1"/>
      <c r="H108" s="1"/>
      <c r="Q108" s="30" t="s">
        <v>285</v>
      </c>
      <c r="AK108" s="2">
        <f t="shared" si="2"/>
        <v>1</v>
      </c>
      <c r="AM108" s="2">
        <f t="shared" si="3"/>
        <v>0</v>
      </c>
    </row>
    <row r="109" spans="1:39" ht="29" x14ac:dyDescent="0.35">
      <c r="A109" s="5" t="s">
        <v>1864</v>
      </c>
      <c r="C109" s="1"/>
      <c r="D109" s="5"/>
      <c r="E109" s="1"/>
      <c r="F109" s="1"/>
      <c r="G109" s="1"/>
      <c r="H109" s="1"/>
      <c r="Q109" s="30" t="s">
        <v>287</v>
      </c>
      <c r="AK109" s="2">
        <f t="shared" si="2"/>
        <v>1</v>
      </c>
      <c r="AM109" s="2">
        <f t="shared" si="3"/>
        <v>0</v>
      </c>
    </row>
    <row r="110" spans="1:39" ht="101.5" x14ac:dyDescent="0.35">
      <c r="A110" s="5" t="s">
        <v>1865</v>
      </c>
      <c r="C110" s="1"/>
      <c r="D110" s="5"/>
      <c r="E110" s="1"/>
      <c r="F110" s="1"/>
      <c r="G110" s="1"/>
      <c r="H110" s="1"/>
      <c r="Q110" s="53" t="s">
        <v>59</v>
      </c>
      <c r="R110" s="53" t="s">
        <v>992</v>
      </c>
      <c r="S110" s="1" t="s">
        <v>2001</v>
      </c>
      <c r="AK110" s="2">
        <f t="shared" si="2"/>
        <v>3</v>
      </c>
      <c r="AM110" s="2">
        <f t="shared" si="3"/>
        <v>1</v>
      </c>
    </row>
    <row r="111" spans="1:39" x14ac:dyDescent="0.35">
      <c r="A111" s="5" t="s">
        <v>1893</v>
      </c>
      <c r="C111" s="1"/>
      <c r="D111" s="5"/>
      <c r="E111" s="1"/>
      <c r="F111" s="1"/>
      <c r="G111" s="1"/>
      <c r="H111" s="1"/>
      <c r="Q111" s="30" t="s">
        <v>889</v>
      </c>
      <c r="AK111" s="2">
        <f t="shared" si="2"/>
        <v>1</v>
      </c>
      <c r="AM111" s="2">
        <f t="shared" si="3"/>
        <v>0</v>
      </c>
    </row>
    <row r="112" spans="1:39" ht="29" x14ac:dyDescent="0.35">
      <c r="A112" s="5" t="s">
        <v>1891</v>
      </c>
      <c r="C112" s="1"/>
      <c r="D112" s="5"/>
      <c r="E112" s="1"/>
      <c r="F112" s="1"/>
      <c r="G112" s="1"/>
      <c r="H112" s="1"/>
      <c r="Q112" s="30" t="s">
        <v>883</v>
      </c>
      <c r="AK112" s="2">
        <f t="shared" si="2"/>
        <v>1</v>
      </c>
      <c r="AM112" s="2">
        <f t="shared" si="3"/>
        <v>0</v>
      </c>
    </row>
    <row r="113" spans="1:39" ht="43.5" x14ac:dyDescent="0.35">
      <c r="A113" s="5" t="s">
        <v>1880</v>
      </c>
      <c r="C113" s="1"/>
      <c r="D113" s="5"/>
      <c r="E113" s="1"/>
      <c r="F113" s="1"/>
      <c r="G113" s="1"/>
      <c r="H113" s="1"/>
      <c r="Q113" s="30" t="s">
        <v>1674</v>
      </c>
      <c r="AK113" s="2">
        <f t="shared" si="2"/>
        <v>1</v>
      </c>
      <c r="AM113" s="2">
        <f t="shared" si="3"/>
        <v>0</v>
      </c>
    </row>
    <row r="114" spans="1:39" ht="29" x14ac:dyDescent="0.35">
      <c r="A114" s="5" t="s">
        <v>1881</v>
      </c>
      <c r="C114" s="1"/>
      <c r="D114" s="5"/>
      <c r="E114" s="1"/>
      <c r="F114" s="1"/>
      <c r="G114" s="1"/>
      <c r="H114" s="1"/>
      <c r="Q114" s="53" t="s">
        <v>1675</v>
      </c>
      <c r="R114" s="53" t="s">
        <v>997</v>
      </c>
      <c r="S114" s="1" t="s">
        <v>2004</v>
      </c>
      <c r="AK114" s="2">
        <f t="shared" si="2"/>
        <v>3</v>
      </c>
      <c r="AM114" s="2">
        <f t="shared" si="3"/>
        <v>1</v>
      </c>
    </row>
    <row r="115" spans="1:39" ht="58" x14ac:dyDescent="0.35">
      <c r="A115" s="5" t="s">
        <v>1882</v>
      </c>
      <c r="C115" s="1"/>
      <c r="D115" s="5"/>
      <c r="E115" s="1"/>
      <c r="F115" s="1"/>
      <c r="G115" s="1"/>
      <c r="H115" s="1"/>
      <c r="Q115" s="30" t="s">
        <v>1677</v>
      </c>
      <c r="AK115" s="2">
        <f t="shared" si="2"/>
        <v>1</v>
      </c>
      <c r="AM115" s="2">
        <f t="shared" si="3"/>
        <v>0</v>
      </c>
    </row>
    <row r="116" spans="1:39" x14ac:dyDescent="0.35">
      <c r="A116" s="5" t="s">
        <v>1883</v>
      </c>
      <c r="C116" s="1"/>
      <c r="D116" s="5"/>
      <c r="E116" s="1"/>
      <c r="F116" s="1"/>
      <c r="G116" s="1"/>
      <c r="H116" s="1"/>
      <c r="Q116" s="30" t="s">
        <v>873</v>
      </c>
      <c r="AK116" s="2">
        <f t="shared" si="2"/>
        <v>1</v>
      </c>
      <c r="AM116" s="2">
        <f t="shared" si="3"/>
        <v>0</v>
      </c>
    </row>
    <row r="117" spans="1:39" x14ac:dyDescent="0.35">
      <c r="A117" s="5" t="s">
        <v>1884</v>
      </c>
      <c r="C117" s="1"/>
      <c r="D117" s="5"/>
      <c r="E117" s="1"/>
      <c r="F117" s="1"/>
      <c r="G117" s="1"/>
      <c r="H117" s="1"/>
      <c r="Q117" s="30" t="s">
        <v>874</v>
      </c>
      <c r="AK117" s="2">
        <f t="shared" si="2"/>
        <v>1</v>
      </c>
      <c r="AM117" s="2">
        <f t="shared" si="3"/>
        <v>0</v>
      </c>
    </row>
    <row r="118" spans="1:39" x14ac:dyDescent="0.35">
      <c r="A118" s="5" t="s">
        <v>1885</v>
      </c>
      <c r="C118" s="1"/>
      <c r="D118" s="5"/>
      <c r="E118" s="1"/>
      <c r="F118" s="1"/>
      <c r="G118" s="1"/>
      <c r="H118" s="1"/>
      <c r="Q118" s="30" t="s">
        <v>875</v>
      </c>
      <c r="AK118" s="2">
        <f t="shared" si="2"/>
        <v>1</v>
      </c>
      <c r="AM118" s="2">
        <f t="shared" si="3"/>
        <v>0</v>
      </c>
    </row>
    <row r="119" spans="1:39" x14ac:dyDescent="0.35">
      <c r="A119" s="5" t="s">
        <v>1886</v>
      </c>
      <c r="C119" s="1"/>
      <c r="D119" s="5"/>
      <c r="E119" s="1"/>
      <c r="F119" s="1"/>
      <c r="G119" s="1"/>
      <c r="H119" s="1"/>
      <c r="Q119" s="30" t="s">
        <v>1678</v>
      </c>
      <c r="AK119" s="2">
        <f t="shared" si="2"/>
        <v>1</v>
      </c>
      <c r="AM119" s="2">
        <f t="shared" si="3"/>
        <v>0</v>
      </c>
    </row>
    <row r="120" spans="1:39" ht="29" x14ac:dyDescent="0.35">
      <c r="A120" s="5" t="s">
        <v>1887</v>
      </c>
      <c r="C120" s="1"/>
      <c r="D120" s="5"/>
      <c r="E120" s="1"/>
      <c r="F120" s="1"/>
      <c r="G120" s="1"/>
      <c r="H120" s="1"/>
      <c r="Q120" s="30" t="s">
        <v>876</v>
      </c>
      <c r="AK120" s="2">
        <f t="shared" si="2"/>
        <v>1</v>
      </c>
      <c r="AM120" s="2">
        <f t="shared" si="3"/>
        <v>0</v>
      </c>
    </row>
    <row r="121" spans="1:39" ht="29" x14ac:dyDescent="0.35">
      <c r="A121" s="5" t="s">
        <v>1888</v>
      </c>
      <c r="C121" s="1"/>
      <c r="D121" s="5"/>
      <c r="E121" s="1"/>
      <c r="F121" s="1"/>
      <c r="G121" s="1"/>
      <c r="H121" s="1"/>
      <c r="Q121" s="30" t="s">
        <v>877</v>
      </c>
      <c r="AK121" s="2">
        <f t="shared" si="2"/>
        <v>1</v>
      </c>
      <c r="AM121" s="2">
        <f t="shared" si="3"/>
        <v>0</v>
      </c>
    </row>
    <row r="122" spans="1:39" ht="29" x14ac:dyDescent="0.35">
      <c r="A122" s="5" t="s">
        <v>1889</v>
      </c>
      <c r="C122" s="1"/>
      <c r="D122" s="5"/>
      <c r="E122" s="1"/>
      <c r="F122" s="1"/>
      <c r="G122" s="1"/>
      <c r="H122" s="1"/>
      <c r="Q122" s="30" t="s">
        <v>878</v>
      </c>
      <c r="AK122" s="2">
        <f t="shared" si="2"/>
        <v>1</v>
      </c>
      <c r="AM122" s="2">
        <f t="shared" si="3"/>
        <v>0</v>
      </c>
    </row>
    <row r="123" spans="1:39" x14ac:dyDescent="0.35">
      <c r="A123" s="5" t="s">
        <v>1918</v>
      </c>
      <c r="C123" s="1"/>
      <c r="D123" s="5"/>
      <c r="E123" s="1"/>
      <c r="F123" s="1"/>
      <c r="G123" s="1"/>
      <c r="H123" s="1"/>
      <c r="Q123" s="30" t="s">
        <v>917</v>
      </c>
      <c r="AK123" s="2">
        <f t="shared" si="2"/>
        <v>1</v>
      </c>
      <c r="AM123" s="2">
        <f t="shared" si="3"/>
        <v>0</v>
      </c>
    </row>
    <row r="124" spans="1:39" x14ac:dyDescent="0.35">
      <c r="A124" s="5" t="s">
        <v>1919</v>
      </c>
      <c r="C124" s="1"/>
      <c r="D124" s="5"/>
      <c r="E124" s="1"/>
      <c r="F124" s="1"/>
      <c r="G124" s="1"/>
      <c r="H124" s="1"/>
      <c r="Q124" s="30" t="s">
        <v>916</v>
      </c>
      <c r="AK124" s="2">
        <f t="shared" si="2"/>
        <v>1</v>
      </c>
      <c r="AM124" s="2">
        <f t="shared" si="3"/>
        <v>0</v>
      </c>
    </row>
    <row r="125" spans="1:39" ht="29" x14ac:dyDescent="0.35">
      <c r="A125" s="5" t="s">
        <v>1920</v>
      </c>
      <c r="C125" s="1"/>
      <c r="D125" s="5"/>
      <c r="E125" s="1"/>
      <c r="F125" s="1"/>
      <c r="G125" s="1"/>
      <c r="H125" s="1"/>
      <c r="Q125" s="30" t="s">
        <v>918</v>
      </c>
      <c r="AK125" s="2">
        <f t="shared" si="2"/>
        <v>1</v>
      </c>
      <c r="AM125" s="2">
        <f t="shared" si="3"/>
        <v>0</v>
      </c>
    </row>
    <row r="126" spans="1:39" ht="29" x14ac:dyDescent="0.35">
      <c r="A126" s="5" t="s">
        <v>1921</v>
      </c>
      <c r="C126" s="1"/>
      <c r="D126" s="5"/>
      <c r="E126" s="1"/>
      <c r="F126" s="1"/>
      <c r="G126" s="1"/>
      <c r="H126" s="1"/>
      <c r="Q126" s="30" t="s">
        <v>919</v>
      </c>
      <c r="AK126" s="2">
        <f t="shared" si="2"/>
        <v>1</v>
      </c>
      <c r="AM126" s="2">
        <f t="shared" si="3"/>
        <v>0</v>
      </c>
    </row>
    <row r="127" spans="1:39" ht="29" x14ac:dyDescent="0.35">
      <c r="A127" s="5" t="s">
        <v>1922</v>
      </c>
      <c r="C127" s="1"/>
      <c r="D127" s="5"/>
      <c r="E127" s="1"/>
      <c r="F127" s="1"/>
      <c r="G127" s="1"/>
      <c r="H127" s="1"/>
      <c r="Q127" s="30" t="s">
        <v>920</v>
      </c>
      <c r="AK127" s="2">
        <f t="shared" si="2"/>
        <v>1</v>
      </c>
      <c r="AM127" s="2">
        <f t="shared" si="3"/>
        <v>0</v>
      </c>
    </row>
    <row r="128" spans="1:39" x14ac:dyDescent="0.35">
      <c r="A128" s="5" t="s">
        <v>2198</v>
      </c>
      <c r="C128" s="1"/>
      <c r="D128" s="5"/>
      <c r="E128" s="1"/>
      <c r="F128" s="1"/>
      <c r="G128" s="1"/>
      <c r="H128" s="1"/>
      <c r="R128" s="53" t="s">
        <v>1453</v>
      </c>
      <c r="S128" s="1" t="s">
        <v>2200</v>
      </c>
      <c r="AK128" s="2">
        <f t="shared" si="2"/>
        <v>2</v>
      </c>
      <c r="AM128" s="2">
        <f t="shared" si="3"/>
        <v>1</v>
      </c>
    </row>
    <row r="129" spans="1:39" x14ac:dyDescent="0.35">
      <c r="A129" s="5" t="s">
        <v>2199</v>
      </c>
      <c r="C129" s="1"/>
      <c r="D129" s="5"/>
      <c r="E129" s="1"/>
      <c r="F129" s="1"/>
      <c r="G129" s="1"/>
      <c r="H129" s="1"/>
      <c r="R129" s="53" t="s">
        <v>1073</v>
      </c>
      <c r="S129" s="1" t="s">
        <v>2201</v>
      </c>
      <c r="AK129" s="2">
        <f t="shared" si="2"/>
        <v>2</v>
      </c>
      <c r="AM129" s="2">
        <f t="shared" si="3"/>
        <v>1</v>
      </c>
    </row>
    <row r="130" spans="1:39" ht="29" x14ac:dyDescent="0.35">
      <c r="A130" s="5" t="s">
        <v>2187</v>
      </c>
      <c r="C130" s="1"/>
      <c r="D130" s="5"/>
      <c r="E130" s="1"/>
      <c r="F130" s="1"/>
      <c r="G130" s="1"/>
      <c r="H130" s="1"/>
      <c r="R130" s="53" t="s">
        <v>1454</v>
      </c>
      <c r="S130" s="1" t="s">
        <v>2202</v>
      </c>
      <c r="AK130" s="2">
        <f t="shared" si="2"/>
        <v>2</v>
      </c>
      <c r="AM130" s="2">
        <f t="shared" si="3"/>
        <v>1</v>
      </c>
    </row>
    <row r="131" spans="1:39" ht="29" x14ac:dyDescent="0.35">
      <c r="A131" s="5" t="s">
        <v>2415</v>
      </c>
      <c r="C131" s="1"/>
      <c r="D131" s="5"/>
      <c r="E131" s="1"/>
      <c r="F131" s="1"/>
      <c r="G131" s="1"/>
      <c r="H131" s="1"/>
      <c r="V131" s="1" t="s">
        <v>873</v>
      </c>
      <c r="AK131" s="2">
        <f t="shared" ref="AK131:AK142" si="4">COUNTA(C131:AI131)</f>
        <v>1</v>
      </c>
      <c r="AM131" s="2">
        <f t="shared" ref="AM131:AM142" si="5">COUNTA(G131:P131,S131:T131)</f>
        <v>0</v>
      </c>
    </row>
    <row r="132" spans="1:39" ht="29" x14ac:dyDescent="0.35">
      <c r="A132" s="5" t="s">
        <v>2416</v>
      </c>
      <c r="C132" s="1"/>
      <c r="D132" s="5"/>
      <c r="E132" s="1"/>
      <c r="F132" s="1"/>
      <c r="G132" s="1"/>
      <c r="H132" s="1"/>
      <c r="V132" s="1" t="s">
        <v>874</v>
      </c>
      <c r="AK132" s="2">
        <f t="shared" si="4"/>
        <v>1</v>
      </c>
      <c r="AM132" s="2">
        <f t="shared" si="5"/>
        <v>0</v>
      </c>
    </row>
    <row r="133" spans="1:39" ht="43.5" x14ac:dyDescent="0.35">
      <c r="A133" s="5" t="s">
        <v>2776</v>
      </c>
      <c r="C133" s="1"/>
      <c r="D133" s="5"/>
      <c r="E133" s="1"/>
      <c r="F133" s="1"/>
      <c r="G133" s="1"/>
      <c r="H133" s="1"/>
      <c r="AC133" s="1" t="s">
        <v>2196</v>
      </c>
      <c r="AK133" s="2">
        <f t="shared" si="4"/>
        <v>1</v>
      </c>
      <c r="AM133" s="2">
        <f t="shared" si="5"/>
        <v>0</v>
      </c>
    </row>
    <row r="134" spans="1:39" ht="43.5" x14ac:dyDescent="0.35">
      <c r="A134" s="5" t="s">
        <v>2793</v>
      </c>
      <c r="C134" s="1"/>
      <c r="D134" s="5"/>
      <c r="E134" s="1"/>
      <c r="F134" s="1"/>
      <c r="G134" s="1"/>
      <c r="H134" s="1"/>
      <c r="AD134" s="1" t="s">
        <v>1965</v>
      </c>
      <c r="AK134" s="2">
        <f t="shared" si="4"/>
        <v>1</v>
      </c>
      <c r="AM134" s="2">
        <f t="shared" si="5"/>
        <v>0</v>
      </c>
    </row>
    <row r="135" spans="1:39" ht="29" x14ac:dyDescent="0.35">
      <c r="A135" s="5" t="s">
        <v>2794</v>
      </c>
      <c r="C135" s="1"/>
      <c r="D135" s="5"/>
      <c r="E135" s="1"/>
      <c r="F135" s="1"/>
      <c r="G135" s="1"/>
      <c r="H135" s="1"/>
      <c r="AD135" s="1" t="s">
        <v>1967</v>
      </c>
      <c r="AK135" s="2">
        <f t="shared" si="4"/>
        <v>1</v>
      </c>
      <c r="AM135" s="2">
        <f t="shared" si="5"/>
        <v>0</v>
      </c>
    </row>
    <row r="136" spans="1:39" ht="29" x14ac:dyDescent="0.35">
      <c r="A136" s="5" t="s">
        <v>2893</v>
      </c>
      <c r="C136" s="1"/>
      <c r="D136" s="5"/>
      <c r="E136" s="1"/>
      <c r="F136" s="1"/>
      <c r="G136" s="1"/>
      <c r="H136" s="1"/>
      <c r="AE136" s="53" t="s">
        <v>2894</v>
      </c>
      <c r="AF136" s="1" t="s">
        <v>1172</v>
      </c>
      <c r="AK136" s="2">
        <f t="shared" si="4"/>
        <v>2</v>
      </c>
      <c r="AM136" s="2">
        <f t="shared" si="5"/>
        <v>0</v>
      </c>
    </row>
    <row r="137" spans="1:39" ht="29" x14ac:dyDescent="0.35">
      <c r="A137" s="5" t="s">
        <v>2009</v>
      </c>
      <c r="C137" s="1"/>
      <c r="D137" s="5"/>
      <c r="E137" s="1"/>
      <c r="F137" s="1"/>
      <c r="G137" s="1"/>
      <c r="H137" s="1"/>
      <c r="R137" s="53" t="s">
        <v>1002</v>
      </c>
      <c r="S137" s="1" t="s">
        <v>2013</v>
      </c>
      <c r="AK137" s="2">
        <f t="shared" si="4"/>
        <v>2</v>
      </c>
      <c r="AM137" s="2">
        <f t="shared" si="5"/>
        <v>1</v>
      </c>
    </row>
    <row r="138" spans="1:39" ht="29" x14ac:dyDescent="0.35">
      <c r="A138" s="5" t="s">
        <v>2010</v>
      </c>
      <c r="C138" s="1"/>
      <c r="D138" s="5"/>
      <c r="E138" s="1"/>
      <c r="F138" s="1"/>
      <c r="G138" s="1"/>
      <c r="H138" s="1"/>
      <c r="R138" s="53" t="s">
        <v>1003</v>
      </c>
      <c r="S138" s="1" t="s">
        <v>2014</v>
      </c>
      <c r="AK138" s="2">
        <f t="shared" si="4"/>
        <v>2</v>
      </c>
      <c r="AM138" s="2">
        <f t="shared" si="5"/>
        <v>1</v>
      </c>
    </row>
    <row r="139" spans="1:39" ht="29" x14ac:dyDescent="0.35">
      <c r="A139" s="5" t="s">
        <v>2011</v>
      </c>
      <c r="C139" s="1"/>
      <c r="D139" s="5"/>
      <c r="E139" s="1"/>
      <c r="F139" s="1"/>
      <c r="G139" s="1"/>
      <c r="H139" s="1"/>
      <c r="R139" s="53" t="s">
        <v>1190</v>
      </c>
      <c r="S139" s="1" t="s">
        <v>2015</v>
      </c>
      <c r="AK139" s="2">
        <f t="shared" si="4"/>
        <v>2</v>
      </c>
      <c r="AM139" s="2">
        <f t="shared" si="5"/>
        <v>1</v>
      </c>
    </row>
    <row r="140" spans="1:39" ht="29" x14ac:dyDescent="0.35">
      <c r="A140" s="5" t="s">
        <v>2012</v>
      </c>
      <c r="C140" s="1"/>
      <c r="D140" s="5"/>
      <c r="E140" s="1"/>
      <c r="F140" s="1"/>
      <c r="G140" s="1"/>
      <c r="H140" s="1"/>
      <c r="R140" s="53" t="s">
        <v>1005</v>
      </c>
      <c r="S140" s="1" t="s">
        <v>2016</v>
      </c>
      <c r="AK140" s="2">
        <f t="shared" si="4"/>
        <v>2</v>
      </c>
      <c r="AM140" s="2">
        <f t="shared" si="5"/>
        <v>1</v>
      </c>
    </row>
    <row r="141" spans="1:39" ht="29" x14ac:dyDescent="0.35">
      <c r="A141" s="5" t="s">
        <v>2021</v>
      </c>
      <c r="C141" s="1"/>
      <c r="D141" s="5"/>
      <c r="E141" s="1"/>
      <c r="F141" s="1"/>
      <c r="G141" s="1"/>
      <c r="H141" s="1"/>
      <c r="R141" s="53" t="s">
        <v>1007</v>
      </c>
      <c r="S141" s="1" t="s">
        <v>2022</v>
      </c>
      <c r="AK141" s="2">
        <f t="shared" si="4"/>
        <v>2</v>
      </c>
      <c r="AM141" s="2">
        <f t="shared" si="5"/>
        <v>1</v>
      </c>
    </row>
    <row r="142" spans="1:39" ht="29" x14ac:dyDescent="0.35">
      <c r="A142" s="5" t="s">
        <v>3117</v>
      </c>
      <c r="C142" s="1"/>
      <c r="D142" s="5"/>
      <c r="E142" s="1"/>
      <c r="F142" s="1"/>
      <c r="G142" s="1"/>
      <c r="H142" s="1"/>
      <c r="AI142" s="1" t="s">
        <v>1057</v>
      </c>
      <c r="AK142" s="2">
        <f t="shared" si="4"/>
        <v>1</v>
      </c>
      <c r="AM142" s="2">
        <f t="shared" si="5"/>
        <v>0</v>
      </c>
    </row>
    <row r="143" spans="1:39" ht="29" x14ac:dyDescent="0.35">
      <c r="A143" s="5" t="s">
        <v>7923</v>
      </c>
      <c r="B143" s="6" t="s">
        <v>7924</v>
      </c>
      <c r="C143" s="1"/>
      <c r="D143" s="5"/>
      <c r="E143" s="1"/>
      <c r="F143" s="1"/>
      <c r="G143" s="1"/>
      <c r="H143" s="1"/>
    </row>
    <row r="144" spans="1:39" x14ac:dyDescent="0.35">
      <c r="A144" s="5" t="s">
        <v>7925</v>
      </c>
      <c r="B144" s="6" t="s">
        <v>7926</v>
      </c>
      <c r="C144" s="1"/>
      <c r="D144" s="5"/>
      <c r="E144" s="1"/>
      <c r="F144" s="1"/>
      <c r="G144" s="1"/>
      <c r="H144" s="1"/>
    </row>
    <row r="145" spans="1:8" ht="130.5" x14ac:dyDescent="0.35">
      <c r="A145" s="5" t="s">
        <v>7929</v>
      </c>
      <c r="B145" s="6" t="s">
        <v>7930</v>
      </c>
      <c r="C145" s="1"/>
      <c r="D145" s="5"/>
      <c r="E145" s="1"/>
      <c r="F145" s="1"/>
      <c r="G145" s="1"/>
      <c r="H145" s="1"/>
    </row>
    <row r="146" spans="1:8" x14ac:dyDescent="0.35">
      <c r="A146" s="5"/>
      <c r="C146" s="1"/>
      <c r="D146" s="5"/>
      <c r="E146" s="1"/>
      <c r="F146" s="1"/>
      <c r="G146" s="1"/>
      <c r="H146" s="1"/>
    </row>
    <row r="147" spans="1:8" x14ac:dyDescent="0.35">
      <c r="A147" s="5"/>
      <c r="C147" s="1"/>
      <c r="D147" s="5"/>
      <c r="E147" s="1"/>
      <c r="F147" s="1"/>
      <c r="G147" s="1"/>
      <c r="H147" s="1"/>
    </row>
    <row r="148" spans="1:8" x14ac:dyDescent="0.35">
      <c r="A148" s="5"/>
      <c r="C148" s="1"/>
      <c r="D148" s="5"/>
      <c r="E148" s="1"/>
      <c r="F148" s="1"/>
      <c r="G148" s="1"/>
      <c r="H148" s="1"/>
    </row>
    <row r="149" spans="1:8" x14ac:dyDescent="0.35">
      <c r="A149" s="5"/>
      <c r="C149" s="1"/>
      <c r="D149" s="5"/>
      <c r="E149" s="1"/>
      <c r="F149" s="1"/>
      <c r="G149" s="1"/>
      <c r="H149" s="1"/>
    </row>
    <row r="150" spans="1:8" x14ac:dyDescent="0.35">
      <c r="A150" s="5"/>
      <c r="C150" s="1"/>
      <c r="D150" s="5"/>
      <c r="E150" s="1"/>
      <c r="F150" s="1"/>
      <c r="G150" s="1"/>
      <c r="H150" s="1"/>
    </row>
    <row r="151" spans="1:8" x14ac:dyDescent="0.35">
      <c r="A151" s="5"/>
      <c r="C151" s="1"/>
      <c r="D151" s="5"/>
      <c r="E151" s="1"/>
      <c r="F151" s="1"/>
      <c r="G151" s="1"/>
      <c r="H151" s="1"/>
    </row>
    <row r="152" spans="1:8" x14ac:dyDescent="0.35">
      <c r="A152" s="5"/>
      <c r="C152" s="1"/>
      <c r="D152" s="5"/>
      <c r="E152" s="1"/>
      <c r="F152" s="1"/>
      <c r="G152" s="1"/>
      <c r="H152" s="1"/>
    </row>
    <row r="153" spans="1:8" x14ac:dyDescent="0.35">
      <c r="A153" s="5"/>
      <c r="C153" s="1"/>
      <c r="D153" s="5"/>
      <c r="E153" s="1"/>
      <c r="F153" s="1"/>
      <c r="G153" s="1"/>
      <c r="H153" s="1"/>
    </row>
    <row r="154" spans="1:8" x14ac:dyDescent="0.35">
      <c r="A154" s="5"/>
      <c r="C154" s="1"/>
      <c r="D154" s="5"/>
      <c r="E154" s="1"/>
      <c r="F154" s="1"/>
      <c r="G154" s="1"/>
      <c r="H154" s="1"/>
    </row>
    <row r="155" spans="1:8" x14ac:dyDescent="0.35">
      <c r="A155" s="5"/>
      <c r="C155" s="1"/>
      <c r="D155" s="5"/>
      <c r="E155" s="1"/>
      <c r="F155" s="1"/>
      <c r="G155" s="1"/>
      <c r="H155" s="1"/>
    </row>
    <row r="156" spans="1:8" x14ac:dyDescent="0.35">
      <c r="A156" s="5"/>
      <c r="C156" s="1"/>
      <c r="D156" s="5"/>
      <c r="E156" s="1"/>
      <c r="F156" s="1"/>
      <c r="G156" s="1"/>
      <c r="H156" s="1"/>
    </row>
    <row r="157" spans="1:8" x14ac:dyDescent="0.35">
      <c r="A157" s="5"/>
      <c r="C157" s="1"/>
      <c r="D157" s="5"/>
      <c r="E157" s="1"/>
      <c r="F157" s="1"/>
      <c r="G157" s="1"/>
      <c r="H157" s="1"/>
    </row>
    <row r="158" spans="1:8" x14ac:dyDescent="0.35">
      <c r="A158" s="5"/>
      <c r="C158" s="1"/>
      <c r="D158" s="5"/>
      <c r="E158" s="1"/>
      <c r="F158" s="1"/>
      <c r="G158" s="1"/>
      <c r="H158" s="1"/>
    </row>
    <row r="159" spans="1:8" x14ac:dyDescent="0.35">
      <c r="A159" s="5"/>
      <c r="C159" s="1"/>
      <c r="D159" s="5"/>
      <c r="E159" s="1"/>
      <c r="F159" s="1"/>
      <c r="G159" s="1"/>
      <c r="H159" s="1"/>
    </row>
    <row r="160" spans="1:8" x14ac:dyDescent="0.35">
      <c r="A160" s="5"/>
      <c r="C160" s="1"/>
      <c r="D160" s="5"/>
      <c r="E160" s="1"/>
      <c r="F160" s="1"/>
      <c r="G160" s="1"/>
      <c r="H160" s="1"/>
    </row>
    <row r="161" spans="1:8" x14ac:dyDescent="0.35">
      <c r="A161" s="5"/>
      <c r="C161" s="1"/>
      <c r="D161" s="5"/>
      <c r="E161" s="1"/>
      <c r="F161" s="1"/>
      <c r="G161" s="1"/>
      <c r="H161" s="1"/>
    </row>
    <row r="162" spans="1:8" x14ac:dyDescent="0.35">
      <c r="A162" s="5"/>
      <c r="C162" s="1"/>
      <c r="D162" s="5"/>
      <c r="E162" s="1"/>
      <c r="F162" s="1"/>
      <c r="G162" s="1"/>
      <c r="H162" s="1"/>
    </row>
    <row r="163" spans="1:8" x14ac:dyDescent="0.35">
      <c r="A163" s="5"/>
      <c r="C163" s="1"/>
      <c r="D163" s="5"/>
      <c r="E163" s="1"/>
      <c r="F163" s="1"/>
      <c r="G163" s="1"/>
      <c r="H163" s="1"/>
    </row>
    <row r="164" spans="1:8" x14ac:dyDescent="0.35">
      <c r="A164" s="5"/>
      <c r="C164" s="1"/>
      <c r="D164" s="5"/>
      <c r="E164" s="1"/>
      <c r="F164" s="1"/>
      <c r="G164" s="1"/>
      <c r="H164" s="1"/>
    </row>
    <row r="165" spans="1:8" x14ac:dyDescent="0.35">
      <c r="A165" s="5"/>
      <c r="C165" s="1"/>
      <c r="D165" s="5"/>
      <c r="E165" s="1"/>
      <c r="F165" s="1"/>
      <c r="G165" s="1"/>
      <c r="H165" s="1"/>
    </row>
    <row r="166" spans="1:8" x14ac:dyDescent="0.35">
      <c r="A166" s="5"/>
      <c r="C166" s="1"/>
      <c r="D166" s="5"/>
      <c r="E166" s="1"/>
      <c r="F166" s="1"/>
      <c r="G166" s="1"/>
      <c r="H166" s="1"/>
    </row>
    <row r="167" spans="1:8" x14ac:dyDescent="0.35">
      <c r="A167" s="5"/>
      <c r="C167" s="1"/>
      <c r="D167" s="5"/>
      <c r="E167" s="1"/>
      <c r="F167" s="1"/>
      <c r="G167" s="1"/>
      <c r="H167" s="1"/>
    </row>
    <row r="168" spans="1:8" x14ac:dyDescent="0.35">
      <c r="A168" s="5"/>
      <c r="C168" s="1"/>
      <c r="D168" s="5"/>
      <c r="E168" s="1"/>
      <c r="F168" s="1"/>
      <c r="G168" s="1"/>
      <c r="H168" s="1"/>
    </row>
    <row r="169" spans="1:8" x14ac:dyDescent="0.35">
      <c r="A169" s="5"/>
      <c r="C169" s="1"/>
      <c r="D169" s="5"/>
      <c r="E169" s="1"/>
      <c r="F169" s="1"/>
      <c r="G169" s="1"/>
      <c r="H169" s="1"/>
    </row>
    <row r="170" spans="1:8" x14ac:dyDescent="0.35">
      <c r="A170" s="5"/>
      <c r="C170" s="1"/>
      <c r="D170" s="5"/>
      <c r="E170" s="1"/>
      <c r="F170" s="1"/>
      <c r="G170" s="1"/>
      <c r="H170" s="1"/>
    </row>
    <row r="171" spans="1:8" x14ac:dyDescent="0.35">
      <c r="A171" s="5"/>
      <c r="C171" s="1"/>
      <c r="D171" s="5"/>
      <c r="E171" s="1"/>
      <c r="F171" s="1"/>
      <c r="G171" s="1"/>
      <c r="H171" s="1"/>
    </row>
    <row r="172" spans="1:8" x14ac:dyDescent="0.35">
      <c r="A172" s="5"/>
      <c r="C172" s="1"/>
      <c r="D172" s="5"/>
      <c r="E172" s="1"/>
      <c r="F172" s="1"/>
      <c r="G172" s="1"/>
      <c r="H172" s="1"/>
    </row>
    <row r="173" spans="1:8" x14ac:dyDescent="0.35">
      <c r="A173" s="5"/>
      <c r="C173" s="1"/>
      <c r="D173" s="5"/>
      <c r="E173" s="1"/>
      <c r="F173" s="1"/>
      <c r="G173" s="1"/>
      <c r="H173" s="1"/>
    </row>
    <row r="174" spans="1:8" x14ac:dyDescent="0.35">
      <c r="A174" s="5"/>
      <c r="C174" s="1"/>
      <c r="D174" s="5"/>
      <c r="E174" s="1"/>
      <c r="F174" s="1"/>
      <c r="G174" s="1"/>
      <c r="H174" s="1"/>
    </row>
    <row r="175" spans="1:8" x14ac:dyDescent="0.35">
      <c r="A175" s="5"/>
      <c r="C175" s="1"/>
      <c r="D175" s="5"/>
      <c r="E175" s="1"/>
      <c r="F175" s="1"/>
      <c r="G175" s="1"/>
      <c r="H175" s="1"/>
    </row>
    <row r="176" spans="1:8" x14ac:dyDescent="0.35">
      <c r="A176" s="5"/>
      <c r="C176" s="1"/>
      <c r="D176" s="5"/>
      <c r="E176" s="1"/>
      <c r="F176" s="1"/>
      <c r="G176" s="1"/>
      <c r="H176" s="1"/>
    </row>
    <row r="177" spans="1:8" x14ac:dyDescent="0.35">
      <c r="A177" s="5"/>
      <c r="C177" s="1"/>
      <c r="D177" s="5"/>
      <c r="E177" s="1"/>
      <c r="F177" s="1"/>
      <c r="G177" s="1"/>
      <c r="H177" s="1"/>
    </row>
    <row r="178" spans="1:8" x14ac:dyDescent="0.35">
      <c r="A178" s="5"/>
      <c r="C178" s="1"/>
      <c r="D178" s="5"/>
      <c r="E178" s="1"/>
      <c r="F178" s="1"/>
      <c r="G178" s="1"/>
      <c r="H178" s="1"/>
    </row>
    <row r="179" spans="1:8" x14ac:dyDescent="0.35">
      <c r="A179" s="5"/>
      <c r="C179" s="1"/>
      <c r="D179" s="5"/>
      <c r="E179" s="1"/>
      <c r="F179" s="1"/>
      <c r="G179" s="1"/>
      <c r="H179" s="1"/>
    </row>
    <row r="180" spans="1:8" x14ac:dyDescent="0.35">
      <c r="A180" s="5"/>
      <c r="C180" s="1"/>
      <c r="D180" s="5"/>
      <c r="E180" s="1"/>
      <c r="F180" s="1"/>
      <c r="G180" s="1"/>
      <c r="H180" s="1"/>
    </row>
    <row r="181" spans="1:8" x14ac:dyDescent="0.35">
      <c r="A181" s="5"/>
      <c r="C181" s="1"/>
      <c r="D181" s="5"/>
      <c r="E181" s="1"/>
      <c r="F181" s="1"/>
      <c r="G181" s="1"/>
      <c r="H181" s="1"/>
    </row>
    <row r="182" spans="1:8" x14ac:dyDescent="0.35">
      <c r="A182" s="5"/>
      <c r="C182" s="1"/>
      <c r="D182" s="5"/>
      <c r="E182" s="1"/>
      <c r="F182" s="1"/>
      <c r="G182" s="1"/>
      <c r="H182" s="1"/>
    </row>
    <row r="183" spans="1:8" x14ac:dyDescent="0.35">
      <c r="A183" s="5"/>
      <c r="C183" s="1"/>
      <c r="D183" s="5"/>
      <c r="E183" s="1"/>
      <c r="F183" s="1"/>
      <c r="G183" s="1"/>
      <c r="H183" s="1"/>
    </row>
    <row r="184" spans="1:8" x14ac:dyDescent="0.35">
      <c r="A184" s="5"/>
      <c r="C184" s="1"/>
      <c r="D184" s="5"/>
      <c r="E184" s="1"/>
      <c r="F184" s="1"/>
      <c r="G184" s="1"/>
      <c r="H184" s="1"/>
    </row>
    <row r="185" spans="1:8" x14ac:dyDescent="0.35">
      <c r="A185" s="5"/>
      <c r="C185" s="1"/>
      <c r="D185" s="5"/>
      <c r="E185" s="1"/>
      <c r="F185" s="1"/>
      <c r="G185" s="1"/>
      <c r="H185" s="1"/>
    </row>
    <row r="186" spans="1:8" x14ac:dyDescent="0.35">
      <c r="A186" s="5"/>
      <c r="C186" s="1"/>
      <c r="D186" s="5"/>
      <c r="E186" s="1"/>
      <c r="F186" s="1"/>
      <c r="G186" s="1"/>
      <c r="H186" s="1"/>
    </row>
    <row r="187" spans="1:8" x14ac:dyDescent="0.35">
      <c r="A187" s="5"/>
      <c r="C187" s="1"/>
      <c r="D187" s="5"/>
      <c r="E187" s="1"/>
      <c r="F187" s="1"/>
      <c r="G187" s="1"/>
      <c r="H187" s="1"/>
    </row>
    <row r="188" spans="1:8" x14ac:dyDescent="0.35">
      <c r="A188" s="5"/>
      <c r="C188" s="1"/>
      <c r="D188" s="5"/>
      <c r="E188" s="1"/>
      <c r="F188" s="1"/>
      <c r="G188" s="1"/>
      <c r="H188" s="1"/>
    </row>
    <row r="189" spans="1:8" x14ac:dyDescent="0.35">
      <c r="A189" s="5"/>
      <c r="C189" s="1"/>
      <c r="D189" s="5"/>
      <c r="E189" s="1"/>
      <c r="F189" s="1"/>
      <c r="G189" s="1"/>
      <c r="H189" s="1"/>
    </row>
    <row r="190" spans="1:8" x14ac:dyDescent="0.35">
      <c r="A190" s="5"/>
      <c r="C190" s="1"/>
      <c r="D190" s="5"/>
      <c r="E190" s="1"/>
      <c r="F190" s="1"/>
      <c r="G190" s="1"/>
      <c r="H190" s="1"/>
    </row>
    <row r="191" spans="1:8" x14ac:dyDescent="0.35">
      <c r="A191" s="5"/>
      <c r="C191" s="1"/>
      <c r="D191" s="5"/>
      <c r="E191" s="1"/>
      <c r="F191" s="1"/>
      <c r="G191" s="1"/>
      <c r="H191" s="1"/>
    </row>
    <row r="192" spans="1:8" x14ac:dyDescent="0.35">
      <c r="A192" s="5"/>
      <c r="C192" s="1"/>
      <c r="D192" s="5"/>
      <c r="E192" s="1"/>
      <c r="F192" s="1"/>
      <c r="G192" s="1"/>
      <c r="H192" s="1"/>
    </row>
    <row r="193" spans="1:8" x14ac:dyDescent="0.35">
      <c r="A193" s="5"/>
      <c r="C193" s="1"/>
      <c r="D193" s="5"/>
      <c r="E193" s="1"/>
      <c r="F193" s="1"/>
      <c r="G193" s="1"/>
      <c r="H193" s="1"/>
    </row>
    <row r="194" spans="1:8" x14ac:dyDescent="0.35">
      <c r="A194" s="5"/>
      <c r="C194" s="1"/>
      <c r="D194" s="5"/>
      <c r="E194" s="1"/>
      <c r="F194" s="1"/>
      <c r="G194" s="1"/>
      <c r="H194" s="1"/>
    </row>
    <row r="195" spans="1:8" x14ac:dyDescent="0.35">
      <c r="A195" s="5"/>
      <c r="C195" s="1"/>
      <c r="D195" s="5"/>
      <c r="E195" s="1"/>
      <c r="F195" s="1"/>
      <c r="G195" s="1"/>
      <c r="H195" s="1"/>
    </row>
    <row r="196" spans="1:8" x14ac:dyDescent="0.35">
      <c r="A196" s="5"/>
      <c r="C196" s="1"/>
      <c r="D196" s="5"/>
      <c r="E196" s="1"/>
      <c r="F196" s="1"/>
      <c r="G196" s="1"/>
      <c r="H196" s="1"/>
    </row>
    <row r="197" spans="1:8" x14ac:dyDescent="0.35">
      <c r="A197" s="5"/>
      <c r="C197" s="1"/>
      <c r="D197" s="5"/>
      <c r="E197" s="1"/>
      <c r="F197" s="1"/>
      <c r="G197" s="1"/>
      <c r="H197" s="1"/>
    </row>
    <row r="198" spans="1:8" x14ac:dyDescent="0.35">
      <c r="A198" s="5"/>
      <c r="C198" s="1"/>
      <c r="D198" s="5"/>
      <c r="E198" s="1"/>
      <c r="F198" s="1"/>
      <c r="G198" s="1"/>
      <c r="H198" s="1"/>
    </row>
    <row r="199" spans="1:8" x14ac:dyDescent="0.35">
      <c r="A199" s="5"/>
      <c r="C199" s="1"/>
      <c r="D199" s="5"/>
      <c r="E199" s="1"/>
      <c r="F199" s="1"/>
      <c r="G199" s="1"/>
      <c r="H199" s="1"/>
    </row>
    <row r="200" spans="1:8" x14ac:dyDescent="0.35">
      <c r="A200" s="5"/>
      <c r="C200" s="1"/>
      <c r="D200" s="5"/>
      <c r="E200" s="1"/>
      <c r="F200" s="1"/>
      <c r="G200" s="1"/>
      <c r="H200" s="1"/>
    </row>
    <row r="201" spans="1:8" x14ac:dyDescent="0.35">
      <c r="A201" s="5"/>
      <c r="C201" s="1"/>
      <c r="D201" s="5"/>
      <c r="E201" s="1"/>
      <c r="F201" s="1"/>
      <c r="G201" s="1"/>
      <c r="H201" s="1"/>
    </row>
    <row r="202" spans="1:8" x14ac:dyDescent="0.35">
      <c r="A202" s="5"/>
      <c r="C202" s="1"/>
      <c r="D202" s="5"/>
      <c r="E202" s="1"/>
      <c r="F202" s="1"/>
      <c r="G202" s="1"/>
      <c r="H202" s="1"/>
    </row>
    <row r="203" spans="1:8" x14ac:dyDescent="0.35">
      <c r="A203" s="5"/>
      <c r="C203" s="1"/>
      <c r="D203" s="5"/>
      <c r="E203" s="1"/>
      <c r="F203" s="1"/>
      <c r="G203" s="1"/>
      <c r="H203" s="1"/>
    </row>
    <row r="204" spans="1:8" x14ac:dyDescent="0.35">
      <c r="A204" s="5"/>
      <c r="C204" s="1"/>
      <c r="D204" s="5"/>
      <c r="E204" s="1"/>
      <c r="F204" s="1"/>
      <c r="G204" s="1"/>
      <c r="H204" s="1"/>
    </row>
    <row r="205" spans="1:8" x14ac:dyDescent="0.35">
      <c r="A205" s="5"/>
      <c r="C205" s="1"/>
      <c r="D205" s="5"/>
      <c r="E205" s="1"/>
      <c r="F205" s="1"/>
      <c r="G205" s="1"/>
      <c r="H205" s="1"/>
    </row>
    <row r="206" spans="1:8" x14ac:dyDescent="0.35">
      <c r="A206" s="5"/>
      <c r="C206" s="1"/>
      <c r="D206" s="5"/>
      <c r="E206" s="1"/>
      <c r="F206" s="1"/>
      <c r="G206" s="1"/>
      <c r="H206" s="1"/>
    </row>
    <row r="207" spans="1:8" x14ac:dyDescent="0.35">
      <c r="A207" s="5"/>
      <c r="C207" s="1"/>
      <c r="D207" s="5"/>
      <c r="E207" s="1"/>
      <c r="F207" s="1"/>
      <c r="G207" s="1"/>
      <c r="H207" s="1"/>
    </row>
    <row r="208" spans="1:8" x14ac:dyDescent="0.35">
      <c r="A208" s="5"/>
      <c r="C208" s="1"/>
      <c r="D208" s="5"/>
      <c r="E208" s="1"/>
      <c r="F208" s="1"/>
      <c r="G208" s="1"/>
      <c r="H208" s="1"/>
    </row>
    <row r="209" spans="1:8" x14ac:dyDescent="0.35">
      <c r="A209" s="5"/>
      <c r="C209" s="1"/>
      <c r="D209" s="5"/>
      <c r="E209" s="1"/>
      <c r="F209" s="1"/>
      <c r="G209" s="1"/>
      <c r="H209" s="1"/>
    </row>
    <row r="210" spans="1:8" x14ac:dyDescent="0.35">
      <c r="A210" s="5"/>
      <c r="C210" s="1"/>
      <c r="D210" s="5"/>
      <c r="E210" s="1"/>
      <c r="F210" s="1"/>
      <c r="G210" s="1"/>
      <c r="H210" s="1"/>
    </row>
    <row r="211" spans="1:8" x14ac:dyDescent="0.35">
      <c r="A211" s="5"/>
      <c r="C211" s="1"/>
      <c r="D211" s="5"/>
      <c r="E211" s="1"/>
      <c r="F211" s="1"/>
      <c r="G211" s="1"/>
      <c r="H211" s="1"/>
    </row>
    <row r="212" spans="1:8" x14ac:dyDescent="0.35">
      <c r="A212" s="5"/>
      <c r="C212" s="1"/>
      <c r="D212" s="5"/>
      <c r="E212" s="1"/>
      <c r="F212" s="1"/>
      <c r="G212" s="1"/>
      <c r="H212" s="1"/>
    </row>
    <row r="213" spans="1:8" x14ac:dyDescent="0.35">
      <c r="A213" s="5"/>
      <c r="C213" s="1"/>
      <c r="D213" s="5"/>
      <c r="E213" s="1"/>
      <c r="F213" s="1"/>
      <c r="G213" s="1"/>
      <c r="H213" s="1"/>
    </row>
    <row r="214" spans="1:8" x14ac:dyDescent="0.35">
      <c r="A214" s="5"/>
      <c r="C214" s="1"/>
      <c r="D214" s="5"/>
      <c r="E214" s="1"/>
      <c r="F214" s="1"/>
      <c r="G214" s="1"/>
      <c r="H214" s="1"/>
    </row>
    <row r="215" spans="1:8" x14ac:dyDescent="0.35">
      <c r="A215" s="5"/>
      <c r="C215" s="1"/>
      <c r="D215" s="5"/>
      <c r="E215" s="1"/>
      <c r="F215" s="1"/>
      <c r="G215" s="1"/>
      <c r="H215" s="1"/>
    </row>
    <row r="216" spans="1:8" x14ac:dyDescent="0.35">
      <c r="A216" s="5"/>
      <c r="C216" s="1"/>
      <c r="D216" s="5"/>
      <c r="E216" s="1"/>
      <c r="F216" s="1"/>
      <c r="G216" s="1"/>
      <c r="H216" s="1"/>
    </row>
    <row r="217" spans="1:8" x14ac:dyDescent="0.35">
      <c r="A217" s="5"/>
      <c r="C217" s="1"/>
      <c r="D217" s="5"/>
      <c r="E217" s="1"/>
      <c r="F217" s="1"/>
      <c r="G217" s="1"/>
      <c r="H217" s="1"/>
    </row>
    <row r="218" spans="1:8" x14ac:dyDescent="0.35">
      <c r="A218" s="5"/>
      <c r="C218" s="1"/>
      <c r="D218" s="5"/>
      <c r="E218" s="1"/>
      <c r="F218" s="1"/>
      <c r="G218" s="1"/>
      <c r="H218" s="1"/>
    </row>
    <row r="219" spans="1:8" x14ac:dyDescent="0.35">
      <c r="A219" s="5"/>
      <c r="C219" s="1"/>
      <c r="D219" s="5"/>
      <c r="E219" s="1"/>
      <c r="F219" s="1"/>
      <c r="G219" s="1"/>
      <c r="H219" s="1"/>
    </row>
    <row r="220" spans="1:8" x14ac:dyDescent="0.35">
      <c r="A220" s="5"/>
      <c r="C220" s="1"/>
      <c r="D220" s="5"/>
      <c r="E220" s="1"/>
      <c r="F220" s="1"/>
      <c r="G220" s="1"/>
      <c r="H220" s="1"/>
    </row>
    <row r="221" spans="1:8" x14ac:dyDescent="0.35">
      <c r="A221" s="5"/>
      <c r="C221" s="1"/>
      <c r="D221" s="5"/>
      <c r="E221" s="1"/>
      <c r="F221" s="1"/>
      <c r="G221" s="1"/>
      <c r="H221" s="1"/>
    </row>
    <row r="222" spans="1:8" x14ac:dyDescent="0.35">
      <c r="A222" s="5"/>
      <c r="C222" s="1"/>
      <c r="D222" s="5"/>
      <c r="E222" s="1"/>
      <c r="F222" s="1"/>
      <c r="G222" s="1"/>
      <c r="H222" s="1"/>
    </row>
    <row r="223" spans="1:8" x14ac:dyDescent="0.35">
      <c r="A223" s="5"/>
      <c r="C223" s="1"/>
      <c r="D223" s="5"/>
      <c r="E223" s="1"/>
      <c r="F223" s="1"/>
      <c r="G223" s="1"/>
      <c r="H223" s="1"/>
    </row>
    <row r="224" spans="1:8" x14ac:dyDescent="0.35">
      <c r="A224" s="5"/>
      <c r="C224" s="1"/>
      <c r="D224" s="5"/>
      <c r="E224" s="1"/>
      <c r="F224" s="1"/>
      <c r="G224" s="1"/>
      <c r="H224" s="1"/>
    </row>
    <row r="225" spans="1:8" x14ac:dyDescent="0.35">
      <c r="A225" s="5"/>
      <c r="C225" s="1"/>
      <c r="D225" s="5"/>
      <c r="E225" s="1"/>
      <c r="F225" s="1"/>
      <c r="G225" s="1"/>
      <c r="H225" s="1"/>
    </row>
    <row r="226" spans="1:8" x14ac:dyDescent="0.35">
      <c r="A226" s="5"/>
      <c r="C226" s="1"/>
      <c r="D226" s="5"/>
      <c r="E226" s="1"/>
      <c r="F226" s="1"/>
      <c r="G226" s="1"/>
      <c r="H226" s="1"/>
    </row>
    <row r="227" spans="1:8" x14ac:dyDescent="0.35">
      <c r="A227" s="5"/>
      <c r="C227" s="1"/>
      <c r="D227" s="5"/>
      <c r="E227" s="1"/>
      <c r="F227" s="1"/>
      <c r="G227" s="1"/>
      <c r="H227" s="1"/>
    </row>
    <row r="228" spans="1:8" x14ac:dyDescent="0.35">
      <c r="A228" s="5"/>
      <c r="C228" s="1"/>
      <c r="D228" s="5"/>
      <c r="E228" s="1"/>
      <c r="F228" s="1"/>
      <c r="G228" s="1"/>
      <c r="H228" s="1"/>
    </row>
    <row r="229" spans="1:8" x14ac:dyDescent="0.35">
      <c r="A229" s="5"/>
      <c r="C229" s="1"/>
      <c r="D229" s="5"/>
      <c r="E229" s="1"/>
      <c r="F229" s="1"/>
      <c r="G229" s="1"/>
      <c r="H229" s="1"/>
    </row>
    <row r="230" spans="1:8" x14ac:dyDescent="0.35">
      <c r="A230" s="5"/>
      <c r="C230" s="1"/>
      <c r="D230" s="5"/>
      <c r="E230" s="1"/>
      <c r="F230" s="1"/>
      <c r="G230" s="1"/>
      <c r="H230" s="1"/>
    </row>
    <row r="231" spans="1:8" x14ac:dyDescent="0.35">
      <c r="A231" s="5"/>
      <c r="C231" s="1"/>
      <c r="D231" s="5"/>
      <c r="E231" s="1"/>
      <c r="F231" s="1"/>
      <c r="G231" s="1"/>
      <c r="H231" s="1"/>
    </row>
    <row r="232" spans="1:8" x14ac:dyDescent="0.35">
      <c r="A232" s="5"/>
      <c r="C232" s="1"/>
      <c r="D232" s="5"/>
      <c r="E232" s="1"/>
      <c r="F232" s="1"/>
      <c r="G232" s="1"/>
      <c r="H232" s="1"/>
    </row>
    <row r="233" spans="1:8" x14ac:dyDescent="0.35">
      <c r="A233" s="5"/>
      <c r="C233" s="1"/>
      <c r="D233" s="5"/>
      <c r="E233" s="1"/>
      <c r="F233" s="1"/>
      <c r="G233" s="1"/>
      <c r="H233" s="1"/>
    </row>
    <row r="234" spans="1:8" x14ac:dyDescent="0.35">
      <c r="A234" s="5"/>
      <c r="C234" s="1"/>
      <c r="D234" s="5"/>
      <c r="E234" s="1"/>
      <c r="F234" s="1"/>
      <c r="G234" s="1"/>
      <c r="H234" s="1"/>
    </row>
    <row r="235" spans="1:8" x14ac:dyDescent="0.35">
      <c r="A235" s="5"/>
      <c r="C235" s="1"/>
      <c r="D235" s="5"/>
      <c r="E235" s="1"/>
      <c r="F235" s="1"/>
      <c r="G235" s="1"/>
      <c r="H235" s="1"/>
    </row>
    <row r="236" spans="1:8" x14ac:dyDescent="0.35">
      <c r="A236" s="5"/>
      <c r="C236" s="1"/>
      <c r="D236" s="5"/>
      <c r="E236" s="1"/>
      <c r="F236" s="1"/>
      <c r="G236" s="1"/>
      <c r="H236" s="1"/>
    </row>
    <row r="237" spans="1:8" x14ac:dyDescent="0.35">
      <c r="A237" s="5"/>
      <c r="C237" s="1"/>
      <c r="D237" s="5"/>
      <c r="E237" s="1"/>
      <c r="F237" s="1"/>
      <c r="G237" s="1"/>
      <c r="H237" s="1"/>
    </row>
    <row r="238" spans="1:8" x14ac:dyDescent="0.35">
      <c r="A238" s="5"/>
      <c r="C238" s="1"/>
      <c r="D238" s="5"/>
      <c r="E238" s="1"/>
      <c r="F238" s="1"/>
      <c r="G238" s="1"/>
      <c r="H238" s="1"/>
    </row>
    <row r="239" spans="1:8" x14ac:dyDescent="0.35">
      <c r="A239" s="5"/>
      <c r="C239" s="1"/>
      <c r="D239" s="5"/>
      <c r="E239" s="1"/>
      <c r="F239" s="1"/>
      <c r="G239" s="1"/>
      <c r="H239" s="1"/>
    </row>
    <row r="240" spans="1:8" x14ac:dyDescent="0.35">
      <c r="A240" s="5"/>
      <c r="C240" s="1"/>
      <c r="D240" s="5"/>
      <c r="E240" s="1"/>
      <c r="F240" s="1"/>
      <c r="G240" s="1"/>
      <c r="H240" s="1"/>
    </row>
    <row r="241" spans="1:8" x14ac:dyDescent="0.35">
      <c r="A241" s="5"/>
      <c r="C241" s="1"/>
      <c r="D241" s="5"/>
      <c r="E241" s="1"/>
      <c r="F241" s="1"/>
      <c r="G241" s="1"/>
      <c r="H241" s="1"/>
    </row>
    <row r="242" spans="1:8" x14ac:dyDescent="0.35">
      <c r="A242" s="5"/>
      <c r="C242" s="1"/>
      <c r="D242" s="5"/>
      <c r="E242" s="1"/>
      <c r="F242" s="1"/>
      <c r="G242" s="1"/>
      <c r="H242" s="1"/>
    </row>
    <row r="243" spans="1:8" x14ac:dyDescent="0.35">
      <c r="A243" s="5"/>
      <c r="C243" s="1"/>
      <c r="D243" s="5"/>
      <c r="E243" s="1"/>
      <c r="F243" s="1"/>
      <c r="G243" s="1"/>
      <c r="H243" s="1"/>
    </row>
    <row r="244" spans="1:8" x14ac:dyDescent="0.35">
      <c r="A244" s="5"/>
      <c r="C244" s="1"/>
      <c r="D244" s="5"/>
      <c r="E244" s="1"/>
      <c r="F244" s="1"/>
      <c r="G244" s="1"/>
      <c r="H244" s="1"/>
    </row>
    <row r="245" spans="1:8" x14ac:dyDescent="0.35">
      <c r="A245" s="5"/>
      <c r="C245" s="1"/>
      <c r="D245" s="5"/>
      <c r="E245" s="1"/>
      <c r="F245" s="1"/>
      <c r="G245" s="1"/>
      <c r="H245" s="1"/>
    </row>
    <row r="246" spans="1:8" x14ac:dyDescent="0.35">
      <c r="A246" s="5"/>
      <c r="C246" s="1"/>
      <c r="D246" s="5"/>
      <c r="E246" s="1"/>
      <c r="F246" s="1"/>
      <c r="G246" s="1"/>
      <c r="H246" s="1"/>
    </row>
    <row r="247" spans="1:8" x14ac:dyDescent="0.35">
      <c r="A247" s="5"/>
      <c r="C247" s="1"/>
      <c r="D247" s="5"/>
      <c r="E247" s="1"/>
      <c r="F247" s="1"/>
      <c r="G247" s="1"/>
      <c r="H247" s="1"/>
    </row>
    <row r="248" spans="1:8" x14ac:dyDescent="0.35">
      <c r="A248" s="5"/>
      <c r="C248" s="1"/>
      <c r="D248" s="5"/>
      <c r="E248" s="1"/>
      <c r="F248" s="1"/>
      <c r="G248" s="1"/>
      <c r="H248" s="1"/>
    </row>
    <row r="249" spans="1:8" x14ac:dyDescent="0.35">
      <c r="A249" s="5"/>
      <c r="C249" s="1"/>
      <c r="D249" s="5"/>
      <c r="E249" s="1"/>
      <c r="F249" s="1"/>
      <c r="G249" s="1"/>
      <c r="H249" s="1"/>
    </row>
    <row r="250" spans="1:8" x14ac:dyDescent="0.35">
      <c r="A250" s="5"/>
      <c r="C250" s="1"/>
      <c r="D250" s="5"/>
      <c r="E250" s="1"/>
      <c r="F250" s="1"/>
      <c r="G250" s="1"/>
      <c r="H250" s="1"/>
    </row>
    <row r="251" spans="1:8" x14ac:dyDescent="0.35">
      <c r="A251" s="5"/>
      <c r="C251" s="1"/>
      <c r="D251" s="5"/>
      <c r="E251" s="1"/>
      <c r="F251" s="1"/>
      <c r="G251" s="1"/>
      <c r="H251" s="1"/>
    </row>
    <row r="252" spans="1:8" x14ac:dyDescent="0.35">
      <c r="A252" s="5"/>
      <c r="C252" s="1"/>
      <c r="D252" s="5"/>
      <c r="E252" s="1"/>
      <c r="F252" s="1"/>
      <c r="G252" s="1"/>
      <c r="H252" s="1"/>
    </row>
    <row r="253" spans="1:8" x14ac:dyDescent="0.35">
      <c r="A253" s="5"/>
      <c r="C253" s="1"/>
      <c r="D253" s="5"/>
      <c r="E253" s="1"/>
      <c r="F253" s="1"/>
      <c r="G253" s="1"/>
      <c r="H253" s="1"/>
    </row>
    <row r="254" spans="1:8" x14ac:dyDescent="0.35">
      <c r="A254" s="5"/>
      <c r="C254" s="1"/>
      <c r="D254" s="5"/>
      <c r="E254" s="1"/>
      <c r="F254" s="1"/>
      <c r="G254" s="1"/>
      <c r="H254" s="1"/>
    </row>
    <row r="255" spans="1:8" x14ac:dyDescent="0.35">
      <c r="A255" s="5"/>
      <c r="C255" s="1"/>
      <c r="D255" s="5"/>
      <c r="E255" s="1"/>
      <c r="F255" s="1"/>
      <c r="G255" s="1"/>
      <c r="H255" s="1"/>
    </row>
    <row r="256" spans="1:8" x14ac:dyDescent="0.35">
      <c r="A256" s="5"/>
      <c r="C256" s="1"/>
      <c r="D256" s="5"/>
      <c r="E256" s="1"/>
      <c r="F256" s="1"/>
      <c r="G256" s="1"/>
      <c r="H256" s="1"/>
    </row>
    <row r="257" spans="1:8" x14ac:dyDescent="0.35">
      <c r="A257" s="5"/>
      <c r="C257" s="1"/>
      <c r="D257" s="5"/>
      <c r="E257" s="1"/>
      <c r="F257" s="1"/>
      <c r="G257" s="1"/>
      <c r="H257" s="1"/>
    </row>
    <row r="258" spans="1:8" x14ac:dyDescent="0.35">
      <c r="A258" s="5"/>
      <c r="C258" s="1"/>
      <c r="D258" s="5"/>
      <c r="E258" s="1"/>
      <c r="F258" s="1"/>
      <c r="G258" s="1"/>
      <c r="H258" s="1"/>
    </row>
    <row r="259" spans="1:8" x14ac:dyDescent="0.35">
      <c r="A259" s="5"/>
      <c r="C259" s="1"/>
      <c r="D259" s="5"/>
      <c r="E259" s="1"/>
      <c r="F259" s="1"/>
      <c r="G259" s="1"/>
      <c r="H259" s="1"/>
    </row>
    <row r="260" spans="1:8" x14ac:dyDescent="0.35">
      <c r="A260" s="5"/>
      <c r="C260" s="1"/>
      <c r="D260" s="5"/>
      <c r="E260" s="1"/>
      <c r="F260" s="1"/>
      <c r="G260" s="1"/>
      <c r="H260" s="1"/>
    </row>
    <row r="261" spans="1:8" x14ac:dyDescent="0.35">
      <c r="A261" s="5"/>
      <c r="C261" s="1"/>
      <c r="D261" s="5"/>
      <c r="E261" s="1"/>
      <c r="F261" s="1"/>
      <c r="G261" s="1"/>
      <c r="H261" s="1"/>
    </row>
    <row r="262" spans="1:8" x14ac:dyDescent="0.35">
      <c r="A262" s="5"/>
      <c r="C262" s="1"/>
      <c r="D262" s="5"/>
      <c r="E262" s="1"/>
      <c r="F262" s="1"/>
      <c r="G262" s="1"/>
      <c r="H262" s="1"/>
    </row>
    <row r="263" spans="1:8" x14ac:dyDescent="0.35">
      <c r="A263" s="5"/>
      <c r="C263" s="1"/>
      <c r="D263" s="5"/>
      <c r="E263" s="1"/>
      <c r="F263" s="1"/>
      <c r="G263" s="1"/>
      <c r="H263" s="1"/>
    </row>
    <row r="264" spans="1:8" x14ac:dyDescent="0.35">
      <c r="A264" s="5"/>
      <c r="C264" s="1"/>
      <c r="D264" s="5"/>
      <c r="E264" s="1"/>
      <c r="F264" s="1"/>
      <c r="G264" s="1"/>
      <c r="H264" s="1"/>
    </row>
    <row r="265" spans="1:8" x14ac:dyDescent="0.35">
      <c r="A265" s="5"/>
      <c r="C265" s="1"/>
      <c r="D265" s="5"/>
      <c r="E265" s="1"/>
      <c r="F265" s="1"/>
      <c r="G265" s="1"/>
      <c r="H265" s="1"/>
    </row>
    <row r="266" spans="1:8" x14ac:dyDescent="0.35">
      <c r="A266" s="5"/>
      <c r="C266" s="1"/>
      <c r="D266" s="5"/>
      <c r="E266" s="1"/>
      <c r="F266" s="1"/>
      <c r="G266" s="1"/>
      <c r="H266" s="1"/>
    </row>
    <row r="267" spans="1:8" x14ac:dyDescent="0.35">
      <c r="A267" s="5"/>
      <c r="C267" s="1"/>
      <c r="D267" s="5"/>
      <c r="E267" s="1"/>
      <c r="F267" s="1"/>
      <c r="G267" s="1"/>
      <c r="H267" s="1"/>
    </row>
    <row r="268" spans="1:8" x14ac:dyDescent="0.35">
      <c r="A268" s="5"/>
      <c r="C268" s="1"/>
      <c r="D268" s="5"/>
      <c r="E268" s="1"/>
      <c r="F268" s="1"/>
      <c r="G268" s="1"/>
      <c r="H268" s="1"/>
    </row>
    <row r="269" spans="1:8" x14ac:dyDescent="0.35">
      <c r="A269" s="5"/>
      <c r="C269" s="1"/>
      <c r="D269" s="5"/>
      <c r="E269" s="1"/>
      <c r="F269" s="1"/>
      <c r="G269" s="1"/>
      <c r="H269" s="1"/>
    </row>
    <row r="270" spans="1:8" x14ac:dyDescent="0.35">
      <c r="A270" s="5"/>
      <c r="C270" s="1"/>
      <c r="D270" s="5"/>
      <c r="E270" s="1"/>
      <c r="F270" s="1"/>
      <c r="G270" s="1"/>
      <c r="H270" s="1"/>
    </row>
    <row r="271" spans="1:8" x14ac:dyDescent="0.35">
      <c r="A271" s="5"/>
      <c r="C271" s="1"/>
      <c r="D271" s="5"/>
      <c r="E271" s="1"/>
      <c r="F271" s="1"/>
      <c r="G271" s="1"/>
      <c r="H271" s="1"/>
    </row>
    <row r="272" spans="1:8" x14ac:dyDescent="0.35">
      <c r="A272" s="5"/>
      <c r="C272" s="1"/>
      <c r="D272" s="5"/>
      <c r="E272" s="1"/>
      <c r="F272" s="1"/>
      <c r="G272" s="1"/>
      <c r="H272" s="1"/>
    </row>
    <row r="273" spans="1:8" x14ac:dyDescent="0.35">
      <c r="A273" s="5"/>
      <c r="C273" s="1"/>
      <c r="D273" s="5"/>
      <c r="E273" s="1"/>
      <c r="F273" s="1"/>
      <c r="G273" s="1"/>
      <c r="H273" s="1"/>
    </row>
    <row r="274" spans="1:8" x14ac:dyDescent="0.35">
      <c r="A274" s="5"/>
      <c r="C274" s="1"/>
      <c r="D274" s="5"/>
      <c r="E274" s="1"/>
      <c r="F274" s="1"/>
      <c r="G274" s="1"/>
      <c r="H274" s="1"/>
    </row>
    <row r="275" spans="1:8" x14ac:dyDescent="0.35">
      <c r="C275" s="1"/>
    </row>
    <row r="276" spans="1:8" x14ac:dyDescent="0.35">
      <c r="C276" s="1"/>
    </row>
    <row r="277" spans="1:8" x14ac:dyDescent="0.35">
      <c r="C277" s="1"/>
    </row>
    <row r="278" spans="1:8" x14ac:dyDescent="0.35">
      <c r="C278" s="1"/>
    </row>
    <row r="279" spans="1:8" x14ac:dyDescent="0.35">
      <c r="C279" s="1"/>
    </row>
    <row r="280" spans="1:8" x14ac:dyDescent="0.35">
      <c r="C280" s="1"/>
    </row>
    <row r="281" spans="1:8" x14ac:dyDescent="0.35">
      <c r="C281" s="1"/>
    </row>
    <row r="282" spans="1:8" x14ac:dyDescent="0.35">
      <c r="C282" s="1"/>
    </row>
    <row r="283" spans="1:8" x14ac:dyDescent="0.35">
      <c r="C283" s="1"/>
    </row>
    <row r="284" spans="1:8" x14ac:dyDescent="0.35">
      <c r="C284" s="1"/>
    </row>
    <row r="285" spans="1:8" x14ac:dyDescent="0.35">
      <c r="C285" s="1"/>
    </row>
    <row r="286" spans="1:8" x14ac:dyDescent="0.35">
      <c r="C286" s="1"/>
    </row>
    <row r="287" spans="1:8" x14ac:dyDescent="0.35">
      <c r="C287" s="1"/>
    </row>
    <row r="288" spans="1:8" x14ac:dyDescent="0.35">
      <c r="C288" s="1"/>
    </row>
  </sheetData>
  <phoneticPr fontId="10" type="noConversion"/>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0CBEF-E4FB-4736-9EB7-85522F26B655}">
  <sheetPr codeName="Sheet16"/>
  <dimension ref="A1:AO288"/>
  <sheetViews>
    <sheetView rightToLeft="1" workbookViewId="0">
      <pane xSplit="1" ySplit="1" topLeftCell="B123" activePane="bottomRight" state="frozen"/>
      <selection activeCell="A6" sqref="A6"/>
      <selection pane="topRight" activeCell="A6" sqref="A6"/>
      <selection pane="bottomLeft" activeCell="A6" sqref="A6"/>
      <selection pane="bottomRight" activeCell="B128" sqref="B128"/>
    </sheetView>
  </sheetViews>
  <sheetFormatPr defaultColWidth="8.81640625" defaultRowHeight="14.5" x14ac:dyDescent="0.35"/>
  <cols>
    <col min="1" max="1" width="52.1796875" style="25" customWidth="1"/>
    <col min="2" max="2" width="10" style="6" customWidth="1"/>
    <col min="3" max="3" width="10" style="2" customWidth="1"/>
    <col min="4" max="4" width="10.08984375" style="2" customWidth="1"/>
    <col min="5" max="5" width="11.81640625" style="2" customWidth="1"/>
    <col min="6" max="8" width="8.81640625" style="2"/>
    <col min="9" max="16" width="8.81640625" style="1" customWidth="1"/>
    <col min="17" max="18" width="8.81640625" style="30" customWidth="1"/>
    <col min="19" max="35" width="8.81640625" style="1" customWidth="1"/>
    <col min="36" max="36" width="8.81640625" style="2"/>
    <col min="37" max="37" width="10.08984375" style="2" bestFit="1" customWidth="1"/>
    <col min="38" max="38" width="8.81640625" style="2"/>
    <col min="39" max="39" width="10.54296875" style="2" bestFit="1" customWidth="1"/>
    <col min="40" max="40" width="8.81640625" style="2"/>
    <col min="41" max="41" width="17" style="2" bestFit="1" customWidth="1"/>
    <col min="42" max="16384" width="8.81640625" style="2"/>
  </cols>
  <sheetData>
    <row r="1" spans="1:41" ht="15" thickBot="1" x14ac:dyDescent="0.4">
      <c r="A1" s="22" t="s">
        <v>0</v>
      </c>
      <c r="B1" s="4">
        <v>2025</v>
      </c>
      <c r="C1" s="4">
        <v>2022</v>
      </c>
      <c r="D1" s="34">
        <v>2021</v>
      </c>
      <c r="E1" s="20">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x14ac:dyDescent="0.35">
      <c r="A2" s="23" t="s">
        <v>25</v>
      </c>
      <c r="B2" s="6" t="s">
        <v>10</v>
      </c>
      <c r="C2" s="83" t="s">
        <v>10</v>
      </c>
      <c r="D2" s="39" t="s">
        <v>10</v>
      </c>
      <c r="E2" s="87" t="s">
        <v>10</v>
      </c>
      <c r="F2" s="10"/>
      <c r="G2" s="61" t="s">
        <v>10</v>
      </c>
      <c r="H2" s="61" t="s">
        <v>185</v>
      </c>
      <c r="I2" s="66" t="s">
        <v>11</v>
      </c>
      <c r="J2" s="53" t="s">
        <v>189</v>
      </c>
      <c r="K2" s="1" t="s">
        <v>892</v>
      </c>
      <c r="L2" s="3"/>
      <c r="M2" s="3"/>
      <c r="N2" s="3"/>
      <c r="O2" s="3"/>
      <c r="P2" s="3"/>
      <c r="Q2" s="29"/>
      <c r="R2" s="29"/>
      <c r="S2" s="3"/>
      <c r="T2" s="3"/>
      <c r="U2" s="3"/>
      <c r="V2" s="3"/>
      <c r="W2" s="3"/>
      <c r="X2" s="3"/>
      <c r="Y2" s="3"/>
      <c r="Z2" s="3"/>
      <c r="AA2" s="3"/>
      <c r="AB2" s="3"/>
      <c r="AC2" s="3"/>
      <c r="AD2" s="3"/>
      <c r="AE2" s="3"/>
      <c r="AF2" s="3"/>
      <c r="AG2" s="3"/>
      <c r="AH2" s="3"/>
      <c r="AI2" s="3"/>
      <c r="AK2" s="2">
        <f>COUNTA(C2:AI2)</f>
        <v>8</v>
      </c>
      <c r="AM2" s="2">
        <f>COUNTA(G2:P2,S2:T2)</f>
        <v>5</v>
      </c>
      <c r="AO2" s="2">
        <f>COUNTIF(AM2:AM126,"&gt;=2")</f>
        <v>35</v>
      </c>
    </row>
    <row r="3" spans="1:41" ht="29" x14ac:dyDescent="0.35">
      <c r="A3" s="24" t="s">
        <v>2514</v>
      </c>
      <c r="C3" s="6"/>
      <c r="D3" s="31"/>
      <c r="E3" s="21"/>
      <c r="F3" s="1"/>
      <c r="G3" s="1"/>
      <c r="H3" s="1"/>
      <c r="P3" s="54" t="s">
        <v>919</v>
      </c>
      <c r="R3" s="54" t="s">
        <v>1010</v>
      </c>
      <c r="S3" s="54" t="s">
        <v>2025</v>
      </c>
      <c r="T3" s="54" t="s">
        <v>12</v>
      </c>
      <c r="W3" s="54" t="s">
        <v>185</v>
      </c>
      <c r="AA3" s="54" t="s">
        <v>13</v>
      </c>
      <c r="AE3" s="54" t="s">
        <v>1510</v>
      </c>
      <c r="AF3" s="1" t="s">
        <v>649</v>
      </c>
      <c r="AK3" s="2">
        <f t="shared" ref="AK3:AK66" si="0">COUNTA(C3:AI3)</f>
        <v>8</v>
      </c>
      <c r="AM3" s="2">
        <f t="shared" ref="AM3:AM66" si="1">COUNTA(G3:P3,S3:T3)</f>
        <v>3</v>
      </c>
    </row>
    <row r="4" spans="1:41" x14ac:dyDescent="0.35">
      <c r="A4" s="5" t="s">
        <v>1532</v>
      </c>
      <c r="C4" s="6"/>
      <c r="D4" s="5"/>
      <c r="E4" s="1"/>
      <c r="F4" s="1"/>
      <c r="G4" s="1"/>
      <c r="H4" s="1"/>
      <c r="O4" s="1" t="s">
        <v>1535</v>
      </c>
      <c r="AK4" s="2">
        <f t="shared" si="0"/>
        <v>1</v>
      </c>
      <c r="AM4" s="2">
        <f t="shared" si="1"/>
        <v>1</v>
      </c>
    </row>
    <row r="5" spans="1:41" ht="29" x14ac:dyDescent="0.35">
      <c r="A5" s="5" t="s">
        <v>1534</v>
      </c>
      <c r="B5" s="5"/>
      <c r="C5" s="5"/>
      <c r="D5" s="5"/>
      <c r="E5" s="1"/>
      <c r="F5" s="1"/>
      <c r="G5" s="1"/>
      <c r="H5" s="1"/>
      <c r="O5" s="1" t="s">
        <v>1537</v>
      </c>
      <c r="AK5" s="2">
        <f t="shared" si="0"/>
        <v>1</v>
      </c>
      <c r="AM5" s="2">
        <f t="shared" si="1"/>
        <v>1</v>
      </c>
    </row>
    <row r="6" spans="1:41" ht="29" x14ac:dyDescent="0.35">
      <c r="A6" s="31" t="s">
        <v>2969</v>
      </c>
      <c r="C6" s="6"/>
      <c r="D6" s="31"/>
      <c r="E6" s="21"/>
      <c r="F6" s="1"/>
      <c r="G6" s="1"/>
      <c r="H6" s="1"/>
      <c r="AF6" s="1" t="s">
        <v>222</v>
      </c>
      <c r="AK6" s="2">
        <f t="shared" si="0"/>
        <v>1</v>
      </c>
      <c r="AM6" s="2">
        <f t="shared" si="1"/>
        <v>0</v>
      </c>
    </row>
    <row r="7" spans="1:41" ht="29" x14ac:dyDescent="0.35">
      <c r="A7" s="24" t="s">
        <v>26</v>
      </c>
      <c r="C7" s="6"/>
      <c r="D7" s="31"/>
      <c r="E7" s="21" t="s">
        <v>11</v>
      </c>
      <c r="F7" s="10"/>
      <c r="G7" s="10" t="s">
        <v>11</v>
      </c>
      <c r="H7" s="61" t="s">
        <v>11</v>
      </c>
      <c r="I7" s="61" t="s">
        <v>12</v>
      </c>
      <c r="J7" s="61" t="s">
        <v>15</v>
      </c>
      <c r="K7" s="61" t="s">
        <v>895</v>
      </c>
      <c r="L7" s="53" t="s">
        <v>891</v>
      </c>
      <c r="N7" s="53" t="s">
        <v>194</v>
      </c>
      <c r="O7" s="53" t="s">
        <v>1456</v>
      </c>
      <c r="P7" s="53" t="s">
        <v>890</v>
      </c>
      <c r="Q7" s="53" t="s">
        <v>234</v>
      </c>
      <c r="R7" s="53" t="s">
        <v>1988</v>
      </c>
      <c r="S7" s="1" t="s">
        <v>1981</v>
      </c>
      <c r="AK7" s="2">
        <f t="shared" si="0"/>
        <v>13</v>
      </c>
      <c r="AM7" s="2">
        <f t="shared" si="1"/>
        <v>10</v>
      </c>
    </row>
    <row r="8" spans="1:41" ht="29" x14ac:dyDescent="0.35">
      <c r="A8" s="24" t="s">
        <v>29</v>
      </c>
      <c r="B8" s="6" t="s">
        <v>14</v>
      </c>
      <c r="C8" s="6" t="s">
        <v>14</v>
      </c>
      <c r="D8" s="31" t="s">
        <v>14</v>
      </c>
      <c r="E8" s="21" t="s">
        <v>14</v>
      </c>
      <c r="F8" s="12" t="s">
        <v>362</v>
      </c>
      <c r="G8" s="53" t="s">
        <v>14</v>
      </c>
      <c r="H8" s="53" t="s">
        <v>194</v>
      </c>
      <c r="I8" s="53" t="s">
        <v>33</v>
      </c>
      <c r="J8" s="53" t="s">
        <v>428</v>
      </c>
      <c r="K8" s="53" t="s">
        <v>909</v>
      </c>
      <c r="L8" s="53" t="s">
        <v>878</v>
      </c>
      <c r="N8" s="53" t="s">
        <v>14</v>
      </c>
      <c r="O8" s="53" t="s">
        <v>1453</v>
      </c>
      <c r="P8" s="53" t="s">
        <v>878</v>
      </c>
      <c r="Q8" s="53" t="s">
        <v>14</v>
      </c>
      <c r="R8" s="53" t="s">
        <v>975</v>
      </c>
      <c r="S8" s="1" t="s">
        <v>1977</v>
      </c>
      <c r="AK8" s="2">
        <f t="shared" si="0"/>
        <v>16</v>
      </c>
      <c r="AM8" s="2">
        <f t="shared" si="1"/>
        <v>10</v>
      </c>
    </row>
    <row r="9" spans="1:41" x14ac:dyDescent="0.35">
      <c r="A9" s="23" t="s">
        <v>3238</v>
      </c>
      <c r="B9" s="6" t="s">
        <v>3239</v>
      </c>
      <c r="C9" s="51" t="s">
        <v>3239</v>
      </c>
      <c r="D9" s="35"/>
      <c r="E9" s="21"/>
      <c r="F9" s="1"/>
      <c r="G9" s="1"/>
      <c r="H9" s="61" t="s">
        <v>10</v>
      </c>
      <c r="I9" s="61" t="s">
        <v>187</v>
      </c>
      <c r="J9" s="53" t="s">
        <v>190</v>
      </c>
      <c r="K9" s="1" t="s">
        <v>893</v>
      </c>
      <c r="L9" s="53" t="s">
        <v>893</v>
      </c>
      <c r="M9" s="53" t="s">
        <v>895</v>
      </c>
      <c r="N9" s="53" t="s">
        <v>192</v>
      </c>
      <c r="O9" s="53" t="s">
        <v>1076</v>
      </c>
      <c r="P9" s="53" t="s">
        <v>910</v>
      </c>
      <c r="Q9" s="53" t="s">
        <v>512</v>
      </c>
      <c r="R9" s="53" t="s">
        <v>991</v>
      </c>
      <c r="S9" s="1" t="s">
        <v>2000</v>
      </c>
      <c r="AK9" s="2">
        <f t="shared" si="0"/>
        <v>13</v>
      </c>
      <c r="AM9" s="2">
        <f t="shared" si="1"/>
        <v>10</v>
      </c>
    </row>
    <row r="10" spans="1:41" x14ac:dyDescent="0.35">
      <c r="A10" s="23" t="s">
        <v>411</v>
      </c>
      <c r="C10" s="6"/>
      <c r="D10" s="35"/>
      <c r="E10" s="21"/>
      <c r="F10" s="1"/>
      <c r="G10" s="1"/>
      <c r="H10" s="10" t="s">
        <v>187</v>
      </c>
      <c r="AK10" s="2">
        <f t="shared" si="0"/>
        <v>1</v>
      </c>
      <c r="AM10" s="2">
        <f t="shared" si="1"/>
        <v>1</v>
      </c>
    </row>
    <row r="11" spans="1:41" ht="43.5" x14ac:dyDescent="0.35">
      <c r="A11" s="24" t="s">
        <v>416</v>
      </c>
      <c r="C11" s="6"/>
      <c r="D11" s="31"/>
      <c r="E11" s="21"/>
      <c r="F11" s="1"/>
      <c r="G11" s="1"/>
      <c r="H11" s="61" t="s">
        <v>44</v>
      </c>
      <c r="I11" s="61" t="s">
        <v>34</v>
      </c>
      <c r="J11" s="61" t="s">
        <v>431</v>
      </c>
      <c r="K11" s="10" t="s">
        <v>910</v>
      </c>
      <c r="AK11" s="2">
        <f t="shared" si="0"/>
        <v>4</v>
      </c>
      <c r="AM11" s="2">
        <f t="shared" si="1"/>
        <v>4</v>
      </c>
    </row>
    <row r="12" spans="1:41" ht="29" x14ac:dyDescent="0.35">
      <c r="A12" s="24" t="s">
        <v>615</v>
      </c>
      <c r="C12" s="1"/>
      <c r="D12" s="31"/>
      <c r="E12" s="21"/>
      <c r="F12" s="1"/>
      <c r="G12" s="1"/>
      <c r="H12" s="10"/>
      <c r="I12" s="61" t="s">
        <v>37</v>
      </c>
      <c r="J12" s="61" t="s">
        <v>433</v>
      </c>
      <c r="K12" s="61" t="s">
        <v>912</v>
      </c>
      <c r="O12" s="1" t="s">
        <v>1452</v>
      </c>
      <c r="AK12" s="2">
        <f t="shared" si="0"/>
        <v>4</v>
      </c>
      <c r="AM12" s="2">
        <f t="shared" si="1"/>
        <v>4</v>
      </c>
    </row>
    <row r="13" spans="1:41" ht="43.5" x14ac:dyDescent="0.35">
      <c r="A13" s="24" t="s">
        <v>418</v>
      </c>
      <c r="C13" s="1"/>
      <c r="D13" s="31"/>
      <c r="E13" s="21"/>
      <c r="F13" s="1"/>
      <c r="G13" s="1"/>
      <c r="H13" s="61" t="s">
        <v>34</v>
      </c>
      <c r="J13" s="61" t="s">
        <v>33</v>
      </c>
      <c r="K13" s="66" t="s">
        <v>900</v>
      </c>
      <c r="P13" s="1" t="s">
        <v>1324</v>
      </c>
      <c r="AK13" s="2">
        <f t="shared" si="0"/>
        <v>4</v>
      </c>
      <c r="AM13" s="2">
        <f t="shared" si="1"/>
        <v>4</v>
      </c>
    </row>
    <row r="14" spans="1:41" x14ac:dyDescent="0.35">
      <c r="A14" s="24" t="s">
        <v>419</v>
      </c>
      <c r="C14" s="1"/>
      <c r="D14" s="31"/>
      <c r="E14" s="21"/>
      <c r="F14" s="1"/>
      <c r="G14" s="1"/>
      <c r="H14" s="61" t="s">
        <v>36</v>
      </c>
      <c r="J14" s="61" t="s">
        <v>421</v>
      </c>
      <c r="K14" s="66" t="s">
        <v>901</v>
      </c>
      <c r="P14" s="1" t="s">
        <v>1321</v>
      </c>
      <c r="AK14" s="2">
        <f t="shared" si="0"/>
        <v>4</v>
      </c>
      <c r="AM14" s="2">
        <f t="shared" si="1"/>
        <v>4</v>
      </c>
    </row>
    <row r="15" spans="1:41" x14ac:dyDescent="0.35">
      <c r="A15" s="24" t="s">
        <v>420</v>
      </c>
      <c r="C15" s="5"/>
      <c r="D15" s="31"/>
      <c r="E15" s="21"/>
      <c r="F15" s="1"/>
      <c r="G15" s="1"/>
      <c r="H15" s="61" t="s">
        <v>37</v>
      </c>
      <c r="J15" s="10"/>
      <c r="K15" s="10" t="s">
        <v>902</v>
      </c>
      <c r="AK15" s="2">
        <f t="shared" si="0"/>
        <v>2</v>
      </c>
      <c r="AM15" s="2">
        <f t="shared" si="1"/>
        <v>2</v>
      </c>
    </row>
    <row r="16" spans="1:41" x14ac:dyDescent="0.35">
      <c r="A16" s="24" t="s">
        <v>718</v>
      </c>
      <c r="C16" s="1"/>
      <c r="D16" s="31"/>
      <c r="E16" s="21"/>
      <c r="F16" s="1"/>
      <c r="G16" s="1"/>
      <c r="H16" s="10"/>
      <c r="J16" s="61" t="s">
        <v>37</v>
      </c>
      <c r="K16" s="10" t="s">
        <v>882</v>
      </c>
      <c r="AK16" s="2">
        <f t="shared" si="0"/>
        <v>2</v>
      </c>
      <c r="AM16" s="2">
        <f t="shared" si="1"/>
        <v>2</v>
      </c>
    </row>
    <row r="17" spans="1:39" ht="29" x14ac:dyDescent="0.35">
      <c r="A17" s="24" t="s">
        <v>436</v>
      </c>
      <c r="C17" s="1"/>
      <c r="D17" s="31"/>
      <c r="E17" s="21"/>
      <c r="F17" s="1"/>
      <c r="G17" s="1"/>
      <c r="H17" s="10" t="s">
        <v>437</v>
      </c>
      <c r="AK17" s="2">
        <f t="shared" si="0"/>
        <v>1</v>
      </c>
      <c r="AM17" s="2">
        <f t="shared" si="1"/>
        <v>1</v>
      </c>
    </row>
    <row r="18" spans="1:39" ht="29" x14ac:dyDescent="0.35">
      <c r="A18" s="24" t="s">
        <v>710</v>
      </c>
      <c r="C18" s="1"/>
      <c r="D18" s="31"/>
      <c r="E18" s="21"/>
      <c r="F18" s="1"/>
      <c r="G18" s="1"/>
      <c r="H18" s="1"/>
      <c r="J18" s="61" t="s">
        <v>187</v>
      </c>
      <c r="K18" s="61" t="s">
        <v>890</v>
      </c>
      <c r="O18" s="53" t="s">
        <v>1444</v>
      </c>
      <c r="P18" s="53" t="s">
        <v>895</v>
      </c>
      <c r="Q18" s="53" t="s">
        <v>100</v>
      </c>
      <c r="R18" s="53" t="s">
        <v>1180</v>
      </c>
      <c r="S18" s="1" t="s">
        <v>1992</v>
      </c>
      <c r="AK18" s="2">
        <f t="shared" si="0"/>
        <v>7</v>
      </c>
      <c r="AM18" s="2">
        <f t="shared" si="1"/>
        <v>5</v>
      </c>
    </row>
    <row r="19" spans="1:39" ht="29" x14ac:dyDescent="0.35">
      <c r="A19" s="24" t="s">
        <v>711</v>
      </c>
      <c r="C19" s="1"/>
      <c r="D19" s="31"/>
      <c r="E19" s="21"/>
      <c r="F19" s="1"/>
      <c r="G19" s="1"/>
      <c r="H19" s="1"/>
      <c r="J19" s="61" t="s">
        <v>12</v>
      </c>
      <c r="K19" s="61" t="s">
        <v>891</v>
      </c>
      <c r="O19" s="53" t="s">
        <v>1445</v>
      </c>
      <c r="P19" s="53" t="s">
        <v>896</v>
      </c>
      <c r="Q19" s="53" t="s">
        <v>101</v>
      </c>
      <c r="R19" s="53" t="s">
        <v>979</v>
      </c>
      <c r="S19" s="1" t="s">
        <v>1993</v>
      </c>
      <c r="AK19" s="2">
        <f t="shared" si="0"/>
        <v>7</v>
      </c>
      <c r="AM19" s="2">
        <f t="shared" si="1"/>
        <v>5</v>
      </c>
    </row>
    <row r="20" spans="1:39" ht="29" x14ac:dyDescent="0.35">
      <c r="A20" s="24" t="s">
        <v>716</v>
      </c>
      <c r="C20" s="1"/>
      <c r="D20" s="31"/>
      <c r="E20" s="21"/>
      <c r="F20" s="1"/>
      <c r="G20" s="1"/>
      <c r="H20" s="1"/>
      <c r="J20" s="66" t="s">
        <v>14</v>
      </c>
      <c r="K20" s="61" t="s">
        <v>894</v>
      </c>
      <c r="L20" s="53" t="s">
        <v>892</v>
      </c>
      <c r="M20" s="54" t="s">
        <v>889</v>
      </c>
      <c r="O20" s="1" t="s">
        <v>1072</v>
      </c>
      <c r="AK20" s="2">
        <f t="shared" si="0"/>
        <v>5</v>
      </c>
      <c r="AM20" s="2">
        <f t="shared" si="1"/>
        <v>5</v>
      </c>
    </row>
    <row r="21" spans="1:39" ht="29" x14ac:dyDescent="0.35">
      <c r="A21" s="24" t="s">
        <v>721</v>
      </c>
      <c r="C21" s="1"/>
      <c r="D21" s="31"/>
      <c r="E21" s="21"/>
      <c r="F21" s="1"/>
      <c r="G21" s="1"/>
      <c r="H21" s="1"/>
      <c r="J21" s="66" t="s">
        <v>432</v>
      </c>
      <c r="K21" s="61" t="s">
        <v>911</v>
      </c>
      <c r="M21" s="53" t="s">
        <v>894</v>
      </c>
      <c r="N21" s="53" t="s">
        <v>34</v>
      </c>
      <c r="O21" s="53" t="s">
        <v>1085</v>
      </c>
      <c r="P21" s="54" t="s">
        <v>877</v>
      </c>
      <c r="Q21" s="30" t="s">
        <v>15</v>
      </c>
      <c r="AK21" s="2">
        <f t="shared" si="0"/>
        <v>7</v>
      </c>
      <c r="AM21" s="2">
        <f t="shared" si="1"/>
        <v>6</v>
      </c>
    </row>
    <row r="22" spans="1:39" ht="29" x14ac:dyDescent="0.35">
      <c r="A22" s="24" t="s">
        <v>1502</v>
      </c>
      <c r="C22" s="1"/>
      <c r="D22" s="31"/>
      <c r="E22" s="21"/>
      <c r="F22" s="1"/>
      <c r="G22" s="1"/>
      <c r="H22" s="1"/>
      <c r="J22" s="10"/>
      <c r="K22" s="10"/>
      <c r="O22" s="1" t="s">
        <v>1078</v>
      </c>
      <c r="AK22" s="2">
        <f t="shared" si="0"/>
        <v>1</v>
      </c>
      <c r="AM22" s="2">
        <f t="shared" si="1"/>
        <v>1</v>
      </c>
    </row>
    <row r="23" spans="1:39" ht="29" x14ac:dyDescent="0.35">
      <c r="A23" s="24" t="s">
        <v>723</v>
      </c>
      <c r="C23" s="1"/>
      <c r="D23" s="31"/>
      <c r="E23" s="21"/>
      <c r="F23" s="1"/>
      <c r="G23" s="1"/>
      <c r="H23" s="1"/>
      <c r="J23" s="66" t="s">
        <v>57</v>
      </c>
      <c r="K23" s="54" t="s">
        <v>918</v>
      </c>
      <c r="N23" s="54" t="s">
        <v>187</v>
      </c>
      <c r="O23" s="1" t="s">
        <v>363</v>
      </c>
      <c r="AK23" s="2">
        <f t="shared" si="0"/>
        <v>4</v>
      </c>
      <c r="AM23" s="2">
        <f t="shared" si="1"/>
        <v>4</v>
      </c>
    </row>
    <row r="24" spans="1:39" ht="29" x14ac:dyDescent="0.35">
      <c r="A24" s="24" t="s">
        <v>724</v>
      </c>
      <c r="C24" s="1"/>
      <c r="D24" s="31"/>
      <c r="E24" s="21"/>
      <c r="F24" s="1"/>
      <c r="G24" s="1"/>
      <c r="H24" s="1"/>
      <c r="J24" s="66" t="s">
        <v>62</v>
      </c>
      <c r="K24" s="53" t="s">
        <v>919</v>
      </c>
      <c r="L24" s="54" t="s">
        <v>877</v>
      </c>
      <c r="N24" s="54" t="s">
        <v>10</v>
      </c>
      <c r="O24" s="1" t="s">
        <v>1058</v>
      </c>
      <c r="AK24" s="2">
        <f t="shared" si="0"/>
        <v>5</v>
      </c>
      <c r="AM24" s="2">
        <f t="shared" si="1"/>
        <v>5</v>
      </c>
    </row>
    <row r="25" spans="1:39" ht="29" x14ac:dyDescent="0.35">
      <c r="A25" s="24" t="s">
        <v>725</v>
      </c>
      <c r="C25" s="1"/>
      <c r="D25" s="31"/>
      <c r="E25" s="21"/>
      <c r="F25" s="1"/>
      <c r="G25" s="1"/>
      <c r="H25" s="1"/>
      <c r="J25" s="66" t="s">
        <v>63</v>
      </c>
      <c r="K25" s="61" t="s">
        <v>920</v>
      </c>
      <c r="M25" s="54" t="s">
        <v>893</v>
      </c>
      <c r="N25" s="54" t="s">
        <v>17</v>
      </c>
      <c r="O25" s="53" t="s">
        <v>1455</v>
      </c>
      <c r="P25" s="53" t="s">
        <v>891</v>
      </c>
      <c r="Q25" s="53" t="s">
        <v>58</v>
      </c>
      <c r="R25" s="53" t="s">
        <v>977</v>
      </c>
      <c r="S25" s="1" t="s">
        <v>1989</v>
      </c>
      <c r="AK25" s="2">
        <f t="shared" si="0"/>
        <v>9</v>
      </c>
      <c r="AM25" s="2">
        <f t="shared" si="1"/>
        <v>7</v>
      </c>
    </row>
    <row r="26" spans="1:39" ht="29" x14ac:dyDescent="0.35">
      <c r="A26" s="24" t="s">
        <v>1150</v>
      </c>
      <c r="C26" s="5"/>
      <c r="D26" s="31"/>
      <c r="E26" s="21"/>
      <c r="F26" s="1"/>
      <c r="G26" s="1"/>
      <c r="H26" s="1"/>
      <c r="J26" s="10"/>
      <c r="K26" s="10"/>
      <c r="L26" s="1" t="s">
        <v>879</v>
      </c>
      <c r="AK26" s="2">
        <f t="shared" si="0"/>
        <v>1</v>
      </c>
      <c r="AM26" s="2">
        <f t="shared" si="1"/>
        <v>1</v>
      </c>
    </row>
    <row r="27" spans="1:39" ht="29" x14ac:dyDescent="0.35">
      <c r="A27" s="24" t="s">
        <v>1151</v>
      </c>
      <c r="C27" s="5"/>
      <c r="D27" s="31"/>
      <c r="E27" s="21"/>
      <c r="F27" s="1"/>
      <c r="G27" s="1"/>
      <c r="H27" s="1"/>
      <c r="J27" s="10"/>
      <c r="K27" s="10"/>
      <c r="L27" s="1" t="s">
        <v>883</v>
      </c>
      <c r="AK27" s="2">
        <f t="shared" si="0"/>
        <v>1</v>
      </c>
      <c r="AM27" s="2">
        <f t="shared" si="1"/>
        <v>1</v>
      </c>
    </row>
    <row r="28" spans="1:39" ht="29" x14ac:dyDescent="0.35">
      <c r="A28" s="24" t="s">
        <v>1152</v>
      </c>
      <c r="C28" s="5"/>
      <c r="D28" s="31"/>
      <c r="E28" s="21"/>
      <c r="F28" s="1"/>
      <c r="G28" s="1"/>
      <c r="H28" s="1"/>
      <c r="J28" s="10"/>
      <c r="K28" s="10"/>
      <c r="L28" s="1" t="s">
        <v>884</v>
      </c>
      <c r="AK28" s="2">
        <f t="shared" si="0"/>
        <v>1</v>
      </c>
      <c r="AM28" s="2">
        <f t="shared" si="1"/>
        <v>1</v>
      </c>
    </row>
    <row r="29" spans="1:39" ht="29" x14ac:dyDescent="0.35">
      <c r="A29" s="24" t="s">
        <v>1153</v>
      </c>
      <c r="C29" s="5"/>
      <c r="D29" s="31"/>
      <c r="E29" s="21"/>
      <c r="F29" s="1"/>
      <c r="G29" s="1"/>
      <c r="H29" s="1"/>
      <c r="J29" s="10"/>
      <c r="K29" s="10"/>
      <c r="L29" s="1" t="s">
        <v>886</v>
      </c>
      <c r="AK29" s="2">
        <f t="shared" si="0"/>
        <v>1</v>
      </c>
      <c r="AM29" s="2">
        <f t="shared" si="1"/>
        <v>1</v>
      </c>
    </row>
    <row r="30" spans="1:39" x14ac:dyDescent="0.35">
      <c r="A30" s="24" t="s">
        <v>1154</v>
      </c>
      <c r="C30" s="5"/>
      <c r="D30" s="31"/>
      <c r="E30" s="21"/>
      <c r="F30" s="1"/>
      <c r="G30" s="1"/>
      <c r="H30" s="1"/>
      <c r="J30" s="10"/>
      <c r="K30" s="10"/>
      <c r="L30" s="1" t="s">
        <v>889</v>
      </c>
      <c r="AK30" s="2">
        <f t="shared" si="0"/>
        <v>1</v>
      </c>
      <c r="AM30" s="2">
        <f t="shared" si="1"/>
        <v>1</v>
      </c>
    </row>
    <row r="31" spans="1:39" ht="29" x14ac:dyDescent="0.35">
      <c r="A31" s="24" t="s">
        <v>1155</v>
      </c>
      <c r="C31" s="5"/>
      <c r="D31" s="31"/>
      <c r="E31" s="21"/>
      <c r="F31" s="1"/>
      <c r="G31" s="1"/>
      <c r="H31" s="1"/>
      <c r="J31" s="10"/>
      <c r="K31" s="10"/>
      <c r="L31" s="1" t="s">
        <v>890</v>
      </c>
      <c r="AK31" s="2">
        <f t="shared" si="0"/>
        <v>1</v>
      </c>
      <c r="AM31" s="2">
        <f t="shared" si="1"/>
        <v>1</v>
      </c>
    </row>
    <row r="32" spans="1:39" ht="29" x14ac:dyDescent="0.35">
      <c r="A32" s="24" t="s">
        <v>1822</v>
      </c>
      <c r="C32" s="5"/>
      <c r="D32" s="31"/>
      <c r="E32" s="21"/>
      <c r="F32" s="1"/>
      <c r="G32" s="1"/>
      <c r="H32" s="1"/>
      <c r="J32" s="10"/>
      <c r="K32" s="10"/>
      <c r="Q32" s="30" t="s">
        <v>239</v>
      </c>
      <c r="AK32" s="2">
        <f t="shared" si="0"/>
        <v>1</v>
      </c>
      <c r="AM32" s="2">
        <f t="shared" si="1"/>
        <v>0</v>
      </c>
    </row>
    <row r="33" spans="1:39" ht="58" x14ac:dyDescent="0.35">
      <c r="A33" s="24" t="s">
        <v>23</v>
      </c>
      <c r="C33" s="5"/>
      <c r="D33" s="31"/>
      <c r="E33" s="21" t="s">
        <v>24</v>
      </c>
      <c r="F33" s="1"/>
      <c r="G33" s="1"/>
      <c r="H33" s="1"/>
      <c r="AK33" s="2">
        <f t="shared" si="0"/>
        <v>1</v>
      </c>
      <c r="AM33" s="2">
        <f t="shared" si="1"/>
        <v>0</v>
      </c>
    </row>
    <row r="34" spans="1:39" ht="29" x14ac:dyDescent="0.35">
      <c r="A34" s="24" t="s">
        <v>885</v>
      </c>
      <c r="C34" s="5"/>
      <c r="D34" s="31"/>
      <c r="E34" s="21"/>
      <c r="F34" s="1"/>
      <c r="G34" s="1"/>
      <c r="H34" s="1"/>
      <c r="K34" s="1" t="s">
        <v>884</v>
      </c>
      <c r="AK34" s="2">
        <f t="shared" si="0"/>
        <v>1</v>
      </c>
      <c r="AM34" s="2">
        <f t="shared" si="1"/>
        <v>1</v>
      </c>
    </row>
    <row r="35" spans="1:39" ht="43.5" x14ac:dyDescent="0.35">
      <c r="A35" s="24" t="s">
        <v>887</v>
      </c>
      <c r="C35" s="5"/>
      <c r="D35" s="31"/>
      <c r="E35" s="21"/>
      <c r="F35" s="1"/>
      <c r="G35" s="1"/>
      <c r="H35" s="1"/>
      <c r="K35" s="1" t="s">
        <v>886</v>
      </c>
      <c r="AK35" s="2">
        <f t="shared" si="0"/>
        <v>1</v>
      </c>
      <c r="AM35" s="2">
        <f t="shared" si="1"/>
        <v>1</v>
      </c>
    </row>
    <row r="36" spans="1:39" ht="29" x14ac:dyDescent="0.35">
      <c r="A36" s="24" t="s">
        <v>888</v>
      </c>
      <c r="C36" s="5"/>
      <c r="D36" s="31"/>
      <c r="E36" s="21"/>
      <c r="F36" s="1"/>
      <c r="G36" s="1"/>
      <c r="H36" s="1"/>
      <c r="K36" s="10" t="s">
        <v>889</v>
      </c>
      <c r="AK36" s="2">
        <f t="shared" si="0"/>
        <v>1</v>
      </c>
      <c r="AM36" s="2">
        <f t="shared" si="1"/>
        <v>1</v>
      </c>
    </row>
    <row r="37" spans="1:39" ht="58" x14ac:dyDescent="0.35">
      <c r="A37" s="24" t="s">
        <v>1209</v>
      </c>
      <c r="C37" s="5"/>
      <c r="D37" s="31"/>
      <c r="E37" s="21"/>
      <c r="F37" s="1"/>
      <c r="G37" s="1"/>
      <c r="H37" s="1"/>
      <c r="M37" s="1" t="s">
        <v>877</v>
      </c>
      <c r="AK37" s="2">
        <f t="shared" si="0"/>
        <v>1</v>
      </c>
      <c r="AM37" s="2">
        <f t="shared" si="1"/>
        <v>1</v>
      </c>
    </row>
    <row r="38" spans="1:39" x14ac:dyDescent="0.35">
      <c r="A38" s="24" t="s">
        <v>1210</v>
      </c>
      <c r="C38" s="5"/>
      <c r="D38" s="31"/>
      <c r="E38" s="21"/>
      <c r="F38" s="1"/>
      <c r="G38" s="1"/>
      <c r="H38" s="1"/>
      <c r="M38" s="1" t="s">
        <v>878</v>
      </c>
      <c r="AK38" s="2">
        <f t="shared" si="0"/>
        <v>1</v>
      </c>
      <c r="AM38" s="2">
        <f t="shared" si="1"/>
        <v>1</v>
      </c>
    </row>
    <row r="39" spans="1:39" x14ac:dyDescent="0.35">
      <c r="A39" s="24" t="s">
        <v>1211</v>
      </c>
      <c r="C39" s="5"/>
      <c r="D39" s="31"/>
      <c r="E39" s="21"/>
      <c r="F39" s="1"/>
      <c r="G39" s="1"/>
      <c r="H39" s="1"/>
      <c r="M39" s="1" t="s">
        <v>879</v>
      </c>
      <c r="AK39" s="2">
        <f t="shared" si="0"/>
        <v>1</v>
      </c>
      <c r="AM39" s="2">
        <f t="shared" si="1"/>
        <v>1</v>
      </c>
    </row>
    <row r="40" spans="1:39" x14ac:dyDescent="0.35">
      <c r="A40" s="24" t="s">
        <v>1212</v>
      </c>
      <c r="C40" s="5"/>
      <c r="D40" s="31"/>
      <c r="E40" s="21"/>
      <c r="F40" s="1"/>
      <c r="G40" s="1"/>
      <c r="H40" s="1"/>
      <c r="M40" s="1" t="s">
        <v>883</v>
      </c>
      <c r="AK40" s="2">
        <f t="shared" si="0"/>
        <v>1</v>
      </c>
      <c r="AM40" s="2">
        <f t="shared" si="1"/>
        <v>1</v>
      </c>
    </row>
    <row r="41" spans="1:39" x14ac:dyDescent="0.35">
      <c r="A41" s="24" t="s">
        <v>1213</v>
      </c>
      <c r="C41" s="5"/>
      <c r="D41" s="31"/>
      <c r="E41" s="21"/>
      <c r="F41" s="1"/>
      <c r="G41" s="1"/>
      <c r="H41" s="1"/>
      <c r="M41" s="1" t="s">
        <v>884</v>
      </c>
      <c r="AK41" s="2">
        <f t="shared" si="0"/>
        <v>1</v>
      </c>
      <c r="AM41" s="2">
        <f t="shared" si="1"/>
        <v>1</v>
      </c>
    </row>
    <row r="42" spans="1:39" ht="87" x14ac:dyDescent="0.35">
      <c r="A42" s="24" t="s">
        <v>1214</v>
      </c>
      <c r="C42" s="5"/>
      <c r="D42" s="31"/>
      <c r="E42" s="21"/>
      <c r="F42" s="1"/>
      <c r="G42" s="1"/>
      <c r="H42" s="1"/>
      <c r="M42" s="1" t="s">
        <v>886</v>
      </c>
      <c r="AK42" s="2">
        <f t="shared" si="0"/>
        <v>1</v>
      </c>
      <c r="AM42" s="2">
        <f t="shared" si="1"/>
        <v>1</v>
      </c>
    </row>
    <row r="43" spans="1:39" x14ac:dyDescent="0.35">
      <c r="A43" s="24" t="s">
        <v>2553</v>
      </c>
      <c r="C43" s="5"/>
      <c r="D43" s="31"/>
      <c r="E43" s="21"/>
      <c r="F43" s="1"/>
      <c r="G43" s="1"/>
      <c r="H43" s="1"/>
      <c r="W43" s="1" t="s">
        <v>278</v>
      </c>
      <c r="AK43" s="2">
        <f t="shared" si="0"/>
        <v>1</v>
      </c>
      <c r="AM43" s="2">
        <f t="shared" si="1"/>
        <v>0</v>
      </c>
    </row>
    <row r="44" spans="1:39" ht="29" x14ac:dyDescent="0.35">
      <c r="A44" s="24" t="s">
        <v>1497</v>
      </c>
      <c r="C44" s="5"/>
      <c r="D44" s="31"/>
      <c r="E44" s="21"/>
      <c r="F44" s="1"/>
      <c r="G44" s="1"/>
      <c r="H44" s="1"/>
      <c r="M44" s="53" t="s">
        <v>890</v>
      </c>
      <c r="O44" s="1" t="s">
        <v>364</v>
      </c>
      <c r="AK44" s="2">
        <f t="shared" si="0"/>
        <v>2</v>
      </c>
      <c r="AM44" s="2">
        <f t="shared" si="1"/>
        <v>2</v>
      </c>
    </row>
    <row r="45" spans="1:39" ht="43.5" x14ac:dyDescent="0.35">
      <c r="A45" s="24" t="s">
        <v>1215</v>
      </c>
      <c r="C45" s="5"/>
      <c r="D45" s="31"/>
      <c r="E45" s="21"/>
      <c r="F45" s="1"/>
      <c r="G45" s="1"/>
      <c r="H45" s="1"/>
      <c r="M45" s="53" t="s">
        <v>892</v>
      </c>
      <c r="O45" s="1" t="s">
        <v>1448</v>
      </c>
      <c r="AK45" s="2">
        <f t="shared" si="0"/>
        <v>2</v>
      </c>
      <c r="AM45" s="2">
        <f t="shared" si="1"/>
        <v>2</v>
      </c>
    </row>
    <row r="46" spans="1:39" ht="29" x14ac:dyDescent="0.35">
      <c r="A46" s="24" t="s">
        <v>1496</v>
      </c>
      <c r="C46" s="5"/>
      <c r="D46" s="31"/>
      <c r="E46" s="21"/>
      <c r="F46" s="1"/>
      <c r="G46" s="1"/>
      <c r="H46" s="1"/>
      <c r="N46" s="53" t="s">
        <v>363</v>
      </c>
      <c r="O46" s="1" t="s">
        <v>1073</v>
      </c>
      <c r="AK46" s="2">
        <f t="shared" si="0"/>
        <v>2</v>
      </c>
      <c r="AM46" s="2">
        <f t="shared" si="1"/>
        <v>2</v>
      </c>
    </row>
    <row r="47" spans="1:39" ht="43.5" x14ac:dyDescent="0.35">
      <c r="A47" s="24" t="s">
        <v>1498</v>
      </c>
      <c r="C47" s="5"/>
      <c r="D47" s="31"/>
      <c r="E47" s="21"/>
      <c r="F47" s="1"/>
      <c r="G47" s="1"/>
      <c r="H47" s="1"/>
      <c r="N47" s="53" t="s">
        <v>364</v>
      </c>
      <c r="O47" s="1" t="s">
        <v>1074</v>
      </c>
      <c r="AK47" s="2">
        <f t="shared" si="0"/>
        <v>2</v>
      </c>
      <c r="AM47" s="2">
        <f t="shared" si="1"/>
        <v>2</v>
      </c>
    </row>
    <row r="48" spans="1:39" ht="29" x14ac:dyDescent="0.35">
      <c r="A48" s="24" t="s">
        <v>1479</v>
      </c>
      <c r="C48" s="5"/>
      <c r="D48" s="31"/>
      <c r="E48" s="21"/>
      <c r="F48" s="1"/>
      <c r="G48" s="1"/>
      <c r="H48" s="1"/>
      <c r="N48" s="1" t="s">
        <v>1144</v>
      </c>
      <c r="AK48" s="2">
        <f t="shared" si="0"/>
        <v>1</v>
      </c>
      <c r="AM48" s="2">
        <f t="shared" si="1"/>
        <v>1</v>
      </c>
    </row>
    <row r="49" spans="1:39" ht="43.5" x14ac:dyDescent="0.35">
      <c r="A49" s="24" t="s">
        <v>1499</v>
      </c>
      <c r="C49" s="5"/>
      <c r="D49" s="31"/>
      <c r="E49" s="21"/>
      <c r="F49" s="1"/>
      <c r="G49" s="1"/>
      <c r="H49" s="1"/>
      <c r="N49" s="1" t="s">
        <v>1147</v>
      </c>
      <c r="AK49" s="2">
        <f t="shared" si="0"/>
        <v>1</v>
      </c>
      <c r="AM49" s="2">
        <f t="shared" si="1"/>
        <v>1</v>
      </c>
    </row>
    <row r="50" spans="1:39" ht="72.5" x14ac:dyDescent="0.35">
      <c r="A50" s="24" t="s">
        <v>1216</v>
      </c>
      <c r="C50" s="5"/>
      <c r="D50" s="31"/>
      <c r="E50" s="21"/>
      <c r="F50" s="1"/>
      <c r="G50" s="1"/>
      <c r="H50" s="1"/>
      <c r="M50" s="1" t="s">
        <v>897</v>
      </c>
      <c r="AK50" s="2">
        <f t="shared" si="0"/>
        <v>1</v>
      </c>
      <c r="AM50" s="2">
        <f t="shared" si="1"/>
        <v>1</v>
      </c>
    </row>
    <row r="51" spans="1:39" x14ac:dyDescent="0.35">
      <c r="A51" s="24" t="s">
        <v>1217</v>
      </c>
      <c r="C51" s="5"/>
      <c r="D51" s="31"/>
      <c r="E51" s="21"/>
      <c r="F51" s="1"/>
      <c r="G51" s="1"/>
      <c r="H51" s="1"/>
      <c r="M51" s="1" t="s">
        <v>898</v>
      </c>
      <c r="AK51" s="2">
        <f t="shared" si="0"/>
        <v>1</v>
      </c>
      <c r="AM51" s="2">
        <f t="shared" si="1"/>
        <v>1</v>
      </c>
    </row>
    <row r="52" spans="1:39" x14ac:dyDescent="0.35">
      <c r="A52" s="24" t="s">
        <v>1218</v>
      </c>
      <c r="C52" s="5"/>
      <c r="D52" s="31"/>
      <c r="E52" s="21"/>
      <c r="F52" s="1"/>
      <c r="G52" s="1"/>
      <c r="H52" s="1"/>
      <c r="M52" s="1" t="s">
        <v>880</v>
      </c>
      <c r="AK52" s="2">
        <f t="shared" si="0"/>
        <v>1</v>
      </c>
      <c r="AM52" s="2">
        <f t="shared" si="1"/>
        <v>1</v>
      </c>
    </row>
    <row r="53" spans="1:39" x14ac:dyDescent="0.35">
      <c r="A53" s="24" t="s">
        <v>1219</v>
      </c>
      <c r="C53" s="5"/>
      <c r="D53" s="31"/>
      <c r="E53" s="21"/>
      <c r="F53" s="1"/>
      <c r="G53" s="1"/>
      <c r="H53" s="1"/>
      <c r="M53" s="1" t="s">
        <v>899</v>
      </c>
      <c r="AK53" s="2">
        <f t="shared" si="0"/>
        <v>1</v>
      </c>
      <c r="AM53" s="2">
        <f t="shared" si="1"/>
        <v>1</v>
      </c>
    </row>
    <row r="54" spans="1:39" ht="29" x14ac:dyDescent="0.35">
      <c r="A54" s="24" t="s">
        <v>1220</v>
      </c>
      <c r="C54" s="5"/>
      <c r="D54" s="31"/>
      <c r="E54" s="21"/>
      <c r="F54" s="1"/>
      <c r="G54" s="1"/>
      <c r="H54" s="1"/>
      <c r="M54" s="1" t="s">
        <v>900</v>
      </c>
      <c r="AK54" s="2">
        <f t="shared" si="0"/>
        <v>1</v>
      </c>
      <c r="AM54" s="2">
        <f t="shared" si="1"/>
        <v>1</v>
      </c>
    </row>
    <row r="55" spans="1:39" x14ac:dyDescent="0.35">
      <c r="A55" s="24" t="s">
        <v>1226</v>
      </c>
      <c r="C55" s="5"/>
      <c r="D55" s="31"/>
      <c r="E55" s="21"/>
      <c r="F55" s="1"/>
      <c r="G55" s="1"/>
      <c r="H55" s="1"/>
      <c r="M55" s="1" t="s">
        <v>881</v>
      </c>
      <c r="AK55" s="2">
        <f t="shared" si="0"/>
        <v>1</v>
      </c>
      <c r="AM55" s="2">
        <f t="shared" si="1"/>
        <v>1</v>
      </c>
    </row>
    <row r="56" spans="1:39" ht="29" x14ac:dyDescent="0.35">
      <c r="A56" s="24" t="s">
        <v>1221</v>
      </c>
      <c r="C56" s="5"/>
      <c r="D56" s="31"/>
      <c r="E56" s="21"/>
      <c r="F56" s="1"/>
      <c r="G56" s="1"/>
      <c r="H56" s="1"/>
      <c r="M56" s="1" t="s">
        <v>882</v>
      </c>
      <c r="AK56" s="2">
        <f t="shared" si="0"/>
        <v>1</v>
      </c>
      <c r="AM56" s="2">
        <f t="shared" si="1"/>
        <v>1</v>
      </c>
    </row>
    <row r="57" spans="1:39" x14ac:dyDescent="0.35">
      <c r="A57" s="24" t="s">
        <v>1222</v>
      </c>
      <c r="C57" s="5"/>
      <c r="D57" s="31"/>
      <c r="E57" s="21"/>
      <c r="F57" s="1"/>
      <c r="G57" s="1"/>
      <c r="H57" s="1"/>
      <c r="M57" s="1" t="s">
        <v>903</v>
      </c>
      <c r="AK57" s="2">
        <f t="shared" si="0"/>
        <v>1</v>
      </c>
      <c r="AM57" s="2">
        <f t="shared" si="1"/>
        <v>1</v>
      </c>
    </row>
    <row r="58" spans="1:39" x14ac:dyDescent="0.35">
      <c r="A58" s="24" t="s">
        <v>1223</v>
      </c>
      <c r="C58" s="5"/>
      <c r="D58" s="31"/>
      <c r="E58" s="21"/>
      <c r="F58" s="1"/>
      <c r="G58" s="1"/>
      <c r="H58" s="1"/>
      <c r="M58" s="1" t="s">
        <v>901</v>
      </c>
      <c r="AK58" s="2">
        <f t="shared" si="0"/>
        <v>1</v>
      </c>
      <c r="AM58" s="2">
        <f t="shared" si="1"/>
        <v>1</v>
      </c>
    </row>
    <row r="59" spans="1:39" x14ac:dyDescent="0.35">
      <c r="A59" s="24" t="s">
        <v>1224</v>
      </c>
      <c r="C59" s="5"/>
      <c r="D59" s="31"/>
      <c r="E59" s="21"/>
      <c r="F59" s="1"/>
      <c r="G59" s="1"/>
      <c r="H59" s="1"/>
      <c r="M59" s="1" t="s">
        <v>902</v>
      </c>
      <c r="AK59" s="2">
        <f t="shared" si="0"/>
        <v>1</v>
      </c>
      <c r="AM59" s="2">
        <f t="shared" si="1"/>
        <v>1</v>
      </c>
    </row>
    <row r="60" spans="1:39" x14ac:dyDescent="0.35">
      <c r="A60" s="24" t="s">
        <v>1225</v>
      </c>
      <c r="C60" s="5"/>
      <c r="D60" s="31"/>
      <c r="E60" s="21"/>
      <c r="F60" s="1"/>
      <c r="G60" s="1"/>
      <c r="H60" s="1"/>
      <c r="M60" s="1" t="s">
        <v>904</v>
      </c>
      <c r="AK60" s="2">
        <f t="shared" si="0"/>
        <v>1</v>
      </c>
      <c r="AM60" s="2">
        <f t="shared" si="1"/>
        <v>1</v>
      </c>
    </row>
    <row r="61" spans="1:39" x14ac:dyDescent="0.35">
      <c r="A61" s="24" t="s">
        <v>1226</v>
      </c>
      <c r="C61" s="5"/>
      <c r="D61" s="31"/>
      <c r="E61" s="21"/>
      <c r="F61" s="1"/>
      <c r="G61" s="1"/>
      <c r="H61" s="1"/>
      <c r="M61" s="1" t="s">
        <v>906</v>
      </c>
      <c r="AK61" s="2">
        <f t="shared" si="0"/>
        <v>1</v>
      </c>
      <c r="AM61" s="2">
        <f t="shared" si="1"/>
        <v>1</v>
      </c>
    </row>
    <row r="62" spans="1:39" x14ac:dyDescent="0.35">
      <c r="A62" s="24" t="s">
        <v>1269</v>
      </c>
      <c r="C62" s="5"/>
      <c r="D62" s="31"/>
      <c r="E62" s="21"/>
      <c r="F62" s="1"/>
      <c r="G62" s="1"/>
      <c r="H62" s="1"/>
      <c r="N62" s="53" t="s">
        <v>13</v>
      </c>
      <c r="O62" s="1" t="s">
        <v>1067</v>
      </c>
      <c r="AK62" s="2">
        <f t="shared" si="0"/>
        <v>2</v>
      </c>
      <c r="AM62" s="2">
        <f t="shared" si="1"/>
        <v>2</v>
      </c>
    </row>
    <row r="63" spans="1:39" ht="29" x14ac:dyDescent="0.35">
      <c r="A63" s="24" t="s">
        <v>1271</v>
      </c>
      <c r="C63" s="5"/>
      <c r="D63" s="31"/>
      <c r="E63" s="21"/>
      <c r="F63" s="1"/>
      <c r="G63" s="1"/>
      <c r="H63" s="1"/>
      <c r="N63" s="54" t="s">
        <v>33</v>
      </c>
      <c r="O63" s="53" t="s">
        <v>1082</v>
      </c>
      <c r="P63" s="1" t="s">
        <v>1352</v>
      </c>
      <c r="AK63" s="2">
        <f t="shared" si="0"/>
        <v>3</v>
      </c>
      <c r="AM63" s="2">
        <f t="shared" si="1"/>
        <v>3</v>
      </c>
    </row>
    <row r="64" spans="1:39" ht="29" x14ac:dyDescent="0.35">
      <c r="A64" s="24" t="s">
        <v>1480</v>
      </c>
      <c r="C64" s="5"/>
      <c r="D64" s="31"/>
      <c r="E64" s="21"/>
      <c r="F64" s="1"/>
      <c r="G64" s="1"/>
      <c r="H64" s="1"/>
      <c r="N64" s="1" t="s">
        <v>1148</v>
      </c>
      <c r="AK64" s="2">
        <f t="shared" si="0"/>
        <v>1</v>
      </c>
      <c r="AM64" s="2">
        <f t="shared" si="1"/>
        <v>1</v>
      </c>
    </row>
    <row r="65" spans="1:39" ht="29" x14ac:dyDescent="0.35">
      <c r="A65" s="24" t="s">
        <v>1491</v>
      </c>
      <c r="C65" s="5"/>
      <c r="D65" s="31"/>
      <c r="E65" s="21"/>
      <c r="F65" s="1"/>
      <c r="G65" s="1"/>
      <c r="H65" s="1"/>
      <c r="O65" s="1" t="s">
        <v>365</v>
      </c>
      <c r="AK65" s="2">
        <f t="shared" si="0"/>
        <v>1</v>
      </c>
      <c r="AM65" s="2">
        <f t="shared" si="1"/>
        <v>1</v>
      </c>
    </row>
    <row r="66" spans="1:39" x14ac:dyDescent="0.35">
      <c r="A66" s="24" t="s">
        <v>1492</v>
      </c>
      <c r="C66" s="5"/>
      <c r="D66" s="31"/>
      <c r="E66" s="21"/>
      <c r="F66" s="1"/>
      <c r="G66" s="1"/>
      <c r="H66" s="1"/>
      <c r="O66" s="1" t="s">
        <v>1449</v>
      </c>
      <c r="AK66" s="2">
        <f t="shared" si="0"/>
        <v>1</v>
      </c>
      <c r="AM66" s="2">
        <f t="shared" si="1"/>
        <v>1</v>
      </c>
    </row>
    <row r="67" spans="1:39" ht="43.5" x14ac:dyDescent="0.35">
      <c r="A67" s="24" t="s">
        <v>1494</v>
      </c>
      <c r="C67" s="5"/>
      <c r="D67" s="31"/>
      <c r="E67" s="21"/>
      <c r="F67" s="1"/>
      <c r="G67" s="1"/>
      <c r="H67" s="1"/>
      <c r="O67" s="54" t="s">
        <v>1068</v>
      </c>
      <c r="P67" s="53" t="s">
        <v>879</v>
      </c>
      <c r="Q67" s="53" t="s">
        <v>44</v>
      </c>
      <c r="R67" s="53" t="s">
        <v>974</v>
      </c>
      <c r="S67" s="1" t="s">
        <v>1978</v>
      </c>
      <c r="AK67" s="2">
        <f t="shared" ref="AK67:AK126" si="2">COUNTA(C67:AI67)</f>
        <v>5</v>
      </c>
      <c r="AM67" s="2">
        <f t="shared" ref="AM67:AM126" si="3">COUNTA(G67:P67,S67:T67)</f>
        <v>3</v>
      </c>
    </row>
    <row r="68" spans="1:39" ht="43.5" x14ac:dyDescent="0.35">
      <c r="A68" s="24" t="s">
        <v>1680</v>
      </c>
      <c r="C68" s="5"/>
      <c r="D68" s="31"/>
      <c r="E68" s="21"/>
      <c r="F68" s="1"/>
      <c r="G68" s="1"/>
      <c r="H68" s="1"/>
      <c r="P68" s="53" t="s">
        <v>883</v>
      </c>
      <c r="Q68" s="53" t="s">
        <v>33</v>
      </c>
      <c r="R68" s="53" t="s">
        <v>1252</v>
      </c>
      <c r="S68" s="1" t="s">
        <v>1976</v>
      </c>
      <c r="AK68" s="2">
        <f t="shared" si="2"/>
        <v>4</v>
      </c>
      <c r="AM68" s="2">
        <f t="shared" si="3"/>
        <v>2</v>
      </c>
    </row>
    <row r="69" spans="1:39" x14ac:dyDescent="0.35">
      <c r="A69" s="24" t="s">
        <v>1495</v>
      </c>
      <c r="C69" s="5"/>
      <c r="D69" s="31"/>
      <c r="E69" s="21"/>
      <c r="F69" s="1"/>
      <c r="G69" s="1"/>
      <c r="H69" s="1"/>
      <c r="O69" s="1" t="s">
        <v>1069</v>
      </c>
      <c r="AK69" s="2">
        <f t="shared" si="2"/>
        <v>1</v>
      </c>
      <c r="AM69" s="2">
        <f t="shared" si="3"/>
        <v>1</v>
      </c>
    </row>
    <row r="70" spans="1:39" ht="43.5" x14ac:dyDescent="0.35">
      <c r="A70" s="24" t="s">
        <v>1500</v>
      </c>
      <c r="C70" s="5"/>
      <c r="D70" s="31"/>
      <c r="E70" s="21"/>
      <c r="F70" s="1"/>
      <c r="G70" s="1"/>
      <c r="H70" s="1"/>
      <c r="O70" s="53" t="s">
        <v>1083</v>
      </c>
      <c r="P70" s="1" t="s">
        <v>915</v>
      </c>
      <c r="AK70" s="2">
        <f t="shared" si="2"/>
        <v>2</v>
      </c>
      <c r="AM70" s="2">
        <f t="shared" si="3"/>
        <v>2</v>
      </c>
    </row>
    <row r="71" spans="1:39" ht="29" x14ac:dyDescent="0.35">
      <c r="A71" s="24" t="s">
        <v>1501</v>
      </c>
      <c r="C71" s="1"/>
      <c r="D71" s="31"/>
      <c r="E71" s="21"/>
      <c r="F71" s="1"/>
      <c r="G71" s="1"/>
      <c r="H71" s="1"/>
      <c r="O71" s="53" t="s">
        <v>1084</v>
      </c>
      <c r="P71" s="1" t="s">
        <v>1702</v>
      </c>
      <c r="AK71" s="2">
        <f t="shared" si="2"/>
        <v>2</v>
      </c>
      <c r="AM71" s="2">
        <f t="shared" si="3"/>
        <v>2</v>
      </c>
    </row>
    <row r="72" spans="1:39" ht="29" x14ac:dyDescent="0.35">
      <c r="A72" s="24" t="s">
        <v>1701</v>
      </c>
      <c r="C72" s="1"/>
      <c r="D72" s="31"/>
      <c r="E72" s="21"/>
      <c r="F72" s="1"/>
      <c r="G72" s="1"/>
      <c r="H72" s="1"/>
      <c r="P72" s="53" t="s">
        <v>1678</v>
      </c>
      <c r="Q72" s="53" t="s">
        <v>8</v>
      </c>
      <c r="R72" s="53" t="s">
        <v>1172</v>
      </c>
      <c r="S72" s="53" t="s">
        <v>1972</v>
      </c>
      <c r="T72" s="1" t="s">
        <v>410</v>
      </c>
      <c r="AK72" s="2">
        <f t="shared" si="2"/>
        <v>5</v>
      </c>
      <c r="AM72" s="2">
        <f t="shared" si="3"/>
        <v>3</v>
      </c>
    </row>
    <row r="73" spans="1:39" ht="29" x14ac:dyDescent="0.35">
      <c r="A73" s="24" t="s">
        <v>1679</v>
      </c>
      <c r="C73" s="1"/>
      <c r="D73" s="31"/>
      <c r="E73" s="21"/>
      <c r="F73" s="1"/>
      <c r="G73" s="1"/>
      <c r="H73" s="1"/>
      <c r="P73" s="53" t="s">
        <v>876</v>
      </c>
      <c r="Q73" s="53" t="s">
        <v>9</v>
      </c>
      <c r="R73" s="53" t="s">
        <v>973</v>
      </c>
      <c r="S73" s="53" t="s">
        <v>1973</v>
      </c>
      <c r="T73" s="1" t="s">
        <v>181</v>
      </c>
      <c r="AK73" s="2">
        <f t="shared" si="2"/>
        <v>5</v>
      </c>
      <c r="AM73" s="2">
        <f t="shared" si="3"/>
        <v>3</v>
      </c>
    </row>
    <row r="74" spans="1:39" ht="29" x14ac:dyDescent="0.35">
      <c r="A74" s="24" t="s">
        <v>1599</v>
      </c>
      <c r="C74" s="1"/>
      <c r="D74" s="31"/>
      <c r="E74" s="21"/>
      <c r="F74" s="1"/>
      <c r="G74" s="1"/>
      <c r="H74" s="1"/>
      <c r="O74" s="1" t="s">
        <v>1600</v>
      </c>
      <c r="AK74" s="2">
        <f t="shared" si="2"/>
        <v>1</v>
      </c>
      <c r="AM74" s="2">
        <f t="shared" si="3"/>
        <v>1</v>
      </c>
    </row>
    <row r="75" spans="1:39" x14ac:dyDescent="0.35">
      <c r="A75" s="24" t="s">
        <v>1601</v>
      </c>
      <c r="C75" s="1"/>
      <c r="D75" s="31"/>
      <c r="E75" s="21"/>
      <c r="F75" s="1"/>
      <c r="G75" s="1"/>
      <c r="H75" s="1"/>
      <c r="O75" s="1" t="s">
        <v>1602</v>
      </c>
      <c r="AK75" s="2">
        <f t="shared" si="2"/>
        <v>1</v>
      </c>
      <c r="AM75" s="2">
        <f t="shared" si="3"/>
        <v>1</v>
      </c>
    </row>
    <row r="76" spans="1:39" ht="43.5" x14ac:dyDescent="0.35">
      <c r="A76" s="24" t="s">
        <v>1603</v>
      </c>
      <c r="C76" s="1"/>
      <c r="D76" s="31"/>
      <c r="E76" s="21"/>
      <c r="F76" s="1"/>
      <c r="G76" s="1"/>
      <c r="H76" s="1"/>
      <c r="O76" s="1" t="s">
        <v>1604</v>
      </c>
      <c r="AK76" s="2">
        <f t="shared" si="2"/>
        <v>1</v>
      </c>
      <c r="AM76" s="2">
        <f t="shared" si="3"/>
        <v>1</v>
      </c>
    </row>
    <row r="77" spans="1:39" ht="29" x14ac:dyDescent="0.35">
      <c r="A77" s="24" t="s">
        <v>1683</v>
      </c>
      <c r="C77" s="1"/>
      <c r="D77" s="31"/>
      <c r="E77" s="21"/>
      <c r="F77" s="1"/>
      <c r="G77" s="1"/>
      <c r="H77" s="1"/>
      <c r="P77" s="53" t="s">
        <v>892</v>
      </c>
      <c r="Q77" s="53" t="s">
        <v>98</v>
      </c>
      <c r="R77" s="53" t="s">
        <v>1256</v>
      </c>
      <c r="S77" s="1" t="s">
        <v>1990</v>
      </c>
      <c r="AK77" s="2">
        <f t="shared" si="2"/>
        <v>4</v>
      </c>
      <c r="AM77" s="2">
        <f t="shared" si="3"/>
        <v>2</v>
      </c>
    </row>
    <row r="78" spans="1:39" ht="29" x14ac:dyDescent="0.35">
      <c r="A78" s="24" t="s">
        <v>1684</v>
      </c>
      <c r="C78" s="1"/>
      <c r="D78" s="31"/>
      <c r="E78" s="21"/>
      <c r="F78" s="1"/>
      <c r="G78" s="1"/>
      <c r="H78" s="1"/>
      <c r="P78" s="53" t="s">
        <v>893</v>
      </c>
      <c r="Q78" s="53" t="s">
        <v>99</v>
      </c>
      <c r="R78" s="53" t="s">
        <v>978</v>
      </c>
      <c r="S78" s="1" t="s">
        <v>1991</v>
      </c>
      <c r="AK78" s="2">
        <f t="shared" si="2"/>
        <v>4</v>
      </c>
      <c r="AM78" s="2">
        <f t="shared" si="3"/>
        <v>2</v>
      </c>
    </row>
    <row r="79" spans="1:39" ht="29" x14ac:dyDescent="0.35">
      <c r="A79" s="24" t="s">
        <v>1685</v>
      </c>
      <c r="C79" s="1"/>
      <c r="D79" s="31"/>
      <c r="E79" s="21"/>
      <c r="F79" s="1"/>
      <c r="G79" s="1"/>
      <c r="H79" s="1"/>
      <c r="P79" s="1" t="s">
        <v>894</v>
      </c>
      <c r="AK79" s="2">
        <f t="shared" si="2"/>
        <v>1</v>
      </c>
      <c r="AM79" s="2">
        <f t="shared" si="3"/>
        <v>1</v>
      </c>
    </row>
    <row r="80" spans="1:39" x14ac:dyDescent="0.35">
      <c r="A80" s="24" t="s">
        <v>1786</v>
      </c>
      <c r="C80" s="5"/>
      <c r="D80" s="31"/>
      <c r="E80" s="21"/>
      <c r="F80" s="1"/>
      <c r="G80" s="1"/>
      <c r="H80" s="1"/>
      <c r="P80" s="1" t="s">
        <v>905</v>
      </c>
      <c r="AK80" s="2">
        <f t="shared" si="2"/>
        <v>1</v>
      </c>
      <c r="AM80" s="2">
        <f t="shared" si="3"/>
        <v>1</v>
      </c>
    </row>
    <row r="81" spans="1:39" ht="29" x14ac:dyDescent="0.35">
      <c r="A81" s="24" t="s">
        <v>1699</v>
      </c>
      <c r="C81" s="1"/>
      <c r="D81" s="31"/>
      <c r="E81" s="21"/>
      <c r="F81" s="1"/>
      <c r="G81" s="1"/>
      <c r="H81" s="1"/>
      <c r="P81" s="53" t="s">
        <v>913</v>
      </c>
      <c r="Q81" s="53" t="s">
        <v>298</v>
      </c>
      <c r="R81" s="53" t="s">
        <v>996</v>
      </c>
      <c r="S81" s="1" t="s">
        <v>2003</v>
      </c>
      <c r="AK81" s="2">
        <f t="shared" si="2"/>
        <v>4</v>
      </c>
      <c r="AM81" s="2">
        <f t="shared" si="3"/>
        <v>2</v>
      </c>
    </row>
    <row r="82" spans="1:39" x14ac:dyDescent="0.35">
      <c r="A82" s="24" t="s">
        <v>1700</v>
      </c>
      <c r="C82" s="1"/>
      <c r="D82" s="31"/>
      <c r="E82" s="21"/>
      <c r="F82" s="1"/>
      <c r="G82" s="1"/>
      <c r="H82" s="1"/>
      <c r="P82" s="1" t="s">
        <v>914</v>
      </c>
      <c r="AK82" s="2">
        <f t="shared" si="2"/>
        <v>1</v>
      </c>
      <c r="AM82" s="2">
        <f t="shared" si="3"/>
        <v>1</v>
      </c>
    </row>
    <row r="83" spans="1:39" ht="29" x14ac:dyDescent="0.35">
      <c r="A83" s="24" t="s">
        <v>1736</v>
      </c>
      <c r="C83" s="1"/>
      <c r="D83" s="31"/>
      <c r="E83" s="21"/>
      <c r="F83" s="1"/>
      <c r="G83" s="1"/>
      <c r="H83" s="1"/>
      <c r="P83" s="1" t="s">
        <v>1737</v>
      </c>
      <c r="AK83" s="2">
        <f t="shared" si="2"/>
        <v>1</v>
      </c>
      <c r="AM83" s="2">
        <f t="shared" si="3"/>
        <v>1</v>
      </c>
    </row>
    <row r="84" spans="1:39" ht="29" x14ac:dyDescent="0.35">
      <c r="A84" s="5" t="s">
        <v>1768</v>
      </c>
      <c r="C84" s="1"/>
      <c r="D84" s="33"/>
      <c r="E84" s="21"/>
      <c r="F84" s="1"/>
      <c r="G84" s="1"/>
      <c r="H84" s="1"/>
      <c r="P84" s="1" t="s">
        <v>1355</v>
      </c>
      <c r="AK84" s="2">
        <f t="shared" si="2"/>
        <v>1</v>
      </c>
      <c r="AM84" s="2">
        <f t="shared" si="3"/>
        <v>1</v>
      </c>
    </row>
    <row r="85" spans="1:39" ht="29" x14ac:dyDescent="0.35">
      <c r="A85" s="24" t="s">
        <v>1780</v>
      </c>
      <c r="C85" s="1"/>
      <c r="D85" s="31"/>
      <c r="E85" s="21"/>
      <c r="F85" s="1"/>
      <c r="G85" s="1"/>
      <c r="H85" s="1"/>
      <c r="Q85" s="30" t="s">
        <v>410</v>
      </c>
      <c r="AK85" s="2">
        <f t="shared" si="2"/>
        <v>1</v>
      </c>
      <c r="AM85" s="2">
        <f t="shared" si="3"/>
        <v>0</v>
      </c>
    </row>
    <row r="86" spans="1:39" ht="43.5" x14ac:dyDescent="0.35">
      <c r="A86" s="24" t="s">
        <v>1781</v>
      </c>
      <c r="C86" s="1"/>
      <c r="D86" s="31"/>
      <c r="E86" s="21"/>
      <c r="F86" s="1"/>
      <c r="G86" s="1"/>
      <c r="H86" s="1"/>
      <c r="Q86" s="30" t="s">
        <v>181</v>
      </c>
      <c r="AK86" s="2">
        <f t="shared" si="2"/>
        <v>1</v>
      </c>
      <c r="AM86" s="2">
        <f t="shared" si="3"/>
        <v>0</v>
      </c>
    </row>
    <row r="87" spans="1:39" ht="43.5" x14ac:dyDescent="0.35">
      <c r="A87" s="24" t="s">
        <v>1782</v>
      </c>
      <c r="C87" s="1"/>
      <c r="D87" s="31"/>
      <c r="E87" s="21"/>
      <c r="F87" s="1"/>
      <c r="G87" s="1"/>
      <c r="H87" s="1"/>
      <c r="Q87" s="30" t="s">
        <v>183</v>
      </c>
      <c r="AK87" s="2">
        <f t="shared" si="2"/>
        <v>1</v>
      </c>
      <c r="AM87" s="2">
        <f t="shared" si="3"/>
        <v>0</v>
      </c>
    </row>
    <row r="88" spans="1:39" ht="43.5" x14ac:dyDescent="0.35">
      <c r="A88" s="24" t="s">
        <v>1783</v>
      </c>
      <c r="C88" s="1"/>
      <c r="D88" s="31"/>
      <c r="E88" s="21"/>
      <c r="F88" s="1"/>
      <c r="G88" s="1"/>
      <c r="H88" s="1"/>
      <c r="Q88" s="30" t="s">
        <v>185</v>
      </c>
      <c r="AK88" s="2">
        <f t="shared" si="2"/>
        <v>1</v>
      </c>
      <c r="AM88" s="2">
        <f t="shared" si="3"/>
        <v>0</v>
      </c>
    </row>
    <row r="89" spans="1:39" ht="29" x14ac:dyDescent="0.35">
      <c r="A89" s="24" t="s">
        <v>1789</v>
      </c>
      <c r="C89" s="1"/>
      <c r="D89" s="31"/>
      <c r="E89" s="21"/>
      <c r="F89" s="1"/>
      <c r="G89" s="1"/>
      <c r="H89" s="1"/>
      <c r="Q89" s="30" t="s">
        <v>190</v>
      </c>
      <c r="AK89" s="2">
        <f t="shared" si="2"/>
        <v>1</v>
      </c>
      <c r="AM89" s="2">
        <f t="shared" si="3"/>
        <v>0</v>
      </c>
    </row>
    <row r="90" spans="1:39" ht="29" x14ac:dyDescent="0.35">
      <c r="A90" s="24" t="s">
        <v>1828</v>
      </c>
      <c r="C90" s="1"/>
      <c r="D90" s="31"/>
      <c r="E90" s="21"/>
      <c r="F90" s="1"/>
      <c r="G90" s="1"/>
      <c r="H90" s="1"/>
      <c r="Q90" s="30" t="s">
        <v>242</v>
      </c>
      <c r="AK90" s="2">
        <f t="shared" si="2"/>
        <v>1</v>
      </c>
      <c r="AM90" s="2">
        <f t="shared" si="3"/>
        <v>0</v>
      </c>
    </row>
    <row r="91" spans="1:39" ht="29" x14ac:dyDescent="0.35">
      <c r="A91" s="24" t="s">
        <v>1829</v>
      </c>
      <c r="C91" s="1"/>
      <c r="D91" s="31"/>
      <c r="E91" s="21"/>
      <c r="F91" s="1"/>
      <c r="G91" s="1"/>
      <c r="H91" s="1"/>
      <c r="Q91" s="30" t="s">
        <v>243</v>
      </c>
      <c r="AK91" s="2">
        <f t="shared" si="2"/>
        <v>1</v>
      </c>
      <c r="AM91" s="2">
        <f t="shared" si="3"/>
        <v>0</v>
      </c>
    </row>
    <row r="92" spans="1:39" x14ac:dyDescent="0.35">
      <c r="A92" s="5" t="s">
        <v>1260</v>
      </c>
      <c r="C92" s="1"/>
      <c r="D92" s="5"/>
      <c r="E92" s="1"/>
      <c r="F92" s="1"/>
      <c r="G92" s="1"/>
      <c r="H92" s="1"/>
      <c r="M92" s="54" t="s">
        <v>1001</v>
      </c>
      <c r="N92" s="53" t="s">
        <v>1073</v>
      </c>
      <c r="O92" s="53" t="s">
        <v>1650</v>
      </c>
      <c r="P92" s="53" t="s">
        <v>1393</v>
      </c>
      <c r="Q92" s="30" t="s">
        <v>962</v>
      </c>
      <c r="AK92" s="2">
        <f t="shared" si="2"/>
        <v>5</v>
      </c>
      <c r="AM92" s="2">
        <f t="shared" si="3"/>
        <v>4</v>
      </c>
    </row>
    <row r="93" spans="1:39" x14ac:dyDescent="0.35">
      <c r="A93" s="1" t="s">
        <v>1945</v>
      </c>
      <c r="C93" s="1"/>
      <c r="D93" s="21"/>
      <c r="E93" s="21"/>
      <c r="F93" s="1"/>
      <c r="G93" s="1"/>
      <c r="H93" s="1"/>
      <c r="Q93" s="30" t="s">
        <v>964</v>
      </c>
      <c r="AK93" s="2">
        <f t="shared" si="2"/>
        <v>1</v>
      </c>
      <c r="AM93" s="2">
        <f t="shared" si="3"/>
        <v>0</v>
      </c>
    </row>
    <row r="94" spans="1:39" ht="43.5" x14ac:dyDescent="0.35">
      <c r="A94" s="24" t="s">
        <v>1974</v>
      </c>
      <c r="C94" s="1"/>
      <c r="D94" s="31"/>
      <c r="E94" s="21"/>
      <c r="F94" s="1"/>
      <c r="G94" s="1"/>
      <c r="H94" s="1"/>
      <c r="R94" s="54" t="s">
        <v>1250</v>
      </c>
      <c r="S94" s="53" t="s">
        <v>1975</v>
      </c>
      <c r="T94" s="53" t="s">
        <v>183</v>
      </c>
      <c r="W94" s="53" t="s">
        <v>410</v>
      </c>
      <c r="X94" s="54" t="s">
        <v>1436</v>
      </c>
      <c r="AA94" s="1" t="s">
        <v>185</v>
      </c>
      <c r="AK94" s="2">
        <f t="shared" si="2"/>
        <v>6</v>
      </c>
      <c r="AM94" s="2">
        <f t="shared" si="3"/>
        <v>2</v>
      </c>
    </row>
    <row r="95" spans="1:39" ht="29" x14ac:dyDescent="0.35">
      <c r="A95" s="24" t="s">
        <v>2007</v>
      </c>
      <c r="C95" s="1"/>
      <c r="D95" s="31"/>
      <c r="E95" s="21"/>
      <c r="F95" s="1"/>
      <c r="G95" s="1"/>
      <c r="H95" s="1"/>
      <c r="R95" s="53" t="s">
        <v>1000</v>
      </c>
      <c r="S95" s="1" t="s">
        <v>2008</v>
      </c>
      <c r="AK95" s="2">
        <f t="shared" si="2"/>
        <v>2</v>
      </c>
      <c r="AM95" s="2">
        <f t="shared" si="3"/>
        <v>1</v>
      </c>
    </row>
    <row r="96" spans="1:39" x14ac:dyDescent="0.35">
      <c r="A96" s="24" t="s">
        <v>2224</v>
      </c>
      <c r="C96" s="1"/>
      <c r="D96" s="31"/>
      <c r="E96" s="21"/>
      <c r="F96" s="1"/>
      <c r="G96" s="1"/>
      <c r="H96" s="1"/>
      <c r="R96" s="53" t="s">
        <v>1090</v>
      </c>
      <c r="S96" s="1" t="s">
        <v>2225</v>
      </c>
      <c r="AK96" s="2">
        <f t="shared" si="2"/>
        <v>2</v>
      </c>
      <c r="AM96" s="2">
        <f t="shared" si="3"/>
        <v>1</v>
      </c>
    </row>
    <row r="97" spans="1:39" ht="29" x14ac:dyDescent="0.35">
      <c r="A97" s="5" t="s">
        <v>2302</v>
      </c>
      <c r="C97" s="1"/>
      <c r="D97" s="5"/>
      <c r="E97" s="1"/>
      <c r="F97" s="1"/>
      <c r="G97" s="1"/>
      <c r="H97" s="1"/>
      <c r="U97" s="1" t="s">
        <v>1244</v>
      </c>
      <c r="AK97" s="2">
        <f t="shared" si="2"/>
        <v>1</v>
      </c>
      <c r="AM97" s="2">
        <f t="shared" si="3"/>
        <v>0</v>
      </c>
    </row>
    <row r="98" spans="1:39" ht="43.5" x14ac:dyDescent="0.35">
      <c r="A98" s="24" t="s">
        <v>2303</v>
      </c>
      <c r="C98" s="1"/>
      <c r="D98" s="31"/>
      <c r="E98" s="21"/>
      <c r="F98" s="1"/>
      <c r="G98" s="1"/>
      <c r="H98" s="1"/>
      <c r="U98" s="54" t="s">
        <v>1247</v>
      </c>
      <c r="AE98" s="54" t="s">
        <v>1503</v>
      </c>
      <c r="AF98" s="1" t="s">
        <v>444</v>
      </c>
      <c r="AK98" s="2">
        <f t="shared" si="2"/>
        <v>3</v>
      </c>
      <c r="AM98" s="2">
        <f t="shared" si="3"/>
        <v>0</v>
      </c>
    </row>
    <row r="99" spans="1:39" ht="43.5" x14ac:dyDescent="0.35">
      <c r="A99" s="24" t="s">
        <v>2304</v>
      </c>
      <c r="C99" s="1"/>
      <c r="D99" s="31"/>
      <c r="E99" s="21"/>
      <c r="F99" s="1"/>
      <c r="G99" s="1"/>
      <c r="H99" s="1"/>
      <c r="U99" s="1" t="s">
        <v>1172</v>
      </c>
      <c r="AK99" s="2">
        <f t="shared" si="2"/>
        <v>1</v>
      </c>
      <c r="AM99" s="2">
        <f t="shared" si="3"/>
        <v>0</v>
      </c>
    </row>
    <row r="100" spans="1:39" ht="29" x14ac:dyDescent="0.35">
      <c r="A100" s="5" t="s">
        <v>1160</v>
      </c>
      <c r="C100" s="1"/>
      <c r="D100" s="5"/>
      <c r="E100" s="1"/>
      <c r="F100" s="1"/>
      <c r="G100" s="1"/>
      <c r="H100" s="1"/>
      <c r="L100" s="1" t="s">
        <v>907</v>
      </c>
      <c r="AK100" s="2">
        <f t="shared" si="2"/>
        <v>1</v>
      </c>
      <c r="AM100" s="2">
        <f t="shared" si="3"/>
        <v>1</v>
      </c>
    </row>
    <row r="101" spans="1:39" ht="29" x14ac:dyDescent="0.35">
      <c r="A101" s="5" t="s">
        <v>1161</v>
      </c>
      <c r="C101" s="1"/>
      <c r="D101" s="5"/>
      <c r="E101" s="1"/>
      <c r="F101" s="1"/>
      <c r="G101" s="1"/>
      <c r="H101" s="1"/>
      <c r="L101" s="1" t="s">
        <v>908</v>
      </c>
      <c r="AK101" s="2">
        <f t="shared" si="2"/>
        <v>1</v>
      </c>
      <c r="AM101" s="2">
        <f t="shared" si="3"/>
        <v>1</v>
      </c>
    </row>
    <row r="102" spans="1:39" ht="29" x14ac:dyDescent="0.35">
      <c r="A102" s="5" t="s">
        <v>1162</v>
      </c>
      <c r="C102" s="1"/>
      <c r="D102" s="5"/>
      <c r="E102" s="1"/>
      <c r="F102" s="1"/>
      <c r="G102" s="1"/>
      <c r="H102" s="1"/>
      <c r="L102" s="1" t="s">
        <v>909</v>
      </c>
      <c r="AK102" s="2">
        <f t="shared" si="2"/>
        <v>1</v>
      </c>
      <c r="AM102" s="2">
        <f t="shared" si="3"/>
        <v>1</v>
      </c>
    </row>
    <row r="103" spans="1:39" ht="29" x14ac:dyDescent="0.35">
      <c r="A103" s="5" t="s">
        <v>1290</v>
      </c>
      <c r="C103" s="1"/>
      <c r="D103" s="5"/>
      <c r="E103" s="1"/>
      <c r="F103" s="1"/>
      <c r="G103" s="1"/>
      <c r="H103" s="1"/>
      <c r="N103" s="1" t="s">
        <v>101</v>
      </c>
      <c r="AK103" s="2">
        <f t="shared" si="2"/>
        <v>1</v>
      </c>
      <c r="AM103" s="2">
        <f t="shared" si="3"/>
        <v>1</v>
      </c>
    </row>
    <row r="104" spans="1:39" ht="29" x14ac:dyDescent="0.35">
      <c r="A104" s="5" t="s">
        <v>1291</v>
      </c>
      <c r="C104" s="1"/>
      <c r="D104" s="5"/>
      <c r="E104" s="1"/>
      <c r="F104" s="1"/>
      <c r="G104" s="1"/>
      <c r="H104" s="1"/>
      <c r="N104" s="1" t="s">
        <v>241</v>
      </c>
      <c r="AK104" s="2">
        <f t="shared" si="2"/>
        <v>1</v>
      </c>
      <c r="AM104" s="2">
        <f t="shared" si="3"/>
        <v>1</v>
      </c>
    </row>
    <row r="105" spans="1:39" ht="29" x14ac:dyDescent="0.35">
      <c r="A105" s="5" t="s">
        <v>1292</v>
      </c>
      <c r="C105" s="1"/>
      <c r="D105" s="5"/>
      <c r="E105" s="1"/>
      <c r="F105" s="1"/>
      <c r="G105" s="1"/>
      <c r="H105" s="1"/>
      <c r="N105" s="1" t="s">
        <v>242</v>
      </c>
      <c r="AK105" s="2">
        <f t="shared" si="2"/>
        <v>1</v>
      </c>
      <c r="AM105" s="2">
        <f t="shared" si="3"/>
        <v>1</v>
      </c>
    </row>
    <row r="106" spans="1:39" ht="29" x14ac:dyDescent="0.35">
      <c r="A106" s="5" t="s">
        <v>1293</v>
      </c>
      <c r="C106" s="1"/>
      <c r="D106" s="5"/>
      <c r="E106" s="1"/>
      <c r="F106" s="1"/>
      <c r="G106" s="1"/>
      <c r="H106" s="1"/>
      <c r="N106" s="1" t="s">
        <v>243</v>
      </c>
      <c r="AK106" s="2">
        <f t="shared" si="2"/>
        <v>1</v>
      </c>
      <c r="AM106" s="2">
        <f t="shared" si="3"/>
        <v>1</v>
      </c>
    </row>
    <row r="107" spans="1:39" ht="29" x14ac:dyDescent="0.35">
      <c r="A107" s="5" t="s">
        <v>1294</v>
      </c>
      <c r="C107" s="1"/>
      <c r="D107" s="5"/>
      <c r="E107" s="1"/>
      <c r="F107" s="1"/>
      <c r="G107" s="1"/>
      <c r="H107" s="1"/>
      <c r="N107" s="1" t="s">
        <v>104</v>
      </c>
      <c r="AK107" s="2">
        <f t="shared" si="2"/>
        <v>1</v>
      </c>
      <c r="AM107" s="2">
        <f t="shared" si="3"/>
        <v>1</v>
      </c>
    </row>
    <row r="108" spans="1:39" x14ac:dyDescent="0.35">
      <c r="A108" s="23" t="s">
        <v>2414</v>
      </c>
      <c r="C108" s="1"/>
      <c r="D108" s="35"/>
      <c r="E108" s="21"/>
      <c r="F108" s="1"/>
      <c r="G108" s="1"/>
      <c r="H108" s="1"/>
      <c r="V108" s="1" t="s">
        <v>1677</v>
      </c>
      <c r="AK108" s="2">
        <f t="shared" si="2"/>
        <v>1</v>
      </c>
      <c r="AM108" s="2">
        <f t="shared" si="3"/>
        <v>0</v>
      </c>
    </row>
    <row r="109" spans="1:39" ht="29" x14ac:dyDescent="0.35">
      <c r="A109" s="24" t="s">
        <v>2588</v>
      </c>
      <c r="C109" s="1"/>
      <c r="D109" s="31"/>
      <c r="E109" s="21"/>
      <c r="F109" s="1"/>
      <c r="G109" s="1"/>
      <c r="H109" s="1"/>
      <c r="W109" s="54" t="s">
        <v>179</v>
      </c>
      <c r="AA109" s="1" t="s">
        <v>183</v>
      </c>
      <c r="AK109" s="2">
        <f t="shared" si="2"/>
        <v>2</v>
      </c>
      <c r="AM109" s="2">
        <f t="shared" si="3"/>
        <v>0</v>
      </c>
    </row>
    <row r="110" spans="1:39" x14ac:dyDescent="0.35">
      <c r="A110" s="24" t="s">
        <v>2572</v>
      </c>
      <c r="C110" s="1"/>
      <c r="D110" s="31"/>
      <c r="E110" s="21"/>
      <c r="F110" s="1"/>
      <c r="G110" s="1"/>
      <c r="H110" s="1"/>
      <c r="X110" s="1" t="s">
        <v>1054</v>
      </c>
      <c r="AK110" s="2">
        <f t="shared" si="2"/>
        <v>1</v>
      </c>
      <c r="AM110" s="2">
        <f t="shared" si="3"/>
        <v>0</v>
      </c>
    </row>
    <row r="111" spans="1:39" ht="58" x14ac:dyDescent="0.35">
      <c r="A111" s="24" t="s">
        <v>2580</v>
      </c>
      <c r="C111" s="1"/>
      <c r="D111" s="31"/>
      <c r="E111" s="21"/>
      <c r="F111" s="1"/>
      <c r="G111" s="1"/>
      <c r="H111" s="1"/>
      <c r="Y111" s="1" t="s">
        <v>1964</v>
      </c>
      <c r="AK111" s="2">
        <f t="shared" si="2"/>
        <v>1</v>
      </c>
      <c r="AM111" s="2">
        <f t="shared" si="3"/>
        <v>0</v>
      </c>
    </row>
    <row r="112" spans="1:39" ht="29" x14ac:dyDescent="0.35">
      <c r="A112" s="24" t="s">
        <v>2683</v>
      </c>
      <c r="C112" s="1"/>
      <c r="D112" s="31"/>
      <c r="E112" s="21"/>
      <c r="F112" s="1"/>
      <c r="G112" s="1"/>
      <c r="H112" s="1"/>
      <c r="AB112" s="1" t="s">
        <v>2684</v>
      </c>
      <c r="AK112" s="2">
        <f t="shared" si="2"/>
        <v>1</v>
      </c>
      <c r="AM112" s="2">
        <f t="shared" si="3"/>
        <v>0</v>
      </c>
    </row>
    <row r="113" spans="1:39" ht="29" x14ac:dyDescent="0.35">
      <c r="A113" s="24" t="s">
        <v>2685</v>
      </c>
      <c r="C113" s="1"/>
      <c r="D113" s="31"/>
      <c r="E113" s="21"/>
      <c r="F113" s="1"/>
      <c r="G113" s="1"/>
      <c r="H113" s="1"/>
      <c r="AB113" s="1" t="s">
        <v>2686</v>
      </c>
      <c r="AK113" s="2">
        <f t="shared" si="2"/>
        <v>1</v>
      </c>
      <c r="AM113" s="2">
        <f t="shared" si="3"/>
        <v>0</v>
      </c>
    </row>
    <row r="114" spans="1:39" x14ac:dyDescent="0.35">
      <c r="A114" s="24" t="s">
        <v>2687</v>
      </c>
      <c r="C114" s="1"/>
      <c r="D114" s="31"/>
      <c r="E114" s="21"/>
      <c r="F114" s="1"/>
      <c r="G114" s="1"/>
      <c r="H114" s="1"/>
      <c r="AB114" s="1" t="s">
        <v>2688</v>
      </c>
      <c r="AK114" s="2">
        <f t="shared" si="2"/>
        <v>1</v>
      </c>
      <c r="AM114" s="2">
        <f t="shared" si="3"/>
        <v>0</v>
      </c>
    </row>
    <row r="115" spans="1:39" ht="29" x14ac:dyDescent="0.35">
      <c r="A115" s="24" t="s">
        <v>2689</v>
      </c>
      <c r="C115" s="1"/>
      <c r="D115" s="31"/>
      <c r="E115" s="21"/>
      <c r="F115" s="1"/>
      <c r="G115" s="1"/>
      <c r="H115" s="1"/>
      <c r="AB115" s="1" t="s">
        <v>2690</v>
      </c>
      <c r="AK115" s="2">
        <f t="shared" si="2"/>
        <v>1</v>
      </c>
      <c r="AM115" s="2">
        <f t="shared" si="3"/>
        <v>0</v>
      </c>
    </row>
    <row r="116" spans="1:39" ht="29" x14ac:dyDescent="0.35">
      <c r="A116" s="24" t="s">
        <v>2691</v>
      </c>
      <c r="C116" s="1"/>
      <c r="D116" s="31"/>
      <c r="E116" s="21"/>
      <c r="F116" s="1"/>
      <c r="G116" s="1"/>
      <c r="H116" s="1"/>
      <c r="AB116" s="1" t="s">
        <v>2692</v>
      </c>
      <c r="AK116" s="2">
        <f t="shared" si="2"/>
        <v>1</v>
      </c>
      <c r="AM116" s="2">
        <f t="shared" si="3"/>
        <v>0</v>
      </c>
    </row>
    <row r="117" spans="1:39" ht="29" x14ac:dyDescent="0.35">
      <c r="A117" s="24" t="s">
        <v>2773</v>
      </c>
      <c r="C117" s="1"/>
      <c r="D117" s="31"/>
      <c r="E117" s="21"/>
      <c r="F117" s="1"/>
      <c r="G117" s="1"/>
      <c r="H117" s="1"/>
      <c r="AC117" s="1" t="s">
        <v>2774</v>
      </c>
      <c r="AK117" s="2">
        <f t="shared" si="2"/>
        <v>1</v>
      </c>
      <c r="AM117" s="2">
        <f t="shared" si="3"/>
        <v>0</v>
      </c>
    </row>
    <row r="118" spans="1:39" ht="29" x14ac:dyDescent="0.35">
      <c r="A118" s="24" t="s">
        <v>2775</v>
      </c>
      <c r="C118" s="1"/>
      <c r="D118" s="31"/>
      <c r="E118" s="21"/>
      <c r="F118" s="1"/>
      <c r="G118" s="1"/>
      <c r="H118" s="1"/>
      <c r="AC118" s="1" t="s">
        <v>2195</v>
      </c>
      <c r="AK118" s="2">
        <f t="shared" si="2"/>
        <v>1</v>
      </c>
      <c r="AM118" s="2">
        <f t="shared" si="3"/>
        <v>0</v>
      </c>
    </row>
    <row r="119" spans="1:39" ht="29" x14ac:dyDescent="0.35">
      <c r="A119" s="24" t="s">
        <v>3061</v>
      </c>
      <c r="C119" s="1"/>
      <c r="D119" s="31"/>
      <c r="E119" s="21"/>
      <c r="F119" s="1"/>
      <c r="G119" s="1"/>
      <c r="H119" s="1"/>
      <c r="AH119" s="1" t="s">
        <v>1454</v>
      </c>
      <c r="AK119" s="2">
        <f t="shared" si="2"/>
        <v>1</v>
      </c>
      <c r="AM119" s="2">
        <f t="shared" si="3"/>
        <v>0</v>
      </c>
    </row>
    <row r="120" spans="1:39" ht="29" x14ac:dyDescent="0.35">
      <c r="A120" s="24" t="s">
        <v>3108</v>
      </c>
      <c r="C120" s="1"/>
      <c r="D120" s="31"/>
      <c r="E120" s="21"/>
      <c r="F120" s="1"/>
      <c r="G120" s="1"/>
      <c r="H120" s="1"/>
      <c r="AI120" s="1" t="s">
        <v>1250</v>
      </c>
      <c r="AK120" s="2">
        <f t="shared" si="2"/>
        <v>1</v>
      </c>
      <c r="AM120" s="2">
        <f t="shared" si="3"/>
        <v>0</v>
      </c>
    </row>
    <row r="121" spans="1:39" x14ac:dyDescent="0.35">
      <c r="A121" s="5" t="s">
        <v>3128</v>
      </c>
      <c r="C121" s="1"/>
      <c r="D121" s="33"/>
      <c r="E121" s="21"/>
      <c r="F121" s="1"/>
      <c r="G121" s="1"/>
      <c r="H121" s="1"/>
      <c r="AI121" s="1" t="s">
        <v>1070</v>
      </c>
      <c r="AK121" s="2">
        <f t="shared" si="2"/>
        <v>1</v>
      </c>
      <c r="AM121" s="2">
        <f t="shared" si="3"/>
        <v>0</v>
      </c>
    </row>
    <row r="122" spans="1:39" x14ac:dyDescent="0.35">
      <c r="A122" s="5" t="s">
        <v>3129</v>
      </c>
      <c r="C122" s="1"/>
      <c r="D122" s="33"/>
      <c r="E122" s="21"/>
      <c r="F122" s="1"/>
      <c r="G122" s="1"/>
      <c r="H122" s="1"/>
      <c r="AI122" s="1" t="s">
        <v>1453</v>
      </c>
      <c r="AK122" s="2">
        <f t="shared" si="2"/>
        <v>1</v>
      </c>
      <c r="AM122" s="2">
        <f t="shared" si="3"/>
        <v>0</v>
      </c>
    </row>
    <row r="123" spans="1:39" ht="29" x14ac:dyDescent="0.35">
      <c r="A123" s="5" t="s">
        <v>3130</v>
      </c>
      <c r="C123" s="1"/>
      <c r="D123" s="33"/>
      <c r="E123" s="21"/>
      <c r="F123" s="1"/>
      <c r="G123" s="1"/>
      <c r="H123" s="1"/>
      <c r="AI123" s="1" t="s">
        <v>1073</v>
      </c>
      <c r="AK123" s="2">
        <f t="shared" si="2"/>
        <v>1</v>
      </c>
      <c r="AM123" s="2">
        <f t="shared" si="3"/>
        <v>0</v>
      </c>
    </row>
    <row r="124" spans="1:39" x14ac:dyDescent="0.35">
      <c r="A124" s="24" t="s">
        <v>3131</v>
      </c>
      <c r="C124" s="1"/>
      <c r="D124" s="31"/>
      <c r="E124" s="21"/>
      <c r="F124" s="1"/>
      <c r="G124" s="1"/>
      <c r="H124" s="1"/>
      <c r="AI124" s="1" t="s">
        <v>1074</v>
      </c>
      <c r="AK124" s="2">
        <f t="shared" si="2"/>
        <v>1</v>
      </c>
      <c r="AM124" s="2">
        <f t="shared" si="3"/>
        <v>0</v>
      </c>
    </row>
    <row r="125" spans="1:39" x14ac:dyDescent="0.35">
      <c r="A125" s="24" t="s">
        <v>3132</v>
      </c>
      <c r="C125" s="1"/>
      <c r="D125" s="31"/>
      <c r="E125" s="21"/>
      <c r="F125" s="1"/>
      <c r="G125" s="1"/>
      <c r="H125" s="1"/>
      <c r="AI125" s="1" t="s">
        <v>1455</v>
      </c>
      <c r="AK125" s="2">
        <f t="shared" si="2"/>
        <v>1</v>
      </c>
      <c r="AM125" s="2">
        <f t="shared" si="3"/>
        <v>0</v>
      </c>
    </row>
    <row r="126" spans="1:39" ht="29" x14ac:dyDescent="0.35">
      <c r="A126" s="24" t="s">
        <v>3133</v>
      </c>
      <c r="C126" s="1"/>
      <c r="D126" s="31"/>
      <c r="E126" s="21"/>
      <c r="F126" s="1"/>
      <c r="G126" s="1"/>
      <c r="H126" s="1"/>
      <c r="AI126" s="1" t="s">
        <v>1077</v>
      </c>
      <c r="AK126" s="2">
        <f t="shared" si="2"/>
        <v>1</v>
      </c>
      <c r="AM126" s="2">
        <f t="shared" si="3"/>
        <v>0</v>
      </c>
    </row>
    <row r="127" spans="1:39" ht="29" x14ac:dyDescent="0.35">
      <c r="A127" s="24" t="s">
        <v>3243</v>
      </c>
      <c r="B127" s="6" t="s">
        <v>1827</v>
      </c>
      <c r="C127" s="39" t="s">
        <v>1827</v>
      </c>
      <c r="D127" s="31"/>
      <c r="E127" s="21"/>
      <c r="F127" s="1"/>
      <c r="G127" s="1"/>
      <c r="H127" s="1"/>
      <c r="AK127" s="2">
        <f>COUNTA(C127:AI127)</f>
        <v>1</v>
      </c>
    </row>
    <row r="128" spans="1:39" ht="43.5" x14ac:dyDescent="0.35">
      <c r="A128" s="24" t="s">
        <v>7927</v>
      </c>
      <c r="B128" s="6" t="s">
        <v>7928</v>
      </c>
      <c r="C128" s="1"/>
      <c r="D128" s="31"/>
      <c r="E128" s="21"/>
      <c r="F128" s="1"/>
      <c r="G128" s="1"/>
      <c r="H128" s="1"/>
    </row>
    <row r="129" spans="1:8" x14ac:dyDescent="0.35">
      <c r="A129" s="24"/>
      <c r="C129" s="1"/>
      <c r="D129" s="31"/>
      <c r="E129" s="21"/>
      <c r="F129" s="1"/>
      <c r="G129" s="1"/>
      <c r="H129" s="1"/>
    </row>
    <row r="130" spans="1:8" x14ac:dyDescent="0.35">
      <c r="A130" s="24"/>
      <c r="C130" s="1"/>
      <c r="D130" s="31"/>
      <c r="E130" s="21"/>
      <c r="F130" s="1"/>
      <c r="G130" s="1"/>
      <c r="H130" s="1"/>
    </row>
    <row r="131" spans="1:8" x14ac:dyDescent="0.35">
      <c r="A131" s="24"/>
      <c r="C131" s="1"/>
      <c r="D131" s="31"/>
      <c r="E131" s="21"/>
      <c r="F131" s="1"/>
      <c r="G131" s="1"/>
      <c r="H131" s="1"/>
    </row>
    <row r="132" spans="1:8" x14ac:dyDescent="0.35">
      <c r="A132" s="24"/>
      <c r="C132" s="1"/>
      <c r="D132" s="31"/>
      <c r="E132" s="21"/>
      <c r="F132" s="1"/>
      <c r="G132" s="1"/>
      <c r="H132" s="1"/>
    </row>
    <row r="133" spans="1:8" x14ac:dyDescent="0.35">
      <c r="A133" s="24"/>
      <c r="C133" s="1"/>
      <c r="D133" s="31"/>
      <c r="E133" s="21"/>
      <c r="F133" s="1"/>
      <c r="G133" s="1"/>
      <c r="H133" s="1"/>
    </row>
    <row r="134" spans="1:8" x14ac:dyDescent="0.35">
      <c r="A134" s="24"/>
      <c r="C134" s="1"/>
      <c r="D134" s="31"/>
      <c r="E134" s="21"/>
      <c r="F134" s="1"/>
      <c r="G134" s="1"/>
      <c r="H134" s="1"/>
    </row>
    <row r="135" spans="1:8" x14ac:dyDescent="0.35">
      <c r="A135" s="23"/>
      <c r="C135" s="1"/>
      <c r="D135" s="35"/>
      <c r="E135" s="21"/>
      <c r="F135" s="1"/>
      <c r="G135" s="1"/>
      <c r="H135" s="1"/>
    </row>
    <row r="136" spans="1:8" x14ac:dyDescent="0.35">
      <c r="A136" s="23"/>
      <c r="C136" s="1"/>
      <c r="D136" s="35"/>
      <c r="E136" s="21"/>
      <c r="F136" s="1"/>
      <c r="G136" s="1"/>
      <c r="H136" s="1"/>
    </row>
    <row r="137" spans="1:8" x14ac:dyDescent="0.35">
      <c r="A137" s="23"/>
      <c r="C137" s="1"/>
      <c r="D137" s="35"/>
      <c r="E137" s="21"/>
      <c r="F137" s="1"/>
      <c r="G137" s="1"/>
      <c r="H137" s="1"/>
    </row>
    <row r="138" spans="1:8" x14ac:dyDescent="0.35">
      <c r="A138" s="23"/>
      <c r="C138" s="1"/>
      <c r="D138" s="35"/>
      <c r="E138" s="21"/>
      <c r="F138" s="1"/>
      <c r="G138" s="1"/>
      <c r="H138" s="1"/>
    </row>
    <row r="139" spans="1:8" x14ac:dyDescent="0.35">
      <c r="A139" s="23"/>
      <c r="C139" s="1"/>
      <c r="D139" s="35"/>
      <c r="E139" s="21"/>
      <c r="F139" s="1"/>
      <c r="G139" s="1"/>
      <c r="H139" s="1"/>
    </row>
    <row r="140" spans="1:8" x14ac:dyDescent="0.35">
      <c r="A140" s="23"/>
      <c r="C140" s="1"/>
      <c r="D140" s="35"/>
      <c r="E140" s="21"/>
      <c r="F140" s="1"/>
      <c r="G140" s="1"/>
      <c r="H140" s="1"/>
    </row>
    <row r="141" spans="1:8" x14ac:dyDescent="0.35">
      <c r="A141" s="23"/>
      <c r="C141" s="1"/>
      <c r="D141" s="35"/>
      <c r="E141" s="21"/>
      <c r="F141" s="1"/>
      <c r="G141" s="1"/>
      <c r="H141" s="1"/>
    </row>
    <row r="142" spans="1:8" x14ac:dyDescent="0.35">
      <c r="A142" s="23"/>
      <c r="C142" s="1"/>
      <c r="D142" s="35"/>
      <c r="E142" s="21"/>
      <c r="F142" s="1"/>
      <c r="G142" s="1"/>
      <c r="H142" s="1"/>
    </row>
    <row r="143" spans="1:8" x14ac:dyDescent="0.35">
      <c r="A143" s="23"/>
      <c r="C143" s="1"/>
      <c r="D143" s="35"/>
      <c r="E143" s="21"/>
      <c r="F143" s="1"/>
      <c r="G143" s="1"/>
      <c r="H143" s="1"/>
    </row>
    <row r="144" spans="1:8" x14ac:dyDescent="0.35">
      <c r="A144" s="23"/>
      <c r="C144" s="1"/>
      <c r="D144" s="35"/>
      <c r="E144" s="21"/>
      <c r="F144" s="1"/>
      <c r="G144" s="1"/>
      <c r="H144" s="1"/>
    </row>
    <row r="145" spans="1:8" x14ac:dyDescent="0.35">
      <c r="A145" s="23"/>
      <c r="C145" s="1"/>
      <c r="D145" s="35"/>
      <c r="E145" s="21"/>
      <c r="F145" s="1"/>
      <c r="G145" s="1"/>
      <c r="H145" s="1"/>
    </row>
    <row r="146" spans="1:8" x14ac:dyDescent="0.35">
      <c r="A146" s="23"/>
      <c r="C146" s="1"/>
      <c r="D146" s="35"/>
      <c r="E146" s="21"/>
      <c r="F146" s="1"/>
      <c r="G146" s="1"/>
      <c r="H146" s="1"/>
    </row>
    <row r="147" spans="1:8" x14ac:dyDescent="0.35">
      <c r="A147" s="23"/>
      <c r="C147" s="1"/>
      <c r="D147" s="35"/>
      <c r="E147" s="21"/>
      <c r="F147" s="1"/>
      <c r="G147" s="1"/>
      <c r="H147" s="1"/>
    </row>
    <row r="148" spans="1:8" x14ac:dyDescent="0.35">
      <c r="A148" s="23"/>
      <c r="C148" s="1"/>
      <c r="D148" s="35"/>
      <c r="E148" s="21"/>
      <c r="F148" s="1"/>
      <c r="G148" s="1"/>
      <c r="H148" s="1"/>
    </row>
    <row r="149" spans="1:8" x14ac:dyDescent="0.35">
      <c r="A149" s="23"/>
      <c r="C149" s="1"/>
      <c r="D149" s="35"/>
      <c r="E149" s="21"/>
      <c r="F149" s="1"/>
      <c r="G149" s="1"/>
      <c r="H149" s="1"/>
    </row>
    <row r="150" spans="1:8" x14ac:dyDescent="0.35">
      <c r="A150" s="23"/>
      <c r="C150" s="1"/>
      <c r="D150" s="35"/>
      <c r="E150" s="21"/>
      <c r="F150" s="1"/>
      <c r="G150" s="1"/>
      <c r="H150" s="1"/>
    </row>
    <row r="151" spans="1:8" x14ac:dyDescent="0.35">
      <c r="A151" s="23"/>
      <c r="C151" s="1"/>
      <c r="D151" s="35"/>
      <c r="E151" s="21"/>
      <c r="F151" s="1"/>
      <c r="G151" s="1"/>
      <c r="H151" s="1"/>
    </row>
    <row r="152" spans="1:8" x14ac:dyDescent="0.35">
      <c r="A152" s="23"/>
      <c r="C152" s="1"/>
      <c r="D152" s="35"/>
      <c r="E152" s="21"/>
      <c r="F152" s="1"/>
      <c r="G152" s="1"/>
      <c r="H152" s="1"/>
    </row>
    <row r="153" spans="1:8" x14ac:dyDescent="0.35">
      <c r="A153" s="23"/>
      <c r="C153" s="1"/>
      <c r="D153" s="35"/>
      <c r="E153" s="21"/>
      <c r="F153" s="1"/>
      <c r="G153" s="1"/>
      <c r="H153" s="1"/>
    </row>
    <row r="154" spans="1:8" x14ac:dyDescent="0.35">
      <c r="A154" s="23"/>
      <c r="C154" s="1"/>
      <c r="D154" s="35"/>
      <c r="E154" s="21"/>
      <c r="F154" s="1"/>
      <c r="G154" s="1"/>
      <c r="H154" s="1"/>
    </row>
    <row r="155" spans="1:8" x14ac:dyDescent="0.35">
      <c r="A155" s="23"/>
      <c r="C155" s="1"/>
      <c r="D155" s="35"/>
      <c r="E155" s="21"/>
      <c r="F155" s="1"/>
      <c r="G155" s="1"/>
      <c r="H155" s="1"/>
    </row>
    <row r="156" spans="1:8" x14ac:dyDescent="0.35">
      <c r="A156" s="23"/>
      <c r="C156" s="1"/>
      <c r="D156" s="35"/>
      <c r="E156" s="21"/>
      <c r="F156" s="1"/>
      <c r="G156" s="1"/>
      <c r="H156" s="1"/>
    </row>
    <row r="157" spans="1:8" x14ac:dyDescent="0.35">
      <c r="A157" s="23"/>
      <c r="C157" s="1"/>
      <c r="D157" s="35"/>
      <c r="E157" s="21"/>
      <c r="F157" s="1"/>
      <c r="G157" s="1"/>
      <c r="H157" s="1"/>
    </row>
    <row r="158" spans="1:8" x14ac:dyDescent="0.35">
      <c r="A158" s="23"/>
      <c r="C158" s="1"/>
      <c r="D158" s="35"/>
      <c r="E158" s="21"/>
      <c r="F158" s="1"/>
      <c r="G158" s="1"/>
      <c r="H158" s="1"/>
    </row>
    <row r="159" spans="1:8" x14ac:dyDescent="0.35">
      <c r="A159" s="23"/>
      <c r="C159" s="1"/>
      <c r="D159" s="35"/>
      <c r="E159" s="21"/>
      <c r="F159" s="1"/>
      <c r="G159" s="1"/>
      <c r="H159" s="1"/>
    </row>
    <row r="160" spans="1:8" x14ac:dyDescent="0.35">
      <c r="A160" s="23"/>
      <c r="C160" s="1"/>
      <c r="D160" s="35"/>
      <c r="E160" s="21"/>
      <c r="F160" s="1"/>
      <c r="G160" s="1"/>
      <c r="H160" s="1"/>
    </row>
    <row r="161" spans="1:8" x14ac:dyDescent="0.35">
      <c r="A161" s="23"/>
      <c r="C161" s="1"/>
      <c r="D161" s="35"/>
      <c r="E161" s="21"/>
      <c r="F161" s="1"/>
      <c r="G161" s="1"/>
      <c r="H161" s="1"/>
    </row>
    <row r="162" spans="1:8" x14ac:dyDescent="0.35">
      <c r="A162" s="23"/>
      <c r="C162" s="1"/>
      <c r="D162" s="35"/>
      <c r="E162" s="21"/>
      <c r="F162" s="1"/>
      <c r="G162" s="1"/>
      <c r="H162" s="1"/>
    </row>
    <row r="163" spans="1:8" x14ac:dyDescent="0.35">
      <c r="A163" s="23"/>
      <c r="C163" s="1"/>
      <c r="D163" s="35"/>
      <c r="E163" s="21"/>
      <c r="F163" s="1"/>
      <c r="G163" s="1"/>
      <c r="H163" s="1"/>
    </row>
    <row r="164" spans="1:8" x14ac:dyDescent="0.35">
      <c r="A164" s="23"/>
      <c r="C164" s="1"/>
      <c r="D164" s="35"/>
      <c r="E164" s="21"/>
      <c r="F164" s="1"/>
      <c r="G164" s="1"/>
      <c r="H164" s="1"/>
    </row>
    <row r="165" spans="1:8" x14ac:dyDescent="0.35">
      <c r="A165" s="23"/>
      <c r="C165" s="1"/>
      <c r="D165" s="35"/>
      <c r="E165" s="21"/>
      <c r="F165" s="1"/>
      <c r="G165" s="1"/>
      <c r="H165" s="1"/>
    </row>
    <row r="166" spans="1:8" x14ac:dyDescent="0.35">
      <c r="A166" s="23"/>
      <c r="C166" s="1"/>
      <c r="D166" s="35"/>
      <c r="E166" s="21"/>
      <c r="F166" s="1"/>
      <c r="G166" s="1"/>
      <c r="H166" s="1"/>
    </row>
    <row r="167" spans="1:8" x14ac:dyDescent="0.35">
      <c r="A167" s="23"/>
      <c r="C167" s="1"/>
      <c r="D167" s="35"/>
      <c r="E167" s="21"/>
      <c r="F167" s="1"/>
      <c r="G167" s="1"/>
      <c r="H167" s="1"/>
    </row>
    <row r="168" spans="1:8" x14ac:dyDescent="0.35">
      <c r="A168" s="23"/>
      <c r="C168" s="1"/>
      <c r="D168" s="35"/>
      <c r="E168" s="21"/>
      <c r="F168" s="1"/>
      <c r="G168" s="1"/>
      <c r="H168" s="1"/>
    </row>
    <row r="169" spans="1:8" x14ac:dyDescent="0.35">
      <c r="A169" s="23"/>
      <c r="C169" s="1"/>
      <c r="D169" s="35"/>
      <c r="E169" s="21"/>
      <c r="F169" s="1"/>
      <c r="G169" s="1"/>
      <c r="H169" s="1"/>
    </row>
    <row r="170" spans="1:8" x14ac:dyDescent="0.35">
      <c r="A170" s="23"/>
      <c r="C170" s="1"/>
      <c r="D170" s="35"/>
      <c r="E170" s="21"/>
      <c r="F170" s="1"/>
      <c r="G170" s="1"/>
      <c r="H170" s="1"/>
    </row>
    <row r="171" spans="1:8" x14ac:dyDescent="0.35">
      <c r="A171" s="23"/>
      <c r="C171" s="1"/>
      <c r="D171" s="35"/>
      <c r="E171" s="21"/>
      <c r="F171" s="1"/>
      <c r="G171" s="1"/>
      <c r="H171" s="1"/>
    </row>
    <row r="172" spans="1:8" x14ac:dyDescent="0.35">
      <c r="A172" s="23"/>
      <c r="C172" s="1"/>
      <c r="D172" s="35"/>
      <c r="E172" s="21"/>
      <c r="F172" s="1"/>
      <c r="G172" s="1"/>
      <c r="H172" s="1"/>
    </row>
    <row r="173" spans="1:8" x14ac:dyDescent="0.35">
      <c r="A173" s="23"/>
      <c r="C173" s="1"/>
      <c r="D173" s="35"/>
      <c r="E173" s="21"/>
      <c r="F173" s="1"/>
      <c r="G173" s="1"/>
      <c r="H173" s="1"/>
    </row>
    <row r="174" spans="1:8" x14ac:dyDescent="0.35">
      <c r="A174" s="23"/>
      <c r="C174" s="1"/>
      <c r="D174" s="35"/>
      <c r="E174" s="21"/>
      <c r="F174" s="1"/>
      <c r="G174" s="1"/>
      <c r="H174" s="1"/>
    </row>
    <row r="175" spans="1:8" x14ac:dyDescent="0.35">
      <c r="A175" s="23"/>
      <c r="C175" s="1"/>
      <c r="D175" s="35"/>
      <c r="E175" s="21"/>
      <c r="F175" s="1"/>
      <c r="G175" s="1"/>
      <c r="H175" s="1"/>
    </row>
    <row r="176" spans="1:8" x14ac:dyDescent="0.35">
      <c r="A176" s="23"/>
      <c r="C176" s="1"/>
      <c r="D176" s="35"/>
      <c r="E176" s="21"/>
      <c r="F176" s="1"/>
      <c r="G176" s="1"/>
      <c r="H176" s="1"/>
    </row>
    <row r="177" spans="1:8" x14ac:dyDescent="0.35">
      <c r="A177" s="23"/>
      <c r="C177" s="1"/>
      <c r="D177" s="35"/>
      <c r="E177" s="21"/>
      <c r="F177" s="1"/>
      <c r="G177" s="1"/>
      <c r="H177" s="1"/>
    </row>
    <row r="178" spans="1:8" x14ac:dyDescent="0.35">
      <c r="A178" s="23"/>
      <c r="C178" s="1"/>
      <c r="D178" s="35"/>
      <c r="E178" s="21"/>
      <c r="F178" s="1"/>
      <c r="G178" s="1"/>
      <c r="H178" s="1"/>
    </row>
    <row r="179" spans="1:8" x14ac:dyDescent="0.35">
      <c r="A179" s="23"/>
      <c r="C179" s="1"/>
      <c r="D179" s="35"/>
      <c r="E179" s="21"/>
      <c r="F179" s="1"/>
      <c r="G179" s="1"/>
      <c r="H179" s="1"/>
    </row>
    <row r="180" spans="1:8" x14ac:dyDescent="0.35">
      <c r="A180" s="23"/>
      <c r="C180" s="1"/>
      <c r="D180" s="35"/>
      <c r="E180" s="21"/>
      <c r="F180" s="1"/>
      <c r="G180" s="1"/>
      <c r="H180" s="1"/>
    </row>
    <row r="181" spans="1:8" x14ac:dyDescent="0.35">
      <c r="A181" s="23"/>
      <c r="C181" s="1"/>
      <c r="D181" s="35"/>
      <c r="E181" s="21"/>
      <c r="F181" s="1"/>
      <c r="G181" s="1"/>
      <c r="H181" s="1"/>
    </row>
    <row r="182" spans="1:8" x14ac:dyDescent="0.35">
      <c r="A182" s="23"/>
      <c r="C182" s="1"/>
      <c r="D182" s="35"/>
      <c r="E182" s="21"/>
      <c r="F182" s="1"/>
      <c r="G182" s="1"/>
      <c r="H182" s="1"/>
    </row>
    <row r="183" spans="1:8" x14ac:dyDescent="0.35">
      <c r="A183" s="23"/>
      <c r="C183" s="1"/>
      <c r="D183" s="35"/>
      <c r="E183" s="21"/>
      <c r="F183" s="1"/>
      <c r="G183" s="1"/>
      <c r="H183" s="1"/>
    </row>
    <row r="184" spans="1:8" x14ac:dyDescent="0.35">
      <c r="A184" s="23"/>
      <c r="C184" s="1"/>
      <c r="D184" s="35"/>
      <c r="E184" s="21"/>
      <c r="F184" s="1"/>
      <c r="G184" s="1"/>
      <c r="H184" s="1"/>
    </row>
    <row r="185" spans="1:8" x14ac:dyDescent="0.35">
      <c r="A185" s="23"/>
      <c r="C185" s="1"/>
      <c r="D185" s="35"/>
      <c r="E185" s="21"/>
      <c r="F185" s="1"/>
      <c r="G185" s="1"/>
      <c r="H185" s="1"/>
    </row>
    <row r="186" spans="1:8" x14ac:dyDescent="0.35">
      <c r="A186" s="23"/>
      <c r="C186" s="1"/>
      <c r="D186" s="35"/>
      <c r="E186" s="21"/>
      <c r="F186" s="1"/>
      <c r="G186" s="1"/>
      <c r="H186" s="1"/>
    </row>
    <row r="187" spans="1:8" x14ac:dyDescent="0.35">
      <c r="A187" s="23"/>
      <c r="C187" s="1"/>
      <c r="D187" s="35"/>
      <c r="E187" s="21"/>
      <c r="F187" s="1"/>
      <c r="G187" s="1"/>
      <c r="H187" s="1"/>
    </row>
    <row r="188" spans="1:8" x14ac:dyDescent="0.35">
      <c r="A188" s="23"/>
      <c r="C188" s="1"/>
      <c r="D188" s="35"/>
      <c r="E188" s="21"/>
      <c r="F188" s="1"/>
      <c r="G188" s="1"/>
      <c r="H188" s="1"/>
    </row>
    <row r="189" spans="1:8" x14ac:dyDescent="0.35">
      <c r="A189" s="23"/>
      <c r="C189" s="1"/>
      <c r="D189" s="35"/>
      <c r="E189" s="21"/>
      <c r="F189" s="1"/>
      <c r="G189" s="1"/>
      <c r="H189" s="1"/>
    </row>
    <row r="190" spans="1:8" x14ac:dyDescent="0.35">
      <c r="A190" s="23"/>
      <c r="C190" s="1"/>
      <c r="D190" s="35"/>
      <c r="E190" s="21"/>
      <c r="F190" s="1"/>
      <c r="G190" s="1"/>
      <c r="H190" s="1"/>
    </row>
    <row r="191" spans="1:8" x14ac:dyDescent="0.35">
      <c r="A191" s="23"/>
      <c r="C191" s="1"/>
      <c r="D191" s="35"/>
      <c r="E191" s="21"/>
      <c r="F191" s="1"/>
      <c r="G191" s="1"/>
      <c r="H191" s="1"/>
    </row>
    <row r="192" spans="1:8" x14ac:dyDescent="0.35">
      <c r="A192" s="23"/>
      <c r="C192" s="1"/>
      <c r="D192" s="35"/>
      <c r="E192" s="21"/>
      <c r="F192" s="1"/>
      <c r="G192" s="1"/>
      <c r="H192" s="1"/>
    </row>
    <row r="193" spans="1:8" x14ac:dyDescent="0.35">
      <c r="A193" s="23"/>
      <c r="C193" s="1"/>
      <c r="D193" s="35"/>
      <c r="E193" s="21"/>
      <c r="F193" s="1"/>
      <c r="G193" s="1"/>
      <c r="H193" s="1"/>
    </row>
    <row r="194" spans="1:8" x14ac:dyDescent="0.35">
      <c r="A194" s="23"/>
      <c r="C194" s="1"/>
      <c r="D194" s="35"/>
      <c r="E194" s="21"/>
      <c r="F194" s="1"/>
      <c r="G194" s="1"/>
      <c r="H194" s="1"/>
    </row>
    <row r="195" spans="1:8" x14ac:dyDescent="0.35">
      <c r="A195" s="23"/>
      <c r="C195" s="1"/>
      <c r="D195" s="35"/>
      <c r="E195" s="21"/>
      <c r="F195" s="1"/>
      <c r="G195" s="1"/>
      <c r="H195" s="1"/>
    </row>
    <row r="196" spans="1:8" x14ac:dyDescent="0.35">
      <c r="A196" s="23"/>
      <c r="C196" s="1"/>
      <c r="D196" s="35"/>
      <c r="E196" s="21"/>
      <c r="F196" s="1"/>
      <c r="G196" s="1"/>
      <c r="H196" s="1"/>
    </row>
    <row r="197" spans="1:8" x14ac:dyDescent="0.35">
      <c r="A197" s="23"/>
      <c r="C197" s="1"/>
      <c r="D197" s="35"/>
      <c r="E197" s="21"/>
      <c r="F197" s="1"/>
      <c r="G197" s="1"/>
      <c r="H197" s="1"/>
    </row>
    <row r="198" spans="1:8" x14ac:dyDescent="0.35">
      <c r="A198" s="23"/>
      <c r="C198" s="1"/>
      <c r="D198" s="35"/>
      <c r="E198" s="21"/>
      <c r="F198" s="1"/>
      <c r="G198" s="1"/>
      <c r="H198" s="1"/>
    </row>
    <row r="199" spans="1:8" x14ac:dyDescent="0.35">
      <c r="A199" s="23"/>
      <c r="C199" s="1"/>
      <c r="D199" s="35"/>
      <c r="E199" s="21"/>
      <c r="F199" s="1"/>
      <c r="G199" s="1"/>
      <c r="H199" s="1"/>
    </row>
    <row r="200" spans="1:8" x14ac:dyDescent="0.35">
      <c r="A200" s="23"/>
      <c r="C200" s="1"/>
      <c r="D200" s="35"/>
      <c r="E200" s="21"/>
      <c r="F200" s="1"/>
      <c r="G200" s="1"/>
      <c r="H200" s="1"/>
    </row>
    <row r="201" spans="1:8" x14ac:dyDescent="0.35">
      <c r="A201" s="23"/>
      <c r="C201" s="1"/>
      <c r="D201" s="35"/>
      <c r="E201" s="21"/>
      <c r="F201" s="1"/>
      <c r="G201" s="1"/>
      <c r="H201" s="1"/>
    </row>
    <row r="202" spans="1:8" x14ac:dyDescent="0.35">
      <c r="A202" s="23"/>
      <c r="C202" s="1"/>
      <c r="D202" s="35"/>
      <c r="E202" s="21"/>
      <c r="F202" s="1"/>
      <c r="G202" s="1"/>
      <c r="H202" s="1"/>
    </row>
    <row r="203" spans="1:8" x14ac:dyDescent="0.35">
      <c r="A203" s="23"/>
      <c r="C203" s="1"/>
      <c r="D203" s="35"/>
      <c r="E203" s="21"/>
      <c r="F203" s="1"/>
      <c r="G203" s="1"/>
      <c r="H203" s="1"/>
    </row>
    <row r="204" spans="1:8" x14ac:dyDescent="0.35">
      <c r="A204" s="23"/>
      <c r="C204" s="1"/>
      <c r="D204" s="35"/>
      <c r="E204" s="21"/>
      <c r="F204" s="1"/>
      <c r="G204" s="1"/>
      <c r="H204" s="1"/>
    </row>
    <row r="205" spans="1:8" x14ac:dyDescent="0.35">
      <c r="A205" s="23"/>
      <c r="C205" s="1"/>
      <c r="D205" s="35"/>
      <c r="E205" s="21"/>
      <c r="F205" s="1"/>
      <c r="G205" s="1"/>
      <c r="H205" s="1"/>
    </row>
    <row r="206" spans="1:8" x14ac:dyDescent="0.35">
      <c r="A206" s="23"/>
      <c r="C206" s="1"/>
      <c r="D206" s="35"/>
      <c r="E206" s="21"/>
      <c r="F206" s="1"/>
      <c r="G206" s="1"/>
      <c r="H206" s="1"/>
    </row>
    <row r="207" spans="1:8" x14ac:dyDescent="0.35">
      <c r="A207" s="23"/>
      <c r="C207" s="1"/>
      <c r="D207" s="35"/>
      <c r="E207" s="21"/>
      <c r="F207" s="1"/>
      <c r="G207" s="1"/>
      <c r="H207" s="1"/>
    </row>
    <row r="208" spans="1:8" x14ac:dyDescent="0.35">
      <c r="A208" s="23"/>
      <c r="C208" s="1"/>
      <c r="D208" s="35"/>
      <c r="E208" s="21"/>
      <c r="F208" s="1"/>
      <c r="G208" s="1"/>
      <c r="H208" s="1"/>
    </row>
    <row r="209" spans="1:8" x14ac:dyDescent="0.35">
      <c r="A209" s="23"/>
      <c r="C209" s="1"/>
      <c r="D209" s="35"/>
      <c r="E209" s="21"/>
      <c r="F209" s="1"/>
      <c r="G209" s="1"/>
      <c r="H209" s="1"/>
    </row>
    <row r="210" spans="1:8" x14ac:dyDescent="0.35">
      <c r="A210" s="23"/>
      <c r="C210" s="1"/>
      <c r="D210" s="35"/>
      <c r="E210" s="21"/>
      <c r="F210" s="1"/>
      <c r="G210" s="1"/>
      <c r="H210" s="1"/>
    </row>
    <row r="211" spans="1:8" x14ac:dyDescent="0.35">
      <c r="A211" s="23"/>
      <c r="C211" s="1"/>
      <c r="D211" s="35"/>
      <c r="E211" s="21"/>
      <c r="F211" s="1"/>
      <c r="G211" s="1"/>
      <c r="H211" s="1"/>
    </row>
    <row r="212" spans="1:8" x14ac:dyDescent="0.35">
      <c r="A212" s="23"/>
      <c r="C212" s="1"/>
      <c r="D212" s="35"/>
      <c r="E212" s="21"/>
      <c r="F212" s="1"/>
      <c r="G212" s="1"/>
      <c r="H212" s="1"/>
    </row>
    <row r="213" spans="1:8" x14ac:dyDescent="0.35">
      <c r="A213" s="23"/>
      <c r="C213" s="1"/>
      <c r="D213" s="35"/>
      <c r="E213" s="21"/>
      <c r="F213" s="1"/>
      <c r="G213" s="1"/>
      <c r="H213" s="1"/>
    </row>
    <row r="214" spans="1:8" x14ac:dyDescent="0.35">
      <c r="A214" s="23"/>
      <c r="C214" s="1"/>
      <c r="D214" s="35"/>
      <c r="E214" s="21"/>
      <c r="F214" s="1"/>
      <c r="G214" s="1"/>
      <c r="H214" s="1"/>
    </row>
    <row r="215" spans="1:8" x14ac:dyDescent="0.35">
      <c r="A215" s="23"/>
      <c r="C215" s="1"/>
      <c r="D215" s="35"/>
      <c r="E215" s="21"/>
      <c r="F215" s="1"/>
      <c r="G215" s="1"/>
      <c r="H215" s="1"/>
    </row>
    <row r="216" spans="1:8" x14ac:dyDescent="0.35">
      <c r="A216" s="23"/>
      <c r="C216" s="1"/>
      <c r="D216" s="35"/>
      <c r="E216" s="21"/>
      <c r="F216" s="1"/>
      <c r="G216" s="1"/>
      <c r="H216" s="1"/>
    </row>
    <row r="217" spans="1:8" x14ac:dyDescent="0.35">
      <c r="A217" s="23"/>
      <c r="C217" s="1"/>
      <c r="D217" s="35"/>
      <c r="E217" s="21"/>
      <c r="F217" s="1"/>
      <c r="G217" s="1"/>
      <c r="H217" s="1"/>
    </row>
    <row r="218" spans="1:8" x14ac:dyDescent="0.35">
      <c r="A218" s="23"/>
      <c r="C218" s="1"/>
      <c r="D218" s="35"/>
      <c r="E218" s="21"/>
      <c r="F218" s="1"/>
      <c r="G218" s="1"/>
      <c r="H218" s="1"/>
    </row>
    <row r="219" spans="1:8" x14ac:dyDescent="0.35">
      <c r="A219" s="23"/>
      <c r="C219" s="1"/>
      <c r="D219" s="35"/>
      <c r="E219" s="21"/>
      <c r="F219" s="1"/>
      <c r="G219" s="1"/>
      <c r="H219" s="1"/>
    </row>
    <row r="220" spans="1:8" x14ac:dyDescent="0.35">
      <c r="A220" s="23"/>
      <c r="C220" s="1"/>
      <c r="D220" s="35"/>
      <c r="E220" s="21"/>
      <c r="F220" s="1"/>
      <c r="G220" s="1"/>
      <c r="H220" s="1"/>
    </row>
    <row r="221" spans="1:8" x14ac:dyDescent="0.35">
      <c r="A221" s="23"/>
      <c r="C221" s="1"/>
      <c r="D221" s="35"/>
      <c r="E221" s="21"/>
      <c r="F221" s="1"/>
      <c r="G221" s="1"/>
      <c r="H221" s="1"/>
    </row>
    <row r="222" spans="1:8" x14ac:dyDescent="0.35">
      <c r="A222" s="23"/>
      <c r="C222" s="1"/>
      <c r="D222" s="35"/>
      <c r="E222" s="21"/>
      <c r="F222" s="1"/>
      <c r="G222" s="1"/>
      <c r="H222" s="1"/>
    </row>
    <row r="223" spans="1:8" x14ac:dyDescent="0.35">
      <c r="A223" s="23"/>
      <c r="C223" s="1"/>
      <c r="D223" s="35"/>
      <c r="E223" s="21"/>
      <c r="F223" s="1"/>
      <c r="G223" s="1"/>
      <c r="H223" s="1"/>
    </row>
    <row r="224" spans="1:8" x14ac:dyDescent="0.35">
      <c r="A224" s="23"/>
      <c r="C224" s="1"/>
      <c r="D224" s="35"/>
      <c r="E224" s="21"/>
      <c r="F224" s="1"/>
      <c r="G224" s="1"/>
      <c r="H224" s="1"/>
    </row>
    <row r="225" spans="1:8" x14ac:dyDescent="0.35">
      <c r="A225" s="23"/>
      <c r="C225" s="1"/>
      <c r="D225" s="35"/>
      <c r="E225" s="21"/>
      <c r="F225" s="1"/>
      <c r="G225" s="1"/>
      <c r="H225" s="1"/>
    </row>
    <row r="226" spans="1:8" x14ac:dyDescent="0.35">
      <c r="A226" s="23"/>
      <c r="C226" s="1"/>
      <c r="D226" s="35"/>
      <c r="E226" s="21"/>
      <c r="F226" s="1"/>
      <c r="G226" s="1"/>
      <c r="H226" s="1"/>
    </row>
    <row r="227" spans="1:8" x14ac:dyDescent="0.35">
      <c r="A227" s="23"/>
      <c r="C227" s="1"/>
      <c r="D227" s="35"/>
      <c r="E227" s="21"/>
      <c r="F227" s="1"/>
      <c r="G227" s="1"/>
      <c r="H227" s="1"/>
    </row>
    <row r="228" spans="1:8" x14ac:dyDescent="0.35">
      <c r="A228" s="23"/>
      <c r="C228" s="1"/>
      <c r="D228" s="35"/>
      <c r="E228" s="21"/>
      <c r="F228" s="1"/>
      <c r="G228" s="1"/>
      <c r="H228" s="1"/>
    </row>
    <row r="229" spans="1:8" x14ac:dyDescent="0.35">
      <c r="A229" s="23"/>
      <c r="C229" s="1"/>
      <c r="D229" s="35"/>
      <c r="E229" s="21"/>
      <c r="F229" s="1"/>
      <c r="G229" s="1"/>
      <c r="H229" s="1"/>
    </row>
    <row r="230" spans="1:8" x14ac:dyDescent="0.35">
      <c r="A230" s="23"/>
      <c r="C230" s="1"/>
      <c r="D230" s="35"/>
      <c r="E230" s="21"/>
      <c r="F230" s="1"/>
      <c r="G230" s="1"/>
      <c r="H230" s="1"/>
    </row>
    <row r="231" spans="1:8" x14ac:dyDescent="0.35">
      <c r="A231" s="23"/>
      <c r="C231" s="1"/>
      <c r="D231" s="35"/>
      <c r="E231" s="21"/>
      <c r="F231" s="1"/>
      <c r="G231" s="1"/>
      <c r="H231" s="1"/>
    </row>
    <row r="232" spans="1:8" x14ac:dyDescent="0.35">
      <c r="A232" s="23"/>
      <c r="C232" s="1"/>
      <c r="D232" s="35"/>
      <c r="E232" s="21"/>
      <c r="F232" s="1"/>
      <c r="G232" s="1"/>
      <c r="H232" s="1"/>
    </row>
    <row r="233" spans="1:8" x14ac:dyDescent="0.35">
      <c r="A233" s="23"/>
      <c r="C233" s="1"/>
      <c r="D233" s="35"/>
      <c r="E233" s="21"/>
      <c r="F233" s="1"/>
      <c r="G233" s="1"/>
      <c r="H233" s="1"/>
    </row>
    <row r="234" spans="1:8" x14ac:dyDescent="0.35">
      <c r="A234" s="23"/>
      <c r="C234" s="1"/>
      <c r="D234" s="35"/>
      <c r="E234" s="21"/>
      <c r="F234" s="1"/>
      <c r="G234" s="1"/>
      <c r="H234" s="1"/>
    </row>
    <row r="235" spans="1:8" x14ac:dyDescent="0.35">
      <c r="A235" s="23"/>
      <c r="C235" s="1"/>
      <c r="D235" s="35"/>
      <c r="E235" s="21"/>
      <c r="F235" s="1"/>
      <c r="G235" s="1"/>
      <c r="H235" s="1"/>
    </row>
    <row r="236" spans="1:8" x14ac:dyDescent="0.35">
      <c r="A236" s="23"/>
      <c r="C236" s="1"/>
      <c r="D236" s="35"/>
      <c r="E236" s="21"/>
      <c r="F236" s="1"/>
      <c r="G236" s="1"/>
      <c r="H236" s="1"/>
    </row>
    <row r="237" spans="1:8" x14ac:dyDescent="0.35">
      <c r="A237" s="23"/>
      <c r="C237" s="1"/>
      <c r="D237" s="35"/>
      <c r="E237" s="21"/>
      <c r="F237" s="1"/>
      <c r="G237" s="1"/>
      <c r="H237" s="1"/>
    </row>
    <row r="238" spans="1:8" x14ac:dyDescent="0.35">
      <c r="A238" s="23"/>
      <c r="C238" s="1"/>
      <c r="D238" s="35"/>
      <c r="E238" s="21"/>
      <c r="F238" s="1"/>
      <c r="G238" s="1"/>
      <c r="H238" s="1"/>
    </row>
    <row r="239" spans="1:8" x14ac:dyDescent="0.35">
      <c r="A239" s="23"/>
      <c r="C239" s="1"/>
      <c r="D239" s="35"/>
      <c r="E239" s="21"/>
      <c r="F239" s="1"/>
      <c r="G239" s="1"/>
      <c r="H239" s="1"/>
    </row>
    <row r="240" spans="1:8" x14ac:dyDescent="0.35">
      <c r="A240" s="23"/>
      <c r="C240" s="1"/>
      <c r="D240" s="35"/>
      <c r="E240" s="21"/>
      <c r="F240" s="1"/>
      <c r="G240" s="1"/>
      <c r="H240" s="1"/>
    </row>
    <row r="241" spans="1:8" x14ac:dyDescent="0.35">
      <c r="A241" s="23"/>
      <c r="C241" s="1"/>
      <c r="D241" s="35"/>
      <c r="E241" s="21"/>
      <c r="F241" s="1"/>
      <c r="G241" s="1"/>
      <c r="H241" s="1"/>
    </row>
    <row r="242" spans="1:8" x14ac:dyDescent="0.35">
      <c r="A242" s="23"/>
      <c r="C242" s="1"/>
      <c r="D242" s="35"/>
      <c r="E242" s="21"/>
      <c r="F242" s="1"/>
      <c r="G242" s="1"/>
      <c r="H242" s="1"/>
    </row>
    <row r="243" spans="1:8" x14ac:dyDescent="0.35">
      <c r="A243" s="23"/>
      <c r="C243" s="1"/>
      <c r="D243" s="35"/>
      <c r="E243" s="21"/>
      <c r="F243" s="1"/>
      <c r="G243" s="1"/>
      <c r="H243" s="1"/>
    </row>
    <row r="244" spans="1:8" x14ac:dyDescent="0.35">
      <c r="A244" s="23"/>
      <c r="C244" s="1"/>
      <c r="D244" s="35"/>
      <c r="E244" s="21"/>
      <c r="F244" s="1"/>
      <c r="G244" s="1"/>
      <c r="H244" s="1"/>
    </row>
    <row r="245" spans="1:8" x14ac:dyDescent="0.35">
      <c r="A245" s="23"/>
      <c r="C245" s="1"/>
      <c r="D245" s="35"/>
      <c r="E245" s="21"/>
      <c r="F245" s="1"/>
      <c r="G245" s="1"/>
      <c r="H245" s="1"/>
    </row>
    <row r="246" spans="1:8" x14ac:dyDescent="0.35">
      <c r="A246" s="23"/>
      <c r="C246" s="1"/>
      <c r="D246" s="35"/>
      <c r="E246" s="21"/>
      <c r="F246" s="1"/>
      <c r="G246" s="1"/>
      <c r="H246" s="1"/>
    </row>
    <row r="247" spans="1:8" x14ac:dyDescent="0.35">
      <c r="A247" s="23"/>
      <c r="C247" s="1"/>
      <c r="D247" s="35"/>
      <c r="E247" s="21"/>
      <c r="F247" s="1"/>
      <c r="G247" s="1"/>
      <c r="H247" s="1"/>
    </row>
    <row r="248" spans="1:8" x14ac:dyDescent="0.35">
      <c r="A248" s="23"/>
      <c r="C248" s="1"/>
      <c r="D248" s="35"/>
      <c r="E248" s="21"/>
      <c r="F248" s="1"/>
      <c r="G248" s="1"/>
      <c r="H248" s="1"/>
    </row>
    <row r="249" spans="1:8" x14ac:dyDescent="0.35">
      <c r="A249" s="23"/>
      <c r="C249" s="1"/>
      <c r="D249" s="35"/>
      <c r="E249" s="21"/>
      <c r="F249" s="1"/>
      <c r="G249" s="1"/>
      <c r="H249" s="1"/>
    </row>
    <row r="250" spans="1:8" x14ac:dyDescent="0.35">
      <c r="A250" s="23"/>
      <c r="C250" s="1"/>
      <c r="D250" s="35"/>
      <c r="E250" s="21"/>
      <c r="F250" s="1"/>
      <c r="G250" s="1"/>
      <c r="H250" s="1"/>
    </row>
    <row r="251" spans="1:8" x14ac:dyDescent="0.35">
      <c r="A251" s="23"/>
      <c r="C251" s="1"/>
      <c r="D251" s="35"/>
      <c r="E251" s="21"/>
      <c r="F251" s="1"/>
      <c r="G251" s="1"/>
      <c r="H251" s="1"/>
    </row>
    <row r="252" spans="1:8" x14ac:dyDescent="0.35">
      <c r="A252" s="23"/>
      <c r="C252" s="1"/>
      <c r="D252" s="35"/>
      <c r="E252" s="21"/>
      <c r="F252" s="1"/>
      <c r="G252" s="1"/>
      <c r="H252" s="1"/>
    </row>
    <row r="253" spans="1:8" x14ac:dyDescent="0.35">
      <c r="A253" s="23"/>
      <c r="C253" s="1"/>
      <c r="D253" s="35"/>
      <c r="E253" s="21"/>
      <c r="F253" s="1"/>
      <c r="G253" s="1"/>
      <c r="H253" s="1"/>
    </row>
    <row r="254" spans="1:8" x14ac:dyDescent="0.35">
      <c r="A254" s="23"/>
      <c r="C254" s="1"/>
      <c r="D254" s="35"/>
      <c r="E254" s="21"/>
      <c r="F254" s="1"/>
      <c r="G254" s="1"/>
      <c r="H254" s="1"/>
    </row>
    <row r="255" spans="1:8" x14ac:dyDescent="0.35">
      <c r="A255" s="23"/>
      <c r="C255" s="1"/>
      <c r="D255" s="35"/>
      <c r="E255" s="21"/>
      <c r="F255" s="1"/>
      <c r="G255" s="1"/>
      <c r="H255" s="1"/>
    </row>
    <row r="256" spans="1:8" x14ac:dyDescent="0.35">
      <c r="A256" s="23"/>
      <c r="C256" s="1"/>
      <c r="D256" s="35"/>
      <c r="E256" s="21"/>
      <c r="F256" s="1"/>
      <c r="G256" s="1"/>
      <c r="H256" s="1"/>
    </row>
    <row r="257" spans="1:8" x14ac:dyDescent="0.35">
      <c r="A257" s="23"/>
      <c r="C257" s="1"/>
      <c r="D257" s="35"/>
      <c r="E257" s="21"/>
      <c r="F257" s="1"/>
      <c r="G257" s="1"/>
      <c r="H257" s="1"/>
    </row>
    <row r="258" spans="1:8" x14ac:dyDescent="0.35">
      <c r="A258" s="23"/>
      <c r="C258" s="1"/>
      <c r="D258" s="35"/>
      <c r="E258" s="21"/>
      <c r="F258" s="1"/>
      <c r="G258" s="1"/>
      <c r="H258" s="1"/>
    </row>
    <row r="259" spans="1:8" x14ac:dyDescent="0.35">
      <c r="A259" s="23"/>
      <c r="C259" s="1"/>
      <c r="D259" s="35"/>
      <c r="E259" s="21"/>
      <c r="F259" s="1"/>
      <c r="G259" s="1"/>
      <c r="H259" s="1"/>
    </row>
    <row r="260" spans="1:8" x14ac:dyDescent="0.35">
      <c r="A260" s="23"/>
      <c r="C260" s="1"/>
      <c r="D260" s="35"/>
      <c r="E260" s="21"/>
      <c r="F260" s="1"/>
      <c r="G260" s="1"/>
      <c r="H260" s="1"/>
    </row>
    <row r="261" spans="1:8" x14ac:dyDescent="0.35">
      <c r="A261" s="23"/>
      <c r="C261" s="1"/>
      <c r="D261" s="35"/>
      <c r="E261" s="21"/>
      <c r="F261" s="1"/>
      <c r="G261" s="1"/>
      <c r="H261" s="1"/>
    </row>
    <row r="262" spans="1:8" x14ac:dyDescent="0.35">
      <c r="A262" s="23"/>
      <c r="C262" s="1"/>
      <c r="D262" s="35"/>
      <c r="E262" s="21"/>
      <c r="F262" s="1"/>
      <c r="G262" s="1"/>
      <c r="H262" s="1"/>
    </row>
    <row r="263" spans="1:8" x14ac:dyDescent="0.35">
      <c r="A263" s="23"/>
      <c r="C263" s="1"/>
      <c r="D263" s="35"/>
      <c r="E263" s="21"/>
      <c r="F263" s="1"/>
      <c r="G263" s="1"/>
      <c r="H263" s="1"/>
    </row>
    <row r="264" spans="1:8" x14ac:dyDescent="0.35">
      <c r="A264" s="23"/>
      <c r="C264" s="1"/>
      <c r="D264" s="35"/>
      <c r="E264" s="21"/>
      <c r="F264" s="1"/>
      <c r="G264" s="1"/>
      <c r="H264" s="1"/>
    </row>
    <row r="265" spans="1:8" x14ac:dyDescent="0.35">
      <c r="A265" s="23"/>
      <c r="C265" s="1"/>
      <c r="D265" s="35"/>
      <c r="E265" s="21"/>
      <c r="F265" s="1"/>
      <c r="G265" s="1"/>
      <c r="H265" s="1"/>
    </row>
    <row r="266" spans="1:8" x14ac:dyDescent="0.35">
      <c r="A266" s="23"/>
      <c r="C266" s="1"/>
      <c r="D266" s="35"/>
      <c r="E266" s="21"/>
      <c r="F266" s="1"/>
      <c r="G266" s="1"/>
      <c r="H266" s="1"/>
    </row>
    <row r="267" spans="1:8" x14ac:dyDescent="0.35">
      <c r="A267" s="23"/>
      <c r="C267" s="1"/>
      <c r="D267" s="35"/>
      <c r="E267" s="21"/>
      <c r="F267" s="1"/>
      <c r="G267" s="1"/>
      <c r="H267" s="1"/>
    </row>
    <row r="268" spans="1:8" x14ac:dyDescent="0.35">
      <c r="A268" s="23"/>
      <c r="C268" s="1"/>
      <c r="D268" s="35"/>
      <c r="E268" s="21"/>
      <c r="F268" s="1"/>
      <c r="G268" s="1"/>
      <c r="H268" s="1"/>
    </row>
    <row r="269" spans="1:8" x14ac:dyDescent="0.35">
      <c r="A269" s="23"/>
      <c r="C269" s="1"/>
      <c r="D269" s="35"/>
      <c r="E269" s="21"/>
      <c r="F269" s="1"/>
      <c r="G269" s="1"/>
      <c r="H269" s="1"/>
    </row>
    <row r="270" spans="1:8" x14ac:dyDescent="0.35">
      <c r="A270" s="23"/>
      <c r="C270" s="1"/>
      <c r="D270" s="35"/>
      <c r="E270" s="21"/>
      <c r="F270" s="1"/>
      <c r="G270" s="1"/>
      <c r="H270" s="1"/>
    </row>
    <row r="271" spans="1:8" x14ac:dyDescent="0.35">
      <c r="A271" s="23"/>
      <c r="C271" s="1"/>
      <c r="D271" s="35"/>
      <c r="E271" s="21"/>
      <c r="F271" s="1"/>
      <c r="G271" s="1"/>
      <c r="H271" s="1"/>
    </row>
    <row r="272" spans="1:8" x14ac:dyDescent="0.35">
      <c r="A272" s="23"/>
      <c r="C272" s="1"/>
      <c r="D272" s="35"/>
      <c r="E272" s="21"/>
      <c r="F272" s="1"/>
      <c r="G272" s="1"/>
      <c r="H272" s="1"/>
    </row>
    <row r="273" spans="1:8" x14ac:dyDescent="0.35">
      <c r="A273" s="23"/>
      <c r="C273" s="1"/>
      <c r="D273" s="35"/>
      <c r="E273" s="21"/>
      <c r="F273" s="1"/>
      <c r="G273" s="1"/>
      <c r="H273" s="1"/>
    </row>
    <row r="274" spans="1:8" x14ac:dyDescent="0.35">
      <c r="A274" s="23"/>
      <c r="C274" s="1"/>
      <c r="D274" s="35"/>
      <c r="E274" s="21"/>
      <c r="F274" s="1"/>
      <c r="G274" s="1"/>
      <c r="H274" s="1"/>
    </row>
    <row r="275" spans="1:8" x14ac:dyDescent="0.35">
      <c r="A275" s="23"/>
      <c r="C275" s="1"/>
      <c r="D275" s="35"/>
      <c r="E275" s="21"/>
      <c r="F275" s="1"/>
      <c r="G275" s="1"/>
      <c r="H275" s="1"/>
    </row>
    <row r="276" spans="1:8" x14ac:dyDescent="0.35">
      <c r="A276" s="23"/>
      <c r="C276" s="1"/>
      <c r="D276" s="35"/>
      <c r="E276" s="21"/>
      <c r="F276" s="1"/>
      <c r="G276" s="1"/>
      <c r="H276" s="1"/>
    </row>
    <row r="277" spans="1:8" x14ac:dyDescent="0.35">
      <c r="A277" s="23"/>
      <c r="C277" s="1"/>
      <c r="D277" s="35"/>
      <c r="E277" s="21"/>
      <c r="F277" s="1"/>
      <c r="G277" s="1"/>
      <c r="H277" s="1"/>
    </row>
    <row r="278" spans="1:8" x14ac:dyDescent="0.35">
      <c r="A278" s="23"/>
      <c r="C278" s="1"/>
      <c r="D278" s="35"/>
      <c r="E278" s="21"/>
      <c r="F278" s="1"/>
      <c r="G278" s="1"/>
      <c r="H278" s="1"/>
    </row>
    <row r="279" spans="1:8" x14ac:dyDescent="0.35">
      <c r="C279" s="1"/>
    </row>
    <row r="280" spans="1:8" x14ac:dyDescent="0.35">
      <c r="C280" s="1"/>
    </row>
    <row r="281" spans="1:8" x14ac:dyDescent="0.35">
      <c r="C281" s="1"/>
    </row>
    <row r="282" spans="1:8" x14ac:dyDescent="0.35">
      <c r="C282" s="1"/>
    </row>
    <row r="283" spans="1:8" x14ac:dyDescent="0.35">
      <c r="C283" s="1"/>
    </row>
    <row r="284" spans="1:8" x14ac:dyDescent="0.35">
      <c r="C284" s="1"/>
    </row>
    <row r="285" spans="1:8" x14ac:dyDescent="0.35">
      <c r="C285" s="1"/>
    </row>
    <row r="286" spans="1:8" x14ac:dyDescent="0.35">
      <c r="C286" s="1"/>
    </row>
    <row r="287" spans="1:8" x14ac:dyDescent="0.35">
      <c r="C287" s="1"/>
    </row>
    <row r="288" spans="1:8" x14ac:dyDescent="0.35">
      <c r="C288" s="1"/>
    </row>
  </sheetData>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D529-E279-4C83-A0E0-AA44C35DC7CC}">
  <sheetPr codeName="Sheet17"/>
  <dimension ref="A1:AO290"/>
  <sheetViews>
    <sheetView rightToLeft="1" workbookViewId="0">
      <pane xSplit="1" ySplit="1" topLeftCell="B20" activePane="bottomRight" state="frozen"/>
      <selection activeCell="A6" sqref="A6"/>
      <selection pane="topRight" activeCell="A6" sqref="A6"/>
      <selection pane="bottomLeft" activeCell="A6" sqref="A6"/>
      <selection pane="bottomRight" activeCell="B20" sqref="B20"/>
    </sheetView>
  </sheetViews>
  <sheetFormatPr defaultColWidth="8.81640625" defaultRowHeight="14.5" x14ac:dyDescent="0.35"/>
  <cols>
    <col min="1" max="1" width="52.1796875" style="8" customWidth="1"/>
    <col min="2" max="3" width="10" style="2" customWidth="1"/>
    <col min="4" max="4" width="9.81640625" style="8" customWidth="1"/>
    <col min="5" max="5" width="9.08984375" style="2" customWidth="1"/>
    <col min="6" max="6" width="8.453125" style="2" customWidth="1"/>
    <col min="7" max="7" width="12.54296875" style="2" customWidth="1"/>
    <col min="8" max="8" width="11.08984375" style="2" customWidth="1"/>
    <col min="9" max="16" width="8.81640625" style="1" customWidth="1"/>
    <col min="17" max="18" width="8.81640625" style="30" customWidth="1"/>
    <col min="19" max="35" width="8.81640625" style="1" customWidth="1"/>
    <col min="36" max="36" width="8.81640625" style="2"/>
    <col min="37" max="37" width="10.08984375" style="2" bestFit="1" customWidth="1"/>
    <col min="38" max="38" width="8.81640625" style="2"/>
    <col min="39" max="39" width="10.54296875" style="2" bestFit="1" customWidth="1"/>
    <col min="40" max="40" width="8.81640625" style="2"/>
    <col min="41" max="41" width="17" style="2" bestFit="1" customWidth="1"/>
    <col min="42" max="16384" width="8.81640625" style="2"/>
  </cols>
  <sheetData>
    <row r="1" spans="1:41" ht="15" thickBot="1" x14ac:dyDescent="0.4">
      <c r="A1" s="7" t="s">
        <v>0</v>
      </c>
      <c r="B1" s="4">
        <v>2025</v>
      </c>
      <c r="C1" s="4">
        <v>2022</v>
      </c>
      <c r="D1" s="7">
        <v>2021</v>
      </c>
      <c r="E1" s="4">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x14ac:dyDescent="0.35">
      <c r="A2" s="5" t="s">
        <v>131</v>
      </c>
      <c r="B2" s="6"/>
      <c r="C2" s="6" t="s">
        <v>59</v>
      </c>
      <c r="D2" s="36" t="s">
        <v>59</v>
      </c>
      <c r="E2" s="1" t="s">
        <v>59</v>
      </c>
      <c r="F2" s="3"/>
      <c r="G2" s="11" t="s">
        <v>59</v>
      </c>
      <c r="H2" s="3"/>
      <c r="I2" s="3"/>
      <c r="J2" s="3"/>
      <c r="K2" s="3"/>
      <c r="L2" s="3"/>
      <c r="M2" s="3"/>
      <c r="N2" s="3"/>
      <c r="O2" s="3"/>
      <c r="P2" s="3"/>
      <c r="Q2" s="29"/>
      <c r="R2" s="29"/>
      <c r="S2" s="3"/>
      <c r="T2" s="3"/>
      <c r="U2" s="3"/>
      <c r="V2" s="3"/>
      <c r="W2" s="3"/>
      <c r="X2" s="3"/>
      <c r="Y2" s="3"/>
      <c r="Z2" s="3"/>
      <c r="AA2" s="3"/>
      <c r="AB2" s="3"/>
      <c r="AC2" s="3"/>
      <c r="AD2" s="3"/>
      <c r="AE2" s="3"/>
      <c r="AF2" s="3"/>
      <c r="AG2" s="3"/>
      <c r="AH2" s="3"/>
      <c r="AI2" s="3"/>
      <c r="AK2" s="2">
        <f>COUNTA(C2:AI2)</f>
        <v>4</v>
      </c>
      <c r="AM2" s="2">
        <f>COUNTA(G2:P2,S2:T2)</f>
        <v>1</v>
      </c>
      <c r="AO2" s="2">
        <f>COUNTIF(AM2:AM91,"&gt;=2")</f>
        <v>10</v>
      </c>
    </row>
    <row r="3" spans="1:41" ht="43.5" x14ac:dyDescent="0.35">
      <c r="A3" s="5" t="s">
        <v>134</v>
      </c>
      <c r="B3" s="6" t="s">
        <v>660</v>
      </c>
      <c r="C3" s="46" t="s">
        <v>660</v>
      </c>
      <c r="D3" s="5"/>
      <c r="E3" s="1"/>
      <c r="F3" s="1"/>
      <c r="G3" s="1"/>
      <c r="H3" s="1"/>
      <c r="AK3" s="2">
        <f t="shared" ref="AK3:AK68" si="0">COUNTA(C3:AI3)</f>
        <v>1</v>
      </c>
      <c r="AM3" s="2">
        <f t="shared" ref="AM3:AM68" si="1">COUNTA(G3:P3,S3:T3)</f>
        <v>0</v>
      </c>
    </row>
    <row r="4" spans="1:41" ht="43.5" x14ac:dyDescent="0.35">
      <c r="A4" s="5" t="s">
        <v>135</v>
      </c>
      <c r="B4" s="6" t="s">
        <v>539</v>
      </c>
      <c r="C4" s="46" t="s">
        <v>539</v>
      </c>
      <c r="D4" s="5"/>
      <c r="E4" s="1"/>
      <c r="F4" s="1"/>
      <c r="G4" s="1"/>
      <c r="H4" s="1"/>
      <c r="AK4" s="2">
        <f t="shared" si="0"/>
        <v>1</v>
      </c>
      <c r="AM4" s="2">
        <f t="shared" si="1"/>
        <v>0</v>
      </c>
    </row>
    <row r="5" spans="1:41" ht="43.5" x14ac:dyDescent="0.35">
      <c r="A5" s="5" t="s">
        <v>136</v>
      </c>
      <c r="B5" s="6" t="s">
        <v>541</v>
      </c>
      <c r="C5" s="38" t="s">
        <v>541</v>
      </c>
      <c r="D5" s="5"/>
      <c r="E5" s="1"/>
      <c r="F5" s="1"/>
      <c r="G5" s="1"/>
      <c r="H5" s="1"/>
      <c r="AK5" s="2">
        <f t="shared" si="0"/>
        <v>1</v>
      </c>
      <c r="AM5" s="2">
        <f t="shared" si="1"/>
        <v>0</v>
      </c>
    </row>
    <row r="6" spans="1:41" ht="43.5" x14ac:dyDescent="0.35">
      <c r="A6" s="5" t="s">
        <v>137</v>
      </c>
      <c r="B6" s="6" t="s">
        <v>543</v>
      </c>
      <c r="C6" s="46" t="s">
        <v>543</v>
      </c>
      <c r="D6" s="5"/>
      <c r="E6" s="1"/>
      <c r="F6" s="1"/>
      <c r="G6" s="1"/>
      <c r="H6" s="1"/>
      <c r="AK6" s="2">
        <f t="shared" si="0"/>
        <v>1</v>
      </c>
      <c r="AM6" s="2">
        <f t="shared" si="1"/>
        <v>0</v>
      </c>
    </row>
    <row r="7" spans="1:41" ht="29" x14ac:dyDescent="0.35">
      <c r="A7" s="5" t="s">
        <v>138</v>
      </c>
      <c r="B7" s="6" t="s">
        <v>545</v>
      </c>
      <c r="C7" s="88" t="s">
        <v>545</v>
      </c>
      <c r="D7" s="5"/>
      <c r="E7" s="1"/>
      <c r="F7" s="1"/>
      <c r="G7" s="1"/>
      <c r="H7" s="61" t="s">
        <v>62</v>
      </c>
      <c r="I7" s="10" t="s">
        <v>441</v>
      </c>
      <c r="AK7" s="2">
        <f t="shared" si="0"/>
        <v>3</v>
      </c>
      <c r="AM7" s="2">
        <f t="shared" si="1"/>
        <v>2</v>
      </c>
    </row>
    <row r="8" spans="1:41" ht="29" x14ac:dyDescent="0.35">
      <c r="A8" s="5" t="s">
        <v>139</v>
      </c>
      <c r="B8" s="6"/>
      <c r="C8" s="6"/>
      <c r="D8" s="5"/>
      <c r="E8" s="1"/>
      <c r="F8" s="1"/>
      <c r="G8" s="1"/>
      <c r="H8" s="1"/>
      <c r="AK8" s="2">
        <f t="shared" si="0"/>
        <v>0</v>
      </c>
      <c r="AM8" s="2">
        <f t="shared" si="1"/>
        <v>0</v>
      </c>
    </row>
    <row r="9" spans="1:41" x14ac:dyDescent="0.35">
      <c r="A9" s="5" t="s">
        <v>140</v>
      </c>
      <c r="B9" s="6" t="s">
        <v>549</v>
      </c>
      <c r="C9" s="46" t="s">
        <v>549</v>
      </c>
      <c r="D9" s="5"/>
      <c r="E9" s="1"/>
      <c r="F9" s="1"/>
      <c r="G9" s="1"/>
      <c r="H9" s="1"/>
      <c r="AK9" s="2">
        <f t="shared" si="0"/>
        <v>1</v>
      </c>
      <c r="AM9" s="2">
        <f t="shared" si="1"/>
        <v>0</v>
      </c>
    </row>
    <row r="10" spans="1:41" x14ac:dyDescent="0.35">
      <c r="A10" s="5" t="s">
        <v>141</v>
      </c>
      <c r="B10" s="6" t="s">
        <v>551</v>
      </c>
      <c r="C10" s="46" t="s">
        <v>551</v>
      </c>
      <c r="D10" s="5"/>
      <c r="E10" s="1"/>
      <c r="F10" s="1"/>
      <c r="G10" s="1"/>
      <c r="H10" s="1"/>
      <c r="AK10" s="2">
        <f t="shared" si="0"/>
        <v>1</v>
      </c>
      <c r="AM10" s="2">
        <f t="shared" si="1"/>
        <v>0</v>
      </c>
    </row>
    <row r="11" spans="1:41" x14ac:dyDescent="0.35">
      <c r="A11" s="5" t="s">
        <v>142</v>
      </c>
      <c r="B11" s="6" t="s">
        <v>552</v>
      </c>
      <c r="C11" s="88" t="s">
        <v>552</v>
      </c>
      <c r="D11" s="5"/>
      <c r="E11" s="1"/>
      <c r="F11" s="1"/>
      <c r="G11" s="1"/>
      <c r="H11" s="1"/>
      <c r="N11" s="1" t="s">
        <v>422</v>
      </c>
      <c r="AK11" s="2">
        <f t="shared" si="0"/>
        <v>2</v>
      </c>
      <c r="AM11" s="2">
        <f t="shared" si="1"/>
        <v>1</v>
      </c>
    </row>
    <row r="12" spans="1:41" x14ac:dyDescent="0.35">
      <c r="A12" s="5" t="s">
        <v>143</v>
      </c>
      <c r="B12" s="6"/>
      <c r="C12" s="44" t="s">
        <v>553</v>
      </c>
      <c r="D12" s="5"/>
      <c r="E12" s="1"/>
      <c r="F12" s="1"/>
      <c r="G12" s="1"/>
      <c r="H12" s="1"/>
      <c r="AK12" s="2">
        <f t="shared" si="0"/>
        <v>1</v>
      </c>
      <c r="AM12" s="2">
        <f t="shared" si="1"/>
        <v>0</v>
      </c>
    </row>
    <row r="13" spans="1:41" x14ac:dyDescent="0.35">
      <c r="A13" s="5" t="s">
        <v>1272</v>
      </c>
      <c r="B13" s="6"/>
      <c r="C13" s="1"/>
      <c r="D13" s="5"/>
      <c r="E13" s="1"/>
      <c r="F13" s="1"/>
      <c r="G13" s="1"/>
      <c r="H13" s="1"/>
      <c r="N13" s="1" t="s">
        <v>36</v>
      </c>
      <c r="AK13" s="2">
        <f t="shared" si="0"/>
        <v>1</v>
      </c>
      <c r="AM13" s="2">
        <f t="shared" si="1"/>
        <v>1</v>
      </c>
    </row>
    <row r="14" spans="1:41" x14ac:dyDescent="0.35">
      <c r="A14" s="5" t="s">
        <v>1273</v>
      </c>
      <c r="B14" s="6"/>
      <c r="C14" s="1"/>
      <c r="D14" s="5"/>
      <c r="E14" s="1"/>
      <c r="F14" s="1"/>
      <c r="G14" s="1"/>
      <c r="H14" s="1"/>
      <c r="N14" s="1" t="s">
        <v>37</v>
      </c>
      <c r="AK14" s="2">
        <f t="shared" si="0"/>
        <v>1</v>
      </c>
      <c r="AM14" s="2">
        <f t="shared" si="1"/>
        <v>1</v>
      </c>
    </row>
    <row r="15" spans="1:41" x14ac:dyDescent="0.35">
      <c r="A15" s="5" t="s">
        <v>1274</v>
      </c>
      <c r="B15" s="6"/>
      <c r="C15" s="5"/>
      <c r="D15" s="5"/>
      <c r="E15" s="1"/>
      <c r="F15" s="1"/>
      <c r="G15" s="1"/>
      <c r="H15" s="1"/>
      <c r="N15" s="1" t="s">
        <v>39</v>
      </c>
      <c r="AK15" s="2">
        <f t="shared" si="0"/>
        <v>1</v>
      </c>
      <c r="AM15" s="2">
        <f t="shared" si="1"/>
        <v>1</v>
      </c>
    </row>
    <row r="16" spans="1:41" x14ac:dyDescent="0.35">
      <c r="A16" s="5" t="s">
        <v>1275</v>
      </c>
      <c r="B16" s="6"/>
      <c r="C16" s="1"/>
      <c r="D16" s="5"/>
      <c r="E16" s="1"/>
      <c r="F16" s="1"/>
      <c r="G16" s="1"/>
      <c r="H16" s="1"/>
      <c r="N16" s="1" t="s">
        <v>421</v>
      </c>
      <c r="AK16" s="2">
        <f t="shared" si="0"/>
        <v>1</v>
      </c>
      <c r="AM16" s="2">
        <f t="shared" si="1"/>
        <v>1</v>
      </c>
    </row>
    <row r="17" spans="1:39" x14ac:dyDescent="0.35">
      <c r="A17" s="5" t="s">
        <v>1276</v>
      </c>
      <c r="B17" s="6" t="s">
        <v>553</v>
      </c>
      <c r="C17" s="1"/>
      <c r="D17" s="5"/>
      <c r="E17" s="1"/>
      <c r="F17" s="1"/>
      <c r="G17" s="1"/>
      <c r="H17" s="1"/>
      <c r="N17" s="1" t="s">
        <v>424</v>
      </c>
      <c r="AK17" s="2">
        <f t="shared" si="0"/>
        <v>1</v>
      </c>
      <c r="AM17" s="2">
        <f t="shared" si="1"/>
        <v>1</v>
      </c>
    </row>
    <row r="18" spans="1:39" x14ac:dyDescent="0.35">
      <c r="A18" s="5" t="s">
        <v>7913</v>
      </c>
      <c r="B18" s="6" t="s">
        <v>293</v>
      </c>
      <c r="C18" s="1"/>
      <c r="D18" s="5"/>
      <c r="E18" s="1"/>
      <c r="F18" s="1"/>
      <c r="G18" s="1"/>
      <c r="H18" s="1"/>
    </row>
    <row r="19" spans="1:39" x14ac:dyDescent="0.35">
      <c r="A19" s="5" t="s">
        <v>7914</v>
      </c>
      <c r="B19" s="6" t="s">
        <v>295</v>
      </c>
      <c r="C19" s="1"/>
      <c r="D19" s="5"/>
      <c r="E19" s="1"/>
      <c r="F19" s="1"/>
      <c r="G19" s="1"/>
      <c r="H19" s="1"/>
    </row>
    <row r="20" spans="1:39" x14ac:dyDescent="0.35">
      <c r="A20" s="5" t="s">
        <v>1472</v>
      </c>
      <c r="B20" s="6"/>
      <c r="C20" s="1"/>
      <c r="D20" s="5"/>
      <c r="E20" s="1"/>
      <c r="F20" s="1"/>
      <c r="G20" s="1"/>
      <c r="H20" s="1"/>
      <c r="N20" s="1" t="s">
        <v>1477</v>
      </c>
      <c r="AK20" s="2">
        <f t="shared" si="0"/>
        <v>1</v>
      </c>
      <c r="AM20" s="2">
        <f t="shared" si="1"/>
        <v>1</v>
      </c>
    </row>
    <row r="21" spans="1:39" x14ac:dyDescent="0.35">
      <c r="A21" s="5" t="s">
        <v>1473</v>
      </c>
      <c r="B21" s="6"/>
      <c r="C21" s="1"/>
      <c r="D21" s="5"/>
      <c r="E21" s="1"/>
      <c r="F21" s="1"/>
      <c r="G21" s="1"/>
      <c r="H21" s="1"/>
      <c r="N21" s="1" t="s">
        <v>1136</v>
      </c>
      <c r="AK21" s="2">
        <f t="shared" si="0"/>
        <v>1</v>
      </c>
      <c r="AM21" s="2">
        <f t="shared" si="1"/>
        <v>1</v>
      </c>
    </row>
    <row r="22" spans="1:39" x14ac:dyDescent="0.35">
      <c r="A22" s="5" t="s">
        <v>1474</v>
      </c>
      <c r="B22" s="6"/>
      <c r="C22" s="1"/>
      <c r="D22" s="5"/>
      <c r="E22" s="1"/>
      <c r="F22" s="1"/>
      <c r="G22" s="1"/>
      <c r="H22" s="1"/>
      <c r="N22" s="1" t="s">
        <v>1138</v>
      </c>
      <c r="AK22" s="2">
        <f t="shared" si="0"/>
        <v>1</v>
      </c>
      <c r="AM22" s="2">
        <f t="shared" si="1"/>
        <v>1</v>
      </c>
    </row>
    <row r="23" spans="1:39" x14ac:dyDescent="0.35">
      <c r="A23" s="5" t="s">
        <v>1475</v>
      </c>
      <c r="B23" s="6"/>
      <c r="C23" s="1"/>
      <c r="D23" s="5"/>
      <c r="E23" s="1"/>
      <c r="F23" s="1"/>
      <c r="G23" s="1"/>
      <c r="H23" s="1"/>
      <c r="N23" s="1" t="s">
        <v>1139</v>
      </c>
      <c r="AK23" s="2">
        <f t="shared" si="0"/>
        <v>1</v>
      </c>
      <c r="AM23" s="2">
        <f t="shared" si="1"/>
        <v>1</v>
      </c>
    </row>
    <row r="24" spans="1:39" x14ac:dyDescent="0.35">
      <c r="A24" s="5" t="s">
        <v>1476</v>
      </c>
      <c r="B24" s="6"/>
      <c r="C24" s="1"/>
      <c r="D24" s="5"/>
      <c r="E24" s="1"/>
      <c r="F24" s="1"/>
      <c r="G24" s="1"/>
      <c r="H24" s="1"/>
      <c r="N24" s="1" t="s">
        <v>1141</v>
      </c>
      <c r="AK24" s="2">
        <f t="shared" si="0"/>
        <v>1</v>
      </c>
      <c r="AM24" s="2">
        <f t="shared" si="1"/>
        <v>1</v>
      </c>
    </row>
    <row r="25" spans="1:39" ht="43.5" x14ac:dyDescent="0.35">
      <c r="A25" s="5" t="s">
        <v>144</v>
      </c>
      <c r="B25" s="6"/>
      <c r="C25" s="1"/>
      <c r="D25" s="5"/>
      <c r="E25" s="1" t="s">
        <v>145</v>
      </c>
      <c r="F25" s="1"/>
      <c r="G25" s="1"/>
      <c r="H25" s="1"/>
      <c r="AK25" s="2">
        <f t="shared" si="0"/>
        <v>1</v>
      </c>
      <c r="AM25" s="2">
        <f t="shared" si="1"/>
        <v>0</v>
      </c>
    </row>
    <row r="26" spans="1:39" x14ac:dyDescent="0.35">
      <c r="A26" s="5" t="s">
        <v>176</v>
      </c>
      <c r="B26" s="6"/>
      <c r="C26" s="1" t="s">
        <v>3217</v>
      </c>
      <c r="D26" s="64" t="s">
        <v>3217</v>
      </c>
      <c r="E26" s="54" t="s">
        <v>177</v>
      </c>
      <c r="F26" s="1"/>
      <c r="G26" s="53" t="s">
        <v>331</v>
      </c>
      <c r="H26" s="53" t="s">
        <v>612</v>
      </c>
      <c r="J26" s="53" t="s">
        <v>238</v>
      </c>
      <c r="K26" s="53" t="s">
        <v>926</v>
      </c>
      <c r="M26" s="53" t="s">
        <v>908</v>
      </c>
      <c r="N26" s="54" t="s">
        <v>425</v>
      </c>
      <c r="Q26" s="30" t="s">
        <v>951</v>
      </c>
      <c r="AK26" s="2">
        <f t="shared" si="0"/>
        <v>10</v>
      </c>
      <c r="AM26" s="2">
        <f t="shared" si="1"/>
        <v>6</v>
      </c>
    </row>
    <row r="27" spans="1:39" ht="29" x14ac:dyDescent="0.35">
      <c r="A27" s="5" t="s">
        <v>1478</v>
      </c>
      <c r="B27" s="6"/>
      <c r="C27" s="1"/>
      <c r="D27" s="5"/>
      <c r="E27" s="1"/>
      <c r="F27" s="1"/>
      <c r="G27" s="1"/>
      <c r="H27" s="1"/>
      <c r="N27" s="1" t="s">
        <v>1143</v>
      </c>
      <c r="AK27" s="2">
        <f t="shared" si="0"/>
        <v>1</v>
      </c>
      <c r="AM27" s="2">
        <f t="shared" si="1"/>
        <v>1</v>
      </c>
    </row>
    <row r="28" spans="1:39" x14ac:dyDescent="0.35">
      <c r="A28" s="5" t="s">
        <v>286</v>
      </c>
      <c r="B28" s="6"/>
      <c r="C28" s="5"/>
      <c r="D28" s="5"/>
      <c r="E28" s="1"/>
      <c r="F28" s="1"/>
      <c r="G28" s="10" t="s">
        <v>287</v>
      </c>
      <c r="H28" s="1"/>
      <c r="AK28" s="2">
        <f t="shared" si="0"/>
        <v>1</v>
      </c>
      <c r="AM28" s="2">
        <f t="shared" si="1"/>
        <v>1</v>
      </c>
    </row>
    <row r="29" spans="1:39" ht="43.5" x14ac:dyDescent="0.35">
      <c r="A29" s="5" t="s">
        <v>730</v>
      </c>
      <c r="B29" s="6"/>
      <c r="C29" s="5"/>
      <c r="D29" s="5"/>
      <c r="E29" s="1"/>
      <c r="F29" s="1"/>
      <c r="G29" s="1"/>
      <c r="H29" s="1"/>
      <c r="J29" s="61" t="s">
        <v>36</v>
      </c>
      <c r="K29" s="61" t="s">
        <v>905</v>
      </c>
      <c r="P29" s="1" t="s">
        <v>1328</v>
      </c>
      <c r="AK29" s="2">
        <f t="shared" si="0"/>
        <v>3</v>
      </c>
      <c r="AM29" s="2">
        <f t="shared" si="1"/>
        <v>3</v>
      </c>
    </row>
    <row r="30" spans="1:39" ht="29" x14ac:dyDescent="0.35">
      <c r="A30" s="5" t="s">
        <v>1771</v>
      </c>
      <c r="B30" s="6"/>
      <c r="C30" s="5"/>
      <c r="D30" s="5"/>
      <c r="E30" s="1"/>
      <c r="F30" s="1"/>
      <c r="G30" s="1"/>
      <c r="H30" s="1"/>
      <c r="J30" s="10"/>
      <c r="K30" s="10"/>
      <c r="P30" s="1" t="s">
        <v>1772</v>
      </c>
      <c r="AK30" s="2">
        <f t="shared" si="0"/>
        <v>1</v>
      </c>
      <c r="AM30" s="2">
        <f t="shared" si="1"/>
        <v>1</v>
      </c>
    </row>
    <row r="31" spans="1:39" ht="29" x14ac:dyDescent="0.35">
      <c r="A31" s="5" t="s">
        <v>2418</v>
      </c>
      <c r="B31" s="6"/>
      <c r="C31" s="5"/>
      <c r="D31" s="5"/>
      <c r="E31" s="1"/>
      <c r="F31" s="1"/>
      <c r="G31" s="1"/>
      <c r="H31" s="1"/>
      <c r="J31" s="54" t="s">
        <v>441</v>
      </c>
      <c r="K31" s="53" t="s">
        <v>915</v>
      </c>
      <c r="R31" s="54" t="s">
        <v>1432</v>
      </c>
      <c r="S31" s="53" t="s">
        <v>2153</v>
      </c>
      <c r="T31" s="53" t="s">
        <v>37</v>
      </c>
      <c r="V31" s="1" t="s">
        <v>876</v>
      </c>
      <c r="AK31" s="2">
        <f t="shared" si="0"/>
        <v>6</v>
      </c>
      <c r="AM31" s="2">
        <f t="shared" si="1"/>
        <v>4</v>
      </c>
    </row>
    <row r="32" spans="1:39" ht="29" x14ac:dyDescent="0.35">
      <c r="A32" s="5" t="s">
        <v>726</v>
      </c>
      <c r="B32" s="6" t="s">
        <v>3245</v>
      </c>
      <c r="C32" s="64" t="s">
        <v>3245</v>
      </c>
      <c r="D32" s="5"/>
      <c r="E32" s="1"/>
      <c r="F32" s="1"/>
      <c r="G32" s="1"/>
      <c r="H32" s="1"/>
      <c r="J32" s="12" t="s">
        <v>222</v>
      </c>
      <c r="AK32" s="2">
        <f t="shared" si="0"/>
        <v>2</v>
      </c>
      <c r="AM32" s="2">
        <f t="shared" si="1"/>
        <v>1</v>
      </c>
    </row>
    <row r="33" spans="1:39" ht="29" x14ac:dyDescent="0.35">
      <c r="A33" s="5" t="s">
        <v>1228</v>
      </c>
      <c r="B33" s="6"/>
      <c r="C33" s="5"/>
      <c r="D33" s="5"/>
      <c r="E33" s="1"/>
      <c r="F33" s="1"/>
      <c r="G33" s="1"/>
      <c r="H33" s="1"/>
      <c r="M33" s="53" t="s">
        <v>924</v>
      </c>
      <c r="N33" s="53" t="s">
        <v>230</v>
      </c>
      <c r="O33" s="1" t="s">
        <v>1514</v>
      </c>
      <c r="AK33" s="2">
        <f t="shared" si="0"/>
        <v>3</v>
      </c>
      <c r="AM33" s="2">
        <f t="shared" si="1"/>
        <v>3</v>
      </c>
    </row>
    <row r="34" spans="1:39" ht="29" x14ac:dyDescent="0.35">
      <c r="A34" s="5" t="s">
        <v>1277</v>
      </c>
      <c r="B34" s="6"/>
      <c r="C34" s="5"/>
      <c r="D34" s="5"/>
      <c r="E34" s="1"/>
      <c r="F34" s="1"/>
      <c r="G34" s="1"/>
      <c r="H34" s="1"/>
      <c r="N34" s="1" t="s">
        <v>427</v>
      </c>
      <c r="AK34" s="2">
        <f t="shared" si="0"/>
        <v>1</v>
      </c>
      <c r="AM34" s="2">
        <f t="shared" si="1"/>
        <v>1</v>
      </c>
    </row>
    <row r="35" spans="1:39" ht="29" x14ac:dyDescent="0.35">
      <c r="A35" s="5" t="s">
        <v>1490</v>
      </c>
      <c r="B35" s="6"/>
      <c r="C35" s="5"/>
      <c r="D35" s="5"/>
      <c r="E35" s="1"/>
      <c r="F35" s="1"/>
      <c r="G35" s="1"/>
      <c r="H35" s="1"/>
      <c r="O35" s="1" t="s">
        <v>1059</v>
      </c>
      <c r="AK35" s="2">
        <f t="shared" si="0"/>
        <v>1</v>
      </c>
      <c r="AM35" s="2">
        <f t="shared" si="1"/>
        <v>1</v>
      </c>
    </row>
    <row r="36" spans="1:39" ht="43.5" x14ac:dyDescent="0.35">
      <c r="A36" s="5" t="s">
        <v>2237</v>
      </c>
      <c r="B36" s="6"/>
      <c r="C36" s="5"/>
      <c r="D36" s="5"/>
      <c r="E36" s="1"/>
      <c r="F36" s="1"/>
      <c r="G36" s="1"/>
      <c r="H36" s="1"/>
      <c r="T36" s="1" t="s">
        <v>185</v>
      </c>
      <c r="AK36" s="2">
        <f t="shared" si="0"/>
        <v>1</v>
      </c>
      <c r="AM36" s="2">
        <f t="shared" si="1"/>
        <v>1</v>
      </c>
    </row>
    <row r="37" spans="1:39" ht="29" x14ac:dyDescent="0.35">
      <c r="A37" s="5" t="s">
        <v>1681</v>
      </c>
      <c r="B37" s="6"/>
      <c r="C37" s="5"/>
      <c r="D37" s="5"/>
      <c r="E37" s="1"/>
      <c r="F37" s="1"/>
      <c r="G37" s="1"/>
      <c r="H37" s="1"/>
      <c r="P37" s="53" t="s">
        <v>886</v>
      </c>
      <c r="Q37" s="53" t="s">
        <v>189</v>
      </c>
      <c r="R37" s="53" t="s">
        <v>1179</v>
      </c>
      <c r="S37" s="1" t="s">
        <v>1979</v>
      </c>
      <c r="AK37" s="2">
        <f t="shared" si="0"/>
        <v>4</v>
      </c>
      <c r="AM37" s="2">
        <f t="shared" si="1"/>
        <v>2</v>
      </c>
    </row>
    <row r="38" spans="1:39" ht="43.5" x14ac:dyDescent="0.35">
      <c r="A38" s="5" t="s">
        <v>732</v>
      </c>
      <c r="B38" s="6"/>
      <c r="C38" s="5"/>
      <c r="D38" s="5"/>
      <c r="E38" s="1"/>
      <c r="F38" s="1"/>
      <c r="G38" s="1"/>
      <c r="H38" s="1"/>
      <c r="J38" s="12" t="s">
        <v>733</v>
      </c>
      <c r="AK38" s="2">
        <f t="shared" si="0"/>
        <v>1</v>
      </c>
      <c r="AM38" s="2">
        <f t="shared" si="1"/>
        <v>1</v>
      </c>
    </row>
    <row r="39" spans="1:39" x14ac:dyDescent="0.35">
      <c r="A39" s="5" t="s">
        <v>1794</v>
      </c>
      <c r="B39" s="6"/>
      <c r="C39" s="5"/>
      <c r="D39" s="5"/>
      <c r="E39" s="1"/>
      <c r="F39" s="1"/>
      <c r="G39" s="1"/>
      <c r="H39" s="1"/>
      <c r="Q39" s="30" t="s">
        <v>34</v>
      </c>
      <c r="AK39" s="2">
        <f t="shared" si="0"/>
        <v>1</v>
      </c>
      <c r="AM39" s="2">
        <f t="shared" si="1"/>
        <v>0</v>
      </c>
    </row>
    <row r="40" spans="1:39" x14ac:dyDescent="0.35">
      <c r="A40" s="5" t="s">
        <v>1868</v>
      </c>
      <c r="B40" s="6"/>
      <c r="C40" s="5"/>
      <c r="D40" s="5"/>
      <c r="E40" s="1"/>
      <c r="F40" s="1"/>
      <c r="G40" s="1"/>
      <c r="H40" s="1"/>
      <c r="Q40" s="30" t="s">
        <v>660</v>
      </c>
      <c r="AK40" s="2">
        <f t="shared" si="0"/>
        <v>1</v>
      </c>
      <c r="AM40" s="2">
        <f t="shared" si="1"/>
        <v>0</v>
      </c>
    </row>
    <row r="41" spans="1:39" ht="43.5" x14ac:dyDescent="0.35">
      <c r="A41" s="5" t="s">
        <v>2047</v>
      </c>
      <c r="B41" s="6"/>
      <c r="C41" s="5"/>
      <c r="D41" s="5"/>
      <c r="E41" s="1"/>
      <c r="F41" s="1"/>
      <c r="G41" s="1"/>
      <c r="H41" s="1"/>
      <c r="R41" s="53" t="s">
        <v>1198</v>
      </c>
      <c r="S41" s="1" t="s">
        <v>2048</v>
      </c>
      <c r="AK41" s="2">
        <f t="shared" si="0"/>
        <v>2</v>
      </c>
      <c r="AM41" s="2">
        <f t="shared" si="1"/>
        <v>1</v>
      </c>
    </row>
    <row r="42" spans="1:39" x14ac:dyDescent="0.35">
      <c r="A42" s="5" t="s">
        <v>2054</v>
      </c>
      <c r="B42" s="6"/>
      <c r="C42" s="5"/>
      <c r="D42" s="5"/>
      <c r="E42" s="1"/>
      <c r="F42" s="1"/>
      <c r="G42" s="1"/>
      <c r="H42" s="1"/>
      <c r="R42" s="53" t="s">
        <v>1199</v>
      </c>
      <c r="S42" s="1" t="s">
        <v>2049</v>
      </c>
      <c r="AK42" s="2">
        <f t="shared" si="0"/>
        <v>2</v>
      </c>
      <c r="AM42" s="2">
        <f t="shared" si="1"/>
        <v>1</v>
      </c>
    </row>
    <row r="43" spans="1:39" x14ac:dyDescent="0.35">
      <c r="A43" s="5" t="s">
        <v>2055</v>
      </c>
      <c r="B43" s="6"/>
      <c r="C43" s="5"/>
      <c r="D43" s="5"/>
      <c r="E43" s="1"/>
      <c r="F43" s="1"/>
      <c r="G43" s="1"/>
      <c r="H43" s="1"/>
      <c r="R43" s="53" t="s">
        <v>1036</v>
      </c>
      <c r="S43" s="1" t="s">
        <v>2050</v>
      </c>
      <c r="AK43" s="2">
        <f t="shared" si="0"/>
        <v>2</v>
      </c>
      <c r="AM43" s="2">
        <f t="shared" si="1"/>
        <v>1</v>
      </c>
    </row>
    <row r="44" spans="1:39" x14ac:dyDescent="0.35">
      <c r="A44" s="5" t="s">
        <v>2056</v>
      </c>
      <c r="B44" s="6"/>
      <c r="C44" s="5"/>
      <c r="D44" s="5"/>
      <c r="E44" s="1"/>
      <c r="F44" s="1"/>
      <c r="G44" s="1"/>
      <c r="H44" s="1"/>
      <c r="R44" s="53" t="s">
        <v>1200</v>
      </c>
      <c r="S44" s="1" t="s">
        <v>2051</v>
      </c>
      <c r="AK44" s="2">
        <f t="shared" si="0"/>
        <v>2</v>
      </c>
      <c r="AM44" s="2">
        <f t="shared" si="1"/>
        <v>1</v>
      </c>
    </row>
    <row r="45" spans="1:39" x14ac:dyDescent="0.35">
      <c r="A45" s="5" t="s">
        <v>2057</v>
      </c>
      <c r="B45" s="6"/>
      <c r="C45" s="5"/>
      <c r="D45" s="5"/>
      <c r="E45" s="1"/>
      <c r="F45" s="1"/>
      <c r="G45" s="1"/>
      <c r="H45" s="1"/>
      <c r="R45" s="53" t="s">
        <v>2053</v>
      </c>
      <c r="S45" s="1" t="s">
        <v>2052</v>
      </c>
      <c r="AK45" s="2">
        <f t="shared" si="0"/>
        <v>2</v>
      </c>
      <c r="AM45" s="2">
        <f t="shared" si="1"/>
        <v>1</v>
      </c>
    </row>
    <row r="46" spans="1:39" ht="29" x14ac:dyDescent="0.35">
      <c r="A46" s="5" t="s">
        <v>2058</v>
      </c>
      <c r="B46" s="6"/>
      <c r="C46" s="5"/>
      <c r="D46" s="5"/>
      <c r="E46" s="1"/>
      <c r="F46" s="1"/>
      <c r="G46" s="1"/>
      <c r="H46" s="1"/>
      <c r="R46" s="53" t="s">
        <v>1201</v>
      </c>
      <c r="S46" s="1" t="s">
        <v>2063</v>
      </c>
      <c r="AK46" s="2">
        <f t="shared" si="0"/>
        <v>2</v>
      </c>
      <c r="AM46" s="2">
        <f t="shared" si="1"/>
        <v>1</v>
      </c>
    </row>
    <row r="47" spans="1:39" ht="29" x14ac:dyDescent="0.35">
      <c r="A47" s="5" t="s">
        <v>2059</v>
      </c>
      <c r="B47" s="6"/>
      <c r="C47" s="5"/>
      <c r="D47" s="5"/>
      <c r="E47" s="1"/>
      <c r="F47" s="1"/>
      <c r="G47" s="1"/>
      <c r="H47" s="1"/>
      <c r="R47" s="53" t="s">
        <v>1245</v>
      </c>
      <c r="S47" s="1" t="s">
        <v>2064</v>
      </c>
      <c r="AK47" s="2">
        <f t="shared" si="0"/>
        <v>2</v>
      </c>
      <c r="AM47" s="2">
        <f t="shared" si="1"/>
        <v>1</v>
      </c>
    </row>
    <row r="48" spans="1:39" ht="29" x14ac:dyDescent="0.35">
      <c r="A48" s="5" t="s">
        <v>2060</v>
      </c>
      <c r="B48" s="6"/>
      <c r="C48" s="5"/>
      <c r="D48" s="5"/>
      <c r="E48" s="1"/>
      <c r="F48" s="1"/>
      <c r="G48" s="1"/>
      <c r="H48" s="1"/>
      <c r="R48" s="53" t="s">
        <v>1038</v>
      </c>
      <c r="S48" s="1" t="s">
        <v>2065</v>
      </c>
      <c r="AK48" s="2">
        <f t="shared" si="0"/>
        <v>2</v>
      </c>
      <c r="AM48" s="2">
        <f t="shared" si="1"/>
        <v>1</v>
      </c>
    </row>
    <row r="49" spans="1:39" ht="29" x14ac:dyDescent="0.35">
      <c r="A49" s="5" t="s">
        <v>2061</v>
      </c>
      <c r="B49" s="6"/>
      <c r="C49" s="5"/>
      <c r="D49" s="5"/>
      <c r="E49" s="1"/>
      <c r="F49" s="1"/>
      <c r="G49" s="1"/>
      <c r="H49" s="1"/>
      <c r="R49" s="53" t="s">
        <v>1202</v>
      </c>
      <c r="S49" s="1" t="s">
        <v>2066</v>
      </c>
      <c r="AK49" s="2">
        <f t="shared" si="0"/>
        <v>2</v>
      </c>
      <c r="AM49" s="2">
        <f t="shared" si="1"/>
        <v>1</v>
      </c>
    </row>
    <row r="50" spans="1:39" ht="29" x14ac:dyDescent="0.35">
      <c r="A50" s="5" t="s">
        <v>2062</v>
      </c>
      <c r="B50" s="6"/>
      <c r="C50" s="5"/>
      <c r="D50" s="5"/>
      <c r="E50" s="1"/>
      <c r="F50" s="1"/>
      <c r="G50" s="1"/>
      <c r="H50" s="1"/>
      <c r="R50" s="53" t="s">
        <v>1203</v>
      </c>
      <c r="S50" s="1" t="s">
        <v>2067</v>
      </c>
      <c r="AK50" s="2">
        <f t="shared" si="0"/>
        <v>2</v>
      </c>
      <c r="AM50" s="2">
        <f t="shared" si="1"/>
        <v>1</v>
      </c>
    </row>
    <row r="51" spans="1:39" ht="43.5" x14ac:dyDescent="0.35">
      <c r="A51" s="5" t="s">
        <v>2068</v>
      </c>
      <c r="B51" s="6"/>
      <c r="C51" s="5"/>
      <c r="D51" s="5"/>
      <c r="E51" s="1"/>
      <c r="F51" s="1"/>
      <c r="G51" s="1"/>
      <c r="H51" s="1"/>
      <c r="R51" s="53" t="s">
        <v>1204</v>
      </c>
      <c r="S51" s="1" t="s">
        <v>2074</v>
      </c>
      <c r="AK51" s="2">
        <f t="shared" si="0"/>
        <v>2</v>
      </c>
      <c r="AM51" s="2">
        <f t="shared" si="1"/>
        <v>1</v>
      </c>
    </row>
    <row r="52" spans="1:39" x14ac:dyDescent="0.35">
      <c r="A52" s="5" t="s">
        <v>2069</v>
      </c>
      <c r="B52" s="6"/>
      <c r="C52" s="5"/>
      <c r="D52" s="5"/>
      <c r="E52" s="1"/>
      <c r="F52" s="1"/>
      <c r="G52" s="1"/>
      <c r="H52" s="1"/>
      <c r="R52" s="53" t="s">
        <v>1044</v>
      </c>
      <c r="S52" s="1" t="s">
        <v>2075</v>
      </c>
      <c r="AK52" s="2">
        <f t="shared" si="0"/>
        <v>2</v>
      </c>
      <c r="AM52" s="2">
        <f t="shared" si="1"/>
        <v>1</v>
      </c>
    </row>
    <row r="53" spans="1:39" x14ac:dyDescent="0.35">
      <c r="A53" s="5" t="s">
        <v>2070</v>
      </c>
      <c r="B53" s="6"/>
      <c r="C53" s="5"/>
      <c r="D53" s="5"/>
      <c r="E53" s="1"/>
      <c r="F53" s="1"/>
      <c r="G53" s="1"/>
      <c r="H53" s="1"/>
      <c r="R53" s="53" t="s">
        <v>1205</v>
      </c>
      <c r="S53" s="1" t="s">
        <v>2076</v>
      </c>
      <c r="AK53" s="2">
        <f t="shared" si="0"/>
        <v>2</v>
      </c>
      <c r="AM53" s="2">
        <f t="shared" si="1"/>
        <v>1</v>
      </c>
    </row>
    <row r="54" spans="1:39" x14ac:dyDescent="0.35">
      <c r="A54" s="5" t="s">
        <v>2072</v>
      </c>
      <c r="B54" s="6"/>
      <c r="C54" s="5"/>
      <c r="D54" s="5"/>
      <c r="E54" s="1"/>
      <c r="F54" s="1"/>
      <c r="G54" s="1"/>
      <c r="H54" s="1"/>
      <c r="R54" s="53" t="s">
        <v>1045</v>
      </c>
      <c r="S54" s="1" t="s">
        <v>2077</v>
      </c>
      <c r="AK54" s="2">
        <f t="shared" si="0"/>
        <v>2</v>
      </c>
      <c r="AM54" s="2">
        <f t="shared" si="1"/>
        <v>1</v>
      </c>
    </row>
    <row r="55" spans="1:39" x14ac:dyDescent="0.35">
      <c r="A55" s="5" t="s">
        <v>2071</v>
      </c>
      <c r="B55" s="6"/>
      <c r="C55" s="5"/>
      <c r="D55" s="5"/>
      <c r="E55" s="1"/>
      <c r="F55" s="1"/>
      <c r="G55" s="1"/>
      <c r="H55" s="1"/>
      <c r="R55" s="53" t="s">
        <v>2073</v>
      </c>
      <c r="S55" s="1" t="s">
        <v>2078</v>
      </c>
      <c r="AK55" s="2">
        <f t="shared" si="0"/>
        <v>2</v>
      </c>
      <c r="AM55" s="2">
        <f t="shared" si="1"/>
        <v>1</v>
      </c>
    </row>
    <row r="56" spans="1:39" ht="43.5" x14ac:dyDescent="0.35">
      <c r="A56" s="5" t="s">
        <v>2155</v>
      </c>
      <c r="B56" s="6"/>
      <c r="C56" s="5"/>
      <c r="D56" s="5"/>
      <c r="E56" s="1"/>
      <c r="F56" s="1"/>
      <c r="G56" s="1"/>
      <c r="H56" s="1"/>
      <c r="R56" s="53" t="s">
        <v>1434</v>
      </c>
      <c r="S56" s="53" t="s">
        <v>2156</v>
      </c>
      <c r="T56" s="1" t="s">
        <v>421</v>
      </c>
      <c r="AK56" s="2">
        <f t="shared" si="0"/>
        <v>3</v>
      </c>
      <c r="AM56" s="2">
        <f t="shared" si="1"/>
        <v>2</v>
      </c>
    </row>
    <row r="57" spans="1:39" ht="29" x14ac:dyDescent="0.35">
      <c r="A57" s="5" t="s">
        <v>2157</v>
      </c>
      <c r="B57" s="6"/>
      <c r="C57" s="5"/>
      <c r="D57" s="5"/>
      <c r="E57" s="1"/>
      <c r="F57" s="1"/>
      <c r="G57" s="1"/>
      <c r="H57" s="1"/>
      <c r="R57" s="54" t="s">
        <v>1054</v>
      </c>
      <c r="S57" s="54" t="s">
        <v>2158</v>
      </c>
      <c r="T57" s="54" t="s">
        <v>422</v>
      </c>
      <c r="V57" s="54" t="s">
        <v>878</v>
      </c>
      <c r="W57" s="53" t="s">
        <v>243</v>
      </c>
      <c r="AF57" s="53" t="s">
        <v>100</v>
      </c>
      <c r="AG57" s="53" t="s">
        <v>1444</v>
      </c>
      <c r="AH57" s="53" t="s">
        <v>1434</v>
      </c>
      <c r="AI57" s="1" t="s">
        <v>1082</v>
      </c>
      <c r="AK57" s="2">
        <f t="shared" si="0"/>
        <v>9</v>
      </c>
      <c r="AM57" s="2">
        <f t="shared" si="1"/>
        <v>2</v>
      </c>
    </row>
    <row r="58" spans="1:39" ht="29" x14ac:dyDescent="0.35">
      <c r="A58" s="5" t="s">
        <v>2159</v>
      </c>
      <c r="B58" s="6"/>
      <c r="C58" s="5"/>
      <c r="D58" s="5"/>
      <c r="E58" s="1"/>
      <c r="F58" s="1"/>
      <c r="G58" s="1"/>
      <c r="H58" s="1"/>
      <c r="R58" s="53" t="s">
        <v>1436</v>
      </c>
      <c r="S58" s="1" t="s">
        <v>2160</v>
      </c>
      <c r="AK58" s="2">
        <f t="shared" si="0"/>
        <v>2</v>
      </c>
      <c r="AM58" s="2">
        <f t="shared" si="1"/>
        <v>1</v>
      </c>
    </row>
    <row r="59" spans="1:39" ht="43.5" x14ac:dyDescent="0.35">
      <c r="A59" s="5" t="s">
        <v>2162</v>
      </c>
      <c r="B59" s="6"/>
      <c r="C59" s="5"/>
      <c r="D59" s="5"/>
      <c r="E59" s="1"/>
      <c r="F59" s="1"/>
      <c r="G59" s="1"/>
      <c r="H59" s="1"/>
      <c r="R59" s="53" t="s">
        <v>1437</v>
      </c>
      <c r="S59" s="1" t="s">
        <v>2161</v>
      </c>
      <c r="AK59" s="2">
        <f t="shared" si="0"/>
        <v>2</v>
      </c>
      <c r="AM59" s="2">
        <f t="shared" si="1"/>
        <v>1</v>
      </c>
    </row>
    <row r="60" spans="1:39" ht="29" x14ac:dyDescent="0.35">
      <c r="A60" s="5" t="s">
        <v>2163</v>
      </c>
      <c r="B60" s="6"/>
      <c r="C60" s="5"/>
      <c r="D60" s="5"/>
      <c r="E60" s="1"/>
      <c r="F60" s="1"/>
      <c r="G60" s="1"/>
      <c r="H60" s="1"/>
      <c r="R60" s="53" t="s">
        <v>1055</v>
      </c>
      <c r="S60" s="53" t="s">
        <v>2164</v>
      </c>
      <c r="T60" s="53" t="s">
        <v>424</v>
      </c>
      <c r="V60" s="1" t="s">
        <v>879</v>
      </c>
      <c r="AK60" s="2">
        <f t="shared" si="0"/>
        <v>4</v>
      </c>
      <c r="AM60" s="2">
        <f t="shared" si="1"/>
        <v>2</v>
      </c>
    </row>
    <row r="61" spans="1:39" ht="29" x14ac:dyDescent="0.35">
      <c r="A61" s="5" t="s">
        <v>2165</v>
      </c>
      <c r="B61" s="6"/>
      <c r="C61" s="5"/>
      <c r="D61" s="5"/>
      <c r="E61" s="1"/>
      <c r="F61" s="1"/>
      <c r="G61" s="1"/>
      <c r="H61" s="1"/>
      <c r="R61" s="53" t="s">
        <v>1439</v>
      </c>
      <c r="S61" s="53" t="s">
        <v>2166</v>
      </c>
      <c r="T61" s="53" t="s">
        <v>425</v>
      </c>
      <c r="V61" s="1" t="s">
        <v>883</v>
      </c>
      <c r="AK61" s="2">
        <f t="shared" si="0"/>
        <v>4</v>
      </c>
      <c r="AM61" s="2">
        <f t="shared" si="1"/>
        <v>2</v>
      </c>
    </row>
    <row r="62" spans="1:39" ht="29" x14ac:dyDescent="0.35">
      <c r="A62" s="5" t="s">
        <v>2245</v>
      </c>
      <c r="B62" s="6"/>
      <c r="C62" s="5"/>
      <c r="D62" s="5"/>
      <c r="E62" s="1"/>
      <c r="F62" s="1"/>
      <c r="G62" s="1"/>
      <c r="H62" s="1"/>
      <c r="T62" s="53" t="s">
        <v>427</v>
      </c>
      <c r="V62" s="1" t="s">
        <v>886</v>
      </c>
      <c r="AK62" s="2">
        <f t="shared" si="0"/>
        <v>2</v>
      </c>
      <c r="AM62" s="2">
        <f t="shared" si="1"/>
        <v>1</v>
      </c>
    </row>
    <row r="63" spans="1:39" ht="29" x14ac:dyDescent="0.35">
      <c r="A63" s="5" t="s">
        <v>2419</v>
      </c>
      <c r="B63" s="6"/>
      <c r="C63" s="5"/>
      <c r="D63" s="5"/>
      <c r="E63" s="1"/>
      <c r="F63" s="1"/>
      <c r="G63" s="1"/>
      <c r="H63" s="1"/>
      <c r="V63" s="1" t="s">
        <v>884</v>
      </c>
      <c r="AK63" s="2">
        <f t="shared" si="0"/>
        <v>1</v>
      </c>
      <c r="AM63" s="2">
        <f t="shared" si="1"/>
        <v>0</v>
      </c>
    </row>
    <row r="64" spans="1:39" ht="29" x14ac:dyDescent="0.35">
      <c r="A64" s="5" t="s">
        <v>2249</v>
      </c>
      <c r="B64" s="6"/>
      <c r="C64" s="5"/>
      <c r="D64" s="5"/>
      <c r="E64" s="1"/>
      <c r="F64" s="1"/>
      <c r="G64" s="1"/>
      <c r="H64" s="1"/>
      <c r="T64" s="54" t="s">
        <v>440</v>
      </c>
      <c r="V64" s="53" t="s">
        <v>904</v>
      </c>
      <c r="AA64" s="53" t="s">
        <v>424</v>
      </c>
      <c r="AG64" s="54" t="s">
        <v>1443</v>
      </c>
      <c r="AH64" s="53" t="s">
        <v>1433</v>
      </c>
      <c r="AI64" s="1" t="s">
        <v>1456</v>
      </c>
      <c r="AK64" s="2">
        <f t="shared" si="0"/>
        <v>6</v>
      </c>
      <c r="AM64" s="2">
        <f t="shared" si="1"/>
        <v>1</v>
      </c>
    </row>
    <row r="65" spans="1:39" ht="58" x14ac:dyDescent="0.35">
      <c r="A65" s="5" t="s">
        <v>2552</v>
      </c>
      <c r="B65" s="6"/>
      <c r="C65" s="5"/>
      <c r="D65" s="5"/>
      <c r="E65" s="1"/>
      <c r="F65" s="1"/>
      <c r="G65" s="1"/>
      <c r="H65" s="1"/>
      <c r="W65" s="1" t="s">
        <v>525</v>
      </c>
      <c r="AK65" s="2">
        <f t="shared" si="0"/>
        <v>1</v>
      </c>
      <c r="AM65" s="2">
        <f t="shared" si="1"/>
        <v>0</v>
      </c>
    </row>
    <row r="66" spans="1:39" ht="29" x14ac:dyDescent="0.35">
      <c r="A66" s="5" t="s">
        <v>2740</v>
      </c>
      <c r="B66" s="6"/>
      <c r="C66" s="5"/>
      <c r="D66" s="5"/>
      <c r="E66" s="1"/>
      <c r="F66" s="1"/>
      <c r="G66" s="1"/>
      <c r="H66" s="1"/>
      <c r="AC66" s="53" t="s">
        <v>2158</v>
      </c>
      <c r="AE66" s="1" t="s">
        <v>1125</v>
      </c>
      <c r="AK66" s="2">
        <f t="shared" si="0"/>
        <v>2</v>
      </c>
      <c r="AM66" s="2">
        <f t="shared" si="1"/>
        <v>0</v>
      </c>
    </row>
    <row r="67" spans="1:39" x14ac:dyDescent="0.35">
      <c r="A67" s="5" t="s">
        <v>2851</v>
      </c>
      <c r="B67" s="6"/>
      <c r="C67" s="5"/>
      <c r="D67" s="5"/>
      <c r="E67" s="1"/>
      <c r="F67" s="1"/>
      <c r="G67" s="1"/>
      <c r="H67" s="1"/>
      <c r="AE67" s="1" t="s">
        <v>1077</v>
      </c>
      <c r="AK67" s="2">
        <f t="shared" si="0"/>
        <v>1</v>
      </c>
      <c r="AM67" s="2">
        <f t="shared" si="1"/>
        <v>0</v>
      </c>
    </row>
    <row r="68" spans="1:39" ht="29" x14ac:dyDescent="0.35">
      <c r="A68" s="5" t="s">
        <v>2741</v>
      </c>
      <c r="B68" s="6"/>
      <c r="C68" s="5"/>
      <c r="D68" s="5"/>
      <c r="E68" s="1"/>
      <c r="F68" s="1"/>
      <c r="G68" s="1"/>
      <c r="H68" s="1"/>
      <c r="AC68" s="53" t="s">
        <v>2160</v>
      </c>
      <c r="AE68" s="1" t="s">
        <v>1126</v>
      </c>
      <c r="AK68" s="2">
        <f t="shared" si="0"/>
        <v>2</v>
      </c>
      <c r="AM68" s="2">
        <f t="shared" si="1"/>
        <v>0</v>
      </c>
    </row>
    <row r="69" spans="1:39" x14ac:dyDescent="0.35">
      <c r="A69" s="5" t="s">
        <v>2852</v>
      </c>
      <c r="B69" s="6"/>
      <c r="C69" s="5"/>
      <c r="D69" s="5"/>
      <c r="E69" s="1"/>
      <c r="F69" s="1"/>
      <c r="G69" s="1"/>
      <c r="H69" s="1"/>
      <c r="AE69" s="1" t="s">
        <v>1082</v>
      </c>
      <c r="AK69" s="2">
        <f t="shared" ref="AK69:AK93" si="2">COUNTA(C69:AI69)</f>
        <v>1</v>
      </c>
      <c r="AM69" s="2">
        <f t="shared" ref="AM69:AM91" si="3">COUNTA(G69:P69,S69:T69)</f>
        <v>0</v>
      </c>
    </row>
    <row r="70" spans="1:39" x14ac:dyDescent="0.35">
      <c r="A70" s="5" t="s">
        <v>2796</v>
      </c>
      <c r="B70" s="6"/>
      <c r="C70" s="5"/>
      <c r="D70" s="5"/>
      <c r="E70" s="1"/>
      <c r="F70" s="1"/>
      <c r="G70" s="1"/>
      <c r="H70" s="1"/>
      <c r="AD70" s="1" t="s">
        <v>1969</v>
      </c>
      <c r="AK70" s="2">
        <f t="shared" si="2"/>
        <v>1</v>
      </c>
      <c r="AM70" s="2">
        <f t="shared" si="3"/>
        <v>0</v>
      </c>
    </row>
    <row r="71" spans="1:39" ht="29" x14ac:dyDescent="0.35">
      <c r="A71" s="5" t="s">
        <v>2826</v>
      </c>
      <c r="B71" s="6"/>
      <c r="C71" s="5"/>
      <c r="D71" s="5"/>
      <c r="E71" s="1"/>
      <c r="F71" s="1"/>
      <c r="G71" s="1"/>
      <c r="H71" s="1"/>
      <c r="AD71" s="1" t="s">
        <v>2003</v>
      </c>
      <c r="AK71" s="2">
        <f t="shared" si="2"/>
        <v>1</v>
      </c>
      <c r="AM71" s="2">
        <f t="shared" si="3"/>
        <v>0</v>
      </c>
    </row>
    <row r="72" spans="1:39" ht="29" x14ac:dyDescent="0.35">
      <c r="A72" s="24" t="s">
        <v>2778</v>
      </c>
      <c r="B72" s="6"/>
      <c r="C72" s="5"/>
      <c r="D72" s="31"/>
      <c r="E72" s="21"/>
      <c r="F72" s="1"/>
      <c r="G72" s="1"/>
      <c r="H72" s="1"/>
      <c r="AC72" s="53" t="s">
        <v>2197</v>
      </c>
      <c r="AD72" s="53" t="s">
        <v>2004</v>
      </c>
      <c r="AE72" s="53" t="s">
        <v>1069</v>
      </c>
      <c r="AH72" s="53" t="s">
        <v>1256</v>
      </c>
      <c r="AI72" s="1" t="s">
        <v>976</v>
      </c>
      <c r="AK72" s="2">
        <f t="shared" si="2"/>
        <v>5</v>
      </c>
      <c r="AM72" s="2">
        <f t="shared" si="3"/>
        <v>0</v>
      </c>
    </row>
    <row r="73" spans="1:39" ht="29" x14ac:dyDescent="0.35">
      <c r="A73" s="5" t="s">
        <v>2959</v>
      </c>
      <c r="B73" s="6"/>
      <c r="C73" s="1"/>
      <c r="D73" s="5"/>
      <c r="E73" s="1"/>
      <c r="F73" s="1"/>
      <c r="G73" s="1"/>
      <c r="H73" s="1"/>
      <c r="AE73" s="53" t="s">
        <v>366</v>
      </c>
      <c r="AF73" s="1" t="s">
        <v>13</v>
      </c>
      <c r="AK73" s="2">
        <f t="shared" si="2"/>
        <v>2</v>
      </c>
      <c r="AM73" s="2">
        <f t="shared" si="3"/>
        <v>0</v>
      </c>
    </row>
    <row r="74" spans="1:39" ht="29" x14ac:dyDescent="0.35">
      <c r="A74" s="5" t="s">
        <v>2841</v>
      </c>
      <c r="B74" s="6"/>
      <c r="C74" s="1"/>
      <c r="D74" s="5"/>
      <c r="E74" s="1"/>
      <c r="F74" s="1"/>
      <c r="G74" s="1"/>
      <c r="H74" s="1"/>
      <c r="AE74" s="53" t="s">
        <v>367</v>
      </c>
      <c r="AF74" s="1" t="s">
        <v>187</v>
      </c>
      <c r="AK74" s="2">
        <f t="shared" si="2"/>
        <v>2</v>
      </c>
      <c r="AM74" s="2">
        <f t="shared" si="3"/>
        <v>0</v>
      </c>
    </row>
    <row r="75" spans="1:39" x14ac:dyDescent="0.35">
      <c r="A75" s="5" t="s">
        <v>2842</v>
      </c>
      <c r="B75" s="6"/>
      <c r="C75" s="1"/>
      <c r="D75" s="5"/>
      <c r="E75" s="1"/>
      <c r="F75" s="1"/>
      <c r="G75" s="1"/>
      <c r="H75" s="1"/>
      <c r="AE75" s="1" t="s">
        <v>1070</v>
      </c>
      <c r="AK75" s="2">
        <f t="shared" si="2"/>
        <v>1</v>
      </c>
      <c r="AM75" s="2">
        <f t="shared" si="3"/>
        <v>0</v>
      </c>
    </row>
    <row r="76" spans="1:39" x14ac:dyDescent="0.35">
      <c r="A76" s="5" t="s">
        <v>2843</v>
      </c>
      <c r="B76" s="6"/>
      <c r="C76" s="1"/>
      <c r="D76" s="5"/>
      <c r="E76" s="1"/>
      <c r="F76" s="1"/>
      <c r="G76" s="1"/>
      <c r="H76" s="1"/>
      <c r="AE76" s="1" t="s">
        <v>1072</v>
      </c>
      <c r="AK76" s="2">
        <f t="shared" si="2"/>
        <v>1</v>
      </c>
      <c r="AM76" s="2">
        <f t="shared" si="3"/>
        <v>0</v>
      </c>
    </row>
    <row r="77" spans="1:39" ht="58" x14ac:dyDescent="0.35">
      <c r="A77" s="5" t="s">
        <v>2872</v>
      </c>
      <c r="B77" s="6"/>
      <c r="C77" s="1"/>
      <c r="D77" s="5"/>
      <c r="E77" s="1"/>
      <c r="F77" s="1"/>
      <c r="G77" s="1"/>
      <c r="H77" s="1"/>
      <c r="AE77" s="1" t="s">
        <v>1129</v>
      </c>
      <c r="AK77" s="2">
        <f t="shared" si="2"/>
        <v>1</v>
      </c>
      <c r="AM77" s="2">
        <f t="shared" si="3"/>
        <v>0</v>
      </c>
    </row>
    <row r="78" spans="1:39" ht="29" x14ac:dyDescent="0.35">
      <c r="A78" s="5" t="s">
        <v>2958</v>
      </c>
      <c r="B78" s="6"/>
      <c r="C78" s="1"/>
      <c r="D78" s="5"/>
      <c r="E78" s="1"/>
      <c r="F78" s="1"/>
      <c r="G78" s="1"/>
      <c r="H78" s="1"/>
      <c r="AF78" s="1" t="s">
        <v>12</v>
      </c>
      <c r="AK78" s="2">
        <f t="shared" si="2"/>
        <v>1</v>
      </c>
      <c r="AM78" s="2">
        <f t="shared" si="3"/>
        <v>0</v>
      </c>
    </row>
    <row r="79" spans="1:39" ht="29" x14ac:dyDescent="0.35">
      <c r="A79" s="5" t="s">
        <v>2880</v>
      </c>
      <c r="B79" s="6"/>
      <c r="C79" s="1"/>
      <c r="D79" s="5"/>
      <c r="E79" s="1"/>
      <c r="F79" s="1"/>
      <c r="G79" s="1"/>
      <c r="H79" s="1"/>
      <c r="AE79" s="1" t="s">
        <v>1147</v>
      </c>
      <c r="AK79" s="2">
        <f t="shared" si="2"/>
        <v>1</v>
      </c>
      <c r="AM79" s="2">
        <f t="shared" si="3"/>
        <v>0</v>
      </c>
    </row>
    <row r="80" spans="1:39" ht="29" x14ac:dyDescent="0.35">
      <c r="A80" s="5" t="s">
        <v>2881</v>
      </c>
      <c r="B80" s="6"/>
      <c r="C80" s="1"/>
      <c r="D80" s="5"/>
      <c r="E80" s="1"/>
      <c r="F80" s="1"/>
      <c r="G80" s="1"/>
      <c r="H80" s="1"/>
      <c r="AE80" s="1" t="s">
        <v>1148</v>
      </c>
      <c r="AK80" s="2">
        <f t="shared" si="2"/>
        <v>1</v>
      </c>
      <c r="AM80" s="2">
        <f t="shared" si="3"/>
        <v>0</v>
      </c>
    </row>
    <row r="81" spans="1:39" x14ac:dyDescent="0.35">
      <c r="A81" s="5" t="s">
        <v>3062</v>
      </c>
      <c r="B81" s="6"/>
      <c r="C81" s="1"/>
      <c r="D81" s="5"/>
      <c r="E81" s="1"/>
      <c r="F81" s="1"/>
      <c r="G81" s="1"/>
      <c r="H81" s="1"/>
      <c r="AH81" s="1" t="s">
        <v>1455</v>
      </c>
      <c r="AK81" s="2">
        <f t="shared" si="2"/>
        <v>1</v>
      </c>
      <c r="AM81" s="2">
        <f t="shared" si="3"/>
        <v>0</v>
      </c>
    </row>
    <row r="82" spans="1:39" ht="29" x14ac:dyDescent="0.35">
      <c r="A82" s="5" t="s">
        <v>3176</v>
      </c>
      <c r="B82" s="6"/>
      <c r="C82" s="5"/>
      <c r="D82" s="36" t="s">
        <v>3177</v>
      </c>
      <c r="E82" s="1"/>
      <c r="F82" s="1"/>
      <c r="G82" s="1"/>
      <c r="H82" s="1"/>
      <c r="AK82" s="2">
        <f t="shared" si="2"/>
        <v>1</v>
      </c>
      <c r="AM82" s="2">
        <f t="shared" si="3"/>
        <v>0</v>
      </c>
    </row>
    <row r="83" spans="1:39" ht="29" x14ac:dyDescent="0.35">
      <c r="A83" s="5" t="s">
        <v>2595</v>
      </c>
      <c r="B83" s="6"/>
      <c r="C83" s="1"/>
      <c r="D83" s="5"/>
      <c r="E83" s="1"/>
      <c r="F83" s="1"/>
      <c r="G83" s="1"/>
      <c r="H83" s="1"/>
      <c r="AA83" s="54" t="s">
        <v>427</v>
      </c>
      <c r="AC83" s="54" t="s">
        <v>2181</v>
      </c>
      <c r="AE83" s="1" t="s">
        <v>1068</v>
      </c>
      <c r="AK83" s="2">
        <f t="shared" si="2"/>
        <v>3</v>
      </c>
      <c r="AM83" s="2">
        <f t="shared" si="3"/>
        <v>0</v>
      </c>
    </row>
    <row r="84" spans="1:39" ht="29" x14ac:dyDescent="0.35">
      <c r="A84" s="5" t="s">
        <v>2544</v>
      </c>
      <c r="B84" s="6"/>
      <c r="C84" s="1"/>
      <c r="D84" s="5"/>
      <c r="E84" s="1"/>
      <c r="F84" s="1"/>
      <c r="G84" s="1"/>
      <c r="H84" s="1"/>
      <c r="W84" s="53" t="s">
        <v>242</v>
      </c>
      <c r="AC84" s="53" t="s">
        <v>2182</v>
      </c>
      <c r="AE84" s="53" t="s">
        <v>2868</v>
      </c>
      <c r="AF84" s="1" t="s">
        <v>99</v>
      </c>
      <c r="AK84" s="2">
        <f t="shared" si="2"/>
        <v>4</v>
      </c>
      <c r="AM84" s="2">
        <f t="shared" si="3"/>
        <v>0</v>
      </c>
    </row>
    <row r="85" spans="1:39" ht="58" x14ac:dyDescent="0.35">
      <c r="A85" s="5" t="s">
        <v>606</v>
      </c>
      <c r="B85" s="6"/>
      <c r="C85" s="1"/>
      <c r="D85" s="5"/>
      <c r="E85" s="1"/>
      <c r="F85" s="1"/>
      <c r="G85" s="1"/>
      <c r="H85" s="37" t="s">
        <v>607</v>
      </c>
      <c r="AK85" s="2">
        <f t="shared" si="2"/>
        <v>1</v>
      </c>
      <c r="AM85" s="2">
        <f t="shared" si="3"/>
        <v>1</v>
      </c>
    </row>
    <row r="86" spans="1:39" ht="58" x14ac:dyDescent="0.35">
      <c r="A86" s="5" t="s">
        <v>608</v>
      </c>
      <c r="B86" s="6"/>
      <c r="C86" s="1"/>
      <c r="D86" s="5"/>
      <c r="E86" s="1"/>
      <c r="F86" s="1"/>
      <c r="G86" s="1"/>
      <c r="H86" s="12" t="s">
        <v>609</v>
      </c>
      <c r="AK86" s="2">
        <f t="shared" si="2"/>
        <v>1</v>
      </c>
      <c r="AM86" s="2">
        <f t="shared" si="3"/>
        <v>1</v>
      </c>
    </row>
    <row r="87" spans="1:39" ht="43.5" x14ac:dyDescent="0.35">
      <c r="A87" s="5" t="s">
        <v>2594</v>
      </c>
      <c r="B87" s="6"/>
      <c r="C87" s="1"/>
      <c r="D87" s="5"/>
      <c r="E87" s="1"/>
      <c r="F87" s="1"/>
      <c r="G87" s="1"/>
      <c r="H87" s="1"/>
      <c r="AA87" s="1" t="s">
        <v>34</v>
      </c>
      <c r="AK87" s="2">
        <f t="shared" si="2"/>
        <v>1</v>
      </c>
      <c r="AM87" s="2">
        <f t="shared" si="3"/>
        <v>0</v>
      </c>
    </row>
    <row r="88" spans="1:39" ht="29" x14ac:dyDescent="0.35">
      <c r="A88" s="5" t="s">
        <v>3104</v>
      </c>
      <c r="B88" s="6"/>
      <c r="C88" s="1"/>
      <c r="D88" s="5"/>
      <c r="E88" s="1"/>
      <c r="F88" s="1"/>
      <c r="G88" s="1"/>
      <c r="H88" s="1"/>
      <c r="AI88" s="1" t="s">
        <v>2301</v>
      </c>
      <c r="AK88" s="2">
        <f t="shared" si="2"/>
        <v>1</v>
      </c>
      <c r="AM88" s="2">
        <f t="shared" si="3"/>
        <v>0</v>
      </c>
    </row>
    <row r="89" spans="1:39" ht="29" x14ac:dyDescent="0.35">
      <c r="A89" s="5" t="s">
        <v>2596</v>
      </c>
      <c r="B89" s="6"/>
      <c r="C89" s="1"/>
      <c r="D89" s="5"/>
      <c r="E89" s="1"/>
      <c r="F89" s="1"/>
      <c r="G89" s="1"/>
      <c r="H89" s="1"/>
      <c r="AA89" s="1" t="s">
        <v>428</v>
      </c>
      <c r="AK89" s="2">
        <f t="shared" si="2"/>
        <v>1</v>
      </c>
      <c r="AM89" s="2">
        <f t="shared" si="3"/>
        <v>0</v>
      </c>
    </row>
    <row r="90" spans="1:39" ht="29" x14ac:dyDescent="0.35">
      <c r="A90" s="5" t="s">
        <v>3178</v>
      </c>
      <c r="B90" s="6"/>
      <c r="C90" s="1"/>
      <c r="D90" s="36" t="s">
        <v>3179</v>
      </c>
      <c r="E90" s="1"/>
      <c r="F90" s="1"/>
      <c r="G90" s="1"/>
      <c r="H90" s="1"/>
      <c r="AK90" s="2">
        <f t="shared" si="2"/>
        <v>1</v>
      </c>
      <c r="AM90" s="2">
        <f t="shared" si="3"/>
        <v>0</v>
      </c>
    </row>
    <row r="91" spans="1:39" ht="29" x14ac:dyDescent="0.35">
      <c r="A91" s="5" t="s">
        <v>3232</v>
      </c>
      <c r="B91" s="6"/>
      <c r="C91" s="1"/>
      <c r="D91" s="36" t="s">
        <v>3180</v>
      </c>
      <c r="E91" s="1"/>
      <c r="F91" s="1"/>
      <c r="G91" s="1"/>
      <c r="H91" s="1"/>
      <c r="AK91" s="2">
        <f t="shared" si="2"/>
        <v>1</v>
      </c>
      <c r="AM91" s="2">
        <f t="shared" si="3"/>
        <v>0</v>
      </c>
    </row>
    <row r="92" spans="1:39" ht="43.5" x14ac:dyDescent="0.35">
      <c r="A92" s="5" t="s">
        <v>3274</v>
      </c>
      <c r="B92" s="6"/>
      <c r="C92" s="44" t="s">
        <v>3275</v>
      </c>
      <c r="D92" s="5"/>
      <c r="E92" s="1"/>
      <c r="F92" s="1"/>
      <c r="G92" s="1"/>
      <c r="H92" s="1"/>
      <c r="AK92" s="2">
        <f t="shared" si="2"/>
        <v>1</v>
      </c>
    </row>
    <row r="93" spans="1:39" ht="72.5" x14ac:dyDescent="0.35">
      <c r="A93" s="5" t="s">
        <v>3276</v>
      </c>
      <c r="B93" s="83" t="s">
        <v>3277</v>
      </c>
      <c r="C93" s="44" t="s">
        <v>3277</v>
      </c>
      <c r="D93" s="5"/>
      <c r="E93" s="1"/>
      <c r="F93" s="1"/>
      <c r="G93" s="1"/>
      <c r="H93" s="1"/>
      <c r="AK93" s="2">
        <f t="shared" si="2"/>
        <v>1</v>
      </c>
    </row>
    <row r="94" spans="1:39" ht="29" x14ac:dyDescent="0.35">
      <c r="A94" s="5" t="s">
        <v>7911</v>
      </c>
      <c r="B94" s="1" t="s">
        <v>7912</v>
      </c>
      <c r="C94" s="1"/>
      <c r="D94" s="5"/>
      <c r="E94" s="1"/>
      <c r="F94" s="1"/>
      <c r="G94" s="1"/>
      <c r="H94" s="1"/>
    </row>
    <row r="95" spans="1:39" x14ac:dyDescent="0.35">
      <c r="A95" s="5"/>
      <c r="B95" s="1"/>
      <c r="C95" s="1"/>
      <c r="D95" s="5"/>
      <c r="E95" s="1"/>
      <c r="F95" s="1"/>
      <c r="G95" s="1"/>
      <c r="H95" s="1"/>
    </row>
    <row r="96" spans="1:39" x14ac:dyDescent="0.35">
      <c r="A96" s="5"/>
      <c r="B96" s="1"/>
      <c r="C96" s="1"/>
      <c r="D96" s="5"/>
      <c r="E96" s="1"/>
      <c r="F96" s="1"/>
      <c r="G96" s="1"/>
      <c r="H96" s="1"/>
    </row>
    <row r="97" spans="1:8" x14ac:dyDescent="0.35">
      <c r="A97" s="5"/>
      <c r="B97" s="1"/>
      <c r="C97" s="1"/>
      <c r="D97" s="5"/>
      <c r="E97" s="1"/>
      <c r="F97" s="1"/>
      <c r="G97" s="1"/>
      <c r="H97" s="1"/>
    </row>
    <row r="98" spans="1:8" x14ac:dyDescent="0.35">
      <c r="A98" s="5"/>
      <c r="B98" s="1"/>
      <c r="C98" s="1"/>
      <c r="D98" s="5"/>
      <c r="E98" s="1"/>
      <c r="F98" s="1"/>
      <c r="G98" s="1"/>
      <c r="H98" s="1"/>
    </row>
    <row r="99" spans="1:8" x14ac:dyDescent="0.35">
      <c r="A99" s="5"/>
      <c r="B99" s="1"/>
      <c r="C99" s="1"/>
      <c r="D99" s="5"/>
      <c r="E99" s="1"/>
      <c r="F99" s="1"/>
      <c r="G99" s="1"/>
      <c r="H99" s="1"/>
    </row>
    <row r="100" spans="1:8" x14ac:dyDescent="0.35">
      <c r="A100" s="5"/>
      <c r="B100" s="1"/>
      <c r="C100" s="1"/>
      <c r="D100" s="5"/>
      <c r="E100" s="1"/>
      <c r="F100" s="1"/>
      <c r="G100" s="1"/>
      <c r="H100" s="1"/>
    </row>
    <row r="101" spans="1:8" x14ac:dyDescent="0.35">
      <c r="A101" s="5"/>
      <c r="B101" s="1"/>
      <c r="C101" s="1"/>
      <c r="D101" s="5"/>
      <c r="E101" s="1"/>
      <c r="F101" s="1"/>
      <c r="G101" s="1"/>
      <c r="H101" s="1"/>
    </row>
    <row r="102" spans="1:8" x14ac:dyDescent="0.35">
      <c r="A102" s="5"/>
      <c r="B102" s="1"/>
      <c r="C102" s="1"/>
      <c r="D102" s="5"/>
      <c r="E102" s="1"/>
      <c r="F102" s="1"/>
      <c r="G102" s="1"/>
      <c r="H102" s="1"/>
    </row>
    <row r="103" spans="1:8" x14ac:dyDescent="0.35">
      <c r="A103" s="5"/>
      <c r="B103" s="1"/>
      <c r="C103" s="1"/>
      <c r="D103" s="5"/>
      <c r="E103" s="1"/>
      <c r="F103" s="1"/>
      <c r="G103" s="1"/>
      <c r="H103" s="1"/>
    </row>
    <row r="104" spans="1:8" x14ac:dyDescent="0.35">
      <c r="A104" s="5"/>
      <c r="B104" s="1"/>
      <c r="C104" s="1"/>
      <c r="D104" s="5"/>
      <c r="E104" s="1"/>
      <c r="F104" s="1"/>
      <c r="G104" s="1"/>
      <c r="H104" s="1"/>
    </row>
    <row r="105" spans="1:8" x14ac:dyDescent="0.35">
      <c r="A105" s="5"/>
      <c r="B105" s="1"/>
      <c r="C105" s="1"/>
      <c r="D105" s="5"/>
      <c r="E105" s="1"/>
      <c r="F105" s="1"/>
      <c r="G105" s="1"/>
      <c r="H105" s="1"/>
    </row>
    <row r="106" spans="1:8" x14ac:dyDescent="0.35">
      <c r="A106" s="5"/>
      <c r="B106" s="1"/>
      <c r="C106" s="1"/>
      <c r="D106" s="5"/>
      <c r="E106" s="1"/>
      <c r="F106" s="1"/>
      <c r="G106" s="1"/>
      <c r="H106" s="1"/>
    </row>
    <row r="107" spans="1:8" x14ac:dyDescent="0.35">
      <c r="A107" s="5"/>
      <c r="B107" s="1"/>
      <c r="C107" s="1"/>
      <c r="D107" s="5"/>
      <c r="E107" s="1"/>
      <c r="F107" s="1"/>
      <c r="G107" s="1"/>
      <c r="H107" s="1"/>
    </row>
    <row r="108" spans="1:8" x14ac:dyDescent="0.35">
      <c r="A108" s="5"/>
      <c r="B108" s="1"/>
      <c r="C108" s="1"/>
      <c r="D108" s="5"/>
      <c r="E108" s="1"/>
      <c r="F108" s="1"/>
      <c r="G108" s="1"/>
      <c r="H108" s="1"/>
    </row>
    <row r="109" spans="1:8" x14ac:dyDescent="0.35">
      <c r="A109" s="5"/>
      <c r="B109" s="1"/>
      <c r="C109" s="1"/>
      <c r="D109" s="5"/>
      <c r="E109" s="1"/>
      <c r="F109" s="1"/>
      <c r="G109" s="1"/>
      <c r="H109" s="1"/>
    </row>
    <row r="110" spans="1:8" x14ac:dyDescent="0.35">
      <c r="A110" s="5"/>
      <c r="B110" s="1"/>
      <c r="C110" s="1"/>
      <c r="D110" s="5"/>
      <c r="E110" s="1"/>
      <c r="F110" s="1"/>
      <c r="G110" s="1"/>
      <c r="H110" s="1"/>
    </row>
    <row r="111" spans="1:8" x14ac:dyDescent="0.35">
      <c r="A111" s="5"/>
      <c r="B111" s="1"/>
      <c r="C111" s="1"/>
      <c r="D111" s="5"/>
      <c r="E111" s="1"/>
      <c r="F111" s="1"/>
      <c r="G111" s="1"/>
      <c r="H111" s="1"/>
    </row>
    <row r="112" spans="1:8" x14ac:dyDescent="0.35">
      <c r="A112" s="5"/>
      <c r="B112" s="1"/>
      <c r="C112" s="1"/>
      <c r="D112" s="5"/>
      <c r="E112" s="1"/>
      <c r="F112" s="1"/>
      <c r="G112" s="1"/>
      <c r="H112" s="1"/>
    </row>
    <row r="113" spans="1:8" x14ac:dyDescent="0.35">
      <c r="A113" s="5"/>
      <c r="B113" s="1"/>
      <c r="C113" s="1"/>
      <c r="D113" s="5"/>
      <c r="E113" s="1"/>
      <c r="F113" s="1"/>
      <c r="G113" s="1"/>
      <c r="H113" s="1"/>
    </row>
    <row r="114" spans="1:8" x14ac:dyDescent="0.35">
      <c r="A114" s="5"/>
      <c r="B114" s="1"/>
      <c r="C114" s="1"/>
      <c r="D114" s="5"/>
      <c r="E114" s="1"/>
      <c r="F114" s="1"/>
      <c r="G114" s="1"/>
      <c r="H114" s="1"/>
    </row>
    <row r="115" spans="1:8" x14ac:dyDescent="0.35">
      <c r="A115" s="5"/>
      <c r="B115" s="1"/>
      <c r="C115" s="1"/>
      <c r="D115" s="5"/>
      <c r="E115" s="1"/>
      <c r="F115" s="1"/>
      <c r="G115" s="1"/>
      <c r="H115" s="1"/>
    </row>
    <row r="116" spans="1:8" x14ac:dyDescent="0.35">
      <c r="A116" s="5"/>
      <c r="B116" s="1"/>
      <c r="C116" s="1"/>
      <c r="D116" s="5"/>
      <c r="E116" s="1"/>
      <c r="F116" s="1"/>
      <c r="G116" s="1"/>
      <c r="H116" s="1"/>
    </row>
    <row r="117" spans="1:8" x14ac:dyDescent="0.35">
      <c r="A117" s="5"/>
      <c r="B117" s="1"/>
      <c r="C117" s="1"/>
      <c r="D117" s="5"/>
      <c r="E117" s="1"/>
      <c r="F117" s="1"/>
      <c r="G117" s="1"/>
      <c r="H117" s="1"/>
    </row>
    <row r="118" spans="1:8" x14ac:dyDescent="0.35">
      <c r="A118" s="5"/>
      <c r="B118" s="1"/>
      <c r="C118" s="1"/>
      <c r="D118" s="5"/>
      <c r="E118" s="1"/>
      <c r="F118" s="1"/>
      <c r="G118" s="1"/>
      <c r="H118" s="1"/>
    </row>
    <row r="119" spans="1:8" x14ac:dyDescent="0.35">
      <c r="A119" s="5"/>
      <c r="B119" s="1"/>
      <c r="C119" s="1"/>
      <c r="D119" s="5"/>
      <c r="E119" s="1"/>
      <c r="F119" s="1"/>
      <c r="G119" s="1"/>
      <c r="H119" s="1"/>
    </row>
    <row r="120" spans="1:8" x14ac:dyDescent="0.35">
      <c r="A120" s="5"/>
      <c r="B120" s="1"/>
      <c r="C120" s="1"/>
      <c r="D120" s="5"/>
      <c r="E120" s="1"/>
      <c r="F120" s="1"/>
      <c r="G120" s="1"/>
      <c r="H120" s="1"/>
    </row>
    <row r="121" spans="1:8" x14ac:dyDescent="0.35">
      <c r="A121" s="5"/>
      <c r="B121" s="1"/>
      <c r="C121" s="1"/>
      <c r="D121" s="5"/>
      <c r="E121" s="1"/>
      <c r="F121" s="1"/>
      <c r="G121" s="1"/>
      <c r="H121" s="1"/>
    </row>
    <row r="122" spans="1:8" x14ac:dyDescent="0.35">
      <c r="A122" s="5"/>
      <c r="B122" s="1"/>
      <c r="C122" s="1"/>
      <c r="D122" s="5"/>
      <c r="E122" s="1"/>
      <c r="F122" s="1"/>
      <c r="G122" s="1"/>
      <c r="H122" s="1"/>
    </row>
    <row r="123" spans="1:8" x14ac:dyDescent="0.35">
      <c r="A123" s="5"/>
      <c r="B123" s="1"/>
      <c r="C123" s="1"/>
      <c r="D123" s="5"/>
      <c r="E123" s="1"/>
      <c r="F123" s="1"/>
      <c r="G123" s="1"/>
      <c r="H123" s="1"/>
    </row>
    <row r="124" spans="1:8" x14ac:dyDescent="0.35">
      <c r="A124" s="5"/>
      <c r="B124" s="1"/>
      <c r="C124" s="1"/>
      <c r="D124" s="5"/>
      <c r="E124" s="1"/>
      <c r="F124" s="1"/>
      <c r="G124" s="1"/>
      <c r="H124" s="1"/>
    </row>
    <row r="125" spans="1:8" x14ac:dyDescent="0.35">
      <c r="A125" s="5"/>
      <c r="B125" s="1"/>
      <c r="C125" s="1"/>
      <c r="D125" s="5"/>
      <c r="E125" s="1"/>
      <c r="F125" s="1"/>
      <c r="G125" s="1"/>
      <c r="H125" s="1"/>
    </row>
    <row r="126" spans="1:8" x14ac:dyDescent="0.35">
      <c r="A126" s="5"/>
      <c r="B126" s="1"/>
      <c r="C126" s="1"/>
      <c r="D126" s="5"/>
      <c r="E126" s="1"/>
      <c r="F126" s="1"/>
      <c r="G126" s="1"/>
      <c r="H126" s="1"/>
    </row>
    <row r="127" spans="1:8" x14ac:dyDescent="0.35">
      <c r="A127" s="5"/>
      <c r="B127" s="1"/>
      <c r="C127" s="1"/>
      <c r="D127" s="5"/>
      <c r="E127" s="1"/>
      <c r="F127" s="1"/>
      <c r="G127" s="1"/>
      <c r="H127" s="1"/>
    </row>
    <row r="128" spans="1:8" x14ac:dyDescent="0.35">
      <c r="A128" s="5"/>
      <c r="B128" s="1"/>
      <c r="C128" s="1"/>
      <c r="D128" s="5"/>
      <c r="E128" s="1"/>
      <c r="F128" s="1"/>
      <c r="G128" s="1"/>
      <c r="H128" s="1"/>
    </row>
    <row r="129" spans="1:8" x14ac:dyDescent="0.35">
      <c r="A129" s="5"/>
      <c r="B129" s="1"/>
      <c r="C129" s="1"/>
      <c r="D129" s="5"/>
      <c r="E129" s="1"/>
      <c r="F129" s="1"/>
      <c r="G129" s="1"/>
      <c r="H129" s="1"/>
    </row>
    <row r="130" spans="1:8" x14ac:dyDescent="0.35">
      <c r="A130" s="5"/>
      <c r="B130" s="1"/>
      <c r="C130" s="1"/>
      <c r="D130" s="5"/>
      <c r="E130" s="1"/>
      <c r="F130" s="1"/>
      <c r="G130" s="1"/>
      <c r="H130" s="1"/>
    </row>
    <row r="131" spans="1:8" x14ac:dyDescent="0.35">
      <c r="A131" s="5"/>
      <c r="B131" s="1"/>
      <c r="C131" s="1"/>
      <c r="D131" s="5"/>
      <c r="E131" s="1"/>
      <c r="F131" s="1"/>
      <c r="G131" s="1"/>
      <c r="H131" s="1"/>
    </row>
    <row r="132" spans="1:8" x14ac:dyDescent="0.35">
      <c r="A132" s="5"/>
      <c r="B132" s="1"/>
      <c r="C132" s="1"/>
      <c r="D132" s="5"/>
      <c r="E132" s="1"/>
      <c r="F132" s="1"/>
      <c r="G132" s="1"/>
      <c r="H132" s="1"/>
    </row>
    <row r="133" spans="1:8" x14ac:dyDescent="0.35">
      <c r="A133" s="5"/>
      <c r="B133" s="1"/>
      <c r="C133" s="1"/>
      <c r="D133" s="5"/>
      <c r="E133" s="1"/>
      <c r="F133" s="1"/>
      <c r="G133" s="1"/>
      <c r="H133" s="1"/>
    </row>
    <row r="134" spans="1:8" x14ac:dyDescent="0.35">
      <c r="A134" s="5"/>
      <c r="B134" s="1"/>
      <c r="C134" s="1"/>
      <c r="D134" s="5"/>
      <c r="E134" s="1"/>
      <c r="F134" s="1"/>
      <c r="G134" s="1"/>
      <c r="H134" s="1"/>
    </row>
    <row r="135" spans="1:8" x14ac:dyDescent="0.35">
      <c r="A135" s="5"/>
      <c r="B135" s="1"/>
      <c r="C135" s="1"/>
      <c r="D135" s="5"/>
      <c r="E135" s="1"/>
      <c r="F135" s="1"/>
      <c r="G135" s="1"/>
      <c r="H135" s="1"/>
    </row>
    <row r="136" spans="1:8" x14ac:dyDescent="0.35">
      <c r="A136" s="5"/>
      <c r="B136" s="1"/>
      <c r="C136" s="1"/>
      <c r="D136" s="5"/>
      <c r="E136" s="1"/>
      <c r="F136" s="1"/>
      <c r="G136" s="1"/>
      <c r="H136" s="1"/>
    </row>
    <row r="137" spans="1:8" x14ac:dyDescent="0.35">
      <c r="A137" s="5"/>
      <c r="B137" s="1"/>
      <c r="C137" s="1"/>
      <c r="D137" s="5"/>
      <c r="E137" s="1"/>
      <c r="F137" s="1"/>
      <c r="G137" s="1"/>
      <c r="H137" s="1"/>
    </row>
    <row r="138" spans="1:8" x14ac:dyDescent="0.35">
      <c r="A138" s="5"/>
      <c r="B138" s="1"/>
      <c r="C138" s="1"/>
      <c r="D138" s="5"/>
      <c r="E138" s="1"/>
      <c r="F138" s="1"/>
      <c r="G138" s="1"/>
      <c r="H138" s="1"/>
    </row>
    <row r="139" spans="1:8" x14ac:dyDescent="0.35">
      <c r="A139" s="5"/>
      <c r="B139" s="1"/>
      <c r="C139" s="1"/>
      <c r="D139" s="5"/>
      <c r="E139" s="1"/>
      <c r="F139" s="1"/>
      <c r="G139" s="1"/>
      <c r="H139" s="1"/>
    </row>
    <row r="140" spans="1:8" x14ac:dyDescent="0.35">
      <c r="A140" s="5"/>
      <c r="B140" s="1"/>
      <c r="C140" s="1"/>
      <c r="D140" s="5"/>
      <c r="E140" s="1"/>
      <c r="F140" s="1"/>
      <c r="G140" s="1"/>
      <c r="H140" s="1"/>
    </row>
    <row r="141" spans="1:8" x14ac:dyDescent="0.35">
      <c r="A141" s="5"/>
      <c r="B141" s="1"/>
      <c r="C141" s="1"/>
      <c r="D141" s="5"/>
      <c r="E141" s="1"/>
      <c r="F141" s="1"/>
      <c r="G141" s="1"/>
      <c r="H141" s="1"/>
    </row>
    <row r="142" spans="1:8" x14ac:dyDescent="0.35">
      <c r="A142" s="5"/>
      <c r="B142" s="1"/>
      <c r="C142" s="1"/>
      <c r="D142" s="5"/>
      <c r="E142" s="1"/>
      <c r="F142" s="1"/>
      <c r="G142" s="1"/>
      <c r="H142" s="1"/>
    </row>
    <row r="143" spans="1:8" x14ac:dyDescent="0.35">
      <c r="A143" s="5"/>
      <c r="B143" s="1"/>
      <c r="C143" s="1"/>
      <c r="D143" s="5"/>
      <c r="E143" s="1"/>
      <c r="F143" s="1"/>
      <c r="G143" s="1"/>
      <c r="H143" s="1"/>
    </row>
    <row r="144" spans="1:8" x14ac:dyDescent="0.35">
      <c r="A144" s="5"/>
      <c r="B144" s="1"/>
      <c r="C144" s="1"/>
      <c r="D144" s="5"/>
      <c r="E144" s="1"/>
      <c r="F144" s="1"/>
      <c r="G144" s="1"/>
      <c r="H144" s="1"/>
    </row>
    <row r="145" spans="1:8" x14ac:dyDescent="0.35">
      <c r="A145" s="5"/>
      <c r="B145" s="1"/>
      <c r="C145" s="1"/>
      <c r="D145" s="5"/>
      <c r="E145" s="1"/>
      <c r="F145" s="1"/>
      <c r="G145" s="1"/>
      <c r="H145" s="1"/>
    </row>
    <row r="146" spans="1:8" x14ac:dyDescent="0.35">
      <c r="A146" s="5"/>
      <c r="B146" s="1"/>
      <c r="C146" s="1"/>
      <c r="D146" s="5"/>
      <c r="E146" s="1"/>
      <c r="F146" s="1"/>
      <c r="G146" s="1"/>
      <c r="H146" s="1"/>
    </row>
    <row r="147" spans="1:8" x14ac:dyDescent="0.35">
      <c r="A147" s="5"/>
      <c r="B147" s="1"/>
      <c r="C147" s="1"/>
      <c r="D147" s="5"/>
      <c r="E147" s="1"/>
      <c r="F147" s="1"/>
      <c r="G147" s="1"/>
      <c r="H147" s="1"/>
    </row>
    <row r="148" spans="1:8" x14ac:dyDescent="0.35">
      <c r="A148" s="5"/>
      <c r="B148" s="1"/>
      <c r="C148" s="1"/>
      <c r="D148" s="5"/>
      <c r="E148" s="1"/>
      <c r="F148" s="1"/>
      <c r="G148" s="1"/>
      <c r="H148" s="1"/>
    </row>
    <row r="149" spans="1:8" x14ac:dyDescent="0.35">
      <c r="A149" s="5"/>
      <c r="B149" s="1"/>
      <c r="C149" s="1"/>
      <c r="D149" s="5"/>
      <c r="E149" s="1"/>
      <c r="F149" s="1"/>
      <c r="G149" s="1"/>
      <c r="H149" s="1"/>
    </row>
    <row r="150" spans="1:8" x14ac:dyDescent="0.35">
      <c r="A150" s="5"/>
      <c r="B150" s="1"/>
      <c r="C150" s="1"/>
      <c r="D150" s="5"/>
      <c r="E150" s="1"/>
      <c r="F150" s="1"/>
      <c r="G150" s="1"/>
      <c r="H150" s="1"/>
    </row>
    <row r="151" spans="1:8" x14ac:dyDescent="0.35">
      <c r="A151" s="5"/>
      <c r="B151" s="1"/>
      <c r="C151" s="1"/>
      <c r="D151" s="5"/>
      <c r="E151" s="1"/>
      <c r="F151" s="1"/>
      <c r="G151" s="1"/>
      <c r="H151" s="1"/>
    </row>
    <row r="152" spans="1:8" x14ac:dyDescent="0.35">
      <c r="A152" s="5"/>
      <c r="B152" s="1"/>
      <c r="C152" s="1"/>
      <c r="D152" s="5"/>
      <c r="E152" s="1"/>
      <c r="F152" s="1"/>
      <c r="G152" s="1"/>
      <c r="H152" s="1"/>
    </row>
    <row r="153" spans="1:8" x14ac:dyDescent="0.35">
      <c r="A153" s="5"/>
      <c r="B153" s="1"/>
      <c r="C153" s="1"/>
      <c r="D153" s="5"/>
      <c r="E153" s="1"/>
      <c r="F153" s="1"/>
      <c r="G153" s="1"/>
      <c r="H153" s="1"/>
    </row>
    <row r="154" spans="1:8" x14ac:dyDescent="0.35">
      <c r="A154" s="5"/>
      <c r="B154" s="1"/>
      <c r="C154" s="1"/>
      <c r="D154" s="5"/>
      <c r="E154" s="1"/>
      <c r="F154" s="1"/>
      <c r="G154" s="1"/>
      <c r="H154" s="1"/>
    </row>
    <row r="155" spans="1:8" x14ac:dyDescent="0.35">
      <c r="A155" s="5"/>
      <c r="B155" s="1"/>
      <c r="C155" s="1"/>
      <c r="D155" s="5"/>
      <c r="E155" s="1"/>
      <c r="F155" s="1"/>
      <c r="G155" s="1"/>
      <c r="H155" s="1"/>
    </row>
    <row r="156" spans="1:8" x14ac:dyDescent="0.35">
      <c r="A156" s="5"/>
      <c r="B156" s="1"/>
      <c r="C156" s="1"/>
      <c r="D156" s="5"/>
      <c r="E156" s="1"/>
      <c r="F156" s="1"/>
      <c r="G156" s="1"/>
      <c r="H156" s="1"/>
    </row>
    <row r="157" spans="1:8" x14ac:dyDescent="0.35">
      <c r="A157" s="5"/>
      <c r="B157" s="1"/>
      <c r="C157" s="1"/>
      <c r="D157" s="5"/>
      <c r="E157" s="1"/>
      <c r="F157" s="1"/>
      <c r="G157" s="1"/>
      <c r="H157" s="1"/>
    </row>
    <row r="158" spans="1:8" x14ac:dyDescent="0.35">
      <c r="A158" s="5"/>
      <c r="B158" s="1"/>
      <c r="C158" s="1"/>
      <c r="D158" s="5"/>
      <c r="E158" s="1"/>
      <c r="F158" s="1"/>
      <c r="G158" s="1"/>
      <c r="H158" s="1"/>
    </row>
    <row r="159" spans="1:8" x14ac:dyDescent="0.35">
      <c r="A159" s="5"/>
      <c r="B159" s="1"/>
      <c r="C159" s="1"/>
      <c r="D159" s="5"/>
      <c r="E159" s="1"/>
      <c r="F159" s="1"/>
      <c r="G159" s="1"/>
      <c r="H159" s="1"/>
    </row>
    <row r="160" spans="1:8" x14ac:dyDescent="0.35">
      <c r="A160" s="5"/>
      <c r="B160" s="1"/>
      <c r="C160" s="1"/>
      <c r="D160" s="5"/>
      <c r="E160" s="1"/>
      <c r="F160" s="1"/>
      <c r="G160" s="1"/>
      <c r="H160" s="1"/>
    </row>
    <row r="161" spans="1:8" x14ac:dyDescent="0.35">
      <c r="A161" s="5"/>
      <c r="B161" s="1"/>
      <c r="C161" s="1"/>
      <c r="D161" s="5"/>
      <c r="E161" s="1"/>
      <c r="F161" s="1"/>
      <c r="G161" s="1"/>
      <c r="H161" s="1"/>
    </row>
    <row r="162" spans="1:8" x14ac:dyDescent="0.35">
      <c r="A162" s="5"/>
      <c r="B162" s="1"/>
      <c r="C162" s="1"/>
      <c r="D162" s="5"/>
      <c r="E162" s="1"/>
      <c r="F162" s="1"/>
      <c r="G162" s="1"/>
      <c r="H162" s="1"/>
    </row>
    <row r="163" spans="1:8" x14ac:dyDescent="0.35">
      <c r="A163" s="5"/>
      <c r="B163" s="1"/>
      <c r="C163" s="1"/>
      <c r="D163" s="5"/>
      <c r="E163" s="1"/>
      <c r="F163" s="1"/>
      <c r="G163" s="1"/>
      <c r="H163" s="1"/>
    </row>
    <row r="164" spans="1:8" x14ac:dyDescent="0.35">
      <c r="A164" s="5"/>
      <c r="B164" s="1"/>
      <c r="C164" s="1"/>
      <c r="D164" s="5"/>
      <c r="E164" s="1"/>
      <c r="F164" s="1"/>
      <c r="G164" s="1"/>
      <c r="H164" s="1"/>
    </row>
    <row r="165" spans="1:8" x14ac:dyDescent="0.35">
      <c r="A165" s="5"/>
      <c r="B165" s="1"/>
      <c r="C165" s="1"/>
      <c r="D165" s="5"/>
      <c r="E165" s="1"/>
      <c r="F165" s="1"/>
      <c r="G165" s="1"/>
      <c r="H165" s="1"/>
    </row>
    <row r="166" spans="1:8" x14ac:dyDescent="0.35">
      <c r="A166" s="5"/>
      <c r="B166" s="1"/>
      <c r="C166" s="1"/>
      <c r="D166" s="5"/>
      <c r="E166" s="1"/>
      <c r="F166" s="1"/>
      <c r="G166" s="1"/>
      <c r="H166" s="1"/>
    </row>
    <row r="167" spans="1:8" x14ac:dyDescent="0.35">
      <c r="A167" s="5"/>
      <c r="B167" s="1"/>
      <c r="C167" s="1"/>
      <c r="D167" s="5"/>
      <c r="E167" s="1"/>
      <c r="F167" s="1"/>
      <c r="G167" s="1"/>
      <c r="H167" s="1"/>
    </row>
    <row r="168" spans="1:8" x14ac:dyDescent="0.35">
      <c r="A168" s="5"/>
      <c r="B168" s="1"/>
      <c r="C168" s="1"/>
      <c r="D168" s="5"/>
      <c r="E168" s="1"/>
      <c r="F168" s="1"/>
      <c r="G168" s="1"/>
      <c r="H168" s="1"/>
    </row>
    <row r="169" spans="1:8" x14ac:dyDescent="0.35">
      <c r="A169" s="5"/>
      <c r="B169" s="1"/>
      <c r="C169" s="1"/>
      <c r="D169" s="5"/>
      <c r="E169" s="1"/>
      <c r="F169" s="1"/>
      <c r="G169" s="1"/>
      <c r="H169" s="1"/>
    </row>
    <row r="170" spans="1:8" x14ac:dyDescent="0.35">
      <c r="A170" s="5"/>
      <c r="B170" s="1"/>
      <c r="C170" s="1"/>
      <c r="D170" s="5"/>
      <c r="E170" s="1"/>
      <c r="F170" s="1"/>
      <c r="G170" s="1"/>
      <c r="H170" s="1"/>
    </row>
    <row r="171" spans="1:8" x14ac:dyDescent="0.35">
      <c r="A171" s="5"/>
      <c r="B171" s="1"/>
      <c r="C171" s="1"/>
      <c r="D171" s="5"/>
      <c r="E171" s="1"/>
      <c r="F171" s="1"/>
      <c r="G171" s="1"/>
      <c r="H171" s="1"/>
    </row>
    <row r="172" spans="1:8" x14ac:dyDescent="0.35">
      <c r="A172" s="5"/>
      <c r="B172" s="1"/>
      <c r="C172" s="1"/>
      <c r="D172" s="5"/>
      <c r="E172" s="1"/>
      <c r="F172" s="1"/>
      <c r="G172" s="1"/>
      <c r="H172" s="1"/>
    </row>
    <row r="173" spans="1:8" x14ac:dyDescent="0.35">
      <c r="A173" s="5"/>
      <c r="B173" s="1"/>
      <c r="C173" s="1"/>
      <c r="D173" s="5"/>
      <c r="E173" s="1"/>
      <c r="F173" s="1"/>
      <c r="G173" s="1"/>
      <c r="H173" s="1"/>
    </row>
    <row r="174" spans="1:8" x14ac:dyDescent="0.35">
      <c r="A174" s="5"/>
      <c r="B174" s="1"/>
      <c r="C174" s="1"/>
      <c r="D174" s="5"/>
      <c r="E174" s="1"/>
      <c r="F174" s="1"/>
      <c r="G174" s="1"/>
      <c r="H174" s="1"/>
    </row>
    <row r="175" spans="1:8" x14ac:dyDescent="0.35">
      <c r="A175" s="5"/>
      <c r="B175" s="1"/>
      <c r="C175" s="1"/>
      <c r="D175" s="5"/>
      <c r="E175" s="1"/>
      <c r="F175" s="1"/>
      <c r="G175" s="1"/>
      <c r="H175" s="1"/>
    </row>
    <row r="176" spans="1:8" x14ac:dyDescent="0.35">
      <c r="A176" s="5"/>
      <c r="B176" s="1"/>
      <c r="C176" s="1"/>
      <c r="D176" s="5"/>
      <c r="E176" s="1"/>
      <c r="F176" s="1"/>
      <c r="G176" s="1"/>
      <c r="H176" s="1"/>
    </row>
    <row r="177" spans="1:8" x14ac:dyDescent="0.35">
      <c r="A177" s="5"/>
      <c r="B177" s="1"/>
      <c r="C177" s="1"/>
      <c r="D177" s="5"/>
      <c r="E177" s="1"/>
      <c r="F177" s="1"/>
      <c r="G177" s="1"/>
      <c r="H177" s="1"/>
    </row>
    <row r="178" spans="1:8" x14ac:dyDescent="0.35">
      <c r="A178" s="5"/>
      <c r="B178" s="1"/>
      <c r="C178" s="1"/>
      <c r="D178" s="5"/>
      <c r="E178" s="1"/>
      <c r="F178" s="1"/>
      <c r="G178" s="1"/>
      <c r="H178" s="1"/>
    </row>
    <row r="179" spans="1:8" x14ac:dyDescent="0.35">
      <c r="A179" s="5"/>
      <c r="B179" s="1"/>
      <c r="C179" s="1"/>
      <c r="D179" s="5"/>
      <c r="E179" s="1"/>
      <c r="F179" s="1"/>
      <c r="G179" s="1"/>
      <c r="H179" s="1"/>
    </row>
    <row r="180" spans="1:8" x14ac:dyDescent="0.35">
      <c r="A180" s="5"/>
      <c r="B180" s="1"/>
      <c r="C180" s="1"/>
      <c r="D180" s="5"/>
      <c r="E180" s="1"/>
      <c r="F180" s="1"/>
      <c r="G180" s="1"/>
      <c r="H180" s="1"/>
    </row>
    <row r="181" spans="1:8" x14ac:dyDescent="0.35">
      <c r="A181" s="5"/>
      <c r="B181" s="1"/>
      <c r="C181" s="1"/>
      <c r="D181" s="5"/>
      <c r="E181" s="1"/>
      <c r="F181" s="1"/>
      <c r="G181" s="1"/>
      <c r="H181" s="1"/>
    </row>
    <row r="182" spans="1:8" x14ac:dyDescent="0.35">
      <c r="A182" s="5"/>
      <c r="B182" s="1"/>
      <c r="C182" s="1"/>
      <c r="D182" s="5"/>
      <c r="E182" s="1"/>
      <c r="F182" s="1"/>
      <c r="G182" s="1"/>
      <c r="H182" s="1"/>
    </row>
    <row r="183" spans="1:8" x14ac:dyDescent="0.35">
      <c r="A183" s="5"/>
      <c r="B183" s="1"/>
      <c r="C183" s="1"/>
      <c r="D183" s="5"/>
      <c r="E183" s="1"/>
      <c r="F183" s="1"/>
      <c r="G183" s="1"/>
      <c r="H183" s="1"/>
    </row>
    <row r="184" spans="1:8" x14ac:dyDescent="0.35">
      <c r="A184" s="5"/>
      <c r="B184" s="1"/>
      <c r="C184" s="1"/>
      <c r="D184" s="5"/>
      <c r="E184" s="1"/>
      <c r="F184" s="1"/>
      <c r="G184" s="1"/>
      <c r="H184" s="1"/>
    </row>
    <row r="185" spans="1:8" x14ac:dyDescent="0.35">
      <c r="A185" s="5"/>
      <c r="B185" s="1"/>
      <c r="C185" s="1"/>
      <c r="D185" s="5"/>
      <c r="E185" s="1"/>
      <c r="F185" s="1"/>
      <c r="G185" s="1"/>
      <c r="H185" s="1"/>
    </row>
    <row r="186" spans="1:8" x14ac:dyDescent="0.35">
      <c r="A186" s="5"/>
      <c r="B186" s="1"/>
      <c r="C186" s="1"/>
      <c r="D186" s="5"/>
      <c r="E186" s="1"/>
      <c r="F186" s="1"/>
      <c r="G186" s="1"/>
      <c r="H186" s="1"/>
    </row>
    <row r="187" spans="1:8" x14ac:dyDescent="0.35">
      <c r="A187" s="5"/>
      <c r="B187" s="1"/>
      <c r="C187" s="1"/>
      <c r="D187" s="5"/>
      <c r="E187" s="1"/>
      <c r="F187" s="1"/>
      <c r="G187" s="1"/>
      <c r="H187" s="1"/>
    </row>
    <row r="188" spans="1:8" x14ac:dyDescent="0.35">
      <c r="A188" s="5"/>
      <c r="B188" s="1"/>
      <c r="C188" s="1"/>
      <c r="D188" s="5"/>
      <c r="E188" s="1"/>
      <c r="F188" s="1"/>
      <c r="G188" s="1"/>
      <c r="H188" s="1"/>
    </row>
    <row r="189" spans="1:8" x14ac:dyDescent="0.35">
      <c r="A189" s="5"/>
      <c r="B189" s="1"/>
      <c r="C189" s="1"/>
      <c r="D189" s="5"/>
      <c r="E189" s="1"/>
      <c r="F189" s="1"/>
      <c r="G189" s="1"/>
      <c r="H189" s="1"/>
    </row>
    <row r="190" spans="1:8" x14ac:dyDescent="0.35">
      <c r="A190" s="5"/>
      <c r="B190" s="1"/>
      <c r="C190" s="1"/>
      <c r="D190" s="5"/>
      <c r="E190" s="1"/>
      <c r="F190" s="1"/>
      <c r="G190" s="1"/>
      <c r="H190" s="1"/>
    </row>
    <row r="191" spans="1:8" x14ac:dyDescent="0.35">
      <c r="A191" s="5"/>
      <c r="B191" s="1"/>
      <c r="C191" s="1"/>
      <c r="D191" s="5"/>
      <c r="E191" s="1"/>
      <c r="F191" s="1"/>
      <c r="G191" s="1"/>
      <c r="H191" s="1"/>
    </row>
    <row r="192" spans="1:8" x14ac:dyDescent="0.35">
      <c r="A192" s="5"/>
      <c r="B192" s="1"/>
      <c r="C192" s="1"/>
      <c r="D192" s="5"/>
      <c r="E192" s="1"/>
      <c r="F192" s="1"/>
      <c r="G192" s="1"/>
      <c r="H192" s="1"/>
    </row>
    <row r="193" spans="1:8" x14ac:dyDescent="0.35">
      <c r="A193" s="5"/>
      <c r="B193" s="1"/>
      <c r="C193" s="1"/>
      <c r="D193" s="5"/>
      <c r="E193" s="1"/>
      <c r="F193" s="1"/>
      <c r="G193" s="1"/>
      <c r="H193" s="1"/>
    </row>
    <row r="194" spans="1:8" x14ac:dyDescent="0.35">
      <c r="A194" s="5"/>
      <c r="B194" s="1"/>
      <c r="C194" s="1"/>
      <c r="D194" s="5"/>
      <c r="E194" s="1"/>
      <c r="F194" s="1"/>
      <c r="G194" s="1"/>
      <c r="H194" s="1"/>
    </row>
    <row r="195" spans="1:8" x14ac:dyDescent="0.35">
      <c r="A195" s="5"/>
      <c r="B195" s="1"/>
      <c r="C195" s="1"/>
      <c r="D195" s="5"/>
      <c r="E195" s="1"/>
      <c r="F195" s="1"/>
      <c r="G195" s="1"/>
      <c r="H195" s="1"/>
    </row>
    <row r="196" spans="1:8" x14ac:dyDescent="0.35">
      <c r="A196" s="5"/>
      <c r="B196" s="1"/>
      <c r="C196" s="1"/>
      <c r="D196" s="5"/>
      <c r="E196" s="1"/>
      <c r="F196" s="1"/>
      <c r="G196" s="1"/>
      <c r="H196" s="1"/>
    </row>
    <row r="197" spans="1:8" x14ac:dyDescent="0.35">
      <c r="A197" s="5"/>
      <c r="B197" s="1"/>
      <c r="C197" s="1"/>
      <c r="D197" s="5"/>
      <c r="E197" s="1"/>
      <c r="F197" s="1"/>
      <c r="G197" s="1"/>
      <c r="H197" s="1"/>
    </row>
    <row r="198" spans="1:8" x14ac:dyDescent="0.35">
      <c r="A198" s="5"/>
      <c r="B198" s="1"/>
      <c r="C198" s="1"/>
      <c r="D198" s="5"/>
      <c r="E198" s="1"/>
      <c r="F198" s="1"/>
      <c r="G198" s="1"/>
      <c r="H198" s="1"/>
    </row>
    <row r="199" spans="1:8" x14ac:dyDescent="0.35">
      <c r="A199" s="5"/>
      <c r="B199" s="1"/>
      <c r="C199" s="1"/>
      <c r="D199" s="5"/>
      <c r="E199" s="1"/>
      <c r="F199" s="1"/>
      <c r="G199" s="1"/>
      <c r="H199" s="1"/>
    </row>
    <row r="200" spans="1:8" x14ac:dyDescent="0.35">
      <c r="A200" s="5"/>
      <c r="B200" s="1"/>
      <c r="C200" s="1"/>
      <c r="D200" s="5"/>
      <c r="E200" s="1"/>
      <c r="F200" s="1"/>
      <c r="G200" s="1"/>
      <c r="H200" s="1"/>
    </row>
    <row r="201" spans="1:8" x14ac:dyDescent="0.35">
      <c r="A201" s="5"/>
      <c r="B201" s="1"/>
      <c r="C201" s="1"/>
      <c r="D201" s="5"/>
      <c r="E201" s="1"/>
      <c r="F201" s="1"/>
      <c r="G201" s="1"/>
      <c r="H201" s="1"/>
    </row>
    <row r="202" spans="1:8" x14ac:dyDescent="0.35">
      <c r="A202" s="5"/>
      <c r="B202" s="1"/>
      <c r="C202" s="1"/>
      <c r="D202" s="5"/>
      <c r="E202" s="1"/>
      <c r="F202" s="1"/>
      <c r="G202" s="1"/>
      <c r="H202" s="1"/>
    </row>
    <row r="203" spans="1:8" x14ac:dyDescent="0.35">
      <c r="A203" s="5"/>
      <c r="B203" s="1"/>
      <c r="C203" s="1"/>
      <c r="D203" s="5"/>
      <c r="E203" s="1"/>
      <c r="F203" s="1"/>
      <c r="G203" s="1"/>
      <c r="H203" s="1"/>
    </row>
    <row r="204" spans="1:8" x14ac:dyDescent="0.35">
      <c r="A204" s="5"/>
      <c r="B204" s="1"/>
      <c r="C204" s="1"/>
      <c r="D204" s="5"/>
      <c r="E204" s="1"/>
      <c r="F204" s="1"/>
      <c r="G204" s="1"/>
      <c r="H204" s="1"/>
    </row>
    <row r="205" spans="1:8" x14ac:dyDescent="0.35">
      <c r="A205" s="5"/>
      <c r="B205" s="1"/>
      <c r="C205" s="1"/>
      <c r="D205" s="5"/>
      <c r="E205" s="1"/>
      <c r="F205" s="1"/>
      <c r="G205" s="1"/>
      <c r="H205" s="1"/>
    </row>
    <row r="206" spans="1:8" x14ac:dyDescent="0.35">
      <c r="A206" s="5"/>
      <c r="B206" s="1"/>
      <c r="C206" s="1"/>
      <c r="D206" s="5"/>
      <c r="E206" s="1"/>
      <c r="F206" s="1"/>
      <c r="G206" s="1"/>
      <c r="H206" s="1"/>
    </row>
    <row r="207" spans="1:8" x14ac:dyDescent="0.35">
      <c r="A207" s="5"/>
      <c r="B207" s="1"/>
      <c r="C207" s="1"/>
      <c r="D207" s="5"/>
      <c r="E207" s="1"/>
      <c r="F207" s="1"/>
      <c r="G207" s="1"/>
      <c r="H207" s="1"/>
    </row>
    <row r="208" spans="1:8" x14ac:dyDescent="0.35">
      <c r="A208" s="5"/>
      <c r="B208" s="1"/>
      <c r="C208" s="1"/>
      <c r="D208" s="5"/>
      <c r="E208" s="1"/>
      <c r="F208" s="1"/>
      <c r="G208" s="1"/>
      <c r="H208" s="1"/>
    </row>
    <row r="209" spans="1:8" x14ac:dyDescent="0.35">
      <c r="A209" s="5"/>
      <c r="B209" s="1"/>
      <c r="C209" s="1"/>
      <c r="D209" s="5"/>
      <c r="E209" s="1"/>
      <c r="F209" s="1"/>
      <c r="G209" s="1"/>
      <c r="H209" s="1"/>
    </row>
    <row r="210" spans="1:8" x14ac:dyDescent="0.35">
      <c r="A210" s="5"/>
      <c r="B210" s="1"/>
      <c r="C210" s="1"/>
      <c r="D210" s="5"/>
      <c r="E210" s="1"/>
      <c r="F210" s="1"/>
      <c r="G210" s="1"/>
      <c r="H210" s="1"/>
    </row>
    <row r="211" spans="1:8" x14ac:dyDescent="0.35">
      <c r="A211" s="5"/>
      <c r="B211" s="1"/>
      <c r="C211" s="1"/>
      <c r="D211" s="5"/>
      <c r="E211" s="1"/>
      <c r="F211" s="1"/>
      <c r="G211" s="1"/>
      <c r="H211" s="1"/>
    </row>
    <row r="212" spans="1:8" x14ac:dyDescent="0.35">
      <c r="A212" s="5"/>
      <c r="B212" s="1"/>
      <c r="C212" s="1"/>
      <c r="D212" s="5"/>
      <c r="E212" s="1"/>
      <c r="F212" s="1"/>
      <c r="G212" s="1"/>
      <c r="H212" s="1"/>
    </row>
    <row r="213" spans="1:8" x14ac:dyDescent="0.35">
      <c r="A213" s="5"/>
      <c r="B213" s="1"/>
      <c r="C213" s="1"/>
      <c r="D213" s="5"/>
      <c r="E213" s="1"/>
      <c r="F213" s="1"/>
      <c r="G213" s="1"/>
      <c r="H213" s="1"/>
    </row>
    <row r="214" spans="1:8" x14ac:dyDescent="0.35">
      <c r="A214" s="5"/>
      <c r="B214" s="1"/>
      <c r="C214" s="1"/>
      <c r="D214" s="5"/>
      <c r="E214" s="1"/>
      <c r="F214" s="1"/>
      <c r="G214" s="1"/>
      <c r="H214" s="1"/>
    </row>
    <row r="215" spans="1:8" x14ac:dyDescent="0.35">
      <c r="A215" s="5"/>
      <c r="B215" s="1"/>
      <c r="C215" s="1"/>
      <c r="D215" s="5"/>
      <c r="E215" s="1"/>
      <c r="F215" s="1"/>
      <c r="G215" s="1"/>
      <c r="H215" s="1"/>
    </row>
    <row r="216" spans="1:8" x14ac:dyDescent="0.35">
      <c r="A216" s="5"/>
      <c r="B216" s="1"/>
      <c r="C216" s="1"/>
      <c r="D216" s="5"/>
      <c r="E216" s="1"/>
      <c r="F216" s="1"/>
      <c r="G216" s="1"/>
      <c r="H216" s="1"/>
    </row>
    <row r="217" spans="1:8" x14ac:dyDescent="0.35">
      <c r="A217" s="5"/>
      <c r="B217" s="1"/>
      <c r="C217" s="1"/>
      <c r="D217" s="5"/>
      <c r="E217" s="1"/>
      <c r="F217" s="1"/>
      <c r="G217" s="1"/>
      <c r="H217" s="1"/>
    </row>
    <row r="218" spans="1:8" x14ac:dyDescent="0.35">
      <c r="A218" s="5"/>
      <c r="B218" s="1"/>
      <c r="C218" s="1"/>
      <c r="D218" s="5"/>
      <c r="E218" s="1"/>
      <c r="F218" s="1"/>
      <c r="G218" s="1"/>
      <c r="H218" s="1"/>
    </row>
    <row r="219" spans="1:8" x14ac:dyDescent="0.35">
      <c r="A219" s="5"/>
      <c r="B219" s="1"/>
      <c r="C219" s="1"/>
      <c r="D219" s="5"/>
      <c r="E219" s="1"/>
      <c r="F219" s="1"/>
      <c r="G219" s="1"/>
      <c r="H219" s="1"/>
    </row>
    <row r="220" spans="1:8" x14ac:dyDescent="0.35">
      <c r="A220" s="5"/>
      <c r="B220" s="1"/>
      <c r="C220" s="1"/>
      <c r="D220" s="5"/>
      <c r="E220" s="1"/>
      <c r="F220" s="1"/>
      <c r="G220" s="1"/>
      <c r="H220" s="1"/>
    </row>
    <row r="221" spans="1:8" x14ac:dyDescent="0.35">
      <c r="A221" s="5"/>
      <c r="B221" s="1"/>
      <c r="C221" s="1"/>
      <c r="D221" s="5"/>
      <c r="E221" s="1"/>
      <c r="F221" s="1"/>
      <c r="G221" s="1"/>
      <c r="H221" s="1"/>
    </row>
    <row r="222" spans="1:8" x14ac:dyDescent="0.35">
      <c r="A222" s="5"/>
      <c r="B222" s="1"/>
      <c r="C222" s="1"/>
      <c r="D222" s="5"/>
      <c r="E222" s="1"/>
      <c r="F222" s="1"/>
      <c r="G222" s="1"/>
      <c r="H222" s="1"/>
    </row>
    <row r="223" spans="1:8" x14ac:dyDescent="0.35">
      <c r="A223" s="5"/>
      <c r="B223" s="1"/>
      <c r="C223" s="1"/>
      <c r="D223" s="5"/>
      <c r="E223" s="1"/>
      <c r="F223" s="1"/>
      <c r="G223" s="1"/>
      <c r="H223" s="1"/>
    </row>
    <row r="224" spans="1:8" x14ac:dyDescent="0.35">
      <c r="A224" s="5"/>
      <c r="B224" s="1"/>
      <c r="C224" s="1"/>
      <c r="D224" s="5"/>
      <c r="E224" s="1"/>
      <c r="F224" s="1"/>
      <c r="G224" s="1"/>
      <c r="H224" s="1"/>
    </row>
    <row r="225" spans="1:8" x14ac:dyDescent="0.35">
      <c r="A225" s="5"/>
      <c r="B225" s="1"/>
      <c r="C225" s="1"/>
      <c r="D225" s="5"/>
      <c r="E225" s="1"/>
      <c r="F225" s="1"/>
      <c r="G225" s="1"/>
      <c r="H225" s="1"/>
    </row>
    <row r="226" spans="1:8" x14ac:dyDescent="0.35">
      <c r="A226" s="5"/>
      <c r="B226" s="1"/>
      <c r="C226" s="1"/>
      <c r="D226" s="5"/>
      <c r="E226" s="1"/>
      <c r="F226" s="1"/>
      <c r="G226" s="1"/>
      <c r="H226" s="1"/>
    </row>
    <row r="227" spans="1:8" x14ac:dyDescent="0.35">
      <c r="A227" s="5"/>
      <c r="B227" s="1"/>
      <c r="C227" s="1"/>
      <c r="D227" s="5"/>
      <c r="E227" s="1"/>
      <c r="F227" s="1"/>
      <c r="G227" s="1"/>
      <c r="H227" s="1"/>
    </row>
    <row r="228" spans="1:8" x14ac:dyDescent="0.35">
      <c r="A228" s="5"/>
      <c r="B228" s="1"/>
      <c r="C228" s="1"/>
      <c r="D228" s="5"/>
      <c r="E228" s="1"/>
      <c r="F228" s="1"/>
      <c r="G228" s="1"/>
      <c r="H228" s="1"/>
    </row>
    <row r="229" spans="1:8" x14ac:dyDescent="0.35">
      <c r="A229" s="5"/>
      <c r="B229" s="1"/>
      <c r="C229" s="1"/>
      <c r="D229" s="5"/>
      <c r="E229" s="1"/>
      <c r="F229" s="1"/>
      <c r="G229" s="1"/>
      <c r="H229" s="1"/>
    </row>
    <row r="230" spans="1:8" x14ac:dyDescent="0.35">
      <c r="A230" s="5"/>
      <c r="B230" s="1"/>
      <c r="C230" s="1"/>
      <c r="D230" s="5"/>
      <c r="E230" s="1"/>
      <c r="F230" s="1"/>
      <c r="G230" s="1"/>
      <c r="H230" s="1"/>
    </row>
    <row r="231" spans="1:8" x14ac:dyDescent="0.35">
      <c r="A231" s="5"/>
      <c r="B231" s="1"/>
      <c r="C231" s="1"/>
      <c r="D231" s="5"/>
      <c r="E231" s="1"/>
      <c r="F231" s="1"/>
      <c r="G231" s="1"/>
      <c r="H231" s="1"/>
    </row>
    <row r="232" spans="1:8" x14ac:dyDescent="0.35">
      <c r="A232" s="5"/>
      <c r="B232" s="1"/>
      <c r="C232" s="1"/>
      <c r="D232" s="5"/>
      <c r="E232" s="1"/>
      <c r="F232" s="1"/>
      <c r="G232" s="1"/>
      <c r="H232" s="1"/>
    </row>
    <row r="233" spans="1:8" x14ac:dyDescent="0.35">
      <c r="A233" s="5"/>
      <c r="B233" s="1"/>
      <c r="C233" s="1"/>
      <c r="D233" s="5"/>
      <c r="E233" s="1"/>
      <c r="F233" s="1"/>
      <c r="G233" s="1"/>
      <c r="H233" s="1"/>
    </row>
    <row r="234" spans="1:8" x14ac:dyDescent="0.35">
      <c r="A234" s="5"/>
      <c r="B234" s="1"/>
      <c r="C234" s="1"/>
      <c r="D234" s="5"/>
      <c r="E234" s="1"/>
      <c r="F234" s="1"/>
      <c r="G234" s="1"/>
      <c r="H234" s="1"/>
    </row>
    <row r="235" spans="1:8" x14ac:dyDescent="0.35">
      <c r="A235" s="5"/>
      <c r="B235" s="1"/>
      <c r="C235" s="1"/>
      <c r="D235" s="5"/>
      <c r="E235" s="1"/>
      <c r="F235" s="1"/>
      <c r="G235" s="1"/>
      <c r="H235" s="1"/>
    </row>
    <row r="236" spans="1:8" x14ac:dyDescent="0.35">
      <c r="A236" s="5"/>
      <c r="B236" s="1"/>
      <c r="C236" s="1"/>
      <c r="D236" s="5"/>
      <c r="E236" s="1"/>
      <c r="F236" s="1"/>
      <c r="G236" s="1"/>
      <c r="H236" s="1"/>
    </row>
    <row r="237" spans="1:8" x14ac:dyDescent="0.35">
      <c r="A237" s="5"/>
      <c r="B237" s="1"/>
      <c r="C237" s="1"/>
      <c r="D237" s="5"/>
      <c r="E237" s="1"/>
      <c r="F237" s="1"/>
      <c r="G237" s="1"/>
      <c r="H237" s="1"/>
    </row>
    <row r="238" spans="1:8" x14ac:dyDescent="0.35">
      <c r="A238" s="5"/>
      <c r="B238" s="1"/>
      <c r="C238" s="1"/>
      <c r="D238" s="5"/>
      <c r="E238" s="1"/>
      <c r="F238" s="1"/>
      <c r="G238" s="1"/>
      <c r="H238" s="1"/>
    </row>
    <row r="239" spans="1:8" x14ac:dyDescent="0.35">
      <c r="A239" s="5"/>
      <c r="B239" s="1"/>
      <c r="C239" s="1"/>
      <c r="D239" s="5"/>
      <c r="E239" s="1"/>
      <c r="F239" s="1"/>
      <c r="G239" s="1"/>
      <c r="H239" s="1"/>
    </row>
    <row r="240" spans="1:8" x14ac:dyDescent="0.35">
      <c r="A240" s="5"/>
      <c r="B240" s="1"/>
      <c r="C240" s="1"/>
      <c r="D240" s="5"/>
      <c r="E240" s="1"/>
      <c r="F240" s="1"/>
      <c r="G240" s="1"/>
      <c r="H240" s="1"/>
    </row>
    <row r="241" spans="1:8" x14ac:dyDescent="0.35">
      <c r="A241" s="5"/>
      <c r="B241" s="1"/>
      <c r="C241" s="1"/>
      <c r="D241" s="5"/>
      <c r="E241" s="1"/>
      <c r="F241" s="1"/>
      <c r="G241" s="1"/>
      <c r="H241" s="1"/>
    </row>
    <row r="242" spans="1:8" x14ac:dyDescent="0.35">
      <c r="A242" s="5"/>
      <c r="B242" s="1"/>
      <c r="C242" s="1"/>
      <c r="D242" s="5"/>
      <c r="E242" s="1"/>
      <c r="F242" s="1"/>
      <c r="G242" s="1"/>
      <c r="H242" s="1"/>
    </row>
    <row r="243" spans="1:8" x14ac:dyDescent="0.35">
      <c r="A243" s="5"/>
      <c r="B243" s="1"/>
      <c r="C243" s="1"/>
      <c r="D243" s="5"/>
      <c r="E243" s="1"/>
      <c r="F243" s="1"/>
      <c r="G243" s="1"/>
      <c r="H243" s="1"/>
    </row>
    <row r="244" spans="1:8" x14ac:dyDescent="0.35">
      <c r="A244" s="5"/>
      <c r="B244" s="1"/>
      <c r="C244" s="1"/>
      <c r="D244" s="5"/>
      <c r="E244" s="1"/>
      <c r="F244" s="1"/>
      <c r="G244" s="1"/>
      <c r="H244" s="1"/>
    </row>
    <row r="245" spans="1:8" x14ac:dyDescent="0.35">
      <c r="A245" s="5"/>
      <c r="B245" s="1"/>
      <c r="C245" s="1"/>
      <c r="D245" s="5"/>
      <c r="E245" s="1"/>
      <c r="F245" s="1"/>
      <c r="G245" s="1"/>
      <c r="H245" s="1"/>
    </row>
    <row r="246" spans="1:8" x14ac:dyDescent="0.35">
      <c r="A246" s="5"/>
      <c r="B246" s="1"/>
      <c r="C246" s="1"/>
      <c r="D246" s="5"/>
      <c r="E246" s="1"/>
      <c r="F246" s="1"/>
      <c r="G246" s="1"/>
      <c r="H246" s="1"/>
    </row>
    <row r="247" spans="1:8" x14ac:dyDescent="0.35">
      <c r="A247" s="5"/>
      <c r="B247" s="1"/>
      <c r="C247" s="1"/>
      <c r="D247" s="5"/>
      <c r="E247" s="1"/>
      <c r="F247" s="1"/>
      <c r="G247" s="1"/>
      <c r="H247" s="1"/>
    </row>
    <row r="248" spans="1:8" x14ac:dyDescent="0.35">
      <c r="A248" s="5"/>
      <c r="B248" s="1"/>
      <c r="C248" s="1"/>
      <c r="D248" s="5"/>
      <c r="E248" s="1"/>
      <c r="F248" s="1"/>
      <c r="G248" s="1"/>
      <c r="H248" s="1"/>
    </row>
    <row r="249" spans="1:8" x14ac:dyDescent="0.35">
      <c r="A249" s="5"/>
      <c r="B249" s="1"/>
      <c r="C249" s="1"/>
      <c r="D249" s="5"/>
      <c r="E249" s="1"/>
      <c r="F249" s="1"/>
      <c r="G249" s="1"/>
      <c r="H249" s="1"/>
    </row>
    <row r="250" spans="1:8" x14ac:dyDescent="0.35">
      <c r="A250" s="5"/>
      <c r="B250" s="1"/>
      <c r="C250" s="1"/>
      <c r="D250" s="5"/>
      <c r="E250" s="1"/>
      <c r="F250" s="1"/>
      <c r="G250" s="1"/>
      <c r="H250" s="1"/>
    </row>
    <row r="251" spans="1:8" x14ac:dyDescent="0.35">
      <c r="A251" s="5"/>
      <c r="B251" s="1"/>
      <c r="C251" s="1"/>
      <c r="D251" s="5"/>
      <c r="E251" s="1"/>
      <c r="F251" s="1"/>
      <c r="G251" s="1"/>
      <c r="H251" s="1"/>
    </row>
    <row r="252" spans="1:8" x14ac:dyDescent="0.35">
      <c r="A252" s="5"/>
      <c r="B252" s="1"/>
      <c r="C252" s="1"/>
      <c r="D252" s="5"/>
      <c r="E252" s="1"/>
      <c r="F252" s="1"/>
      <c r="G252" s="1"/>
      <c r="H252" s="1"/>
    </row>
    <row r="253" spans="1:8" x14ac:dyDescent="0.35">
      <c r="A253" s="5"/>
      <c r="B253" s="1"/>
      <c r="C253" s="1"/>
      <c r="D253" s="5"/>
      <c r="E253" s="1"/>
      <c r="F253" s="1"/>
      <c r="G253" s="1"/>
      <c r="H253" s="1"/>
    </row>
    <row r="254" spans="1:8" x14ac:dyDescent="0.35">
      <c r="A254" s="5"/>
      <c r="B254" s="1"/>
      <c r="C254" s="1"/>
      <c r="D254" s="5"/>
      <c r="E254" s="1"/>
      <c r="F254" s="1"/>
      <c r="G254" s="1"/>
      <c r="H254" s="1"/>
    </row>
    <row r="255" spans="1:8" x14ac:dyDescent="0.35">
      <c r="A255" s="5"/>
      <c r="B255" s="1"/>
      <c r="C255" s="1"/>
      <c r="D255" s="5"/>
      <c r="E255" s="1"/>
      <c r="F255" s="1"/>
      <c r="G255" s="1"/>
      <c r="H255" s="1"/>
    </row>
    <row r="256" spans="1:8" x14ac:dyDescent="0.35">
      <c r="A256" s="5"/>
      <c r="B256" s="1"/>
      <c r="C256" s="1"/>
      <c r="D256" s="5"/>
      <c r="E256" s="1"/>
      <c r="F256" s="1"/>
      <c r="G256" s="1"/>
      <c r="H256" s="1"/>
    </row>
    <row r="257" spans="1:8" x14ac:dyDescent="0.35">
      <c r="A257" s="5"/>
      <c r="B257" s="1"/>
      <c r="C257" s="1"/>
      <c r="D257" s="5"/>
      <c r="E257" s="1"/>
      <c r="F257" s="1"/>
      <c r="G257" s="1"/>
      <c r="H257" s="1"/>
    </row>
    <row r="258" spans="1:8" x14ac:dyDescent="0.35">
      <c r="A258" s="5"/>
      <c r="B258" s="1"/>
      <c r="C258" s="1"/>
      <c r="D258" s="5"/>
      <c r="E258" s="1"/>
      <c r="F258" s="1"/>
      <c r="G258" s="1"/>
      <c r="H258" s="1"/>
    </row>
    <row r="259" spans="1:8" x14ac:dyDescent="0.35">
      <c r="A259" s="5"/>
      <c r="B259" s="1"/>
      <c r="C259" s="1"/>
      <c r="D259" s="5"/>
      <c r="E259" s="1"/>
      <c r="F259" s="1"/>
      <c r="G259" s="1"/>
      <c r="H259" s="1"/>
    </row>
    <row r="260" spans="1:8" x14ac:dyDescent="0.35">
      <c r="A260" s="5"/>
      <c r="B260" s="1"/>
      <c r="C260" s="1"/>
      <c r="D260" s="5"/>
      <c r="E260" s="1"/>
      <c r="F260" s="1"/>
      <c r="G260" s="1"/>
      <c r="H260" s="1"/>
    </row>
    <row r="261" spans="1:8" x14ac:dyDescent="0.35">
      <c r="A261" s="5"/>
      <c r="B261" s="1"/>
      <c r="C261" s="1"/>
      <c r="D261" s="5"/>
      <c r="E261" s="1"/>
      <c r="F261" s="1"/>
      <c r="G261" s="1"/>
      <c r="H261" s="1"/>
    </row>
    <row r="262" spans="1:8" x14ac:dyDescent="0.35">
      <c r="A262" s="5"/>
      <c r="B262" s="1"/>
      <c r="C262" s="1"/>
      <c r="D262" s="5"/>
      <c r="E262" s="1"/>
      <c r="F262" s="1"/>
      <c r="G262" s="1"/>
      <c r="H262" s="1"/>
    </row>
    <row r="263" spans="1:8" x14ac:dyDescent="0.35">
      <c r="A263" s="5"/>
      <c r="B263" s="1"/>
      <c r="C263" s="1"/>
      <c r="D263" s="5"/>
      <c r="E263" s="1"/>
      <c r="F263" s="1"/>
      <c r="G263" s="1"/>
      <c r="H263" s="1"/>
    </row>
    <row r="264" spans="1:8" x14ac:dyDescent="0.35">
      <c r="A264" s="5"/>
      <c r="B264" s="1"/>
      <c r="C264" s="1"/>
      <c r="D264" s="5"/>
      <c r="E264" s="1"/>
      <c r="F264" s="1"/>
      <c r="G264" s="1"/>
      <c r="H264" s="1"/>
    </row>
    <row r="265" spans="1:8" x14ac:dyDescent="0.35">
      <c r="A265" s="5"/>
      <c r="B265" s="1"/>
      <c r="C265" s="1"/>
      <c r="D265" s="5"/>
      <c r="E265" s="1"/>
      <c r="F265" s="1"/>
      <c r="G265" s="1"/>
      <c r="H265" s="1"/>
    </row>
    <row r="266" spans="1:8" x14ac:dyDescent="0.35">
      <c r="A266" s="5"/>
      <c r="B266" s="1"/>
      <c r="C266" s="1"/>
      <c r="D266" s="5"/>
      <c r="E266" s="1"/>
      <c r="F266" s="1"/>
      <c r="G266" s="1"/>
      <c r="H266" s="1"/>
    </row>
    <row r="267" spans="1:8" x14ac:dyDescent="0.35">
      <c r="A267" s="5"/>
      <c r="B267" s="1"/>
      <c r="C267" s="1"/>
      <c r="D267" s="5"/>
      <c r="E267" s="1"/>
      <c r="F267" s="1"/>
      <c r="G267" s="1"/>
      <c r="H267" s="1"/>
    </row>
    <row r="268" spans="1:8" x14ac:dyDescent="0.35">
      <c r="A268" s="5"/>
      <c r="B268" s="1"/>
      <c r="C268" s="1"/>
      <c r="D268" s="5"/>
      <c r="E268" s="1"/>
      <c r="F268" s="1"/>
      <c r="G268" s="1"/>
      <c r="H268" s="1"/>
    </row>
    <row r="269" spans="1:8" x14ac:dyDescent="0.35">
      <c r="A269" s="5"/>
      <c r="B269" s="1"/>
      <c r="C269" s="1"/>
      <c r="D269" s="5"/>
      <c r="E269" s="1"/>
      <c r="F269" s="1"/>
      <c r="G269" s="1"/>
      <c r="H269" s="1"/>
    </row>
    <row r="270" spans="1:8" x14ac:dyDescent="0.35">
      <c r="A270" s="5"/>
      <c r="B270" s="1"/>
      <c r="C270" s="1"/>
      <c r="D270" s="5"/>
      <c r="E270" s="1"/>
      <c r="F270" s="1"/>
      <c r="G270" s="1"/>
      <c r="H270" s="1"/>
    </row>
    <row r="271" spans="1:8" x14ac:dyDescent="0.35">
      <c r="A271" s="5"/>
      <c r="B271" s="1"/>
      <c r="C271" s="1"/>
      <c r="D271" s="5"/>
      <c r="E271" s="1"/>
      <c r="F271" s="1"/>
      <c r="G271" s="1"/>
      <c r="H271" s="1"/>
    </row>
    <row r="272" spans="1:8" x14ac:dyDescent="0.35">
      <c r="A272" s="5"/>
      <c r="B272" s="1"/>
      <c r="C272" s="1"/>
      <c r="D272" s="5"/>
      <c r="E272" s="1"/>
      <c r="F272" s="1"/>
      <c r="G272" s="1"/>
      <c r="H272" s="1"/>
    </row>
    <row r="273" spans="1:8" x14ac:dyDescent="0.35">
      <c r="A273" s="5"/>
      <c r="B273" s="1"/>
      <c r="C273" s="1"/>
      <c r="D273" s="5"/>
      <c r="E273" s="1"/>
      <c r="F273" s="1"/>
      <c r="G273" s="1"/>
      <c r="H273" s="1"/>
    </row>
    <row r="274" spans="1:8" x14ac:dyDescent="0.35">
      <c r="A274" s="5"/>
      <c r="B274" s="1"/>
      <c r="C274" s="1"/>
      <c r="D274" s="5"/>
      <c r="E274" s="1"/>
      <c r="F274" s="1"/>
      <c r="G274" s="1"/>
      <c r="H274" s="1"/>
    </row>
    <row r="275" spans="1:8" x14ac:dyDescent="0.35">
      <c r="A275" s="5"/>
      <c r="B275" s="1"/>
      <c r="C275" s="1"/>
      <c r="D275" s="5"/>
      <c r="E275" s="1"/>
      <c r="F275" s="1"/>
      <c r="G275" s="1"/>
      <c r="H275" s="1"/>
    </row>
    <row r="276" spans="1:8" x14ac:dyDescent="0.35">
      <c r="A276" s="5"/>
      <c r="B276" s="1"/>
      <c r="C276" s="1"/>
      <c r="D276" s="5"/>
      <c r="E276" s="1"/>
      <c r="F276" s="1"/>
      <c r="G276" s="1"/>
      <c r="H276" s="1"/>
    </row>
    <row r="277" spans="1:8" x14ac:dyDescent="0.35">
      <c r="A277" s="5"/>
      <c r="B277" s="1"/>
      <c r="C277" s="1"/>
      <c r="D277" s="5"/>
      <c r="E277" s="1"/>
      <c r="F277" s="1"/>
      <c r="G277" s="1"/>
      <c r="H277" s="1"/>
    </row>
    <row r="278" spans="1:8" x14ac:dyDescent="0.35">
      <c r="A278" s="5"/>
      <c r="B278" s="1"/>
      <c r="C278" s="1"/>
      <c r="D278" s="5"/>
      <c r="E278" s="1"/>
      <c r="F278" s="1"/>
      <c r="G278" s="1"/>
      <c r="H278" s="1"/>
    </row>
    <row r="279" spans="1:8" x14ac:dyDescent="0.35">
      <c r="A279" s="5"/>
      <c r="B279" s="1"/>
      <c r="C279" s="1"/>
      <c r="D279" s="5"/>
      <c r="E279" s="1"/>
      <c r="F279" s="1"/>
      <c r="G279" s="1"/>
      <c r="H279" s="1"/>
    </row>
    <row r="280" spans="1:8" x14ac:dyDescent="0.35">
      <c r="B280" s="1"/>
      <c r="C280" s="1"/>
    </row>
    <row r="281" spans="1:8" x14ac:dyDescent="0.35">
      <c r="B281" s="1"/>
      <c r="C281" s="1"/>
    </row>
    <row r="282" spans="1:8" x14ac:dyDescent="0.35">
      <c r="B282" s="1"/>
      <c r="C282" s="1"/>
    </row>
    <row r="283" spans="1:8" x14ac:dyDescent="0.35">
      <c r="B283" s="1"/>
      <c r="C283" s="1"/>
    </row>
    <row r="284" spans="1:8" x14ac:dyDescent="0.35">
      <c r="B284" s="1"/>
      <c r="C284" s="1"/>
    </row>
    <row r="285" spans="1:8" x14ac:dyDescent="0.35">
      <c r="B285" s="1"/>
      <c r="C285" s="1"/>
    </row>
    <row r="286" spans="1:8" x14ac:dyDescent="0.35">
      <c r="B286" s="1"/>
      <c r="C286" s="1"/>
    </row>
    <row r="287" spans="1:8" x14ac:dyDescent="0.35">
      <c r="B287" s="1"/>
      <c r="C287" s="1"/>
    </row>
    <row r="288" spans="1:8" x14ac:dyDescent="0.35">
      <c r="B288" s="1"/>
      <c r="C288" s="1"/>
    </row>
    <row r="289" spans="2:3" x14ac:dyDescent="0.35">
      <c r="B289" s="1"/>
      <c r="C289" s="1"/>
    </row>
    <row r="290" spans="2:3" x14ac:dyDescent="0.35">
      <c r="B290" s="1"/>
      <c r="C290" s="1"/>
    </row>
  </sheetData>
  <phoneticPr fontId="10" type="noConversion"/>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B1E3-B92C-4741-BB5D-C35BECCAEA00}">
  <sheetPr codeName="Sheet18"/>
  <dimension ref="A1:AO288"/>
  <sheetViews>
    <sheetView rightToLeft="1" workbookViewId="0">
      <pane xSplit="1" ySplit="1" topLeftCell="B2" activePane="bottomRight" state="frozen"/>
      <selection activeCell="A6" sqref="A6"/>
      <selection pane="topRight" activeCell="A6" sqref="A6"/>
      <selection pane="bottomLeft" activeCell="A6" sqref="A6"/>
      <selection pane="bottomRight" activeCell="A2" sqref="A2"/>
    </sheetView>
  </sheetViews>
  <sheetFormatPr defaultColWidth="8.81640625" defaultRowHeight="14.5" x14ac:dyDescent="0.35"/>
  <cols>
    <col min="1" max="1" width="52.1796875" style="8" customWidth="1"/>
    <col min="2" max="3" width="10" style="2" customWidth="1"/>
    <col min="4" max="4" width="9.08984375" style="8" customWidth="1"/>
    <col min="5" max="5" width="11.81640625" style="2" customWidth="1"/>
    <col min="6" max="8" width="8.81640625" style="2"/>
    <col min="9" max="16" width="8.81640625" style="1" customWidth="1"/>
    <col min="17" max="18" width="8.81640625" style="30" customWidth="1"/>
    <col min="19" max="35" width="8.81640625" style="1" customWidth="1"/>
    <col min="36" max="36" width="8.81640625" style="2"/>
    <col min="37" max="37" width="10.08984375" style="2" bestFit="1" customWidth="1"/>
    <col min="38" max="38" width="8.81640625" style="2"/>
    <col min="39" max="39" width="10.54296875" style="2" bestFit="1" customWidth="1"/>
    <col min="40" max="40" width="8.81640625" style="2"/>
    <col min="41" max="41" width="17" style="2" bestFit="1" customWidth="1"/>
    <col min="42" max="16384" width="8.81640625" style="2"/>
  </cols>
  <sheetData>
    <row r="1" spans="1:41" ht="15" thickBot="1" x14ac:dyDescent="0.4">
      <c r="A1" s="7" t="s">
        <v>0</v>
      </c>
      <c r="B1" s="4">
        <v>2025</v>
      </c>
      <c r="C1" s="4">
        <v>2022</v>
      </c>
      <c r="D1" s="7">
        <v>2021</v>
      </c>
      <c r="E1" s="4">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ht="29" x14ac:dyDescent="0.35">
      <c r="A2" s="5" t="s">
        <v>111</v>
      </c>
      <c r="B2" s="6"/>
      <c r="C2" s="51" t="s">
        <v>3270</v>
      </c>
      <c r="D2" s="65" t="s">
        <v>3171</v>
      </c>
      <c r="E2" s="53" t="s">
        <v>112</v>
      </c>
      <c r="F2" s="3"/>
      <c r="G2" s="3"/>
      <c r="H2" s="3" t="s">
        <v>503</v>
      </c>
      <c r="I2" s="3"/>
      <c r="J2" s="3"/>
      <c r="K2" s="3"/>
      <c r="L2" s="3"/>
      <c r="M2" s="3"/>
      <c r="N2" s="3"/>
      <c r="O2" s="3"/>
      <c r="P2" s="3"/>
      <c r="Q2" s="29"/>
      <c r="R2" s="29"/>
      <c r="S2" s="3"/>
      <c r="T2" s="3"/>
      <c r="U2" s="3"/>
      <c r="V2" s="3"/>
      <c r="W2" s="3"/>
      <c r="X2" s="3"/>
      <c r="Y2" s="3"/>
      <c r="Z2" s="3"/>
      <c r="AA2" s="3"/>
      <c r="AB2" s="3"/>
      <c r="AC2" s="3"/>
      <c r="AD2" s="3"/>
      <c r="AE2" s="3"/>
      <c r="AF2" s="3"/>
      <c r="AG2" s="3"/>
      <c r="AH2" s="3"/>
      <c r="AI2" s="3"/>
      <c r="AK2" s="2">
        <f>COUNTA(C2:AI2)</f>
        <v>4</v>
      </c>
      <c r="AM2" s="2">
        <f>COUNTA(G2:P2,S2:T2)</f>
        <v>1</v>
      </c>
      <c r="AO2" s="2">
        <f>COUNTIF(AM2:AM110,"&gt;=2")</f>
        <v>10</v>
      </c>
    </row>
    <row r="3" spans="1:41" ht="29" x14ac:dyDescent="0.35">
      <c r="A3" s="5" t="s">
        <v>113</v>
      </c>
      <c r="B3" s="6"/>
      <c r="C3" s="6" t="s">
        <v>114</v>
      </c>
      <c r="D3" s="5" t="s">
        <v>114</v>
      </c>
      <c r="E3" s="1" t="s">
        <v>114</v>
      </c>
      <c r="F3" s="1"/>
      <c r="G3" s="10"/>
      <c r="H3" s="1"/>
      <c r="AK3" s="2">
        <f t="shared" ref="AK3:AK66" si="0">COUNTA(C3:AI3)</f>
        <v>3</v>
      </c>
      <c r="AM3" s="2">
        <f t="shared" ref="AM3:AM66" si="1">COUNTA(G3:P3,S3:T3)</f>
        <v>0</v>
      </c>
    </row>
    <row r="4" spans="1:41" ht="29" x14ac:dyDescent="0.35">
      <c r="A4" s="5" t="s">
        <v>262</v>
      </c>
      <c r="B4" s="6"/>
      <c r="C4" s="6"/>
      <c r="D4" s="5"/>
      <c r="E4" s="1"/>
      <c r="F4" s="1"/>
      <c r="G4" s="10"/>
      <c r="H4" s="1"/>
      <c r="AK4" s="2">
        <f t="shared" si="0"/>
        <v>0</v>
      </c>
      <c r="AM4" s="2">
        <f t="shared" si="1"/>
        <v>0</v>
      </c>
    </row>
    <row r="5" spans="1:41" ht="29" x14ac:dyDescent="0.35">
      <c r="A5" s="5" t="s">
        <v>263</v>
      </c>
      <c r="B5" s="5"/>
      <c r="C5" s="5"/>
      <c r="D5" s="5"/>
      <c r="E5" s="1"/>
      <c r="F5" s="1"/>
      <c r="G5" s="1" t="s">
        <v>264</v>
      </c>
      <c r="H5" s="1"/>
      <c r="AK5" s="2">
        <f t="shared" si="0"/>
        <v>1</v>
      </c>
      <c r="AM5" s="2">
        <f t="shared" si="1"/>
        <v>1</v>
      </c>
    </row>
    <row r="6" spans="1:41" x14ac:dyDescent="0.35">
      <c r="A6" s="5" t="s">
        <v>657</v>
      </c>
      <c r="B6" s="6"/>
      <c r="C6" s="6"/>
      <c r="D6" s="5"/>
      <c r="E6" s="1"/>
      <c r="F6" s="1"/>
      <c r="G6" s="1"/>
      <c r="H6" s="1"/>
      <c r="I6" s="53" t="s">
        <v>508</v>
      </c>
      <c r="J6" s="53" t="s">
        <v>557</v>
      </c>
      <c r="K6" s="53" t="s">
        <v>1017</v>
      </c>
      <c r="L6" s="53" t="s">
        <v>971</v>
      </c>
      <c r="M6" s="53" t="s">
        <v>972</v>
      </c>
      <c r="N6" s="53" t="s">
        <v>1432</v>
      </c>
      <c r="O6" s="53" t="s">
        <v>1591</v>
      </c>
      <c r="P6" s="53" t="s">
        <v>1391</v>
      </c>
      <c r="Q6" s="53" t="s">
        <v>1953</v>
      </c>
      <c r="R6" s="53" t="s">
        <v>1088</v>
      </c>
      <c r="S6" s="1" t="s">
        <v>2220</v>
      </c>
      <c r="AK6" s="2">
        <f t="shared" si="0"/>
        <v>11</v>
      </c>
      <c r="AM6" s="2">
        <f t="shared" si="1"/>
        <v>9</v>
      </c>
    </row>
    <row r="7" spans="1:41" x14ac:dyDescent="0.35">
      <c r="A7" s="5" t="s">
        <v>1018</v>
      </c>
      <c r="B7" s="6"/>
      <c r="C7" s="6"/>
      <c r="D7" s="5"/>
      <c r="E7" s="1"/>
      <c r="F7" s="1"/>
      <c r="G7" s="1"/>
      <c r="H7" s="1"/>
      <c r="K7" s="54" t="s">
        <v>1019</v>
      </c>
      <c r="M7" s="54" t="s">
        <v>1200</v>
      </c>
      <c r="U7" s="54" t="s">
        <v>2405</v>
      </c>
      <c r="W7" s="54" t="s">
        <v>568</v>
      </c>
      <c r="AF7" s="1" t="s">
        <v>1988</v>
      </c>
      <c r="AK7" s="2">
        <f t="shared" si="0"/>
        <v>5</v>
      </c>
      <c r="AM7" s="2">
        <f t="shared" si="1"/>
        <v>2</v>
      </c>
    </row>
    <row r="8" spans="1:41" x14ac:dyDescent="0.35">
      <c r="A8" s="5" t="s">
        <v>658</v>
      </c>
      <c r="B8" s="6"/>
      <c r="C8" s="6"/>
      <c r="D8" s="5"/>
      <c r="E8" s="1"/>
      <c r="F8" s="1"/>
      <c r="G8" s="1"/>
      <c r="H8" s="1"/>
      <c r="I8" s="1" t="s">
        <v>510</v>
      </c>
      <c r="AK8" s="2">
        <f t="shared" si="0"/>
        <v>1</v>
      </c>
      <c r="AM8" s="2">
        <f t="shared" si="1"/>
        <v>1</v>
      </c>
    </row>
    <row r="9" spans="1:41" x14ac:dyDescent="0.35">
      <c r="A9" s="5" t="s">
        <v>1020</v>
      </c>
      <c r="B9" s="6"/>
      <c r="C9" s="6"/>
      <c r="D9" s="5"/>
      <c r="E9" s="1"/>
      <c r="F9" s="1"/>
      <c r="G9" s="53" t="s">
        <v>265</v>
      </c>
      <c r="H9" s="1"/>
      <c r="I9" s="53" t="s">
        <v>512</v>
      </c>
      <c r="J9" s="53" t="s">
        <v>150</v>
      </c>
      <c r="K9" s="53" t="s">
        <v>1021</v>
      </c>
      <c r="M9" s="1" t="s">
        <v>1244</v>
      </c>
      <c r="AK9" s="2">
        <f t="shared" si="0"/>
        <v>5</v>
      </c>
      <c r="AM9" s="2">
        <f t="shared" si="1"/>
        <v>5</v>
      </c>
    </row>
    <row r="10" spans="1:41" x14ac:dyDescent="0.35">
      <c r="A10" s="5" t="s">
        <v>1022</v>
      </c>
      <c r="B10" s="6"/>
      <c r="C10" s="6"/>
      <c r="D10" s="5"/>
      <c r="E10" s="1"/>
      <c r="F10" s="1"/>
      <c r="G10" s="1"/>
      <c r="H10" s="1"/>
      <c r="K10" s="54" t="s">
        <v>1023</v>
      </c>
      <c r="M10" s="1" t="s">
        <v>1245</v>
      </c>
      <c r="AK10" s="2">
        <f t="shared" si="0"/>
        <v>2</v>
      </c>
      <c r="AM10" s="2">
        <f t="shared" si="1"/>
        <v>2</v>
      </c>
    </row>
    <row r="11" spans="1:41" x14ac:dyDescent="0.35">
      <c r="A11" s="5" t="s">
        <v>266</v>
      </c>
      <c r="B11" s="6"/>
      <c r="C11" s="6"/>
      <c r="D11" s="5"/>
      <c r="E11" s="1"/>
      <c r="F11" s="1"/>
      <c r="G11" s="1" t="s">
        <v>267</v>
      </c>
      <c r="H11" s="1"/>
      <c r="AK11" s="2">
        <f t="shared" si="0"/>
        <v>1</v>
      </c>
      <c r="AM11" s="2">
        <f t="shared" si="1"/>
        <v>1</v>
      </c>
    </row>
    <row r="12" spans="1:41" x14ac:dyDescent="0.35">
      <c r="A12" s="5" t="s">
        <v>268</v>
      </c>
      <c r="B12" s="1"/>
      <c r="C12" s="1"/>
      <c r="D12" s="5"/>
      <c r="E12" s="1"/>
      <c r="F12" s="1"/>
      <c r="G12" s="1"/>
      <c r="H12" s="1"/>
      <c r="AK12" s="2">
        <f t="shared" si="0"/>
        <v>0</v>
      </c>
      <c r="AM12" s="2">
        <f t="shared" si="1"/>
        <v>0</v>
      </c>
    </row>
    <row r="13" spans="1:41" ht="29" x14ac:dyDescent="0.35">
      <c r="A13" s="5" t="s">
        <v>269</v>
      </c>
      <c r="B13" s="1"/>
      <c r="C13" s="1"/>
      <c r="D13" s="5"/>
      <c r="E13" s="1"/>
      <c r="F13" s="1"/>
      <c r="G13" s="1"/>
      <c r="H13" s="1"/>
      <c r="AK13" s="2">
        <f t="shared" si="0"/>
        <v>0</v>
      </c>
      <c r="AM13" s="2">
        <f t="shared" si="1"/>
        <v>0</v>
      </c>
    </row>
    <row r="14" spans="1:41" ht="58" x14ac:dyDescent="0.35">
      <c r="A14" s="5" t="s">
        <v>270</v>
      </c>
      <c r="B14" s="1"/>
      <c r="C14" s="1"/>
      <c r="D14" s="5"/>
      <c r="E14" s="1"/>
      <c r="F14" s="1"/>
      <c r="G14" s="1"/>
      <c r="H14" s="1"/>
      <c r="AK14" s="2">
        <f t="shared" si="0"/>
        <v>0</v>
      </c>
      <c r="AM14" s="2">
        <f t="shared" si="1"/>
        <v>0</v>
      </c>
    </row>
    <row r="15" spans="1:41" x14ac:dyDescent="0.35">
      <c r="A15" s="5" t="s">
        <v>271</v>
      </c>
      <c r="B15" s="5"/>
      <c r="C15" s="5"/>
      <c r="D15" s="5"/>
      <c r="E15" s="1"/>
      <c r="F15" s="1"/>
      <c r="G15" s="1"/>
      <c r="H15" s="1"/>
      <c r="AK15" s="2">
        <f t="shared" si="0"/>
        <v>0</v>
      </c>
      <c r="AM15" s="2">
        <f t="shared" si="1"/>
        <v>0</v>
      </c>
    </row>
    <row r="16" spans="1:41" x14ac:dyDescent="0.35">
      <c r="A16" s="5" t="s">
        <v>272</v>
      </c>
      <c r="B16" s="1"/>
      <c r="C16" s="1"/>
      <c r="D16" s="5"/>
      <c r="E16" s="1"/>
      <c r="F16" s="1"/>
      <c r="G16" s="1"/>
      <c r="H16" s="1"/>
      <c r="AK16" s="2">
        <f t="shared" si="0"/>
        <v>0</v>
      </c>
      <c r="AM16" s="2">
        <f t="shared" si="1"/>
        <v>0</v>
      </c>
    </row>
    <row r="17" spans="1:39" x14ac:dyDescent="0.35">
      <c r="A17" s="5" t="s">
        <v>273</v>
      </c>
      <c r="B17" s="1"/>
      <c r="C17" s="1"/>
      <c r="D17" s="5"/>
      <c r="E17" s="1"/>
      <c r="F17" s="1"/>
      <c r="G17" s="1"/>
      <c r="H17" s="1"/>
      <c r="AK17" s="2">
        <f t="shared" si="0"/>
        <v>0</v>
      </c>
      <c r="AM17" s="2">
        <f t="shared" si="1"/>
        <v>0</v>
      </c>
    </row>
    <row r="18" spans="1:39" ht="43.5" x14ac:dyDescent="0.35">
      <c r="A18" s="5" t="s">
        <v>274</v>
      </c>
      <c r="B18" s="1"/>
      <c r="C18" s="1"/>
      <c r="D18" s="5"/>
      <c r="E18" s="1"/>
      <c r="F18" s="1"/>
      <c r="G18" s="1"/>
      <c r="H18" s="1"/>
      <c r="AK18" s="2">
        <f t="shared" si="0"/>
        <v>0</v>
      </c>
      <c r="AM18" s="2">
        <f t="shared" si="1"/>
        <v>0</v>
      </c>
    </row>
    <row r="19" spans="1:39" ht="29" x14ac:dyDescent="0.35">
      <c r="A19" s="5" t="s">
        <v>275</v>
      </c>
      <c r="B19" s="1"/>
      <c r="C19" s="1"/>
      <c r="D19" s="5"/>
      <c r="E19" s="1"/>
      <c r="F19" s="1"/>
      <c r="G19" s="1"/>
      <c r="H19" s="1"/>
      <c r="AK19" s="2">
        <f t="shared" si="0"/>
        <v>0</v>
      </c>
      <c r="AM19" s="2">
        <f t="shared" si="1"/>
        <v>0</v>
      </c>
    </row>
    <row r="20" spans="1:39" x14ac:dyDescent="0.35">
      <c r="A20" s="5" t="s">
        <v>505</v>
      </c>
      <c r="B20" s="1"/>
      <c r="C20" s="1"/>
      <c r="D20" s="65" t="s">
        <v>3172</v>
      </c>
      <c r="E20" s="1"/>
      <c r="F20" s="1"/>
      <c r="G20" s="1"/>
      <c r="H20" s="53" t="s">
        <v>506</v>
      </c>
      <c r="I20" s="12" t="s">
        <v>513</v>
      </c>
      <c r="AK20" s="2">
        <f t="shared" si="0"/>
        <v>3</v>
      </c>
      <c r="AM20" s="2">
        <f t="shared" si="1"/>
        <v>2</v>
      </c>
    </row>
    <row r="21" spans="1:39" x14ac:dyDescent="0.35">
      <c r="A21" s="5" t="s">
        <v>775</v>
      </c>
      <c r="B21" s="1"/>
      <c r="C21" s="1"/>
      <c r="D21" s="5"/>
      <c r="E21" s="1"/>
      <c r="F21" s="1"/>
      <c r="G21" s="1"/>
      <c r="H21" s="1"/>
      <c r="J21" s="54" t="s">
        <v>151</v>
      </c>
      <c r="K21" s="53" t="s">
        <v>1024</v>
      </c>
      <c r="N21" s="53" t="s">
        <v>1436</v>
      </c>
      <c r="O21" s="53" t="s">
        <v>1597</v>
      </c>
      <c r="P21" s="53" t="s">
        <v>1377</v>
      </c>
      <c r="Y21" s="54" t="s">
        <v>2301</v>
      </c>
      <c r="AE21" s="54" t="s">
        <v>1444</v>
      </c>
      <c r="AG21" s="54" t="s">
        <v>2301</v>
      </c>
      <c r="AH21" s="1" t="s">
        <v>875</v>
      </c>
      <c r="AK21" s="2">
        <f t="shared" si="0"/>
        <v>9</v>
      </c>
      <c r="AM21" s="2">
        <f t="shared" si="1"/>
        <v>5</v>
      </c>
    </row>
    <row r="22" spans="1:39" x14ac:dyDescent="0.35">
      <c r="A22" s="5" t="s">
        <v>2835</v>
      </c>
      <c r="B22" s="1"/>
      <c r="C22" s="1"/>
      <c r="D22" s="5"/>
      <c r="E22" s="1"/>
      <c r="F22" s="1"/>
      <c r="G22" s="1"/>
      <c r="H22" s="1"/>
      <c r="AE22" s="1" t="s">
        <v>1445</v>
      </c>
      <c r="AK22" s="2">
        <f t="shared" si="0"/>
        <v>1</v>
      </c>
      <c r="AM22" s="2">
        <f t="shared" si="1"/>
        <v>0</v>
      </c>
    </row>
    <row r="23" spans="1:39" x14ac:dyDescent="0.35">
      <c r="A23" s="5" t="s">
        <v>2982</v>
      </c>
      <c r="B23" s="1"/>
      <c r="C23" s="1"/>
      <c r="D23" s="5"/>
      <c r="E23" s="1"/>
      <c r="F23" s="1"/>
      <c r="G23" s="1"/>
      <c r="H23" s="1"/>
      <c r="AG23" s="1" t="s">
        <v>1966</v>
      </c>
      <c r="AK23" s="2">
        <f t="shared" si="0"/>
        <v>1</v>
      </c>
      <c r="AM23" s="2">
        <f t="shared" si="1"/>
        <v>0</v>
      </c>
    </row>
    <row r="24" spans="1:39" ht="29" x14ac:dyDescent="0.35">
      <c r="A24" s="5" t="s">
        <v>776</v>
      </c>
      <c r="B24" s="1"/>
      <c r="C24" s="1"/>
      <c r="D24" s="5"/>
      <c r="E24" s="1"/>
      <c r="F24" s="1"/>
      <c r="G24" s="1"/>
      <c r="H24" s="1"/>
      <c r="J24" s="19" t="s">
        <v>154</v>
      </c>
      <c r="AK24" s="2">
        <f t="shared" si="0"/>
        <v>1</v>
      </c>
      <c r="AM24" s="2">
        <f t="shared" si="1"/>
        <v>1</v>
      </c>
    </row>
    <row r="25" spans="1:39" ht="29" x14ac:dyDescent="0.35">
      <c r="A25" s="5" t="s">
        <v>777</v>
      </c>
      <c r="B25" s="1"/>
      <c r="C25" s="1"/>
      <c r="D25" s="5"/>
      <c r="E25" s="1"/>
      <c r="F25" s="1"/>
      <c r="G25" s="1"/>
      <c r="H25" s="1"/>
      <c r="J25" s="19" t="s">
        <v>156</v>
      </c>
      <c r="AK25" s="2">
        <f t="shared" si="0"/>
        <v>1</v>
      </c>
      <c r="AM25" s="2">
        <f t="shared" si="1"/>
        <v>1</v>
      </c>
    </row>
    <row r="26" spans="1:39" x14ac:dyDescent="0.35">
      <c r="A26" s="5" t="s">
        <v>778</v>
      </c>
      <c r="B26" s="5"/>
      <c r="C26" s="5"/>
      <c r="D26" s="5"/>
      <c r="E26" s="1"/>
      <c r="F26" s="1"/>
      <c r="G26" s="1"/>
      <c r="H26" s="1"/>
      <c r="J26" s="19" t="s">
        <v>304</v>
      </c>
      <c r="AK26" s="2">
        <f t="shared" si="0"/>
        <v>1</v>
      </c>
      <c r="AM26" s="2">
        <f t="shared" si="1"/>
        <v>1</v>
      </c>
    </row>
    <row r="27" spans="1:39" x14ac:dyDescent="0.35">
      <c r="A27" s="5" t="s">
        <v>779</v>
      </c>
      <c r="B27" s="5"/>
      <c r="C27" s="5"/>
      <c r="D27" s="5"/>
      <c r="E27" s="1"/>
      <c r="F27" s="1"/>
      <c r="G27" s="1"/>
      <c r="H27" s="1"/>
      <c r="J27" s="19" t="s">
        <v>566</v>
      </c>
      <c r="AK27" s="2">
        <f t="shared" si="0"/>
        <v>1</v>
      </c>
      <c r="AM27" s="2">
        <f t="shared" si="1"/>
        <v>1</v>
      </c>
    </row>
    <row r="28" spans="1:39" x14ac:dyDescent="0.35">
      <c r="A28" s="5" t="s">
        <v>780</v>
      </c>
      <c r="B28" s="5"/>
      <c r="C28" s="5"/>
      <c r="D28" s="5"/>
      <c r="E28" s="1"/>
      <c r="F28" s="1"/>
      <c r="G28" s="1"/>
      <c r="H28" s="1"/>
      <c r="J28" s="19" t="s">
        <v>160</v>
      </c>
      <c r="AK28" s="2">
        <f t="shared" si="0"/>
        <v>1</v>
      </c>
      <c r="AM28" s="2">
        <f t="shared" si="1"/>
        <v>1</v>
      </c>
    </row>
    <row r="29" spans="1:39" x14ac:dyDescent="0.35">
      <c r="A29" s="5" t="s">
        <v>781</v>
      </c>
      <c r="B29" s="5"/>
      <c r="C29" s="5"/>
      <c r="D29" s="5"/>
      <c r="E29" s="1"/>
      <c r="F29" s="1"/>
      <c r="G29" s="1"/>
      <c r="H29" s="1"/>
      <c r="J29" s="19" t="s">
        <v>567</v>
      </c>
      <c r="AK29" s="2">
        <f t="shared" si="0"/>
        <v>1</v>
      </c>
      <c r="AM29" s="2">
        <f t="shared" si="1"/>
        <v>1</v>
      </c>
    </row>
    <row r="30" spans="1:39" x14ac:dyDescent="0.35">
      <c r="A30" s="5" t="s">
        <v>782</v>
      </c>
      <c r="B30" s="5"/>
      <c r="C30" s="5"/>
      <c r="D30" s="5"/>
      <c r="E30" s="1"/>
      <c r="F30" s="1"/>
      <c r="G30" s="1"/>
      <c r="H30" s="1"/>
      <c r="J30" s="19" t="s">
        <v>568</v>
      </c>
      <c r="AK30" s="2">
        <f t="shared" si="0"/>
        <v>1</v>
      </c>
      <c r="AM30" s="2">
        <f t="shared" si="1"/>
        <v>1</v>
      </c>
    </row>
    <row r="31" spans="1:39" x14ac:dyDescent="0.35">
      <c r="A31" s="5" t="s">
        <v>783</v>
      </c>
      <c r="B31" s="5"/>
      <c r="C31" s="5"/>
      <c r="D31" s="5"/>
      <c r="E31" s="1"/>
      <c r="F31" s="1"/>
      <c r="G31" s="1"/>
      <c r="H31" s="1"/>
      <c r="J31" s="19" t="s">
        <v>161</v>
      </c>
      <c r="AK31" s="2">
        <f t="shared" si="0"/>
        <v>1</v>
      </c>
      <c r="AM31" s="2">
        <f t="shared" si="1"/>
        <v>1</v>
      </c>
    </row>
    <row r="32" spans="1:39" x14ac:dyDescent="0.35">
      <c r="A32" s="5" t="s">
        <v>784</v>
      </c>
      <c r="B32" s="5"/>
      <c r="C32" s="5"/>
      <c r="D32" s="5"/>
      <c r="E32" s="1"/>
      <c r="F32" s="1"/>
      <c r="G32" s="1"/>
      <c r="H32" s="1"/>
      <c r="J32" s="19" t="s">
        <v>559</v>
      </c>
      <c r="AK32" s="2">
        <f t="shared" si="0"/>
        <v>1</v>
      </c>
      <c r="AM32" s="2">
        <f t="shared" si="1"/>
        <v>1</v>
      </c>
    </row>
    <row r="33" spans="1:39" x14ac:dyDescent="0.35">
      <c r="A33" s="5" t="s">
        <v>785</v>
      </c>
      <c r="B33" s="5"/>
      <c r="C33" s="5"/>
      <c r="D33" s="5"/>
      <c r="E33" s="1"/>
      <c r="F33" s="1"/>
      <c r="G33" s="1"/>
      <c r="H33" s="1"/>
      <c r="J33" s="19" t="s">
        <v>403</v>
      </c>
      <c r="AK33" s="2">
        <f t="shared" si="0"/>
        <v>1</v>
      </c>
      <c r="AM33" s="2">
        <f t="shared" si="1"/>
        <v>1</v>
      </c>
    </row>
    <row r="34" spans="1:39" x14ac:dyDescent="0.35">
      <c r="A34" s="5" t="s">
        <v>786</v>
      </c>
      <c r="B34" s="5"/>
      <c r="C34" s="5"/>
      <c r="D34" s="5"/>
      <c r="E34" s="1"/>
      <c r="F34" s="1"/>
      <c r="G34" s="1"/>
      <c r="H34" s="1"/>
      <c r="J34" s="19" t="s">
        <v>673</v>
      </c>
      <c r="AK34" s="2">
        <f t="shared" si="0"/>
        <v>1</v>
      </c>
      <c r="AM34" s="2">
        <f t="shared" si="1"/>
        <v>1</v>
      </c>
    </row>
    <row r="35" spans="1:39" x14ac:dyDescent="0.35">
      <c r="A35" s="5" t="s">
        <v>849</v>
      </c>
      <c r="B35" s="5"/>
      <c r="C35" s="5"/>
      <c r="D35" s="5"/>
      <c r="E35" s="1"/>
      <c r="F35" s="1"/>
      <c r="G35" s="1"/>
      <c r="H35" s="1"/>
      <c r="J35" s="54" t="s">
        <v>850</v>
      </c>
      <c r="K35" s="53" t="s">
        <v>1121</v>
      </c>
      <c r="AC35" s="1" t="s">
        <v>2748</v>
      </c>
      <c r="AK35" s="2">
        <f t="shared" si="0"/>
        <v>3</v>
      </c>
      <c r="AM35" s="2">
        <f t="shared" si="1"/>
        <v>2</v>
      </c>
    </row>
    <row r="36" spans="1:39" x14ac:dyDescent="0.35">
      <c r="A36" s="5" t="s">
        <v>2749</v>
      </c>
      <c r="B36" s="5"/>
      <c r="C36" s="5"/>
      <c r="D36" s="5"/>
      <c r="E36" s="1"/>
      <c r="F36" s="1"/>
      <c r="G36" s="1"/>
      <c r="H36" s="1"/>
      <c r="AC36" s="1" t="s">
        <v>2173</v>
      </c>
      <c r="AK36" s="2">
        <f t="shared" si="0"/>
        <v>1</v>
      </c>
      <c r="AM36" s="2">
        <f t="shared" si="1"/>
        <v>0</v>
      </c>
    </row>
    <row r="37" spans="1:39" x14ac:dyDescent="0.35">
      <c r="A37" s="5" t="s">
        <v>1025</v>
      </c>
      <c r="B37" s="5"/>
      <c r="C37" s="5"/>
      <c r="D37" s="5"/>
      <c r="E37" s="1"/>
      <c r="F37" s="1"/>
      <c r="G37" s="1"/>
      <c r="H37" s="1"/>
      <c r="K37" s="18" t="s">
        <v>1026</v>
      </c>
      <c r="AK37" s="2">
        <f t="shared" si="0"/>
        <v>1</v>
      </c>
      <c r="AM37" s="2">
        <f t="shared" si="1"/>
        <v>1</v>
      </c>
    </row>
    <row r="38" spans="1:39" x14ac:dyDescent="0.35">
      <c r="A38" s="5" t="s">
        <v>1028</v>
      </c>
      <c r="B38" s="5"/>
      <c r="C38" s="5"/>
      <c r="D38" s="5"/>
      <c r="E38" s="1"/>
      <c r="F38" s="1"/>
      <c r="G38" s="1"/>
      <c r="H38" s="1"/>
      <c r="K38" s="18" t="s">
        <v>1027</v>
      </c>
      <c r="AK38" s="2">
        <f t="shared" si="0"/>
        <v>1</v>
      </c>
      <c r="AM38" s="2">
        <f t="shared" si="1"/>
        <v>1</v>
      </c>
    </row>
    <row r="39" spans="1:39" ht="58" x14ac:dyDescent="0.35">
      <c r="A39" s="5" t="s">
        <v>1243</v>
      </c>
      <c r="B39" s="5"/>
      <c r="C39" s="5"/>
      <c r="D39" s="5"/>
      <c r="E39" s="1"/>
      <c r="F39" s="1"/>
      <c r="G39" s="1"/>
      <c r="H39" s="1"/>
      <c r="M39" s="54" t="s">
        <v>971</v>
      </c>
      <c r="O39" s="1" t="s">
        <v>1634</v>
      </c>
      <c r="AK39" s="2">
        <f t="shared" si="0"/>
        <v>2</v>
      </c>
      <c r="AM39" s="2">
        <f t="shared" si="1"/>
        <v>2</v>
      </c>
    </row>
    <row r="40" spans="1:39" x14ac:dyDescent="0.35">
      <c r="A40" s="5" t="s">
        <v>1246</v>
      </c>
      <c r="B40" s="5"/>
      <c r="C40" s="5"/>
      <c r="D40" s="5"/>
      <c r="E40" s="1"/>
      <c r="F40" s="1"/>
      <c r="G40" s="1"/>
      <c r="H40" s="1"/>
      <c r="M40" s="54" t="s">
        <v>1247</v>
      </c>
      <c r="N40" s="54" t="s">
        <v>1433</v>
      </c>
      <c r="O40" s="53" t="s">
        <v>1592</v>
      </c>
      <c r="U40" s="54" t="s">
        <v>1038</v>
      </c>
      <c r="AB40" s="54" t="s">
        <v>2709</v>
      </c>
      <c r="AG40" s="53" t="s">
        <v>996</v>
      </c>
      <c r="AH40" s="53" t="s">
        <v>1677</v>
      </c>
      <c r="AI40" s="1" t="s">
        <v>874</v>
      </c>
      <c r="AK40" s="2">
        <f t="shared" si="0"/>
        <v>8</v>
      </c>
      <c r="AM40" s="2">
        <f t="shared" si="1"/>
        <v>3</v>
      </c>
    </row>
    <row r="41" spans="1:39" x14ac:dyDescent="0.35">
      <c r="A41" s="5" t="s">
        <v>1248</v>
      </c>
      <c r="B41" s="5"/>
      <c r="C41" s="5"/>
      <c r="D41" s="5"/>
      <c r="E41" s="1"/>
      <c r="F41" s="1"/>
      <c r="G41" s="1"/>
      <c r="H41" s="1"/>
      <c r="M41" s="54" t="s">
        <v>1172</v>
      </c>
      <c r="N41" s="54" t="s">
        <v>1434</v>
      </c>
      <c r="O41" s="53" t="s">
        <v>1593</v>
      </c>
      <c r="U41" s="54" t="s">
        <v>1202</v>
      </c>
      <c r="AG41" s="53" t="s">
        <v>997</v>
      </c>
      <c r="AH41" s="53" t="s">
        <v>873</v>
      </c>
      <c r="AI41" s="1" t="s">
        <v>1678</v>
      </c>
      <c r="AK41" s="2">
        <f t="shared" si="0"/>
        <v>7</v>
      </c>
      <c r="AM41" s="2">
        <f t="shared" si="1"/>
        <v>3</v>
      </c>
    </row>
    <row r="42" spans="1:39" x14ac:dyDescent="0.35">
      <c r="A42" s="5" t="s">
        <v>2343</v>
      </c>
      <c r="B42" s="5"/>
      <c r="C42" s="5"/>
      <c r="D42" s="5"/>
      <c r="E42" s="1"/>
      <c r="F42" s="1"/>
      <c r="G42" s="1"/>
      <c r="H42" s="1"/>
      <c r="U42" s="54" t="s">
        <v>1043</v>
      </c>
      <c r="AG42" s="53" t="s">
        <v>1000</v>
      </c>
      <c r="AI42" s="1" t="s">
        <v>878</v>
      </c>
      <c r="AK42" s="2">
        <f t="shared" si="0"/>
        <v>3</v>
      </c>
      <c r="AM42" s="2">
        <f t="shared" si="1"/>
        <v>0</v>
      </c>
    </row>
    <row r="43" spans="1:39" x14ac:dyDescent="0.35">
      <c r="A43" s="5" t="s">
        <v>3004</v>
      </c>
      <c r="B43" s="5"/>
      <c r="C43" s="5"/>
      <c r="D43" s="5"/>
      <c r="E43" s="1"/>
      <c r="F43" s="1"/>
      <c r="G43" s="1"/>
      <c r="H43" s="1"/>
      <c r="AG43" s="53" t="s">
        <v>999</v>
      </c>
      <c r="AI43" s="1" t="s">
        <v>876</v>
      </c>
      <c r="AK43" s="2">
        <f t="shared" si="0"/>
        <v>2</v>
      </c>
      <c r="AM43" s="2">
        <f t="shared" si="1"/>
        <v>0</v>
      </c>
    </row>
    <row r="44" spans="1:39" ht="29" x14ac:dyDescent="0.35">
      <c r="A44" s="5" t="s">
        <v>1595</v>
      </c>
      <c r="B44" s="5"/>
      <c r="C44" s="5"/>
      <c r="D44" s="5"/>
      <c r="E44" s="1"/>
      <c r="F44" s="1"/>
      <c r="G44" s="1"/>
      <c r="H44" s="1"/>
      <c r="O44" s="1" t="s">
        <v>1596</v>
      </c>
      <c r="AK44" s="2">
        <f t="shared" si="0"/>
        <v>1</v>
      </c>
      <c r="AM44" s="2">
        <f t="shared" si="1"/>
        <v>1</v>
      </c>
    </row>
    <row r="45" spans="1:39" x14ac:dyDescent="0.35">
      <c r="A45" s="5" t="s">
        <v>3135</v>
      </c>
      <c r="B45" s="5"/>
      <c r="C45" s="5"/>
      <c r="D45" s="5"/>
      <c r="E45" s="1"/>
      <c r="F45" s="1"/>
      <c r="G45" s="1"/>
      <c r="H45" s="1"/>
      <c r="AI45" s="1" t="s">
        <v>2223</v>
      </c>
      <c r="AK45" s="2">
        <f t="shared" si="0"/>
        <v>1</v>
      </c>
      <c r="AM45" s="2">
        <f t="shared" si="1"/>
        <v>0</v>
      </c>
    </row>
    <row r="46" spans="1:39" x14ac:dyDescent="0.35">
      <c r="A46" s="5" t="s">
        <v>1774</v>
      </c>
      <c r="B46" s="5"/>
      <c r="C46" s="5"/>
      <c r="D46" s="5"/>
      <c r="E46" s="1"/>
      <c r="F46" s="1"/>
      <c r="G46" s="1"/>
      <c r="H46" s="1"/>
      <c r="P46" s="1" t="s">
        <v>1373</v>
      </c>
      <c r="AK46" s="2">
        <f t="shared" si="0"/>
        <v>1</v>
      </c>
      <c r="AM46" s="2">
        <f t="shared" si="1"/>
        <v>1</v>
      </c>
    </row>
    <row r="47" spans="1:39" x14ac:dyDescent="0.35">
      <c r="A47" s="5" t="s">
        <v>1775</v>
      </c>
      <c r="B47" s="5"/>
      <c r="C47" s="5"/>
      <c r="D47" s="5"/>
      <c r="E47" s="1"/>
      <c r="F47" s="1"/>
      <c r="G47" s="1"/>
      <c r="H47" s="1"/>
      <c r="P47" s="1" t="s">
        <v>1375</v>
      </c>
      <c r="AK47" s="2">
        <f t="shared" si="0"/>
        <v>1</v>
      </c>
      <c r="AM47" s="2">
        <f t="shared" si="1"/>
        <v>1</v>
      </c>
    </row>
    <row r="48" spans="1:39" x14ac:dyDescent="0.35">
      <c r="A48" s="5" t="s">
        <v>1776</v>
      </c>
      <c r="B48" s="5"/>
      <c r="C48" s="5"/>
      <c r="D48" s="5"/>
      <c r="E48" s="1"/>
      <c r="F48" s="1"/>
      <c r="G48" s="1"/>
      <c r="H48" s="1"/>
      <c r="P48" s="1" t="s">
        <v>1376</v>
      </c>
      <c r="AK48" s="2">
        <f t="shared" si="0"/>
        <v>1</v>
      </c>
      <c r="AM48" s="2">
        <f t="shared" si="1"/>
        <v>1</v>
      </c>
    </row>
    <row r="49" spans="1:39" x14ac:dyDescent="0.35">
      <c r="A49" s="5" t="s">
        <v>2743</v>
      </c>
      <c r="B49" s="5"/>
      <c r="C49" s="5"/>
      <c r="D49" s="5"/>
      <c r="E49" s="1"/>
      <c r="F49" s="1"/>
      <c r="G49" s="1"/>
      <c r="H49" s="1"/>
      <c r="U49" s="1" t="s">
        <v>2110</v>
      </c>
      <c r="AK49" s="2">
        <f t="shared" si="0"/>
        <v>1</v>
      </c>
      <c r="AM49" s="2">
        <f t="shared" si="1"/>
        <v>0</v>
      </c>
    </row>
    <row r="50" spans="1:39" x14ac:dyDescent="0.35">
      <c r="A50" s="5" t="s">
        <v>3065</v>
      </c>
      <c r="B50" s="5"/>
      <c r="C50" s="5"/>
      <c r="D50" s="5"/>
      <c r="E50" s="1"/>
      <c r="F50" s="1"/>
      <c r="G50" s="1"/>
      <c r="H50" s="1"/>
      <c r="AI50" s="1" t="s">
        <v>879</v>
      </c>
      <c r="AK50" s="2">
        <f t="shared" si="0"/>
        <v>1</v>
      </c>
      <c r="AM50" s="2">
        <f t="shared" si="1"/>
        <v>0</v>
      </c>
    </row>
    <row r="51" spans="1:39" x14ac:dyDescent="0.35">
      <c r="A51" s="5" t="s">
        <v>2406</v>
      </c>
      <c r="B51" s="5"/>
      <c r="C51" s="5"/>
      <c r="D51" s="5"/>
      <c r="E51" s="1"/>
      <c r="F51" s="1"/>
      <c r="G51" s="1"/>
      <c r="H51" s="1"/>
      <c r="U51" s="53" t="s">
        <v>2407</v>
      </c>
      <c r="W51" s="1" t="s">
        <v>403</v>
      </c>
      <c r="AK51" s="2">
        <f t="shared" si="0"/>
        <v>2</v>
      </c>
      <c r="AM51" s="2">
        <f t="shared" si="1"/>
        <v>0</v>
      </c>
    </row>
    <row r="52" spans="1:39" ht="29" x14ac:dyDescent="0.35">
      <c r="A52" s="5" t="s">
        <v>3066</v>
      </c>
      <c r="B52" s="5"/>
      <c r="C52" s="5"/>
      <c r="D52" s="5"/>
      <c r="E52" s="1"/>
      <c r="F52" s="1"/>
      <c r="G52" s="1"/>
      <c r="H52" s="1"/>
      <c r="AI52" s="1" t="s">
        <v>883</v>
      </c>
      <c r="AK52" s="2">
        <f t="shared" si="0"/>
        <v>1</v>
      </c>
      <c r="AM52" s="2">
        <f t="shared" si="1"/>
        <v>0</v>
      </c>
    </row>
    <row r="53" spans="1:39" ht="43.5" x14ac:dyDescent="0.35">
      <c r="A53" s="5" t="s">
        <v>2519</v>
      </c>
      <c r="B53" s="5"/>
      <c r="C53" s="5"/>
      <c r="D53" s="5"/>
      <c r="E53" s="1"/>
      <c r="F53" s="1"/>
      <c r="G53" s="1"/>
      <c r="H53" s="1"/>
      <c r="W53" s="53" t="s">
        <v>428</v>
      </c>
      <c r="AB53" s="53" t="s">
        <v>2701</v>
      </c>
      <c r="AC53" s="53" t="s">
        <v>2174</v>
      </c>
      <c r="AG53" s="1" t="s">
        <v>972</v>
      </c>
      <c r="AK53" s="2">
        <f t="shared" si="0"/>
        <v>4</v>
      </c>
      <c r="AM53" s="2">
        <f t="shared" si="1"/>
        <v>0</v>
      </c>
    </row>
    <row r="54" spans="1:39" ht="43.5" x14ac:dyDescent="0.35">
      <c r="A54" s="5" t="s">
        <v>2983</v>
      </c>
      <c r="B54" s="5"/>
      <c r="C54" s="5"/>
      <c r="D54" s="5"/>
      <c r="E54" s="1"/>
      <c r="F54" s="1"/>
      <c r="G54" s="1"/>
      <c r="H54" s="1"/>
      <c r="W54" s="53" t="s">
        <v>431</v>
      </c>
      <c r="AB54" s="53" t="s">
        <v>2702</v>
      </c>
      <c r="AC54" s="53" t="s">
        <v>2752</v>
      </c>
      <c r="AG54" s="1" t="s">
        <v>1247</v>
      </c>
      <c r="AK54" s="2">
        <f t="shared" si="0"/>
        <v>4</v>
      </c>
      <c r="AM54" s="2">
        <f t="shared" si="1"/>
        <v>0</v>
      </c>
    </row>
    <row r="55" spans="1:39" x14ac:dyDescent="0.35">
      <c r="A55" s="5" t="s">
        <v>2568</v>
      </c>
      <c r="B55" s="5"/>
      <c r="C55" s="5"/>
      <c r="D55" s="5"/>
      <c r="E55" s="1"/>
      <c r="F55" s="1"/>
      <c r="G55" s="1"/>
      <c r="H55" s="1"/>
      <c r="X55" s="1" t="s">
        <v>1432</v>
      </c>
      <c r="AK55" s="2">
        <f t="shared" si="0"/>
        <v>1</v>
      </c>
      <c r="AM55" s="2">
        <f t="shared" si="1"/>
        <v>0</v>
      </c>
    </row>
    <row r="56" spans="1:39" x14ac:dyDescent="0.35">
      <c r="A56" s="5" t="s">
        <v>2569</v>
      </c>
      <c r="B56" s="5"/>
      <c r="C56" s="5"/>
      <c r="D56" s="5"/>
      <c r="E56" s="1"/>
      <c r="F56" s="1"/>
      <c r="G56" s="1"/>
      <c r="H56" s="1"/>
      <c r="X56" s="1" t="s">
        <v>1433</v>
      </c>
      <c r="AK56" s="2">
        <f t="shared" si="0"/>
        <v>1</v>
      </c>
      <c r="AM56" s="2">
        <f t="shared" si="1"/>
        <v>0</v>
      </c>
    </row>
    <row r="57" spans="1:39" x14ac:dyDescent="0.35">
      <c r="A57" s="5" t="s">
        <v>2584</v>
      </c>
      <c r="B57" s="5"/>
      <c r="C57" s="5"/>
      <c r="D57" s="5"/>
      <c r="E57" s="1"/>
      <c r="F57" s="1"/>
      <c r="G57" s="1"/>
      <c r="H57" s="1"/>
      <c r="Z57" s="54" t="s">
        <v>873</v>
      </c>
      <c r="AE57" s="1" t="s">
        <v>1439</v>
      </c>
      <c r="AK57" s="2">
        <f t="shared" si="0"/>
        <v>2</v>
      </c>
      <c r="AM57" s="2">
        <f t="shared" si="1"/>
        <v>0</v>
      </c>
    </row>
    <row r="58" spans="1:39" ht="29" x14ac:dyDescent="0.35">
      <c r="A58" s="5" t="s">
        <v>2703</v>
      </c>
      <c r="B58" s="5"/>
      <c r="C58" s="5"/>
      <c r="D58" s="5"/>
      <c r="E58" s="1"/>
      <c r="F58" s="1"/>
      <c r="G58" s="1"/>
      <c r="H58" s="1"/>
      <c r="AB58" s="53" t="s">
        <v>2704</v>
      </c>
      <c r="AC58" s="1" t="s">
        <v>2175</v>
      </c>
      <c r="AK58" s="2">
        <f t="shared" si="0"/>
        <v>2</v>
      </c>
      <c r="AM58" s="2">
        <f t="shared" si="1"/>
        <v>0</v>
      </c>
    </row>
    <row r="59" spans="1:39" x14ac:dyDescent="0.35">
      <c r="A59" s="5" t="s">
        <v>2707</v>
      </c>
      <c r="B59" s="5"/>
      <c r="C59" s="5"/>
      <c r="D59" s="5"/>
      <c r="E59" s="1"/>
      <c r="F59" s="1"/>
      <c r="G59" s="1"/>
      <c r="H59" s="1"/>
      <c r="AB59" s="53" t="s">
        <v>2708</v>
      </c>
      <c r="AD59" s="1" t="s">
        <v>1978</v>
      </c>
      <c r="AK59" s="2">
        <f t="shared" si="0"/>
        <v>2</v>
      </c>
      <c r="AM59" s="2">
        <f t="shared" si="1"/>
        <v>0</v>
      </c>
    </row>
    <row r="60" spans="1:39" x14ac:dyDescent="0.35">
      <c r="A60" s="5" t="s">
        <v>2742</v>
      </c>
      <c r="B60" s="5"/>
      <c r="C60" s="5"/>
      <c r="D60" s="5"/>
      <c r="E60" s="1"/>
      <c r="F60" s="1"/>
      <c r="G60" s="1"/>
      <c r="H60" s="1"/>
      <c r="AC60" s="53" t="s">
        <v>2164</v>
      </c>
      <c r="AE60" s="1" t="s">
        <v>1437</v>
      </c>
      <c r="AK60" s="2">
        <f t="shared" si="0"/>
        <v>2</v>
      </c>
      <c r="AM60" s="2">
        <f t="shared" si="1"/>
        <v>0</v>
      </c>
    </row>
    <row r="61" spans="1:39" x14ac:dyDescent="0.35">
      <c r="A61" s="5" t="s">
        <v>2744</v>
      </c>
      <c r="B61" s="5"/>
      <c r="C61" s="5"/>
      <c r="D61" s="5"/>
      <c r="E61" s="1"/>
      <c r="F61" s="1"/>
      <c r="G61" s="1"/>
      <c r="H61" s="1"/>
      <c r="AC61" s="1" t="s">
        <v>2166</v>
      </c>
      <c r="AK61" s="2">
        <f t="shared" si="0"/>
        <v>1</v>
      </c>
      <c r="AM61" s="2">
        <f t="shared" si="1"/>
        <v>0</v>
      </c>
    </row>
    <row r="62" spans="1:39" x14ac:dyDescent="0.35">
      <c r="A62" s="5" t="s">
        <v>2745</v>
      </c>
      <c r="B62" s="5"/>
      <c r="C62" s="5"/>
      <c r="D62" s="5"/>
      <c r="E62" s="1"/>
      <c r="F62" s="1"/>
      <c r="G62" s="1"/>
      <c r="H62" s="1"/>
      <c r="AC62" s="1" t="s">
        <v>2167</v>
      </c>
      <c r="AK62" s="2">
        <f t="shared" si="0"/>
        <v>1</v>
      </c>
      <c r="AM62" s="2">
        <f t="shared" si="1"/>
        <v>0</v>
      </c>
    </row>
    <row r="63" spans="1:39" x14ac:dyDescent="0.35">
      <c r="A63" s="5" t="s">
        <v>2746</v>
      </c>
      <c r="B63" s="5"/>
      <c r="C63" s="5"/>
      <c r="D63" s="5"/>
      <c r="E63" s="1"/>
      <c r="F63" s="1"/>
      <c r="G63" s="1"/>
      <c r="H63" s="1"/>
      <c r="AC63" s="54" t="s">
        <v>2169</v>
      </c>
      <c r="AE63" s="1" t="s">
        <v>1441</v>
      </c>
      <c r="AK63" s="2">
        <f t="shared" si="0"/>
        <v>2</v>
      </c>
      <c r="AM63" s="2">
        <f t="shared" si="1"/>
        <v>0</v>
      </c>
    </row>
    <row r="64" spans="1:39" x14ac:dyDescent="0.35">
      <c r="A64" s="5" t="s">
        <v>2747</v>
      </c>
      <c r="B64" s="5"/>
      <c r="C64" s="5"/>
      <c r="D64" s="5"/>
      <c r="E64" s="1"/>
      <c r="F64" s="1"/>
      <c r="G64" s="1"/>
      <c r="H64" s="1"/>
      <c r="AC64" s="54" t="s">
        <v>2171</v>
      </c>
      <c r="AE64" s="1" t="s">
        <v>1443</v>
      </c>
      <c r="AK64" s="2">
        <f t="shared" si="0"/>
        <v>2</v>
      </c>
      <c r="AM64" s="2">
        <f t="shared" si="1"/>
        <v>0</v>
      </c>
    </row>
    <row r="65" spans="1:39" ht="29" x14ac:dyDescent="0.35">
      <c r="A65" s="5" t="s">
        <v>2805</v>
      </c>
      <c r="B65" s="5"/>
      <c r="C65" s="5"/>
      <c r="D65" s="5"/>
      <c r="E65" s="1"/>
      <c r="F65" s="1"/>
      <c r="G65" s="1"/>
      <c r="H65" s="1"/>
      <c r="AD65" s="54" t="s">
        <v>1981</v>
      </c>
      <c r="AE65" s="1" t="s">
        <v>362</v>
      </c>
      <c r="AK65" s="2">
        <f t="shared" si="0"/>
        <v>2</v>
      </c>
      <c r="AM65" s="2">
        <f t="shared" si="1"/>
        <v>0</v>
      </c>
    </row>
    <row r="66" spans="1:39" x14ac:dyDescent="0.35">
      <c r="A66" s="5" t="s">
        <v>2836</v>
      </c>
      <c r="B66" s="5"/>
      <c r="C66" s="5"/>
      <c r="D66" s="5"/>
      <c r="E66" s="1"/>
      <c r="F66" s="1"/>
      <c r="G66" s="1"/>
      <c r="H66" s="1"/>
      <c r="AE66" s="1" t="s">
        <v>363</v>
      </c>
      <c r="AK66" s="2">
        <f t="shared" si="0"/>
        <v>1</v>
      </c>
      <c r="AM66" s="2">
        <f t="shared" si="1"/>
        <v>0</v>
      </c>
    </row>
    <row r="67" spans="1:39" ht="43.5" x14ac:dyDescent="0.35">
      <c r="A67" s="5" t="s">
        <v>2837</v>
      </c>
      <c r="B67" s="5"/>
      <c r="C67" s="5"/>
      <c r="D67" s="5"/>
      <c r="E67" s="1"/>
      <c r="F67" s="1"/>
      <c r="G67" s="1"/>
      <c r="H67" s="1"/>
      <c r="AE67" s="1" t="s">
        <v>364</v>
      </c>
      <c r="AK67" s="2">
        <f t="shared" ref="AK67:AK110" si="2">COUNTA(C67:AI67)</f>
        <v>1</v>
      </c>
      <c r="AM67" s="2">
        <f t="shared" ref="AM67:AM110" si="3">COUNTA(G67:P67,S67:T67)</f>
        <v>0</v>
      </c>
    </row>
    <row r="68" spans="1:39" ht="43.5" x14ac:dyDescent="0.35">
      <c r="A68" s="5" t="s">
        <v>2838</v>
      </c>
      <c r="B68" s="5"/>
      <c r="C68" s="5"/>
      <c r="D68" s="5"/>
      <c r="E68" s="1"/>
      <c r="F68" s="1"/>
      <c r="G68" s="1"/>
      <c r="H68" s="1"/>
      <c r="AE68" s="1" t="s">
        <v>1447</v>
      </c>
      <c r="AK68" s="2">
        <f t="shared" si="2"/>
        <v>1</v>
      </c>
      <c r="AM68" s="2">
        <f t="shared" si="3"/>
        <v>0</v>
      </c>
    </row>
    <row r="69" spans="1:39" x14ac:dyDescent="0.35">
      <c r="A69" s="5" t="s">
        <v>2806</v>
      </c>
      <c r="B69" s="5"/>
      <c r="C69" s="5"/>
      <c r="D69" s="5"/>
      <c r="E69" s="1"/>
      <c r="F69" s="1"/>
      <c r="G69" s="1"/>
      <c r="H69" s="1"/>
      <c r="AD69" s="1" t="s">
        <v>1989</v>
      </c>
      <c r="AK69" s="2">
        <f t="shared" si="2"/>
        <v>1</v>
      </c>
      <c r="AM69" s="2">
        <f t="shared" si="3"/>
        <v>0</v>
      </c>
    </row>
    <row r="70" spans="1:39" x14ac:dyDescent="0.35">
      <c r="A70" s="5" t="s">
        <v>2834</v>
      </c>
      <c r="B70" s="5"/>
      <c r="C70" s="5"/>
      <c r="D70" s="5"/>
      <c r="E70" s="1"/>
      <c r="F70" s="1"/>
      <c r="G70" s="1"/>
      <c r="H70" s="1"/>
      <c r="AE70" s="1" t="s">
        <v>1440</v>
      </c>
      <c r="AK70" s="2">
        <f t="shared" si="2"/>
        <v>1</v>
      </c>
      <c r="AM70" s="2">
        <f t="shared" si="3"/>
        <v>0</v>
      </c>
    </row>
    <row r="71" spans="1:39" ht="29" x14ac:dyDescent="0.35">
      <c r="A71" s="5" t="s">
        <v>2957</v>
      </c>
      <c r="B71" s="1"/>
      <c r="C71" s="1"/>
      <c r="D71" s="5"/>
      <c r="E71" s="1"/>
      <c r="F71" s="1"/>
      <c r="G71" s="1"/>
      <c r="H71" s="1"/>
      <c r="AF71" s="1" t="s">
        <v>179</v>
      </c>
      <c r="AK71" s="2">
        <f t="shared" si="2"/>
        <v>1</v>
      </c>
      <c r="AM71" s="2">
        <f t="shared" si="3"/>
        <v>0</v>
      </c>
    </row>
    <row r="72" spans="1:39" x14ac:dyDescent="0.35">
      <c r="A72" s="1" t="s">
        <v>2509</v>
      </c>
      <c r="B72" s="1"/>
      <c r="C72" s="1"/>
      <c r="D72" s="1"/>
      <c r="E72" s="1"/>
      <c r="F72" s="1"/>
      <c r="G72" s="1"/>
      <c r="H72" s="16"/>
      <c r="V72" s="53" t="s">
        <v>2510</v>
      </c>
      <c r="AA72" s="53" t="s">
        <v>549</v>
      </c>
      <c r="AI72" s="1" t="s">
        <v>1087</v>
      </c>
      <c r="AK72" s="2">
        <f t="shared" si="2"/>
        <v>3</v>
      </c>
      <c r="AM72" s="2">
        <f t="shared" si="3"/>
        <v>0</v>
      </c>
    </row>
    <row r="73" spans="1:39" x14ac:dyDescent="0.35">
      <c r="A73" s="5" t="s">
        <v>2973</v>
      </c>
      <c r="B73" s="1"/>
      <c r="C73" s="1"/>
      <c r="D73" s="5"/>
      <c r="E73" s="1"/>
      <c r="F73" s="1"/>
      <c r="G73" s="1"/>
      <c r="H73" s="1"/>
      <c r="AF73" s="54" t="s">
        <v>977</v>
      </c>
      <c r="AI73" s="1" t="s">
        <v>905</v>
      </c>
      <c r="AK73" s="2">
        <f t="shared" si="2"/>
        <v>2</v>
      </c>
      <c r="AM73" s="2">
        <f t="shared" si="3"/>
        <v>0</v>
      </c>
    </row>
    <row r="74" spans="1:39" ht="29" x14ac:dyDescent="0.35">
      <c r="A74" s="5" t="s">
        <v>3080</v>
      </c>
      <c r="B74" s="1"/>
      <c r="C74" s="1"/>
      <c r="D74" s="5"/>
      <c r="E74" s="1"/>
      <c r="F74" s="1"/>
      <c r="G74" s="1"/>
      <c r="H74" s="1"/>
      <c r="AI74" s="1" t="s">
        <v>882</v>
      </c>
      <c r="AK74" s="2">
        <f t="shared" si="2"/>
        <v>1</v>
      </c>
      <c r="AM74" s="2">
        <f t="shared" si="3"/>
        <v>0</v>
      </c>
    </row>
    <row r="75" spans="1:39" ht="43.5" x14ac:dyDescent="0.35">
      <c r="A75" s="5" t="s">
        <v>2984</v>
      </c>
      <c r="B75" s="1"/>
      <c r="C75" s="1"/>
      <c r="D75" s="5"/>
      <c r="E75" s="1"/>
      <c r="F75" s="1"/>
      <c r="G75" s="1"/>
      <c r="H75" s="1"/>
      <c r="AG75" s="1" t="s">
        <v>1172</v>
      </c>
      <c r="AK75" s="2">
        <f t="shared" si="2"/>
        <v>1</v>
      </c>
      <c r="AM75" s="2">
        <f t="shared" si="3"/>
        <v>0</v>
      </c>
    </row>
    <row r="76" spans="1:39" ht="43.5" x14ac:dyDescent="0.35">
      <c r="A76" s="5" t="s">
        <v>2985</v>
      </c>
      <c r="B76" s="1"/>
      <c r="C76" s="1"/>
      <c r="D76" s="5"/>
      <c r="E76" s="1"/>
      <c r="F76" s="1"/>
      <c r="G76" s="1"/>
      <c r="H76" s="1"/>
      <c r="AG76" s="1" t="s">
        <v>1250</v>
      </c>
      <c r="AK76" s="2">
        <f t="shared" si="2"/>
        <v>1</v>
      </c>
      <c r="AM76" s="2">
        <f t="shared" si="3"/>
        <v>0</v>
      </c>
    </row>
    <row r="77" spans="1:39" ht="43.5" x14ac:dyDescent="0.35">
      <c r="A77" s="5" t="s">
        <v>2986</v>
      </c>
      <c r="B77" s="1"/>
      <c r="C77" s="1"/>
      <c r="D77" s="5"/>
      <c r="E77" s="1"/>
      <c r="F77" s="1"/>
      <c r="G77" s="1"/>
      <c r="H77" s="1"/>
      <c r="AG77" s="1" t="s">
        <v>974</v>
      </c>
      <c r="AK77" s="2">
        <f t="shared" si="2"/>
        <v>1</v>
      </c>
      <c r="AM77" s="2">
        <f t="shared" si="3"/>
        <v>0</v>
      </c>
    </row>
    <row r="78" spans="1:39" ht="43.5" x14ac:dyDescent="0.35">
      <c r="A78" s="5" t="s">
        <v>2987</v>
      </c>
      <c r="B78" s="1"/>
      <c r="C78" s="1"/>
      <c r="D78" s="5"/>
      <c r="E78" s="1"/>
      <c r="F78" s="1"/>
      <c r="G78" s="1"/>
      <c r="H78" s="1"/>
      <c r="AG78" s="1" t="s">
        <v>975</v>
      </c>
      <c r="AK78" s="2">
        <f t="shared" si="2"/>
        <v>1</v>
      </c>
      <c r="AM78" s="2">
        <f t="shared" si="3"/>
        <v>0</v>
      </c>
    </row>
    <row r="79" spans="1:39" ht="43.5" x14ac:dyDescent="0.35">
      <c r="A79" s="5" t="s">
        <v>2988</v>
      </c>
      <c r="B79" s="1"/>
      <c r="C79" s="1"/>
      <c r="D79" s="5"/>
      <c r="E79" s="1"/>
      <c r="F79" s="1"/>
      <c r="G79" s="1"/>
      <c r="H79" s="1"/>
      <c r="AG79" s="1" t="s">
        <v>1179</v>
      </c>
      <c r="AK79" s="2">
        <f t="shared" si="2"/>
        <v>1</v>
      </c>
      <c r="AM79" s="2">
        <f t="shared" si="3"/>
        <v>0</v>
      </c>
    </row>
    <row r="80" spans="1:39" ht="43.5" x14ac:dyDescent="0.35">
      <c r="A80" s="5" t="s">
        <v>2989</v>
      </c>
      <c r="B80" s="5"/>
      <c r="C80" s="5"/>
      <c r="D80" s="5"/>
      <c r="E80" s="1"/>
      <c r="F80" s="1"/>
      <c r="G80" s="1"/>
      <c r="H80" s="1"/>
      <c r="AG80" s="1" t="s">
        <v>1988</v>
      </c>
      <c r="AK80" s="2">
        <f t="shared" si="2"/>
        <v>1</v>
      </c>
      <c r="AM80" s="2">
        <f t="shared" si="3"/>
        <v>0</v>
      </c>
    </row>
    <row r="81" spans="1:39" ht="43.5" x14ac:dyDescent="0.35">
      <c r="A81" s="5" t="s">
        <v>2990</v>
      </c>
      <c r="B81" s="1"/>
      <c r="C81" s="1"/>
      <c r="D81" s="5"/>
      <c r="E81" s="1"/>
      <c r="F81" s="1"/>
      <c r="G81" s="1"/>
      <c r="H81" s="1"/>
      <c r="AG81" s="1" t="s">
        <v>977</v>
      </c>
      <c r="AK81" s="2">
        <f t="shared" si="2"/>
        <v>1</v>
      </c>
      <c r="AM81" s="2">
        <f t="shared" si="3"/>
        <v>0</v>
      </c>
    </row>
    <row r="82" spans="1:39" ht="43.5" x14ac:dyDescent="0.35">
      <c r="A82" s="5" t="s">
        <v>2991</v>
      </c>
      <c r="B82" s="1"/>
      <c r="C82" s="1"/>
      <c r="D82" s="5"/>
      <c r="E82" s="1"/>
      <c r="F82" s="1"/>
      <c r="G82" s="1"/>
      <c r="H82" s="1"/>
      <c r="AG82" s="1" t="s">
        <v>978</v>
      </c>
      <c r="AK82" s="2">
        <f t="shared" si="2"/>
        <v>1</v>
      </c>
      <c r="AM82" s="2">
        <f t="shared" si="3"/>
        <v>0</v>
      </c>
    </row>
    <row r="83" spans="1:39" ht="43.5" x14ac:dyDescent="0.35">
      <c r="A83" s="5" t="s">
        <v>2992</v>
      </c>
      <c r="B83" s="1"/>
      <c r="C83" s="1"/>
      <c r="D83" s="5"/>
      <c r="E83" s="1"/>
      <c r="F83" s="1"/>
      <c r="G83" s="1"/>
      <c r="H83" s="1"/>
      <c r="AG83" s="1" t="s">
        <v>1180</v>
      </c>
      <c r="AK83" s="2">
        <f t="shared" si="2"/>
        <v>1</v>
      </c>
      <c r="AM83" s="2">
        <f t="shared" si="3"/>
        <v>0</v>
      </c>
    </row>
    <row r="84" spans="1:39" ht="43.5" x14ac:dyDescent="0.35">
      <c r="A84" s="5" t="s">
        <v>3001</v>
      </c>
      <c r="B84" s="1"/>
      <c r="C84" s="1"/>
      <c r="D84" s="5"/>
      <c r="E84" s="1"/>
      <c r="F84" s="1"/>
      <c r="G84" s="1"/>
      <c r="H84" s="1"/>
      <c r="AG84" s="1" t="s">
        <v>1258</v>
      </c>
      <c r="AK84" s="2">
        <f t="shared" si="2"/>
        <v>1</v>
      </c>
      <c r="AM84" s="2">
        <f t="shared" si="3"/>
        <v>0</v>
      </c>
    </row>
    <row r="85" spans="1:39" ht="43.5" x14ac:dyDescent="0.35">
      <c r="A85" s="5" t="s">
        <v>3000</v>
      </c>
      <c r="B85" s="1"/>
      <c r="C85" s="1"/>
      <c r="D85" s="5"/>
      <c r="E85" s="1"/>
      <c r="F85" s="1"/>
      <c r="G85" s="1"/>
      <c r="H85" s="1"/>
      <c r="AG85" s="1" t="s">
        <v>980</v>
      </c>
      <c r="AK85" s="2">
        <f t="shared" si="2"/>
        <v>1</v>
      </c>
      <c r="AM85" s="2">
        <f t="shared" si="3"/>
        <v>0</v>
      </c>
    </row>
    <row r="86" spans="1:39" ht="43.5" x14ac:dyDescent="0.35">
      <c r="A86" s="5" t="s">
        <v>2999</v>
      </c>
      <c r="B86" s="1"/>
      <c r="C86" s="1"/>
      <c r="D86" s="5"/>
      <c r="E86" s="1"/>
      <c r="F86" s="1"/>
      <c r="G86" s="1"/>
      <c r="H86" s="1"/>
      <c r="AG86" s="1" t="s">
        <v>983</v>
      </c>
      <c r="AK86" s="2">
        <f t="shared" si="2"/>
        <v>1</v>
      </c>
      <c r="AM86" s="2">
        <f t="shared" si="3"/>
        <v>0</v>
      </c>
    </row>
    <row r="87" spans="1:39" ht="43.5" x14ac:dyDescent="0.35">
      <c r="A87" s="5" t="s">
        <v>2998</v>
      </c>
      <c r="B87" s="1"/>
      <c r="C87" s="1"/>
      <c r="D87" s="5"/>
      <c r="E87" s="1"/>
      <c r="F87" s="1"/>
      <c r="G87" s="1"/>
      <c r="H87" s="1"/>
      <c r="AG87" s="1" t="s">
        <v>984</v>
      </c>
      <c r="AK87" s="2">
        <f t="shared" si="2"/>
        <v>1</v>
      </c>
      <c r="AM87" s="2">
        <f t="shared" si="3"/>
        <v>0</v>
      </c>
    </row>
    <row r="88" spans="1:39" ht="43.5" x14ac:dyDescent="0.35">
      <c r="A88" s="5" t="s">
        <v>2997</v>
      </c>
      <c r="B88" s="1"/>
      <c r="C88" s="1"/>
      <c r="D88" s="5"/>
      <c r="E88" s="1"/>
      <c r="F88" s="1"/>
      <c r="G88" s="1"/>
      <c r="H88" s="1"/>
      <c r="AG88" s="1" t="s">
        <v>985</v>
      </c>
      <c r="AK88" s="2">
        <f t="shared" si="2"/>
        <v>1</v>
      </c>
      <c r="AM88" s="2">
        <f t="shared" si="3"/>
        <v>0</v>
      </c>
    </row>
    <row r="89" spans="1:39" ht="58" x14ac:dyDescent="0.35">
      <c r="A89" s="5" t="s">
        <v>2996</v>
      </c>
      <c r="B89" s="1"/>
      <c r="C89" s="1"/>
      <c r="D89" s="5"/>
      <c r="E89" s="1"/>
      <c r="F89" s="1"/>
      <c r="G89" s="1"/>
      <c r="H89" s="1"/>
      <c r="AG89" s="1" t="s">
        <v>986</v>
      </c>
      <c r="AK89" s="2">
        <f t="shared" si="2"/>
        <v>1</v>
      </c>
      <c r="AM89" s="2">
        <f t="shared" si="3"/>
        <v>0</v>
      </c>
    </row>
    <row r="90" spans="1:39" ht="43.5" x14ac:dyDescent="0.35">
      <c r="A90" s="5" t="s">
        <v>2995</v>
      </c>
      <c r="B90" s="1"/>
      <c r="C90" s="1"/>
      <c r="D90" s="5"/>
      <c r="E90" s="1"/>
      <c r="F90" s="1"/>
      <c r="G90" s="1"/>
      <c r="H90" s="1"/>
      <c r="AG90" s="1" t="s">
        <v>988</v>
      </c>
      <c r="AK90" s="2">
        <f t="shared" si="2"/>
        <v>1</v>
      </c>
      <c r="AM90" s="2">
        <f t="shared" si="3"/>
        <v>0</v>
      </c>
    </row>
    <row r="91" spans="1:39" ht="43.5" x14ac:dyDescent="0.35">
      <c r="A91" s="5" t="s">
        <v>2994</v>
      </c>
      <c r="B91" s="1"/>
      <c r="C91" s="1"/>
      <c r="D91" s="5"/>
      <c r="E91" s="1"/>
      <c r="F91" s="1"/>
      <c r="G91" s="1"/>
      <c r="H91" s="1"/>
      <c r="AG91" s="1" t="s">
        <v>989</v>
      </c>
      <c r="AK91" s="2">
        <f t="shared" si="2"/>
        <v>1</v>
      </c>
      <c r="AM91" s="2">
        <f t="shared" si="3"/>
        <v>0</v>
      </c>
    </row>
    <row r="92" spans="1:39" ht="43.5" x14ac:dyDescent="0.35">
      <c r="A92" s="5" t="s">
        <v>2993</v>
      </c>
      <c r="B92" s="1"/>
      <c r="C92" s="1"/>
      <c r="D92" s="5"/>
      <c r="E92" s="1"/>
      <c r="F92" s="1"/>
      <c r="G92" s="1"/>
      <c r="H92" s="1"/>
      <c r="AG92" s="1" t="s">
        <v>991</v>
      </c>
      <c r="AK92" s="2">
        <f t="shared" si="2"/>
        <v>1</v>
      </c>
      <c r="AM92" s="2">
        <f t="shared" si="3"/>
        <v>0</v>
      </c>
    </row>
    <row r="93" spans="1:39" x14ac:dyDescent="0.35">
      <c r="A93" s="5" t="s">
        <v>3002</v>
      </c>
      <c r="B93" s="1"/>
      <c r="C93" s="1"/>
      <c r="D93" s="5"/>
      <c r="E93" s="1"/>
      <c r="F93" s="1"/>
      <c r="G93" s="1"/>
      <c r="H93" s="1"/>
      <c r="AG93" s="1" t="s">
        <v>993</v>
      </c>
      <c r="AK93" s="2">
        <f t="shared" si="2"/>
        <v>1</v>
      </c>
      <c r="AM93" s="2">
        <f t="shared" si="3"/>
        <v>0</v>
      </c>
    </row>
    <row r="94" spans="1:39" x14ac:dyDescent="0.35">
      <c r="A94" s="5" t="s">
        <v>3003</v>
      </c>
      <c r="B94" s="1"/>
      <c r="C94" s="1"/>
      <c r="D94" s="5"/>
      <c r="E94" s="1"/>
      <c r="F94" s="1"/>
      <c r="G94" s="1"/>
      <c r="H94" s="1"/>
      <c r="AG94" s="1" t="s">
        <v>994</v>
      </c>
      <c r="AK94" s="2">
        <f t="shared" si="2"/>
        <v>1</v>
      </c>
      <c r="AM94" s="2">
        <f t="shared" si="3"/>
        <v>0</v>
      </c>
    </row>
    <row r="95" spans="1:39" x14ac:dyDescent="0.35">
      <c r="A95" s="5" t="s">
        <v>3020</v>
      </c>
      <c r="B95" s="1"/>
      <c r="C95" s="1"/>
      <c r="D95" s="5"/>
      <c r="E95" s="1"/>
      <c r="F95" s="1"/>
      <c r="G95" s="1"/>
      <c r="H95" s="1"/>
      <c r="AH95" s="1" t="s">
        <v>1678</v>
      </c>
      <c r="AK95" s="2">
        <f t="shared" si="2"/>
        <v>1</v>
      </c>
      <c r="AM95" s="2">
        <f t="shared" si="3"/>
        <v>0</v>
      </c>
    </row>
    <row r="96" spans="1:39" x14ac:dyDescent="0.35">
      <c r="A96" s="5" t="s">
        <v>3067</v>
      </c>
      <c r="B96" s="1"/>
      <c r="C96" s="1"/>
      <c r="D96" s="5"/>
      <c r="E96" s="1"/>
      <c r="F96" s="1"/>
      <c r="G96" s="1"/>
      <c r="H96" s="1"/>
      <c r="AI96" s="1" t="s">
        <v>889</v>
      </c>
      <c r="AK96" s="2">
        <f t="shared" si="2"/>
        <v>1</v>
      </c>
      <c r="AM96" s="2">
        <f t="shared" si="3"/>
        <v>0</v>
      </c>
    </row>
    <row r="97" spans="1:39" x14ac:dyDescent="0.35">
      <c r="A97" s="5" t="s">
        <v>3068</v>
      </c>
      <c r="B97" s="1"/>
      <c r="C97" s="1"/>
      <c r="D97" s="5"/>
      <c r="E97" s="1"/>
      <c r="F97" s="1"/>
      <c r="G97" s="1"/>
      <c r="H97" s="1"/>
      <c r="AI97" s="1" t="s">
        <v>890</v>
      </c>
      <c r="AK97" s="2">
        <f t="shared" si="2"/>
        <v>1</v>
      </c>
      <c r="AM97" s="2">
        <f t="shared" si="3"/>
        <v>0</v>
      </c>
    </row>
    <row r="98" spans="1:39" x14ac:dyDescent="0.35">
      <c r="A98" s="5" t="s">
        <v>3069</v>
      </c>
      <c r="B98" s="1"/>
      <c r="C98" s="1"/>
      <c r="D98" s="5"/>
      <c r="E98" s="1"/>
      <c r="F98" s="1"/>
      <c r="G98" s="1"/>
      <c r="H98" s="1"/>
      <c r="AI98" s="1" t="s">
        <v>891</v>
      </c>
      <c r="AK98" s="2">
        <f t="shared" si="2"/>
        <v>1</v>
      </c>
      <c r="AM98" s="2">
        <f t="shared" si="3"/>
        <v>0</v>
      </c>
    </row>
    <row r="99" spans="1:39" x14ac:dyDescent="0.35">
      <c r="A99" s="5" t="s">
        <v>3070</v>
      </c>
      <c r="B99" s="1"/>
      <c r="C99" s="1"/>
      <c r="D99" s="5"/>
      <c r="E99" s="1"/>
      <c r="F99" s="1"/>
      <c r="G99" s="1"/>
      <c r="H99" s="1"/>
      <c r="AI99" s="1" t="s">
        <v>892</v>
      </c>
      <c r="AK99" s="2">
        <f t="shared" si="2"/>
        <v>1</v>
      </c>
      <c r="AM99" s="2">
        <f t="shared" si="3"/>
        <v>0</v>
      </c>
    </row>
    <row r="100" spans="1:39" x14ac:dyDescent="0.35">
      <c r="A100" s="5" t="s">
        <v>3071</v>
      </c>
      <c r="B100" s="1"/>
      <c r="C100" s="1"/>
      <c r="D100" s="5"/>
      <c r="E100" s="1"/>
      <c r="F100" s="1"/>
      <c r="G100" s="1"/>
      <c r="H100" s="1"/>
      <c r="AI100" s="1" t="s">
        <v>893</v>
      </c>
      <c r="AK100" s="2">
        <f t="shared" si="2"/>
        <v>1</v>
      </c>
      <c r="AM100" s="2">
        <f t="shared" si="3"/>
        <v>0</v>
      </c>
    </row>
    <row r="101" spans="1:39" x14ac:dyDescent="0.35">
      <c r="A101" s="5" t="s">
        <v>3072</v>
      </c>
      <c r="B101" s="1"/>
      <c r="C101" s="1"/>
      <c r="D101" s="5"/>
      <c r="E101" s="1"/>
      <c r="F101" s="1"/>
      <c r="G101" s="1"/>
      <c r="H101" s="1"/>
      <c r="AI101" s="1" t="s">
        <v>894</v>
      </c>
      <c r="AK101" s="2">
        <f t="shared" si="2"/>
        <v>1</v>
      </c>
      <c r="AM101" s="2">
        <f t="shared" si="3"/>
        <v>0</v>
      </c>
    </row>
    <row r="102" spans="1:39" x14ac:dyDescent="0.35">
      <c r="A102" s="5" t="s">
        <v>3073</v>
      </c>
      <c r="B102" s="1"/>
      <c r="C102" s="1"/>
      <c r="D102" s="5"/>
      <c r="E102" s="1"/>
      <c r="F102" s="1"/>
      <c r="G102" s="1"/>
      <c r="H102" s="1"/>
      <c r="AI102" s="1" t="s">
        <v>895</v>
      </c>
      <c r="AK102" s="2">
        <f t="shared" si="2"/>
        <v>1</v>
      </c>
      <c r="AM102" s="2">
        <f t="shared" si="3"/>
        <v>0</v>
      </c>
    </row>
    <row r="103" spans="1:39" x14ac:dyDescent="0.35">
      <c r="A103" s="5" t="s">
        <v>3074</v>
      </c>
      <c r="B103" s="1"/>
      <c r="C103" s="1"/>
      <c r="D103" s="5"/>
      <c r="E103" s="1"/>
      <c r="F103" s="1"/>
      <c r="G103" s="1"/>
      <c r="H103" s="1"/>
      <c r="AI103" s="1" t="s">
        <v>896</v>
      </c>
      <c r="AK103" s="2">
        <f t="shared" si="2"/>
        <v>1</v>
      </c>
      <c r="AM103" s="2">
        <f t="shared" si="3"/>
        <v>0</v>
      </c>
    </row>
    <row r="104" spans="1:39" x14ac:dyDescent="0.35">
      <c r="A104" s="5" t="s">
        <v>3075</v>
      </c>
      <c r="B104" s="1"/>
      <c r="C104" s="1"/>
      <c r="D104" s="5"/>
      <c r="E104" s="1"/>
      <c r="F104" s="1"/>
      <c r="G104" s="1"/>
      <c r="H104" s="1"/>
      <c r="AI104" s="1" t="s">
        <v>897</v>
      </c>
      <c r="AK104" s="2">
        <f t="shared" si="2"/>
        <v>1</v>
      </c>
      <c r="AM104" s="2">
        <f t="shared" si="3"/>
        <v>0</v>
      </c>
    </row>
    <row r="105" spans="1:39" x14ac:dyDescent="0.35">
      <c r="A105" s="5" t="s">
        <v>3076</v>
      </c>
      <c r="B105" s="1"/>
      <c r="C105" s="1"/>
      <c r="D105" s="5"/>
      <c r="E105" s="1"/>
      <c r="F105" s="1"/>
      <c r="G105" s="1"/>
      <c r="H105" s="1"/>
      <c r="AI105" s="1" t="s">
        <v>898</v>
      </c>
      <c r="AK105" s="2">
        <f t="shared" si="2"/>
        <v>1</v>
      </c>
      <c r="AM105" s="2">
        <f t="shared" si="3"/>
        <v>0</v>
      </c>
    </row>
    <row r="106" spans="1:39" x14ac:dyDescent="0.35">
      <c r="A106" s="5" t="s">
        <v>3077</v>
      </c>
      <c r="B106" s="1"/>
      <c r="C106" s="1"/>
      <c r="D106" s="5"/>
      <c r="E106" s="1"/>
      <c r="F106" s="1"/>
      <c r="G106" s="1"/>
      <c r="H106" s="1"/>
      <c r="AI106" s="1" t="s">
        <v>880</v>
      </c>
      <c r="AK106" s="2">
        <f t="shared" si="2"/>
        <v>1</v>
      </c>
      <c r="AM106" s="2">
        <f t="shared" si="3"/>
        <v>0</v>
      </c>
    </row>
    <row r="107" spans="1:39" x14ac:dyDescent="0.35">
      <c r="A107" s="5" t="s">
        <v>3078</v>
      </c>
      <c r="B107" s="1"/>
      <c r="C107" s="1"/>
      <c r="D107" s="5"/>
      <c r="E107" s="1"/>
      <c r="F107" s="1"/>
      <c r="G107" s="1"/>
      <c r="H107" s="1"/>
      <c r="AI107" s="1" t="s">
        <v>899</v>
      </c>
      <c r="AK107" s="2">
        <f t="shared" si="2"/>
        <v>1</v>
      </c>
      <c r="AM107" s="2">
        <f t="shared" si="3"/>
        <v>0</v>
      </c>
    </row>
    <row r="108" spans="1:39" x14ac:dyDescent="0.35">
      <c r="A108" s="5" t="s">
        <v>3079</v>
      </c>
      <c r="B108" s="1"/>
      <c r="C108" s="1"/>
      <c r="D108" s="5"/>
      <c r="E108" s="1"/>
      <c r="F108" s="1"/>
      <c r="G108" s="1"/>
      <c r="H108" s="1"/>
      <c r="AI108" s="1" t="s">
        <v>900</v>
      </c>
      <c r="AK108" s="2">
        <f t="shared" si="2"/>
        <v>1</v>
      </c>
      <c r="AM108" s="2">
        <f t="shared" si="3"/>
        <v>0</v>
      </c>
    </row>
    <row r="109" spans="1:39" ht="29" x14ac:dyDescent="0.35">
      <c r="A109" s="5" t="s">
        <v>3101</v>
      </c>
      <c r="B109" s="1"/>
      <c r="C109" s="1"/>
      <c r="D109" s="5"/>
      <c r="E109" s="1"/>
      <c r="F109" s="1"/>
      <c r="G109" s="1"/>
      <c r="H109" s="1"/>
      <c r="AI109" s="1" t="s">
        <v>962</v>
      </c>
      <c r="AK109" s="2">
        <f t="shared" si="2"/>
        <v>1</v>
      </c>
      <c r="AM109" s="2">
        <f t="shared" si="3"/>
        <v>0</v>
      </c>
    </row>
    <row r="110" spans="1:39" ht="29" x14ac:dyDescent="0.35">
      <c r="A110" s="5" t="s">
        <v>3102</v>
      </c>
      <c r="B110" s="1"/>
      <c r="C110" s="1"/>
      <c r="D110" s="5"/>
      <c r="E110" s="1"/>
      <c r="F110" s="1"/>
      <c r="G110" s="1"/>
      <c r="H110" s="1"/>
      <c r="AI110" s="1" t="s">
        <v>964</v>
      </c>
      <c r="AK110" s="2">
        <f t="shared" si="2"/>
        <v>1</v>
      </c>
      <c r="AM110" s="2">
        <f t="shared" si="3"/>
        <v>0</v>
      </c>
    </row>
    <row r="111" spans="1:39" x14ac:dyDescent="0.35">
      <c r="A111" s="5" t="s">
        <v>7906</v>
      </c>
      <c r="B111" s="1" t="s">
        <v>3172</v>
      </c>
      <c r="C111" s="1"/>
      <c r="D111" s="5"/>
      <c r="E111" s="1"/>
      <c r="F111" s="1"/>
      <c r="G111" s="1"/>
      <c r="H111" s="1"/>
    </row>
    <row r="112" spans="1:39" ht="43.5" x14ac:dyDescent="0.35">
      <c r="A112" s="5" t="s">
        <v>7908</v>
      </c>
      <c r="B112" s="1" t="s">
        <v>7907</v>
      </c>
      <c r="C112" s="1"/>
      <c r="D112" s="5"/>
      <c r="E112" s="1"/>
      <c r="F112" s="1"/>
      <c r="G112" s="1"/>
      <c r="H112" s="1"/>
    </row>
    <row r="113" spans="1:8" ht="29" x14ac:dyDescent="0.35">
      <c r="A113" s="5" t="s">
        <v>7909</v>
      </c>
      <c r="B113" s="1" t="s">
        <v>7910</v>
      </c>
      <c r="C113" s="1"/>
      <c r="D113" s="5"/>
      <c r="E113" s="1"/>
      <c r="F113" s="1"/>
      <c r="G113" s="1"/>
      <c r="H113" s="1"/>
    </row>
    <row r="114" spans="1:8" x14ac:dyDescent="0.35">
      <c r="A114" s="5"/>
      <c r="B114" s="1"/>
      <c r="C114" s="1"/>
      <c r="D114" s="5"/>
      <c r="E114" s="1"/>
      <c r="F114" s="1"/>
      <c r="G114" s="1"/>
      <c r="H114" s="1"/>
    </row>
    <row r="115" spans="1:8" x14ac:dyDescent="0.35">
      <c r="A115" s="5"/>
      <c r="B115" s="1"/>
      <c r="C115" s="1"/>
      <c r="D115" s="5"/>
      <c r="E115" s="1"/>
      <c r="F115" s="1"/>
      <c r="G115" s="1"/>
      <c r="H115" s="1"/>
    </row>
    <row r="116" spans="1:8" x14ac:dyDescent="0.35">
      <c r="A116" s="5"/>
      <c r="B116" s="1"/>
      <c r="C116" s="1"/>
      <c r="D116" s="5"/>
      <c r="E116" s="1"/>
      <c r="F116" s="1"/>
      <c r="G116" s="1"/>
      <c r="H116" s="1"/>
    </row>
    <row r="117" spans="1:8" x14ac:dyDescent="0.35">
      <c r="A117" s="5"/>
      <c r="B117" s="1"/>
      <c r="C117" s="1"/>
      <c r="D117" s="5"/>
      <c r="E117" s="1"/>
      <c r="F117" s="1"/>
      <c r="G117" s="1"/>
      <c r="H117" s="1"/>
    </row>
    <row r="118" spans="1:8" x14ac:dyDescent="0.35">
      <c r="A118" s="5"/>
      <c r="B118" s="1"/>
      <c r="C118" s="1"/>
      <c r="D118" s="5"/>
      <c r="E118" s="1"/>
      <c r="F118" s="1"/>
      <c r="G118" s="1"/>
      <c r="H118" s="1"/>
    </row>
    <row r="119" spans="1:8" x14ac:dyDescent="0.35">
      <c r="A119" s="5"/>
      <c r="B119" s="1"/>
      <c r="C119" s="1"/>
      <c r="D119" s="5"/>
      <c r="E119" s="1"/>
      <c r="F119" s="1"/>
      <c r="G119" s="1"/>
      <c r="H119" s="1"/>
    </row>
    <row r="120" spans="1:8" x14ac:dyDescent="0.35">
      <c r="A120" s="5"/>
      <c r="B120" s="1"/>
      <c r="C120" s="1"/>
      <c r="D120" s="5"/>
      <c r="E120" s="1"/>
      <c r="F120" s="1"/>
      <c r="G120" s="1"/>
      <c r="H120" s="1"/>
    </row>
    <row r="121" spans="1:8" x14ac:dyDescent="0.35">
      <c r="A121" s="5"/>
      <c r="B121" s="1"/>
      <c r="C121" s="1"/>
      <c r="D121" s="5"/>
      <c r="E121" s="1"/>
      <c r="F121" s="1"/>
      <c r="G121" s="1"/>
      <c r="H121" s="1"/>
    </row>
    <row r="122" spans="1:8" x14ac:dyDescent="0.35">
      <c r="A122" s="5"/>
      <c r="B122" s="1"/>
      <c r="C122" s="1"/>
      <c r="D122" s="5"/>
      <c r="E122" s="1"/>
      <c r="F122" s="1"/>
      <c r="G122" s="1"/>
      <c r="H122" s="1"/>
    </row>
    <row r="123" spans="1:8" x14ac:dyDescent="0.35">
      <c r="A123" s="5"/>
      <c r="B123" s="1"/>
      <c r="C123" s="1"/>
      <c r="D123" s="5"/>
      <c r="E123" s="1"/>
      <c r="F123" s="1"/>
      <c r="G123" s="1"/>
      <c r="H123" s="1"/>
    </row>
    <row r="124" spans="1:8" x14ac:dyDescent="0.35">
      <c r="A124" s="5"/>
      <c r="B124" s="1"/>
      <c r="C124" s="1"/>
      <c r="D124" s="5"/>
      <c r="E124" s="1"/>
      <c r="F124" s="1"/>
      <c r="G124" s="1"/>
      <c r="H124" s="1"/>
    </row>
    <row r="125" spans="1:8" x14ac:dyDescent="0.35">
      <c r="A125" s="5"/>
      <c r="B125" s="1"/>
      <c r="C125" s="1"/>
      <c r="D125" s="5"/>
      <c r="E125" s="1"/>
      <c r="F125" s="1"/>
      <c r="G125" s="1"/>
      <c r="H125" s="1"/>
    </row>
    <row r="126" spans="1:8" x14ac:dyDescent="0.35">
      <c r="A126" s="5"/>
      <c r="B126" s="1"/>
      <c r="C126" s="1"/>
      <c r="D126" s="5"/>
      <c r="E126" s="1"/>
      <c r="F126" s="1"/>
      <c r="G126" s="1"/>
      <c r="H126" s="1"/>
    </row>
    <row r="127" spans="1:8" x14ac:dyDescent="0.35">
      <c r="A127" s="5"/>
      <c r="B127" s="1"/>
      <c r="C127" s="1"/>
      <c r="D127" s="5"/>
      <c r="E127" s="1"/>
      <c r="F127" s="1"/>
      <c r="G127" s="1"/>
      <c r="H127" s="1"/>
    </row>
    <row r="128" spans="1:8" x14ac:dyDescent="0.35">
      <c r="A128" s="5"/>
      <c r="B128" s="1"/>
      <c r="C128" s="1"/>
      <c r="D128" s="5"/>
      <c r="E128" s="1"/>
      <c r="F128" s="1"/>
      <c r="G128" s="1"/>
      <c r="H128" s="1"/>
    </row>
    <row r="129" spans="1:8" x14ac:dyDescent="0.35">
      <c r="A129" s="5"/>
      <c r="B129" s="1"/>
      <c r="C129" s="1"/>
      <c r="D129" s="5"/>
      <c r="E129" s="1"/>
      <c r="F129" s="1"/>
      <c r="G129" s="1"/>
      <c r="H129" s="1"/>
    </row>
    <row r="130" spans="1:8" x14ac:dyDescent="0.35">
      <c r="A130" s="5"/>
      <c r="B130" s="1"/>
      <c r="C130" s="1"/>
      <c r="D130" s="5"/>
      <c r="E130" s="1"/>
      <c r="F130" s="1"/>
      <c r="G130" s="1"/>
      <c r="H130" s="1"/>
    </row>
    <row r="131" spans="1:8" x14ac:dyDescent="0.35">
      <c r="A131" s="5"/>
      <c r="B131" s="1"/>
      <c r="C131" s="1"/>
      <c r="D131" s="5"/>
      <c r="E131" s="1"/>
      <c r="F131" s="1"/>
      <c r="G131" s="1"/>
      <c r="H131" s="1"/>
    </row>
    <row r="132" spans="1:8" x14ac:dyDescent="0.35">
      <c r="A132" s="5"/>
      <c r="B132" s="1"/>
      <c r="C132" s="1"/>
      <c r="D132" s="5"/>
      <c r="E132" s="1"/>
      <c r="F132" s="1"/>
      <c r="G132" s="1"/>
      <c r="H132" s="1"/>
    </row>
    <row r="133" spans="1:8" x14ac:dyDescent="0.35">
      <c r="A133" s="5"/>
      <c r="B133" s="1"/>
      <c r="C133" s="1"/>
      <c r="D133" s="5"/>
      <c r="E133" s="1"/>
      <c r="F133" s="1"/>
      <c r="G133" s="1"/>
      <c r="H133" s="1"/>
    </row>
    <row r="134" spans="1:8" x14ac:dyDescent="0.35">
      <c r="A134" s="5"/>
      <c r="B134" s="1"/>
      <c r="C134" s="1"/>
      <c r="D134" s="5"/>
      <c r="E134" s="1"/>
      <c r="F134" s="1"/>
      <c r="G134" s="1"/>
      <c r="H134" s="1"/>
    </row>
    <row r="135" spans="1:8" x14ac:dyDescent="0.35">
      <c r="A135" s="5"/>
      <c r="B135" s="1"/>
      <c r="C135" s="1"/>
      <c r="D135" s="5"/>
      <c r="E135" s="1"/>
      <c r="F135" s="1"/>
      <c r="G135" s="1"/>
      <c r="H135" s="1"/>
    </row>
    <row r="136" spans="1:8" x14ac:dyDescent="0.35">
      <c r="A136" s="5"/>
      <c r="B136" s="1"/>
      <c r="C136" s="1"/>
      <c r="D136" s="5"/>
      <c r="E136" s="1"/>
      <c r="F136" s="1"/>
      <c r="G136" s="1"/>
      <c r="H136" s="1"/>
    </row>
    <row r="137" spans="1:8" x14ac:dyDescent="0.35">
      <c r="A137" s="5"/>
      <c r="B137" s="1"/>
      <c r="C137" s="1"/>
      <c r="D137" s="5"/>
      <c r="E137" s="1"/>
      <c r="F137" s="1"/>
      <c r="G137" s="1"/>
      <c r="H137" s="1"/>
    </row>
    <row r="138" spans="1:8" x14ac:dyDescent="0.35">
      <c r="A138" s="5"/>
      <c r="B138" s="1"/>
      <c r="C138" s="1"/>
      <c r="D138" s="5"/>
      <c r="E138" s="1"/>
      <c r="F138" s="1"/>
      <c r="G138" s="1"/>
      <c r="H138" s="1"/>
    </row>
    <row r="139" spans="1:8" x14ac:dyDescent="0.35">
      <c r="A139" s="5"/>
      <c r="B139" s="1"/>
      <c r="C139" s="1"/>
      <c r="D139" s="5"/>
      <c r="E139" s="1"/>
      <c r="F139" s="1"/>
      <c r="G139" s="1"/>
      <c r="H139" s="1"/>
    </row>
    <row r="140" spans="1:8" x14ac:dyDescent="0.35">
      <c r="A140" s="5"/>
      <c r="B140" s="1"/>
      <c r="C140" s="1"/>
      <c r="D140" s="5"/>
      <c r="E140" s="1"/>
      <c r="F140" s="1"/>
      <c r="G140" s="1"/>
      <c r="H140" s="1"/>
    </row>
    <row r="141" spans="1:8" x14ac:dyDescent="0.35">
      <c r="A141" s="5"/>
      <c r="B141" s="1"/>
      <c r="C141" s="1"/>
      <c r="D141" s="5"/>
      <c r="E141" s="1"/>
      <c r="F141" s="1"/>
      <c r="G141" s="1"/>
      <c r="H141" s="1"/>
    </row>
    <row r="142" spans="1:8" x14ac:dyDescent="0.35">
      <c r="A142" s="5"/>
      <c r="B142" s="1"/>
      <c r="C142" s="1"/>
      <c r="D142" s="5"/>
      <c r="E142" s="1"/>
      <c r="F142" s="1"/>
      <c r="G142" s="1"/>
      <c r="H142" s="1"/>
    </row>
    <row r="143" spans="1:8" x14ac:dyDescent="0.35">
      <c r="A143" s="5"/>
      <c r="B143" s="1"/>
      <c r="C143" s="1"/>
      <c r="D143" s="5"/>
      <c r="E143" s="1"/>
      <c r="F143" s="1"/>
      <c r="G143" s="1"/>
      <c r="H143" s="1"/>
    </row>
    <row r="144" spans="1:8" x14ac:dyDescent="0.35">
      <c r="A144" s="5"/>
      <c r="B144" s="1"/>
      <c r="C144" s="1"/>
      <c r="D144" s="5"/>
      <c r="E144" s="1"/>
      <c r="F144" s="1"/>
      <c r="G144" s="1"/>
      <c r="H144" s="1"/>
    </row>
    <row r="145" spans="1:8" x14ac:dyDescent="0.35">
      <c r="A145" s="5"/>
      <c r="B145" s="1"/>
      <c r="C145" s="1"/>
      <c r="D145" s="5"/>
      <c r="E145" s="1"/>
      <c r="F145" s="1"/>
      <c r="G145" s="1"/>
      <c r="H145" s="1"/>
    </row>
    <row r="146" spans="1:8" x14ac:dyDescent="0.35">
      <c r="A146" s="5"/>
      <c r="B146" s="1"/>
      <c r="C146" s="1"/>
      <c r="D146" s="5"/>
      <c r="E146" s="1"/>
      <c r="F146" s="1"/>
      <c r="G146" s="1"/>
      <c r="H146" s="1"/>
    </row>
    <row r="147" spans="1:8" x14ac:dyDescent="0.35">
      <c r="A147" s="5"/>
      <c r="B147" s="1"/>
      <c r="C147" s="1"/>
      <c r="D147" s="5"/>
      <c r="E147" s="1"/>
      <c r="F147" s="1"/>
      <c r="G147" s="1"/>
      <c r="H147" s="1"/>
    </row>
    <row r="148" spans="1:8" x14ac:dyDescent="0.35">
      <c r="A148" s="5"/>
      <c r="B148" s="1"/>
      <c r="C148" s="1"/>
      <c r="D148" s="5"/>
      <c r="E148" s="1"/>
      <c r="F148" s="1"/>
      <c r="G148" s="1"/>
      <c r="H148" s="1"/>
    </row>
    <row r="149" spans="1:8" x14ac:dyDescent="0.35">
      <c r="A149" s="5"/>
      <c r="B149" s="1"/>
      <c r="C149" s="1"/>
      <c r="D149" s="5"/>
      <c r="E149" s="1"/>
      <c r="F149" s="1"/>
      <c r="G149" s="1"/>
      <c r="H149" s="1"/>
    </row>
    <row r="150" spans="1:8" x14ac:dyDescent="0.35">
      <c r="A150" s="5"/>
      <c r="B150" s="1"/>
      <c r="C150" s="1"/>
      <c r="D150" s="5"/>
      <c r="E150" s="1"/>
      <c r="F150" s="1"/>
      <c r="G150" s="1"/>
      <c r="H150" s="1"/>
    </row>
    <row r="151" spans="1:8" x14ac:dyDescent="0.35">
      <c r="A151" s="5"/>
      <c r="B151" s="1"/>
      <c r="C151" s="1"/>
      <c r="D151" s="5"/>
      <c r="E151" s="1"/>
      <c r="F151" s="1"/>
      <c r="G151" s="1"/>
      <c r="H151" s="1"/>
    </row>
    <row r="152" spans="1:8" x14ac:dyDescent="0.35">
      <c r="A152" s="5"/>
      <c r="B152" s="1"/>
      <c r="C152" s="1"/>
      <c r="D152" s="5"/>
      <c r="E152" s="1"/>
      <c r="F152" s="1"/>
      <c r="G152" s="1"/>
      <c r="H152" s="1"/>
    </row>
    <row r="153" spans="1:8" x14ac:dyDescent="0.35">
      <c r="A153" s="5"/>
      <c r="B153" s="1"/>
      <c r="C153" s="1"/>
      <c r="D153" s="5"/>
      <c r="E153" s="1"/>
      <c r="F153" s="1"/>
      <c r="G153" s="1"/>
      <c r="H153" s="1"/>
    </row>
    <row r="154" spans="1:8" x14ac:dyDescent="0.35">
      <c r="A154" s="5"/>
      <c r="B154" s="1"/>
      <c r="C154" s="1"/>
      <c r="D154" s="5"/>
      <c r="E154" s="1"/>
      <c r="F154" s="1"/>
      <c r="G154" s="1"/>
      <c r="H154" s="1"/>
    </row>
    <row r="155" spans="1:8" x14ac:dyDescent="0.35">
      <c r="A155" s="5"/>
      <c r="B155" s="1"/>
      <c r="C155" s="1"/>
      <c r="D155" s="5"/>
      <c r="E155" s="1"/>
      <c r="F155" s="1"/>
      <c r="G155" s="1"/>
      <c r="H155" s="1"/>
    </row>
    <row r="156" spans="1:8" x14ac:dyDescent="0.35">
      <c r="A156" s="5"/>
      <c r="B156" s="1"/>
      <c r="C156" s="1"/>
      <c r="D156" s="5"/>
      <c r="E156" s="1"/>
      <c r="F156" s="1"/>
      <c r="G156" s="1"/>
      <c r="H156" s="1"/>
    </row>
    <row r="157" spans="1:8" x14ac:dyDescent="0.35">
      <c r="A157" s="5"/>
      <c r="B157" s="1"/>
      <c r="C157" s="1"/>
      <c r="D157" s="5"/>
      <c r="E157" s="1"/>
      <c r="F157" s="1"/>
      <c r="G157" s="1"/>
      <c r="H157" s="1"/>
    </row>
    <row r="158" spans="1:8" x14ac:dyDescent="0.35">
      <c r="A158" s="5"/>
      <c r="B158" s="1"/>
      <c r="C158" s="1"/>
      <c r="D158" s="5"/>
      <c r="E158" s="1"/>
      <c r="F158" s="1"/>
      <c r="G158" s="1"/>
      <c r="H158" s="1"/>
    </row>
    <row r="159" spans="1:8" x14ac:dyDescent="0.35">
      <c r="A159" s="5"/>
      <c r="B159" s="1"/>
      <c r="C159" s="1"/>
      <c r="D159" s="5"/>
      <c r="E159" s="1"/>
      <c r="F159" s="1"/>
      <c r="G159" s="1"/>
      <c r="H159" s="1"/>
    </row>
    <row r="160" spans="1:8" x14ac:dyDescent="0.35">
      <c r="A160" s="5"/>
      <c r="B160" s="1"/>
      <c r="C160" s="1"/>
      <c r="D160" s="5"/>
      <c r="E160" s="1"/>
      <c r="F160" s="1"/>
      <c r="G160" s="1"/>
      <c r="H160" s="1"/>
    </row>
    <row r="161" spans="1:8" x14ac:dyDescent="0.35">
      <c r="A161" s="5"/>
      <c r="B161" s="1"/>
      <c r="C161" s="1"/>
      <c r="D161" s="5"/>
      <c r="E161" s="1"/>
      <c r="F161" s="1"/>
      <c r="G161" s="1"/>
      <c r="H161" s="1"/>
    </row>
    <row r="162" spans="1:8" x14ac:dyDescent="0.35">
      <c r="A162" s="5"/>
      <c r="B162" s="1"/>
      <c r="C162" s="1"/>
      <c r="D162" s="5"/>
      <c r="E162" s="1"/>
      <c r="F162" s="1"/>
      <c r="G162" s="1"/>
      <c r="H162" s="1"/>
    </row>
    <row r="163" spans="1:8" x14ac:dyDescent="0.35">
      <c r="A163" s="5"/>
      <c r="B163" s="1"/>
      <c r="C163" s="1"/>
      <c r="D163" s="5"/>
      <c r="E163" s="1"/>
      <c r="F163" s="1"/>
      <c r="G163" s="1"/>
      <c r="H163" s="1"/>
    </row>
    <row r="164" spans="1:8" x14ac:dyDescent="0.35">
      <c r="A164" s="5"/>
      <c r="B164" s="1"/>
      <c r="C164" s="1"/>
      <c r="D164" s="5"/>
      <c r="E164" s="1"/>
      <c r="F164" s="1"/>
      <c r="G164" s="1"/>
      <c r="H164" s="1"/>
    </row>
    <row r="165" spans="1:8" x14ac:dyDescent="0.35">
      <c r="A165" s="5"/>
      <c r="B165" s="1"/>
      <c r="C165" s="1"/>
      <c r="D165" s="5"/>
      <c r="E165" s="1"/>
      <c r="F165" s="1"/>
      <c r="G165" s="1"/>
      <c r="H165" s="1"/>
    </row>
    <row r="166" spans="1:8" x14ac:dyDescent="0.35">
      <c r="A166" s="5"/>
      <c r="B166" s="1"/>
      <c r="C166" s="1"/>
      <c r="D166" s="5"/>
      <c r="E166" s="1"/>
      <c r="F166" s="1"/>
      <c r="G166" s="1"/>
      <c r="H166" s="1"/>
    </row>
    <row r="167" spans="1:8" x14ac:dyDescent="0.35">
      <c r="A167" s="5"/>
      <c r="B167" s="1"/>
      <c r="C167" s="1"/>
      <c r="D167" s="5"/>
      <c r="E167" s="1"/>
      <c r="F167" s="1"/>
      <c r="G167" s="1"/>
      <c r="H167" s="1"/>
    </row>
    <row r="168" spans="1:8" x14ac:dyDescent="0.35">
      <c r="A168" s="5"/>
      <c r="B168" s="1"/>
      <c r="C168" s="1"/>
      <c r="D168" s="5"/>
      <c r="E168" s="1"/>
      <c r="F168" s="1"/>
      <c r="G168" s="1"/>
      <c r="H168" s="1"/>
    </row>
    <row r="169" spans="1:8" x14ac:dyDescent="0.35">
      <c r="A169" s="5"/>
      <c r="B169" s="1"/>
      <c r="C169" s="1"/>
      <c r="D169" s="5"/>
      <c r="E169" s="1"/>
      <c r="F169" s="1"/>
      <c r="G169" s="1"/>
      <c r="H169" s="1"/>
    </row>
    <row r="170" spans="1:8" x14ac:dyDescent="0.35">
      <c r="A170" s="5"/>
      <c r="B170" s="1"/>
      <c r="C170" s="1"/>
      <c r="D170" s="5"/>
      <c r="E170" s="1"/>
      <c r="F170" s="1"/>
      <c r="G170" s="1"/>
      <c r="H170" s="1"/>
    </row>
    <row r="171" spans="1:8" x14ac:dyDescent="0.35">
      <c r="A171" s="5"/>
      <c r="B171" s="1"/>
      <c r="C171" s="1"/>
      <c r="D171" s="5"/>
      <c r="E171" s="1"/>
      <c r="F171" s="1"/>
      <c r="G171" s="1"/>
      <c r="H171" s="1"/>
    </row>
    <row r="172" spans="1:8" x14ac:dyDescent="0.35">
      <c r="A172" s="5"/>
      <c r="B172" s="1"/>
      <c r="C172" s="1"/>
      <c r="D172" s="5"/>
      <c r="E172" s="1"/>
      <c r="F172" s="1"/>
      <c r="G172" s="1"/>
      <c r="H172" s="1"/>
    </row>
    <row r="173" spans="1:8" x14ac:dyDescent="0.35">
      <c r="A173" s="5"/>
      <c r="B173" s="1"/>
      <c r="C173" s="1"/>
      <c r="D173" s="5"/>
      <c r="E173" s="1"/>
      <c r="F173" s="1"/>
      <c r="G173" s="1"/>
      <c r="H173" s="1"/>
    </row>
    <row r="174" spans="1:8" x14ac:dyDescent="0.35">
      <c r="A174" s="5"/>
      <c r="B174" s="1"/>
      <c r="C174" s="1"/>
      <c r="D174" s="5"/>
      <c r="E174" s="1"/>
      <c r="F174" s="1"/>
      <c r="G174" s="1"/>
      <c r="H174" s="1"/>
    </row>
    <row r="175" spans="1:8" x14ac:dyDescent="0.35">
      <c r="A175" s="5"/>
      <c r="B175" s="1"/>
      <c r="C175" s="1"/>
      <c r="D175" s="5"/>
      <c r="E175" s="1"/>
      <c r="F175" s="1"/>
      <c r="G175" s="1"/>
      <c r="H175" s="1"/>
    </row>
    <row r="176" spans="1:8" x14ac:dyDescent="0.35">
      <c r="A176" s="5"/>
      <c r="B176" s="1"/>
      <c r="C176" s="1"/>
      <c r="D176" s="5"/>
      <c r="E176" s="1"/>
      <c r="F176" s="1"/>
      <c r="G176" s="1"/>
      <c r="H176" s="1"/>
    </row>
    <row r="177" spans="1:8" x14ac:dyDescent="0.35">
      <c r="A177" s="5"/>
      <c r="B177" s="1"/>
      <c r="C177" s="1"/>
      <c r="D177" s="5"/>
      <c r="E177" s="1"/>
      <c r="F177" s="1"/>
      <c r="G177" s="1"/>
      <c r="H177" s="1"/>
    </row>
    <row r="178" spans="1:8" x14ac:dyDescent="0.35">
      <c r="A178" s="5"/>
      <c r="B178" s="1"/>
      <c r="C178" s="1"/>
      <c r="D178" s="5"/>
      <c r="E178" s="1"/>
      <c r="F178" s="1"/>
      <c r="G178" s="1"/>
      <c r="H178" s="1"/>
    </row>
    <row r="179" spans="1:8" x14ac:dyDescent="0.35">
      <c r="A179" s="5"/>
      <c r="B179" s="1"/>
      <c r="C179" s="1"/>
      <c r="D179" s="5"/>
      <c r="E179" s="1"/>
      <c r="F179" s="1"/>
      <c r="G179" s="1"/>
      <c r="H179" s="1"/>
    </row>
    <row r="180" spans="1:8" x14ac:dyDescent="0.35">
      <c r="A180" s="5"/>
      <c r="B180" s="1"/>
      <c r="C180" s="1"/>
      <c r="D180" s="5"/>
      <c r="E180" s="1"/>
      <c r="F180" s="1"/>
      <c r="G180" s="1"/>
      <c r="H180" s="1"/>
    </row>
    <row r="181" spans="1:8" x14ac:dyDescent="0.35">
      <c r="A181" s="5"/>
      <c r="B181" s="1"/>
      <c r="C181" s="1"/>
      <c r="D181" s="5"/>
      <c r="E181" s="1"/>
      <c r="F181" s="1"/>
      <c r="G181" s="1"/>
      <c r="H181" s="1"/>
    </row>
    <row r="182" spans="1:8" x14ac:dyDescent="0.35">
      <c r="A182" s="5"/>
      <c r="B182" s="1"/>
      <c r="C182" s="1"/>
      <c r="D182" s="5"/>
      <c r="E182" s="1"/>
      <c r="F182" s="1"/>
      <c r="G182" s="1"/>
      <c r="H182" s="1"/>
    </row>
    <row r="183" spans="1:8" x14ac:dyDescent="0.35">
      <c r="A183" s="5"/>
      <c r="B183" s="1"/>
      <c r="C183" s="1"/>
      <c r="D183" s="5"/>
      <c r="E183" s="1"/>
      <c r="F183" s="1"/>
      <c r="G183" s="1"/>
      <c r="H183" s="1"/>
    </row>
    <row r="184" spans="1:8" x14ac:dyDescent="0.35">
      <c r="A184" s="5"/>
      <c r="B184" s="1"/>
      <c r="C184" s="1"/>
      <c r="D184" s="5"/>
      <c r="E184" s="1"/>
      <c r="F184" s="1"/>
      <c r="G184" s="1"/>
      <c r="H184" s="1"/>
    </row>
    <row r="185" spans="1:8" x14ac:dyDescent="0.35">
      <c r="A185" s="5"/>
      <c r="B185" s="1"/>
      <c r="C185" s="1"/>
      <c r="D185" s="5"/>
      <c r="E185" s="1"/>
      <c r="F185" s="1"/>
      <c r="G185" s="1"/>
      <c r="H185" s="1"/>
    </row>
    <row r="186" spans="1:8" x14ac:dyDescent="0.35">
      <c r="A186" s="5"/>
      <c r="B186" s="1"/>
      <c r="C186" s="1"/>
      <c r="D186" s="5"/>
      <c r="E186" s="1"/>
      <c r="F186" s="1"/>
      <c r="G186" s="1"/>
      <c r="H186" s="1"/>
    </row>
    <row r="187" spans="1:8" x14ac:dyDescent="0.35">
      <c r="A187" s="5"/>
      <c r="B187" s="1"/>
      <c r="C187" s="1"/>
      <c r="D187" s="5"/>
      <c r="E187" s="1"/>
      <c r="F187" s="1"/>
      <c r="G187" s="1"/>
      <c r="H187" s="1"/>
    </row>
    <row r="188" spans="1:8" x14ac:dyDescent="0.35">
      <c r="A188" s="5"/>
      <c r="B188" s="1"/>
      <c r="C188" s="1"/>
      <c r="D188" s="5"/>
      <c r="E188" s="1"/>
      <c r="F188" s="1"/>
      <c r="G188" s="1"/>
      <c r="H188" s="1"/>
    </row>
    <row r="189" spans="1:8" x14ac:dyDescent="0.35">
      <c r="A189" s="5"/>
      <c r="B189" s="1"/>
      <c r="C189" s="1"/>
      <c r="D189" s="5"/>
      <c r="E189" s="1"/>
      <c r="F189" s="1"/>
      <c r="G189" s="1"/>
      <c r="H189" s="1"/>
    </row>
    <row r="190" spans="1:8" x14ac:dyDescent="0.35">
      <c r="A190" s="5"/>
      <c r="B190" s="1"/>
      <c r="C190" s="1"/>
      <c r="D190" s="5"/>
      <c r="E190" s="1"/>
      <c r="F190" s="1"/>
      <c r="G190" s="1"/>
      <c r="H190" s="1"/>
    </row>
    <row r="191" spans="1:8" x14ac:dyDescent="0.35">
      <c r="A191" s="5"/>
      <c r="B191" s="1"/>
      <c r="C191" s="1"/>
      <c r="D191" s="5"/>
      <c r="E191" s="1"/>
      <c r="F191" s="1"/>
      <c r="G191" s="1"/>
      <c r="H191" s="1"/>
    </row>
    <row r="192" spans="1:8" x14ac:dyDescent="0.35">
      <c r="A192" s="5"/>
      <c r="B192" s="1"/>
      <c r="C192" s="1"/>
      <c r="D192" s="5"/>
      <c r="E192" s="1"/>
      <c r="F192" s="1"/>
      <c r="G192" s="1"/>
      <c r="H192" s="1"/>
    </row>
    <row r="193" spans="1:8" x14ac:dyDescent="0.35">
      <c r="A193" s="5"/>
      <c r="B193" s="1"/>
      <c r="C193" s="1"/>
      <c r="D193" s="5"/>
      <c r="E193" s="1"/>
      <c r="F193" s="1"/>
      <c r="G193" s="1"/>
      <c r="H193" s="1"/>
    </row>
    <row r="194" spans="1:8" x14ac:dyDescent="0.35">
      <c r="A194" s="5"/>
      <c r="B194" s="1"/>
      <c r="C194" s="1"/>
      <c r="D194" s="5"/>
      <c r="E194" s="1"/>
      <c r="F194" s="1"/>
      <c r="G194" s="1"/>
      <c r="H194" s="1"/>
    </row>
    <row r="195" spans="1:8" x14ac:dyDescent="0.35">
      <c r="A195" s="5"/>
      <c r="B195" s="1"/>
      <c r="C195" s="1"/>
      <c r="D195" s="5"/>
      <c r="E195" s="1"/>
      <c r="F195" s="1"/>
      <c r="G195" s="1"/>
      <c r="H195" s="1"/>
    </row>
    <row r="196" spans="1:8" x14ac:dyDescent="0.35">
      <c r="A196" s="5"/>
      <c r="B196" s="1"/>
      <c r="C196" s="1"/>
      <c r="D196" s="5"/>
      <c r="E196" s="1"/>
      <c r="F196" s="1"/>
      <c r="G196" s="1"/>
      <c r="H196" s="1"/>
    </row>
    <row r="197" spans="1:8" x14ac:dyDescent="0.35">
      <c r="A197" s="5"/>
      <c r="B197" s="1"/>
      <c r="C197" s="1"/>
      <c r="D197" s="5"/>
      <c r="E197" s="1"/>
      <c r="F197" s="1"/>
      <c r="G197" s="1"/>
      <c r="H197" s="1"/>
    </row>
    <row r="198" spans="1:8" x14ac:dyDescent="0.35">
      <c r="A198" s="5"/>
      <c r="B198" s="1"/>
      <c r="C198" s="1"/>
      <c r="D198" s="5"/>
      <c r="E198" s="1"/>
      <c r="F198" s="1"/>
      <c r="G198" s="1"/>
      <c r="H198" s="1"/>
    </row>
    <row r="199" spans="1:8" x14ac:dyDescent="0.35">
      <c r="A199" s="5"/>
      <c r="B199" s="1"/>
      <c r="C199" s="1"/>
      <c r="D199" s="5"/>
      <c r="E199" s="1"/>
      <c r="F199" s="1"/>
      <c r="G199" s="1"/>
      <c r="H199" s="1"/>
    </row>
    <row r="200" spans="1:8" x14ac:dyDescent="0.35">
      <c r="A200" s="5"/>
      <c r="B200" s="1"/>
      <c r="C200" s="1"/>
      <c r="D200" s="5"/>
      <c r="E200" s="1"/>
      <c r="F200" s="1"/>
      <c r="G200" s="1"/>
      <c r="H200" s="1"/>
    </row>
    <row r="201" spans="1:8" x14ac:dyDescent="0.35">
      <c r="A201" s="5"/>
      <c r="B201" s="1"/>
      <c r="C201" s="1"/>
      <c r="D201" s="5"/>
      <c r="E201" s="1"/>
      <c r="F201" s="1"/>
      <c r="G201" s="1"/>
      <c r="H201" s="1"/>
    </row>
    <row r="202" spans="1:8" x14ac:dyDescent="0.35">
      <c r="A202" s="5"/>
      <c r="B202" s="1"/>
      <c r="C202" s="1"/>
      <c r="D202" s="5"/>
      <c r="E202" s="1"/>
      <c r="F202" s="1"/>
      <c r="G202" s="1"/>
      <c r="H202" s="1"/>
    </row>
    <row r="203" spans="1:8" x14ac:dyDescent="0.35">
      <c r="A203" s="5"/>
      <c r="B203" s="1"/>
      <c r="C203" s="1"/>
      <c r="D203" s="5"/>
      <c r="E203" s="1"/>
      <c r="F203" s="1"/>
      <c r="G203" s="1"/>
      <c r="H203" s="1"/>
    </row>
    <row r="204" spans="1:8" x14ac:dyDescent="0.35">
      <c r="A204" s="5"/>
      <c r="B204" s="1"/>
      <c r="C204" s="1"/>
      <c r="D204" s="5"/>
      <c r="E204" s="1"/>
      <c r="F204" s="1"/>
      <c r="G204" s="1"/>
      <c r="H204" s="1"/>
    </row>
    <row r="205" spans="1:8" x14ac:dyDescent="0.35">
      <c r="A205" s="5"/>
      <c r="B205" s="1"/>
      <c r="C205" s="1"/>
      <c r="D205" s="5"/>
      <c r="E205" s="1"/>
      <c r="F205" s="1"/>
      <c r="G205" s="1"/>
      <c r="H205" s="1"/>
    </row>
    <row r="206" spans="1:8" x14ac:dyDescent="0.35">
      <c r="A206" s="5"/>
      <c r="B206" s="1"/>
      <c r="C206" s="1"/>
      <c r="D206" s="5"/>
      <c r="E206" s="1"/>
      <c r="F206" s="1"/>
      <c r="G206" s="1"/>
      <c r="H206" s="1"/>
    </row>
    <row r="207" spans="1:8" x14ac:dyDescent="0.35">
      <c r="A207" s="5"/>
      <c r="B207" s="1"/>
      <c r="C207" s="1"/>
      <c r="D207" s="5"/>
      <c r="E207" s="1"/>
      <c r="F207" s="1"/>
      <c r="G207" s="1"/>
      <c r="H207" s="1"/>
    </row>
    <row r="208" spans="1:8" x14ac:dyDescent="0.35">
      <c r="A208" s="5"/>
      <c r="B208" s="1"/>
      <c r="C208" s="1"/>
      <c r="D208" s="5"/>
      <c r="E208" s="1"/>
      <c r="F208" s="1"/>
      <c r="G208" s="1"/>
      <c r="H208" s="1"/>
    </row>
    <row r="209" spans="1:8" x14ac:dyDescent="0.35">
      <c r="A209" s="5"/>
      <c r="B209" s="1"/>
      <c r="C209" s="1"/>
      <c r="D209" s="5"/>
      <c r="E209" s="1"/>
      <c r="F209" s="1"/>
      <c r="G209" s="1"/>
      <c r="H209" s="1"/>
    </row>
    <row r="210" spans="1:8" x14ac:dyDescent="0.35">
      <c r="A210" s="5"/>
      <c r="B210" s="1"/>
      <c r="C210" s="1"/>
      <c r="D210" s="5"/>
      <c r="E210" s="1"/>
      <c r="F210" s="1"/>
      <c r="G210" s="1"/>
      <c r="H210" s="1"/>
    </row>
    <row r="211" spans="1:8" x14ac:dyDescent="0.35">
      <c r="A211" s="5"/>
      <c r="B211" s="1"/>
      <c r="C211" s="1"/>
      <c r="D211" s="5"/>
      <c r="E211" s="1"/>
      <c r="F211" s="1"/>
      <c r="G211" s="1"/>
      <c r="H211" s="1"/>
    </row>
    <row r="212" spans="1:8" x14ac:dyDescent="0.35">
      <c r="A212" s="5"/>
      <c r="B212" s="1"/>
      <c r="C212" s="1"/>
      <c r="D212" s="5"/>
      <c r="E212" s="1"/>
      <c r="F212" s="1"/>
      <c r="G212" s="1"/>
      <c r="H212" s="1"/>
    </row>
    <row r="213" spans="1:8" x14ac:dyDescent="0.35">
      <c r="A213" s="5"/>
      <c r="B213" s="1"/>
      <c r="C213" s="1"/>
      <c r="D213" s="5"/>
      <c r="E213" s="1"/>
      <c r="F213" s="1"/>
      <c r="G213" s="1"/>
      <c r="H213" s="1"/>
    </row>
    <row r="214" spans="1:8" x14ac:dyDescent="0.35">
      <c r="A214" s="5"/>
      <c r="B214" s="1"/>
      <c r="C214" s="1"/>
      <c r="D214" s="5"/>
      <c r="E214" s="1"/>
      <c r="F214" s="1"/>
      <c r="G214" s="1"/>
      <c r="H214" s="1"/>
    </row>
    <row r="215" spans="1:8" x14ac:dyDescent="0.35">
      <c r="A215" s="5"/>
      <c r="B215" s="1"/>
      <c r="C215" s="1"/>
      <c r="D215" s="5"/>
      <c r="E215" s="1"/>
      <c r="F215" s="1"/>
      <c r="G215" s="1"/>
      <c r="H215" s="1"/>
    </row>
    <row r="216" spans="1:8" x14ac:dyDescent="0.35">
      <c r="A216" s="5"/>
      <c r="B216" s="1"/>
      <c r="C216" s="1"/>
      <c r="D216" s="5"/>
      <c r="E216" s="1"/>
      <c r="F216" s="1"/>
      <c r="G216" s="1"/>
      <c r="H216" s="1"/>
    </row>
    <row r="217" spans="1:8" x14ac:dyDescent="0.35">
      <c r="A217" s="5"/>
      <c r="B217" s="1"/>
      <c r="C217" s="1"/>
      <c r="D217" s="5"/>
      <c r="E217" s="1"/>
      <c r="F217" s="1"/>
      <c r="G217" s="1"/>
      <c r="H217" s="1"/>
    </row>
    <row r="218" spans="1:8" x14ac:dyDescent="0.35">
      <c r="A218" s="5"/>
      <c r="B218" s="1"/>
      <c r="C218" s="1"/>
      <c r="D218" s="5"/>
      <c r="E218" s="1"/>
      <c r="F218" s="1"/>
      <c r="G218" s="1"/>
      <c r="H218" s="1"/>
    </row>
    <row r="219" spans="1:8" x14ac:dyDescent="0.35">
      <c r="A219" s="5"/>
      <c r="B219" s="1"/>
      <c r="C219" s="1"/>
      <c r="D219" s="5"/>
      <c r="E219" s="1"/>
      <c r="F219" s="1"/>
      <c r="G219" s="1"/>
      <c r="H219" s="1"/>
    </row>
    <row r="220" spans="1:8" x14ac:dyDescent="0.35">
      <c r="A220" s="5"/>
      <c r="B220" s="1"/>
      <c r="C220" s="1"/>
      <c r="D220" s="5"/>
      <c r="E220" s="1"/>
      <c r="F220" s="1"/>
      <c r="G220" s="1"/>
      <c r="H220" s="1"/>
    </row>
    <row r="221" spans="1:8" x14ac:dyDescent="0.35">
      <c r="A221" s="5"/>
      <c r="B221" s="1"/>
      <c r="C221" s="1"/>
      <c r="D221" s="5"/>
      <c r="E221" s="1"/>
      <c r="F221" s="1"/>
      <c r="G221" s="1"/>
      <c r="H221" s="1"/>
    </row>
    <row r="222" spans="1:8" x14ac:dyDescent="0.35">
      <c r="A222" s="5"/>
      <c r="B222" s="1"/>
      <c r="C222" s="1"/>
      <c r="D222" s="5"/>
      <c r="E222" s="1"/>
      <c r="F222" s="1"/>
      <c r="G222" s="1"/>
      <c r="H222" s="1"/>
    </row>
    <row r="223" spans="1:8" x14ac:dyDescent="0.35">
      <c r="A223" s="5"/>
      <c r="B223" s="1"/>
      <c r="C223" s="1"/>
      <c r="D223" s="5"/>
      <c r="E223" s="1"/>
      <c r="F223" s="1"/>
      <c r="G223" s="1"/>
      <c r="H223" s="1"/>
    </row>
    <row r="224" spans="1:8" x14ac:dyDescent="0.35">
      <c r="A224" s="5"/>
      <c r="B224" s="1"/>
      <c r="C224" s="1"/>
      <c r="D224" s="5"/>
      <c r="E224" s="1"/>
      <c r="F224" s="1"/>
      <c r="G224" s="1"/>
      <c r="H224" s="1"/>
    </row>
    <row r="225" spans="1:8" x14ac:dyDescent="0.35">
      <c r="A225" s="5"/>
      <c r="B225" s="1"/>
      <c r="C225" s="1"/>
      <c r="D225" s="5"/>
      <c r="E225" s="1"/>
      <c r="F225" s="1"/>
      <c r="G225" s="1"/>
      <c r="H225" s="1"/>
    </row>
    <row r="226" spans="1:8" x14ac:dyDescent="0.35">
      <c r="A226" s="5"/>
      <c r="B226" s="1"/>
      <c r="C226" s="1"/>
      <c r="D226" s="5"/>
      <c r="E226" s="1"/>
      <c r="F226" s="1"/>
      <c r="G226" s="1"/>
      <c r="H226" s="1"/>
    </row>
    <row r="227" spans="1:8" x14ac:dyDescent="0.35">
      <c r="A227" s="5"/>
      <c r="B227" s="1"/>
      <c r="C227" s="1"/>
      <c r="D227" s="5"/>
      <c r="E227" s="1"/>
      <c r="F227" s="1"/>
      <c r="G227" s="1"/>
      <c r="H227" s="1"/>
    </row>
    <row r="228" spans="1:8" x14ac:dyDescent="0.35">
      <c r="A228" s="5"/>
      <c r="B228" s="1"/>
      <c r="C228" s="1"/>
      <c r="D228" s="5"/>
      <c r="E228" s="1"/>
      <c r="F228" s="1"/>
      <c r="G228" s="1"/>
      <c r="H228" s="1"/>
    </row>
    <row r="229" spans="1:8" x14ac:dyDescent="0.35">
      <c r="A229" s="5"/>
      <c r="B229" s="1"/>
      <c r="C229" s="1"/>
      <c r="D229" s="5"/>
      <c r="E229" s="1"/>
      <c r="F229" s="1"/>
      <c r="G229" s="1"/>
      <c r="H229" s="1"/>
    </row>
    <row r="230" spans="1:8" x14ac:dyDescent="0.35">
      <c r="A230" s="5"/>
      <c r="B230" s="1"/>
      <c r="C230" s="1"/>
      <c r="D230" s="5"/>
      <c r="E230" s="1"/>
      <c r="F230" s="1"/>
      <c r="G230" s="1"/>
      <c r="H230" s="1"/>
    </row>
    <row r="231" spans="1:8" x14ac:dyDescent="0.35">
      <c r="A231" s="5"/>
      <c r="B231" s="1"/>
      <c r="C231" s="1"/>
      <c r="D231" s="5"/>
      <c r="E231" s="1"/>
      <c r="F231" s="1"/>
      <c r="G231" s="1"/>
      <c r="H231" s="1"/>
    </row>
    <row r="232" spans="1:8" x14ac:dyDescent="0.35">
      <c r="A232" s="5"/>
      <c r="B232" s="1"/>
      <c r="C232" s="1"/>
      <c r="D232" s="5"/>
      <c r="E232" s="1"/>
      <c r="F232" s="1"/>
      <c r="G232" s="1"/>
      <c r="H232" s="1"/>
    </row>
    <row r="233" spans="1:8" x14ac:dyDescent="0.35">
      <c r="A233" s="5"/>
      <c r="B233" s="1"/>
      <c r="C233" s="1"/>
      <c r="D233" s="5"/>
      <c r="E233" s="1"/>
      <c r="F233" s="1"/>
      <c r="G233" s="1"/>
      <c r="H233" s="1"/>
    </row>
    <row r="234" spans="1:8" x14ac:dyDescent="0.35">
      <c r="A234" s="5"/>
      <c r="B234" s="1"/>
      <c r="C234" s="1"/>
      <c r="D234" s="5"/>
      <c r="E234" s="1"/>
      <c r="F234" s="1"/>
      <c r="G234" s="1"/>
      <c r="H234" s="1"/>
    </row>
    <row r="235" spans="1:8" x14ac:dyDescent="0.35">
      <c r="A235" s="5"/>
      <c r="B235" s="1"/>
      <c r="C235" s="1"/>
      <c r="D235" s="5"/>
      <c r="E235" s="1"/>
      <c r="F235" s="1"/>
      <c r="G235" s="1"/>
      <c r="H235" s="1"/>
    </row>
    <row r="236" spans="1:8" x14ac:dyDescent="0.35">
      <c r="A236" s="5"/>
      <c r="B236" s="1"/>
      <c r="C236" s="1"/>
      <c r="D236" s="5"/>
      <c r="E236" s="1"/>
      <c r="F236" s="1"/>
      <c r="G236" s="1"/>
      <c r="H236" s="1"/>
    </row>
    <row r="237" spans="1:8" x14ac:dyDescent="0.35">
      <c r="A237" s="5"/>
      <c r="B237" s="1"/>
      <c r="C237" s="1"/>
      <c r="D237" s="5"/>
      <c r="E237" s="1"/>
      <c r="F237" s="1"/>
      <c r="G237" s="1"/>
      <c r="H237" s="1"/>
    </row>
    <row r="238" spans="1:8" x14ac:dyDescent="0.35">
      <c r="A238" s="5"/>
      <c r="B238" s="1"/>
      <c r="C238" s="1"/>
      <c r="D238" s="5"/>
      <c r="E238" s="1"/>
      <c r="F238" s="1"/>
      <c r="G238" s="1"/>
      <c r="H238" s="1"/>
    </row>
    <row r="239" spans="1:8" x14ac:dyDescent="0.35">
      <c r="A239" s="5"/>
      <c r="B239" s="1"/>
      <c r="C239" s="1"/>
      <c r="D239" s="5"/>
      <c r="E239" s="1"/>
      <c r="F239" s="1"/>
      <c r="G239" s="1"/>
      <c r="H239" s="1"/>
    </row>
    <row r="240" spans="1:8" x14ac:dyDescent="0.35">
      <c r="A240" s="5"/>
      <c r="B240" s="1"/>
      <c r="C240" s="1"/>
      <c r="D240" s="5"/>
      <c r="E240" s="1"/>
      <c r="F240" s="1"/>
      <c r="G240" s="1"/>
      <c r="H240" s="1"/>
    </row>
    <row r="241" spans="1:8" x14ac:dyDescent="0.35">
      <c r="A241" s="5"/>
      <c r="B241" s="1"/>
      <c r="C241" s="1"/>
      <c r="D241" s="5"/>
      <c r="E241" s="1"/>
      <c r="F241" s="1"/>
      <c r="G241" s="1"/>
      <c r="H241" s="1"/>
    </row>
    <row r="242" spans="1:8" x14ac:dyDescent="0.35">
      <c r="A242" s="5"/>
      <c r="B242" s="1"/>
      <c r="C242" s="1"/>
      <c r="D242" s="5"/>
      <c r="E242" s="1"/>
      <c r="F242" s="1"/>
      <c r="G242" s="1"/>
      <c r="H242" s="1"/>
    </row>
    <row r="243" spans="1:8" x14ac:dyDescent="0.35">
      <c r="A243" s="5"/>
      <c r="B243" s="1"/>
      <c r="C243" s="1"/>
      <c r="D243" s="5"/>
      <c r="E243" s="1"/>
      <c r="F243" s="1"/>
      <c r="G243" s="1"/>
      <c r="H243" s="1"/>
    </row>
    <row r="244" spans="1:8" x14ac:dyDescent="0.35">
      <c r="A244" s="5"/>
      <c r="B244" s="1"/>
      <c r="C244" s="1"/>
      <c r="D244" s="5"/>
      <c r="E244" s="1"/>
      <c r="F244" s="1"/>
      <c r="G244" s="1"/>
      <c r="H244" s="1"/>
    </row>
    <row r="245" spans="1:8" x14ac:dyDescent="0.35">
      <c r="A245" s="5"/>
      <c r="B245" s="1"/>
      <c r="C245" s="1"/>
      <c r="D245" s="5"/>
      <c r="E245" s="1"/>
      <c r="F245" s="1"/>
      <c r="G245" s="1"/>
      <c r="H245" s="1"/>
    </row>
    <row r="246" spans="1:8" x14ac:dyDescent="0.35">
      <c r="A246" s="5"/>
      <c r="B246" s="1"/>
      <c r="C246" s="1"/>
      <c r="D246" s="5"/>
      <c r="E246" s="1"/>
      <c r="F246" s="1"/>
      <c r="G246" s="1"/>
      <c r="H246" s="1"/>
    </row>
    <row r="247" spans="1:8" x14ac:dyDescent="0.35">
      <c r="A247" s="5"/>
      <c r="B247" s="1"/>
      <c r="C247" s="1"/>
      <c r="D247" s="5"/>
      <c r="E247" s="1"/>
      <c r="F247" s="1"/>
      <c r="G247" s="1"/>
      <c r="H247" s="1"/>
    </row>
    <row r="248" spans="1:8" x14ac:dyDescent="0.35">
      <c r="A248" s="5"/>
      <c r="B248" s="1"/>
      <c r="C248" s="1"/>
      <c r="D248" s="5"/>
      <c r="E248" s="1"/>
      <c r="F248" s="1"/>
      <c r="G248" s="1"/>
      <c r="H248" s="1"/>
    </row>
    <row r="249" spans="1:8" x14ac:dyDescent="0.35">
      <c r="A249" s="5"/>
      <c r="B249" s="1"/>
      <c r="C249" s="1"/>
      <c r="D249" s="5"/>
      <c r="E249" s="1"/>
      <c r="F249" s="1"/>
      <c r="G249" s="1"/>
      <c r="H249" s="1"/>
    </row>
    <row r="250" spans="1:8" x14ac:dyDescent="0.35">
      <c r="A250" s="5"/>
      <c r="B250" s="1"/>
      <c r="C250" s="1"/>
      <c r="D250" s="5"/>
      <c r="E250" s="1"/>
      <c r="F250" s="1"/>
      <c r="G250" s="1"/>
      <c r="H250" s="1"/>
    </row>
    <row r="251" spans="1:8" x14ac:dyDescent="0.35">
      <c r="A251" s="5"/>
      <c r="B251" s="1"/>
      <c r="C251" s="1"/>
      <c r="D251" s="5"/>
      <c r="E251" s="1"/>
      <c r="F251" s="1"/>
      <c r="G251" s="1"/>
      <c r="H251" s="1"/>
    </row>
    <row r="252" spans="1:8" x14ac:dyDescent="0.35">
      <c r="A252" s="5"/>
      <c r="B252" s="1"/>
      <c r="C252" s="1"/>
      <c r="D252" s="5"/>
      <c r="E252" s="1"/>
      <c r="F252" s="1"/>
      <c r="G252" s="1"/>
      <c r="H252" s="1"/>
    </row>
    <row r="253" spans="1:8" x14ac:dyDescent="0.35">
      <c r="A253" s="5"/>
      <c r="B253" s="1"/>
      <c r="C253" s="1"/>
      <c r="D253" s="5"/>
      <c r="E253" s="1"/>
      <c r="F253" s="1"/>
      <c r="G253" s="1"/>
      <c r="H253" s="1"/>
    </row>
    <row r="254" spans="1:8" x14ac:dyDescent="0.35">
      <c r="A254" s="5"/>
      <c r="B254" s="1"/>
      <c r="C254" s="1"/>
      <c r="D254" s="5"/>
      <c r="E254" s="1"/>
      <c r="F254" s="1"/>
      <c r="G254" s="1"/>
      <c r="H254" s="1"/>
    </row>
    <row r="255" spans="1:8" x14ac:dyDescent="0.35">
      <c r="A255" s="5"/>
      <c r="B255" s="1"/>
      <c r="C255" s="1"/>
      <c r="D255" s="5"/>
      <c r="E255" s="1"/>
      <c r="F255" s="1"/>
      <c r="G255" s="1"/>
      <c r="H255" s="1"/>
    </row>
    <row r="256" spans="1:8" x14ac:dyDescent="0.35">
      <c r="A256" s="5"/>
      <c r="B256" s="1"/>
      <c r="C256" s="1"/>
      <c r="D256" s="5"/>
      <c r="E256" s="1"/>
      <c r="F256" s="1"/>
      <c r="G256" s="1"/>
      <c r="H256" s="1"/>
    </row>
    <row r="257" spans="1:8" x14ac:dyDescent="0.35">
      <c r="A257" s="5"/>
      <c r="B257" s="1"/>
      <c r="C257" s="1"/>
      <c r="D257" s="5"/>
      <c r="E257" s="1"/>
      <c r="F257" s="1"/>
      <c r="G257" s="1"/>
      <c r="H257" s="1"/>
    </row>
    <row r="258" spans="1:8" x14ac:dyDescent="0.35">
      <c r="A258" s="5"/>
      <c r="B258" s="1"/>
      <c r="C258" s="1"/>
      <c r="D258" s="5"/>
      <c r="E258" s="1"/>
      <c r="F258" s="1"/>
      <c r="G258" s="1"/>
      <c r="H258" s="1"/>
    </row>
    <row r="259" spans="1:8" x14ac:dyDescent="0.35">
      <c r="A259" s="5"/>
      <c r="B259" s="1"/>
      <c r="C259" s="1"/>
      <c r="D259" s="5"/>
      <c r="E259" s="1"/>
      <c r="F259" s="1"/>
      <c r="G259" s="1"/>
      <c r="H259" s="1"/>
    </row>
    <row r="260" spans="1:8" x14ac:dyDescent="0.35">
      <c r="A260" s="5"/>
      <c r="B260" s="1"/>
      <c r="C260" s="1"/>
      <c r="D260" s="5"/>
      <c r="E260" s="1"/>
      <c r="F260" s="1"/>
      <c r="G260" s="1"/>
      <c r="H260" s="1"/>
    </row>
    <row r="261" spans="1:8" x14ac:dyDescent="0.35">
      <c r="A261" s="5"/>
      <c r="B261" s="1"/>
      <c r="C261" s="1"/>
      <c r="D261" s="5"/>
      <c r="E261" s="1"/>
      <c r="F261" s="1"/>
      <c r="G261" s="1"/>
      <c r="H261" s="1"/>
    </row>
    <row r="262" spans="1:8" x14ac:dyDescent="0.35">
      <c r="A262" s="5"/>
      <c r="B262" s="1"/>
      <c r="C262" s="1"/>
      <c r="D262" s="5"/>
      <c r="E262" s="1"/>
      <c r="F262" s="1"/>
      <c r="G262" s="1"/>
      <c r="H262" s="1"/>
    </row>
    <row r="263" spans="1:8" x14ac:dyDescent="0.35">
      <c r="A263" s="5"/>
      <c r="B263" s="1"/>
      <c r="C263" s="1"/>
      <c r="D263" s="5"/>
      <c r="E263" s="1"/>
      <c r="F263" s="1"/>
      <c r="G263" s="1"/>
      <c r="H263" s="1"/>
    </row>
    <row r="264" spans="1:8" x14ac:dyDescent="0.35">
      <c r="A264" s="5"/>
      <c r="B264" s="1"/>
      <c r="C264" s="1"/>
      <c r="D264" s="5"/>
      <c r="E264" s="1"/>
      <c r="F264" s="1"/>
      <c r="G264" s="1"/>
      <c r="H264" s="1"/>
    </row>
    <row r="265" spans="1:8" x14ac:dyDescent="0.35">
      <c r="A265" s="5"/>
      <c r="B265" s="1"/>
      <c r="C265" s="1"/>
      <c r="D265" s="5"/>
      <c r="E265" s="1"/>
      <c r="F265" s="1"/>
      <c r="G265" s="1"/>
      <c r="H265" s="1"/>
    </row>
    <row r="266" spans="1:8" x14ac:dyDescent="0.35">
      <c r="A266" s="5"/>
      <c r="B266" s="1"/>
      <c r="C266" s="1"/>
      <c r="D266" s="5"/>
      <c r="E266" s="1"/>
      <c r="F266" s="1"/>
      <c r="G266" s="1"/>
      <c r="H266" s="1"/>
    </row>
    <row r="267" spans="1:8" x14ac:dyDescent="0.35">
      <c r="A267" s="5"/>
      <c r="B267" s="1"/>
      <c r="C267" s="1"/>
      <c r="D267" s="5"/>
      <c r="E267" s="1"/>
      <c r="F267" s="1"/>
      <c r="G267" s="1"/>
      <c r="H267" s="1"/>
    </row>
    <row r="268" spans="1:8" x14ac:dyDescent="0.35">
      <c r="A268" s="5"/>
      <c r="B268" s="1"/>
      <c r="C268" s="1"/>
      <c r="D268" s="5"/>
      <c r="E268" s="1"/>
      <c r="F268" s="1"/>
      <c r="G268" s="1"/>
      <c r="H268" s="1"/>
    </row>
    <row r="269" spans="1:8" x14ac:dyDescent="0.35">
      <c r="A269" s="5"/>
      <c r="B269" s="1"/>
      <c r="C269" s="1"/>
      <c r="D269" s="5"/>
      <c r="E269" s="1"/>
      <c r="F269" s="1"/>
      <c r="G269" s="1"/>
      <c r="H269" s="1"/>
    </row>
    <row r="270" spans="1:8" x14ac:dyDescent="0.35">
      <c r="A270" s="5"/>
      <c r="B270" s="1"/>
      <c r="C270" s="1"/>
      <c r="D270" s="5"/>
      <c r="E270" s="1"/>
      <c r="F270" s="1"/>
      <c r="G270" s="1"/>
      <c r="H270" s="1"/>
    </row>
    <row r="271" spans="1:8" x14ac:dyDescent="0.35">
      <c r="A271" s="5"/>
      <c r="B271" s="1"/>
      <c r="C271" s="1"/>
      <c r="D271" s="5"/>
      <c r="E271" s="1"/>
      <c r="F271" s="1"/>
      <c r="G271" s="1"/>
      <c r="H271" s="1"/>
    </row>
    <row r="272" spans="1:8" x14ac:dyDescent="0.35">
      <c r="A272" s="5"/>
      <c r="B272" s="1"/>
      <c r="C272" s="1"/>
      <c r="D272" s="5"/>
      <c r="E272" s="1"/>
      <c r="F272" s="1"/>
      <c r="G272" s="1"/>
      <c r="H272" s="1"/>
    </row>
    <row r="273" spans="2:3" x14ac:dyDescent="0.35">
      <c r="B273" s="1"/>
      <c r="C273" s="1"/>
    </row>
    <row r="274" spans="2:3" x14ac:dyDescent="0.35">
      <c r="B274" s="1"/>
      <c r="C274" s="1"/>
    </row>
    <row r="275" spans="2:3" x14ac:dyDescent="0.35">
      <c r="B275" s="1"/>
      <c r="C275" s="1"/>
    </row>
    <row r="276" spans="2:3" x14ac:dyDescent="0.35">
      <c r="B276" s="1"/>
      <c r="C276" s="1"/>
    </row>
    <row r="277" spans="2:3" x14ac:dyDescent="0.35">
      <c r="B277" s="1"/>
      <c r="C277" s="1"/>
    </row>
    <row r="278" spans="2:3" x14ac:dyDescent="0.35">
      <c r="B278" s="1"/>
      <c r="C278" s="1"/>
    </row>
    <row r="279" spans="2:3" x14ac:dyDescent="0.35">
      <c r="B279" s="1"/>
      <c r="C279" s="1"/>
    </row>
    <row r="280" spans="2:3" x14ac:dyDescent="0.35">
      <c r="B280" s="1"/>
      <c r="C280" s="1"/>
    </row>
    <row r="281" spans="2:3" x14ac:dyDescent="0.35">
      <c r="B281" s="1"/>
      <c r="C281" s="1"/>
    </row>
    <row r="282" spans="2:3" x14ac:dyDescent="0.35">
      <c r="B282" s="1"/>
      <c r="C282" s="1"/>
    </row>
    <row r="283" spans="2:3" x14ac:dyDescent="0.35">
      <c r="B283" s="1"/>
      <c r="C283" s="1"/>
    </row>
    <row r="284" spans="2:3" x14ac:dyDescent="0.35">
      <c r="B284" s="1"/>
      <c r="C284" s="1"/>
    </row>
    <row r="285" spans="2:3" x14ac:dyDescent="0.35">
      <c r="B285" s="1"/>
      <c r="C285" s="1"/>
    </row>
    <row r="286" spans="2:3" x14ac:dyDescent="0.35">
      <c r="B286" s="1"/>
      <c r="C286" s="1"/>
    </row>
    <row r="287" spans="2:3" x14ac:dyDescent="0.35">
      <c r="B287" s="1"/>
      <c r="C287" s="1"/>
    </row>
    <row r="288" spans="2:3" x14ac:dyDescent="0.35">
      <c r="B288" s="1"/>
      <c r="C288" s="1"/>
    </row>
  </sheetData>
  <phoneticPr fontId="10" type="noConversion"/>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C3B37-EF8D-443F-9B2F-81D43DE6D6B2}">
  <sheetPr codeName="Sheet19"/>
  <dimension ref="A1:AN288"/>
  <sheetViews>
    <sheetView rightToLeft="1" workbookViewId="0">
      <pane xSplit="1" ySplit="1" topLeftCell="O2" activePane="bottomRight" state="frozen"/>
      <selection activeCell="A6" sqref="A6"/>
      <selection pane="topRight" activeCell="A6" sqref="A6"/>
      <selection pane="bottomLeft" activeCell="A6" sqref="A6"/>
      <selection pane="bottomRight" activeCell="P12" sqref="P12"/>
    </sheetView>
  </sheetViews>
  <sheetFormatPr defaultColWidth="8.81640625" defaultRowHeight="14.5" x14ac:dyDescent="0.35"/>
  <cols>
    <col min="1" max="1" width="52.1796875" style="2" customWidth="1"/>
    <col min="2" max="2" width="10" style="2" customWidth="1"/>
    <col min="3" max="3" width="10.08984375" style="2" customWidth="1"/>
    <col min="4" max="4" width="11.81640625" style="2" customWidth="1"/>
    <col min="5" max="7" width="8.81640625" style="2"/>
    <col min="8" max="15" width="8.81640625" style="1" customWidth="1"/>
    <col min="16" max="17" width="8.81640625" style="30" customWidth="1"/>
    <col min="18" max="34" width="8.81640625" style="1" customWidth="1"/>
    <col min="35" max="35" width="8.81640625" style="2"/>
    <col min="36" max="36" width="10.08984375" style="2" bestFit="1" customWidth="1"/>
    <col min="37" max="37" width="8.81640625" style="2"/>
    <col min="38" max="38" width="10.54296875" style="2" bestFit="1" customWidth="1"/>
    <col min="39" max="39" width="8.81640625" style="2"/>
    <col min="40" max="40" width="17" style="2" bestFit="1" customWidth="1"/>
    <col min="41" max="16384" width="8.81640625" style="2"/>
  </cols>
  <sheetData>
    <row r="1" spans="1:40" ht="15" thickBot="1" x14ac:dyDescent="0.4">
      <c r="A1" s="4" t="s">
        <v>0</v>
      </c>
      <c r="B1" s="4">
        <v>2022</v>
      </c>
      <c r="C1" s="4">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5">
      <c r="A2" s="5" t="s">
        <v>103</v>
      </c>
      <c r="B2" s="6" t="s">
        <v>104</v>
      </c>
      <c r="C2" s="5" t="s">
        <v>104</v>
      </c>
      <c r="D2" s="1" t="s">
        <v>104</v>
      </c>
      <c r="E2" s="1"/>
      <c r="F2" s="53" t="s">
        <v>104</v>
      </c>
      <c r="G2" s="53" t="s">
        <v>504</v>
      </c>
      <c r="H2" s="50" t="s">
        <v>545</v>
      </c>
      <c r="I2" s="50" t="s">
        <v>817</v>
      </c>
      <c r="J2" s="3" t="s">
        <v>1086</v>
      </c>
      <c r="K2" s="3"/>
      <c r="L2" s="3"/>
      <c r="M2" s="3"/>
      <c r="N2" s="3"/>
      <c r="O2" s="3"/>
      <c r="P2" s="29"/>
      <c r="Q2" s="29"/>
      <c r="R2" s="3"/>
      <c r="S2" s="3"/>
      <c r="T2" s="3"/>
      <c r="U2" s="3"/>
      <c r="V2" s="3"/>
      <c r="W2" s="3"/>
      <c r="X2" s="3"/>
      <c r="Y2" s="3"/>
      <c r="Z2" s="3"/>
      <c r="AA2" s="3"/>
      <c r="AB2" s="3"/>
      <c r="AC2" s="3"/>
      <c r="AD2" s="3"/>
      <c r="AE2" s="3"/>
      <c r="AF2" s="3"/>
      <c r="AG2" s="3"/>
      <c r="AH2" s="3"/>
      <c r="AJ2" s="2">
        <f>COUNTA(B2:AH2)</f>
        <v>8</v>
      </c>
      <c r="AL2" s="2">
        <f>COUNTA(F2:O2,R2:S2)</f>
        <v>5</v>
      </c>
      <c r="AN2" s="2">
        <f>COUNTIF(AL2:AL13,"&gt;=2")</f>
        <v>3</v>
      </c>
    </row>
    <row r="3" spans="1:40" x14ac:dyDescent="0.35">
      <c r="A3" s="5" t="s">
        <v>128</v>
      </c>
      <c r="B3" s="6" t="s">
        <v>129</v>
      </c>
      <c r="C3" s="5" t="s">
        <v>129</v>
      </c>
      <c r="D3" s="1" t="s">
        <v>129</v>
      </c>
      <c r="E3" s="1"/>
      <c r="F3" s="1"/>
      <c r="G3" s="1"/>
      <c r="AJ3" s="2">
        <f t="shared" ref="AJ3:AJ13" si="0">COUNTA(B3:AH3)</f>
        <v>3</v>
      </c>
      <c r="AL3" s="2">
        <f t="shared" ref="AL3:AL13" si="1">COUNTA(F3:O3,R3:S3)</f>
        <v>0</v>
      </c>
    </row>
    <row r="4" spans="1:40" ht="29" x14ac:dyDescent="0.35">
      <c r="A4" s="5" t="s">
        <v>261</v>
      </c>
      <c r="B4" s="6" t="s">
        <v>130</v>
      </c>
      <c r="C4" s="5" t="s">
        <v>130</v>
      </c>
      <c r="D4" s="1" t="s">
        <v>130</v>
      </c>
      <c r="E4" s="1"/>
      <c r="F4" s="1"/>
      <c r="G4" s="1"/>
      <c r="AJ4" s="2">
        <f t="shared" si="0"/>
        <v>3</v>
      </c>
      <c r="AL4" s="2">
        <f t="shared" si="1"/>
        <v>0</v>
      </c>
    </row>
    <row r="5" spans="1:40" x14ac:dyDescent="0.35">
      <c r="A5" s="5" t="s">
        <v>282</v>
      </c>
      <c r="B5" s="5"/>
      <c r="C5" s="5"/>
      <c r="D5" s="1"/>
      <c r="E5" s="1"/>
      <c r="F5" s="54" t="s">
        <v>283</v>
      </c>
      <c r="G5" s="54" t="s">
        <v>533</v>
      </c>
      <c r="H5" s="54" t="s">
        <v>549</v>
      </c>
      <c r="I5" s="54" t="s">
        <v>771</v>
      </c>
      <c r="J5" s="1" t="s">
        <v>1088</v>
      </c>
      <c r="AJ5" s="2">
        <f t="shared" si="0"/>
        <v>5</v>
      </c>
      <c r="AL5" s="2">
        <f t="shared" si="1"/>
        <v>5</v>
      </c>
    </row>
    <row r="6" spans="1:40" ht="29" x14ac:dyDescent="0.35">
      <c r="A6" s="5" t="s">
        <v>284</v>
      </c>
      <c r="B6" s="6"/>
      <c r="C6" s="5"/>
      <c r="D6" s="1"/>
      <c r="E6" s="1"/>
      <c r="F6" s="1" t="s">
        <v>285</v>
      </c>
      <c r="G6" s="1"/>
      <c r="AJ6" s="2">
        <f t="shared" si="0"/>
        <v>1</v>
      </c>
      <c r="AL6" s="2">
        <f t="shared" si="1"/>
        <v>1</v>
      </c>
    </row>
    <row r="7" spans="1:40" ht="29" x14ac:dyDescent="0.35">
      <c r="A7" s="5" t="s">
        <v>531</v>
      </c>
      <c r="B7" s="6"/>
      <c r="C7" s="5"/>
      <c r="D7" s="1"/>
      <c r="E7" s="1"/>
      <c r="F7" s="1"/>
      <c r="G7" s="53" t="s">
        <v>532</v>
      </c>
      <c r="H7" s="53" t="s">
        <v>547</v>
      </c>
      <c r="I7" s="53" t="s">
        <v>818</v>
      </c>
      <c r="J7" s="53" t="s">
        <v>1087</v>
      </c>
      <c r="P7" s="30" t="s">
        <v>896</v>
      </c>
      <c r="AJ7" s="2">
        <f t="shared" si="0"/>
        <v>5</v>
      </c>
      <c r="AL7" s="2">
        <f t="shared" si="1"/>
        <v>4</v>
      </c>
    </row>
    <row r="8" spans="1:40" x14ac:dyDescent="0.35">
      <c r="A8" s="5" t="s">
        <v>1898</v>
      </c>
      <c r="B8" s="6"/>
      <c r="C8" s="5"/>
      <c r="D8" s="1"/>
      <c r="E8" s="1"/>
      <c r="F8" s="1"/>
      <c r="G8" s="1"/>
      <c r="P8" s="30" t="s">
        <v>897</v>
      </c>
      <c r="AJ8" s="2">
        <f t="shared" si="0"/>
        <v>1</v>
      </c>
      <c r="AL8" s="2">
        <f t="shared" si="1"/>
        <v>0</v>
      </c>
    </row>
    <row r="9" spans="1:40" x14ac:dyDescent="0.35">
      <c r="A9" s="5" t="s">
        <v>1899</v>
      </c>
      <c r="B9" s="6"/>
      <c r="C9" s="5"/>
      <c r="D9" s="1"/>
      <c r="E9" s="1"/>
      <c r="F9" s="1"/>
      <c r="G9" s="1"/>
      <c r="P9" s="30" t="s">
        <v>898</v>
      </c>
      <c r="AJ9" s="2">
        <f t="shared" si="0"/>
        <v>1</v>
      </c>
      <c r="AL9" s="2">
        <f t="shared" si="1"/>
        <v>0</v>
      </c>
    </row>
    <row r="10" spans="1:40" x14ac:dyDescent="0.35">
      <c r="A10" s="5" t="s">
        <v>1900</v>
      </c>
      <c r="B10" s="6"/>
      <c r="C10" s="5"/>
      <c r="D10" s="1"/>
      <c r="E10" s="1"/>
      <c r="F10" s="1"/>
      <c r="G10" s="1"/>
      <c r="P10" s="30" t="s">
        <v>880</v>
      </c>
      <c r="AJ10" s="2">
        <f t="shared" si="0"/>
        <v>1</v>
      </c>
      <c r="AL10" s="2">
        <f t="shared" si="1"/>
        <v>0</v>
      </c>
    </row>
    <row r="11" spans="1:40" ht="29" x14ac:dyDescent="0.35">
      <c r="A11" s="5" t="s">
        <v>1901</v>
      </c>
      <c r="B11" s="6"/>
      <c r="C11" s="5"/>
      <c r="D11" s="1"/>
      <c r="E11" s="1"/>
      <c r="F11" s="1"/>
      <c r="G11" s="1"/>
      <c r="P11" s="30" t="s">
        <v>880</v>
      </c>
      <c r="AJ11" s="2">
        <f t="shared" si="0"/>
        <v>1</v>
      </c>
      <c r="AL11" s="2">
        <f t="shared" si="1"/>
        <v>0</v>
      </c>
    </row>
    <row r="12" spans="1:40" x14ac:dyDescent="0.35">
      <c r="A12" s="5" t="s">
        <v>1902</v>
      </c>
      <c r="B12" s="1"/>
      <c r="C12" s="5"/>
      <c r="D12" s="1"/>
      <c r="E12" s="1"/>
      <c r="F12" s="1"/>
      <c r="G12" s="1"/>
      <c r="P12" s="30" t="s">
        <v>899</v>
      </c>
      <c r="AJ12" s="2">
        <f t="shared" si="0"/>
        <v>1</v>
      </c>
      <c r="AL12" s="2">
        <f t="shared" si="1"/>
        <v>0</v>
      </c>
    </row>
    <row r="13" spans="1:40" x14ac:dyDescent="0.35">
      <c r="A13" s="5" t="s">
        <v>1903</v>
      </c>
      <c r="B13" s="1"/>
      <c r="C13" s="5"/>
      <c r="D13" s="1"/>
      <c r="E13" s="1"/>
      <c r="F13" s="1"/>
      <c r="G13" s="1"/>
      <c r="P13" s="30" t="s">
        <v>900</v>
      </c>
      <c r="AJ13" s="2">
        <f t="shared" si="0"/>
        <v>1</v>
      </c>
      <c r="AL13" s="2">
        <f t="shared" si="1"/>
        <v>0</v>
      </c>
    </row>
    <row r="14" spans="1:40" x14ac:dyDescent="0.35">
      <c r="A14" s="5"/>
      <c r="B14" s="1"/>
      <c r="C14" s="5"/>
      <c r="D14" s="1"/>
      <c r="E14" s="1"/>
      <c r="F14" s="1"/>
      <c r="G14" s="1"/>
    </row>
    <row r="15" spans="1:40" x14ac:dyDescent="0.35">
      <c r="A15" s="5"/>
      <c r="B15" s="5"/>
      <c r="C15" s="5"/>
      <c r="D15" s="1"/>
      <c r="E15" s="1"/>
      <c r="F15" s="1"/>
      <c r="G15" s="1"/>
    </row>
    <row r="16" spans="1:40" x14ac:dyDescent="0.35">
      <c r="A16" s="5"/>
      <c r="B16" s="1"/>
      <c r="C16" s="5"/>
      <c r="D16" s="1"/>
      <c r="E16" s="1"/>
      <c r="F16" s="1"/>
      <c r="G16" s="1"/>
    </row>
    <row r="17" spans="1:7" x14ac:dyDescent="0.35">
      <c r="A17" s="5"/>
      <c r="B17" s="1"/>
      <c r="C17" s="5"/>
      <c r="D17" s="1"/>
      <c r="E17" s="1"/>
      <c r="F17" s="1"/>
      <c r="G17" s="1"/>
    </row>
    <row r="18" spans="1:7" x14ac:dyDescent="0.35">
      <c r="A18" s="5"/>
      <c r="B18" s="1"/>
      <c r="C18" s="5"/>
      <c r="D18" s="1"/>
      <c r="E18" s="1"/>
      <c r="F18" s="1"/>
      <c r="G18" s="1"/>
    </row>
    <row r="19" spans="1:7" x14ac:dyDescent="0.35">
      <c r="A19" s="5"/>
      <c r="B19" s="1"/>
      <c r="C19" s="5"/>
      <c r="D19" s="1"/>
      <c r="E19" s="1"/>
      <c r="F19" s="1"/>
      <c r="G19" s="1"/>
    </row>
    <row r="20" spans="1:7" x14ac:dyDescent="0.35">
      <c r="A20" s="5"/>
      <c r="B20" s="1"/>
      <c r="C20" s="5"/>
      <c r="D20" s="1"/>
      <c r="E20" s="1"/>
      <c r="F20" s="1"/>
      <c r="G20" s="1"/>
    </row>
    <row r="21" spans="1:7" x14ac:dyDescent="0.35">
      <c r="A21" s="5"/>
      <c r="B21" s="1"/>
      <c r="C21" s="5"/>
      <c r="D21" s="1"/>
      <c r="E21" s="1"/>
      <c r="F21" s="1"/>
      <c r="G21" s="1"/>
    </row>
    <row r="22" spans="1:7" x14ac:dyDescent="0.35">
      <c r="A22" s="5"/>
      <c r="B22" s="1"/>
      <c r="C22" s="5"/>
      <c r="D22" s="1"/>
      <c r="E22" s="1"/>
      <c r="F22" s="1"/>
      <c r="G22" s="1"/>
    </row>
    <row r="23" spans="1:7" x14ac:dyDescent="0.35">
      <c r="A23" s="5"/>
      <c r="B23" s="1"/>
      <c r="C23" s="5"/>
      <c r="D23" s="1"/>
      <c r="E23" s="1"/>
      <c r="F23" s="1"/>
      <c r="G23" s="1"/>
    </row>
    <row r="24" spans="1:7" x14ac:dyDescent="0.35">
      <c r="A24" s="5"/>
      <c r="B24" s="1"/>
      <c r="C24" s="5"/>
      <c r="D24" s="1"/>
      <c r="E24" s="1"/>
      <c r="F24" s="1"/>
      <c r="G24" s="1"/>
    </row>
    <row r="25" spans="1:7" x14ac:dyDescent="0.35">
      <c r="A25" s="5"/>
      <c r="B25" s="1"/>
      <c r="C25" s="5"/>
      <c r="D25" s="1"/>
      <c r="E25" s="1"/>
      <c r="F25" s="1"/>
      <c r="G25" s="1"/>
    </row>
    <row r="26" spans="1:7" x14ac:dyDescent="0.35">
      <c r="A26" s="5"/>
      <c r="B26" s="5"/>
      <c r="C26" s="5"/>
      <c r="D26" s="1"/>
      <c r="E26" s="1"/>
      <c r="F26" s="1"/>
      <c r="G26" s="1"/>
    </row>
    <row r="27" spans="1:7" x14ac:dyDescent="0.35">
      <c r="A27" s="1"/>
      <c r="B27" s="5"/>
      <c r="C27" s="1"/>
      <c r="D27" s="1"/>
      <c r="E27" s="1"/>
      <c r="F27" s="1"/>
      <c r="G27" s="1"/>
    </row>
    <row r="28" spans="1:7" x14ac:dyDescent="0.35">
      <c r="A28" s="1"/>
      <c r="B28" s="5"/>
      <c r="C28" s="1"/>
      <c r="D28" s="1"/>
      <c r="E28" s="1"/>
      <c r="F28" s="1"/>
      <c r="G28" s="1"/>
    </row>
    <row r="29" spans="1:7" x14ac:dyDescent="0.35">
      <c r="A29" s="1"/>
      <c r="B29" s="5"/>
      <c r="C29" s="1"/>
      <c r="D29" s="1"/>
      <c r="E29" s="1"/>
      <c r="F29" s="1"/>
      <c r="G29" s="1"/>
    </row>
    <row r="30" spans="1:7" x14ac:dyDescent="0.35">
      <c r="A30" s="1"/>
      <c r="B30" s="5"/>
      <c r="C30" s="1"/>
      <c r="D30" s="1"/>
      <c r="E30" s="1"/>
      <c r="F30" s="1"/>
      <c r="G30" s="1"/>
    </row>
    <row r="31" spans="1:7" x14ac:dyDescent="0.35">
      <c r="A31" s="1"/>
      <c r="B31" s="5"/>
      <c r="C31" s="1"/>
      <c r="D31" s="1"/>
      <c r="E31" s="1"/>
      <c r="F31" s="1"/>
      <c r="G31" s="1"/>
    </row>
    <row r="32" spans="1:7" x14ac:dyDescent="0.35">
      <c r="A32" s="1"/>
      <c r="B32" s="5"/>
      <c r="C32" s="1"/>
      <c r="D32" s="1"/>
      <c r="E32" s="1"/>
      <c r="F32" s="1"/>
      <c r="G32" s="1"/>
    </row>
    <row r="33" spans="1:7" x14ac:dyDescent="0.35">
      <c r="A33" s="1"/>
      <c r="B33" s="5"/>
      <c r="C33" s="1"/>
      <c r="D33" s="1"/>
      <c r="E33" s="1"/>
      <c r="F33" s="1"/>
      <c r="G33" s="1"/>
    </row>
    <row r="34" spans="1:7" x14ac:dyDescent="0.35">
      <c r="A34" s="1"/>
      <c r="B34" s="5"/>
      <c r="C34" s="1"/>
      <c r="D34" s="1"/>
      <c r="E34" s="1"/>
      <c r="F34" s="1"/>
      <c r="G34" s="1"/>
    </row>
    <row r="35" spans="1:7" x14ac:dyDescent="0.35">
      <c r="A35" s="1"/>
      <c r="B35" s="5"/>
      <c r="C35" s="1"/>
      <c r="D35" s="1"/>
      <c r="E35" s="1"/>
      <c r="F35" s="1"/>
      <c r="G35" s="1"/>
    </row>
    <row r="36" spans="1:7" x14ac:dyDescent="0.35">
      <c r="A36" s="1"/>
      <c r="B36" s="5"/>
      <c r="C36" s="1"/>
      <c r="D36" s="1"/>
      <c r="E36" s="1"/>
      <c r="F36" s="1"/>
      <c r="G36" s="1"/>
    </row>
    <row r="37" spans="1:7" x14ac:dyDescent="0.35">
      <c r="A37" s="1"/>
      <c r="B37" s="5"/>
      <c r="C37" s="1"/>
      <c r="D37" s="1"/>
      <c r="E37" s="1"/>
      <c r="F37" s="1"/>
      <c r="G37" s="1"/>
    </row>
    <row r="38" spans="1:7" x14ac:dyDescent="0.35">
      <c r="A38" s="1"/>
      <c r="B38" s="5"/>
      <c r="C38" s="1"/>
      <c r="D38" s="1"/>
      <c r="E38" s="1"/>
      <c r="F38" s="1"/>
      <c r="G38" s="1"/>
    </row>
    <row r="39" spans="1:7" x14ac:dyDescent="0.35">
      <c r="A39" s="1"/>
      <c r="B39" s="5"/>
      <c r="C39" s="1"/>
      <c r="D39" s="1"/>
      <c r="E39" s="1"/>
      <c r="F39" s="1"/>
      <c r="G39" s="1"/>
    </row>
    <row r="40" spans="1:7" x14ac:dyDescent="0.35">
      <c r="A40" s="1"/>
      <c r="B40" s="5"/>
      <c r="C40" s="1"/>
      <c r="D40" s="1"/>
      <c r="E40" s="1"/>
      <c r="F40" s="1"/>
      <c r="G40" s="1"/>
    </row>
    <row r="41" spans="1:7" x14ac:dyDescent="0.35">
      <c r="A41" s="1"/>
      <c r="B41" s="5"/>
      <c r="C41" s="1"/>
      <c r="D41" s="1"/>
      <c r="E41" s="1"/>
      <c r="F41" s="1"/>
      <c r="G41" s="1"/>
    </row>
    <row r="42" spans="1:7" x14ac:dyDescent="0.35">
      <c r="A42" s="1"/>
      <c r="B42" s="5"/>
      <c r="C42" s="1"/>
      <c r="D42" s="1"/>
      <c r="E42" s="1"/>
      <c r="F42" s="1"/>
      <c r="G42" s="1"/>
    </row>
    <row r="43" spans="1:7" x14ac:dyDescent="0.35">
      <c r="A43" s="1"/>
      <c r="B43" s="5"/>
      <c r="C43" s="1"/>
      <c r="D43" s="1"/>
      <c r="E43" s="1"/>
      <c r="F43" s="1"/>
      <c r="G43" s="1"/>
    </row>
    <row r="44" spans="1:7" x14ac:dyDescent="0.35">
      <c r="A44" s="1"/>
      <c r="B44" s="5"/>
      <c r="C44" s="1"/>
      <c r="D44" s="1"/>
      <c r="E44" s="1"/>
      <c r="F44" s="1"/>
      <c r="G44" s="1"/>
    </row>
    <row r="45" spans="1:7" x14ac:dyDescent="0.35">
      <c r="A45" s="1"/>
      <c r="B45" s="5"/>
      <c r="C45" s="1"/>
      <c r="D45" s="1"/>
      <c r="E45" s="1"/>
      <c r="F45" s="1"/>
      <c r="G45" s="1"/>
    </row>
    <row r="46" spans="1:7" x14ac:dyDescent="0.35">
      <c r="A46" s="1"/>
      <c r="B46" s="5"/>
      <c r="C46" s="1"/>
      <c r="D46" s="1"/>
      <c r="E46" s="1"/>
      <c r="F46" s="1"/>
      <c r="G46" s="1"/>
    </row>
    <row r="47" spans="1:7" x14ac:dyDescent="0.35">
      <c r="A47" s="1"/>
      <c r="B47" s="5"/>
      <c r="C47" s="1"/>
      <c r="D47" s="1"/>
      <c r="E47" s="1"/>
      <c r="F47" s="1"/>
      <c r="G47" s="1"/>
    </row>
    <row r="48" spans="1:7" x14ac:dyDescent="0.35">
      <c r="A48" s="1"/>
      <c r="B48" s="5"/>
      <c r="C48" s="1"/>
      <c r="D48" s="1"/>
      <c r="E48" s="1"/>
      <c r="F48" s="1"/>
      <c r="G48" s="1"/>
    </row>
    <row r="49" spans="1:7" x14ac:dyDescent="0.35">
      <c r="A49" s="1"/>
      <c r="B49" s="5"/>
      <c r="C49" s="1"/>
      <c r="D49" s="1"/>
      <c r="E49" s="1"/>
      <c r="F49" s="1"/>
      <c r="G49" s="1"/>
    </row>
    <row r="50" spans="1:7" x14ac:dyDescent="0.35">
      <c r="A50" s="1"/>
      <c r="B50" s="5"/>
      <c r="C50" s="1"/>
      <c r="D50" s="1"/>
      <c r="E50" s="1"/>
      <c r="F50" s="1"/>
      <c r="G50" s="1"/>
    </row>
    <row r="51" spans="1:7" x14ac:dyDescent="0.35">
      <c r="A51" s="1"/>
      <c r="B51" s="5"/>
      <c r="C51" s="1"/>
      <c r="D51" s="1"/>
      <c r="E51" s="1"/>
      <c r="F51" s="1"/>
      <c r="G51" s="1"/>
    </row>
    <row r="52" spans="1:7" x14ac:dyDescent="0.35">
      <c r="A52" s="1"/>
      <c r="B52" s="5"/>
      <c r="C52" s="1"/>
      <c r="D52" s="1"/>
      <c r="E52" s="1"/>
      <c r="F52" s="1"/>
      <c r="G52" s="1"/>
    </row>
    <row r="53" spans="1:7" x14ac:dyDescent="0.35">
      <c r="A53" s="1"/>
      <c r="B53" s="5"/>
      <c r="C53" s="1"/>
      <c r="D53" s="1"/>
      <c r="E53" s="1"/>
      <c r="F53" s="1"/>
      <c r="G53" s="1"/>
    </row>
    <row r="54" spans="1:7" x14ac:dyDescent="0.35">
      <c r="A54" s="1"/>
      <c r="B54" s="5"/>
      <c r="C54" s="1"/>
      <c r="D54" s="1"/>
      <c r="E54" s="1"/>
      <c r="F54" s="1"/>
      <c r="G54" s="1"/>
    </row>
    <row r="55" spans="1:7" x14ac:dyDescent="0.35">
      <c r="A55" s="1"/>
      <c r="B55" s="5"/>
      <c r="C55" s="1"/>
      <c r="D55" s="1"/>
      <c r="E55" s="1"/>
      <c r="F55" s="1"/>
      <c r="G55" s="1"/>
    </row>
    <row r="56" spans="1:7" x14ac:dyDescent="0.35">
      <c r="A56" s="1"/>
      <c r="B56" s="5"/>
      <c r="C56" s="1"/>
      <c r="D56" s="1"/>
      <c r="E56" s="1"/>
      <c r="F56" s="1"/>
      <c r="G56" s="1"/>
    </row>
    <row r="57" spans="1:7" x14ac:dyDescent="0.35">
      <c r="A57" s="1"/>
      <c r="B57" s="5"/>
      <c r="C57" s="1"/>
      <c r="D57" s="1"/>
      <c r="E57" s="1"/>
      <c r="F57" s="1"/>
      <c r="G57" s="1"/>
    </row>
    <row r="58" spans="1:7" x14ac:dyDescent="0.35">
      <c r="A58" s="1"/>
      <c r="B58" s="5"/>
      <c r="C58" s="1"/>
      <c r="D58" s="1"/>
      <c r="E58" s="1"/>
      <c r="F58" s="1"/>
      <c r="G58" s="1"/>
    </row>
    <row r="59" spans="1:7" x14ac:dyDescent="0.35">
      <c r="A59" s="1"/>
      <c r="B59" s="5"/>
      <c r="C59" s="1"/>
      <c r="D59" s="1"/>
      <c r="E59" s="1"/>
      <c r="F59" s="1"/>
      <c r="G59" s="1"/>
    </row>
    <row r="60" spans="1:7" x14ac:dyDescent="0.35">
      <c r="A60" s="1"/>
      <c r="B60" s="5"/>
      <c r="C60" s="1"/>
      <c r="D60" s="1"/>
      <c r="E60" s="1"/>
      <c r="F60" s="1"/>
      <c r="G60" s="1"/>
    </row>
    <row r="61" spans="1:7" x14ac:dyDescent="0.35">
      <c r="A61" s="1"/>
      <c r="B61" s="5"/>
      <c r="C61" s="1"/>
      <c r="D61" s="1"/>
      <c r="E61" s="1"/>
      <c r="F61" s="1"/>
      <c r="G61" s="1"/>
    </row>
    <row r="62" spans="1:7" x14ac:dyDescent="0.35">
      <c r="A62" s="1"/>
      <c r="B62" s="5"/>
      <c r="C62" s="1"/>
      <c r="D62" s="1"/>
      <c r="E62" s="1"/>
      <c r="F62" s="1"/>
      <c r="G62" s="1"/>
    </row>
    <row r="63" spans="1:7" x14ac:dyDescent="0.35">
      <c r="A63" s="1"/>
      <c r="B63" s="5"/>
      <c r="C63" s="1"/>
      <c r="D63" s="1"/>
      <c r="E63" s="1"/>
      <c r="F63" s="1"/>
      <c r="G63" s="1"/>
    </row>
    <row r="64" spans="1:7" x14ac:dyDescent="0.35">
      <c r="A64" s="1"/>
      <c r="B64" s="5"/>
      <c r="C64" s="1"/>
      <c r="D64" s="1"/>
      <c r="E64" s="1"/>
      <c r="F64" s="1"/>
      <c r="G64" s="1"/>
    </row>
    <row r="65" spans="1:7" x14ac:dyDescent="0.35">
      <c r="A65" s="1"/>
      <c r="B65" s="5"/>
      <c r="C65" s="1"/>
      <c r="D65" s="1"/>
      <c r="E65" s="1"/>
      <c r="F65" s="1"/>
      <c r="G65" s="1"/>
    </row>
    <row r="66" spans="1:7" x14ac:dyDescent="0.35">
      <c r="A66" s="1"/>
      <c r="B66" s="5"/>
      <c r="C66" s="1"/>
      <c r="D66" s="1"/>
      <c r="E66" s="1"/>
      <c r="F66" s="1"/>
      <c r="G66" s="1"/>
    </row>
    <row r="67" spans="1:7" x14ac:dyDescent="0.35">
      <c r="A67" s="1"/>
      <c r="B67" s="5"/>
      <c r="C67" s="1"/>
      <c r="D67" s="1"/>
      <c r="E67" s="1"/>
      <c r="F67" s="1"/>
      <c r="G67" s="1"/>
    </row>
    <row r="68" spans="1:7" x14ac:dyDescent="0.35">
      <c r="A68" s="1"/>
      <c r="B68" s="5"/>
      <c r="C68" s="1"/>
      <c r="D68" s="1"/>
      <c r="E68" s="1"/>
      <c r="F68" s="1"/>
      <c r="G68" s="1"/>
    </row>
    <row r="69" spans="1:7" x14ac:dyDescent="0.35">
      <c r="A69" s="1"/>
      <c r="B69" s="5"/>
      <c r="C69" s="1"/>
      <c r="D69" s="1"/>
      <c r="E69" s="1"/>
      <c r="F69" s="1"/>
      <c r="G69" s="1"/>
    </row>
    <row r="70" spans="1:7" x14ac:dyDescent="0.35">
      <c r="A70" s="1"/>
      <c r="B70" s="5"/>
      <c r="C70" s="1"/>
      <c r="D70" s="1"/>
      <c r="E70" s="1"/>
      <c r="F70" s="1"/>
      <c r="G70" s="1"/>
    </row>
    <row r="71" spans="1:7" x14ac:dyDescent="0.35">
      <c r="A71" s="1"/>
      <c r="B71" s="1"/>
      <c r="C71" s="1"/>
      <c r="D71" s="1"/>
      <c r="E71" s="1"/>
      <c r="F71" s="1"/>
      <c r="G71" s="1"/>
    </row>
    <row r="72" spans="1:7" x14ac:dyDescent="0.35">
      <c r="A72" s="1"/>
      <c r="B72" s="1"/>
      <c r="C72" s="1"/>
      <c r="D72" s="1"/>
      <c r="E72" s="1"/>
      <c r="F72" s="1"/>
      <c r="G72" s="1"/>
    </row>
    <row r="73" spans="1:7" x14ac:dyDescent="0.35">
      <c r="A73" s="1"/>
      <c r="B73" s="1"/>
      <c r="C73" s="1"/>
      <c r="D73" s="1"/>
      <c r="E73" s="1"/>
      <c r="F73" s="1"/>
      <c r="G73" s="1"/>
    </row>
    <row r="74" spans="1:7" x14ac:dyDescent="0.35">
      <c r="A74" s="1"/>
      <c r="B74" s="1"/>
      <c r="C74" s="1"/>
      <c r="D74" s="1"/>
      <c r="E74" s="1"/>
      <c r="F74" s="1"/>
      <c r="G74" s="1"/>
    </row>
    <row r="75" spans="1:7" x14ac:dyDescent="0.35">
      <c r="A75" s="1"/>
      <c r="B75" s="1"/>
      <c r="C75" s="1"/>
      <c r="D75" s="1"/>
      <c r="E75" s="1"/>
      <c r="F75" s="1"/>
      <c r="G75" s="1"/>
    </row>
    <row r="76" spans="1:7" x14ac:dyDescent="0.35">
      <c r="A76" s="1"/>
      <c r="B76" s="1"/>
      <c r="C76" s="1"/>
      <c r="D76" s="1"/>
      <c r="E76" s="1"/>
      <c r="F76" s="1"/>
      <c r="G76" s="1"/>
    </row>
    <row r="77" spans="1:7" x14ac:dyDescent="0.35">
      <c r="A77" s="1"/>
      <c r="B77" s="1"/>
      <c r="C77" s="1"/>
      <c r="D77" s="1"/>
      <c r="E77" s="1"/>
      <c r="F77" s="1"/>
      <c r="G77" s="1"/>
    </row>
    <row r="78" spans="1:7" x14ac:dyDescent="0.35">
      <c r="A78" s="1"/>
      <c r="B78" s="1"/>
      <c r="C78" s="1"/>
      <c r="D78" s="1"/>
      <c r="E78" s="1"/>
      <c r="F78" s="1"/>
      <c r="G78" s="1"/>
    </row>
    <row r="79" spans="1:7" x14ac:dyDescent="0.35">
      <c r="A79" s="1"/>
      <c r="B79" s="1"/>
      <c r="C79" s="1"/>
      <c r="D79" s="1"/>
      <c r="E79" s="1"/>
      <c r="F79" s="1"/>
      <c r="G79" s="1"/>
    </row>
    <row r="80" spans="1:7" x14ac:dyDescent="0.35">
      <c r="A80" s="1"/>
      <c r="B80" s="5"/>
      <c r="C80" s="1"/>
      <c r="D80" s="1"/>
      <c r="E80" s="1"/>
      <c r="F80" s="1"/>
      <c r="G80" s="1"/>
    </row>
    <row r="81" spans="1:7" x14ac:dyDescent="0.35">
      <c r="A81" s="1"/>
      <c r="B81" s="1"/>
      <c r="C81" s="1"/>
      <c r="D81" s="1"/>
      <c r="E81" s="1"/>
      <c r="F81" s="1"/>
      <c r="G81" s="1"/>
    </row>
    <row r="82" spans="1:7" x14ac:dyDescent="0.35">
      <c r="A82" s="1"/>
      <c r="B82" s="1"/>
      <c r="C82" s="1"/>
      <c r="D82" s="1"/>
      <c r="E82" s="1"/>
      <c r="F82" s="1"/>
      <c r="G82" s="1"/>
    </row>
    <row r="83" spans="1:7" x14ac:dyDescent="0.35">
      <c r="A83" s="1"/>
      <c r="B83" s="1"/>
      <c r="C83" s="1"/>
      <c r="D83" s="1"/>
      <c r="E83" s="1"/>
      <c r="F83" s="1"/>
      <c r="G83" s="1"/>
    </row>
    <row r="84" spans="1:7" x14ac:dyDescent="0.35">
      <c r="A84" s="1"/>
      <c r="B84" s="1"/>
      <c r="C84" s="1"/>
      <c r="D84" s="1"/>
      <c r="E84" s="1"/>
      <c r="F84" s="1"/>
      <c r="G84" s="1"/>
    </row>
    <row r="85" spans="1:7" x14ac:dyDescent="0.35">
      <c r="A85" s="1"/>
      <c r="B85" s="1"/>
      <c r="C85" s="1"/>
      <c r="D85" s="1"/>
      <c r="E85" s="1"/>
      <c r="F85" s="1"/>
      <c r="G85" s="1"/>
    </row>
    <row r="86" spans="1:7" x14ac:dyDescent="0.35">
      <c r="A86" s="1"/>
      <c r="B86" s="1"/>
      <c r="C86" s="1"/>
      <c r="D86" s="1"/>
      <c r="E86" s="1"/>
      <c r="F86" s="1"/>
      <c r="G86" s="1"/>
    </row>
    <row r="87" spans="1:7" x14ac:dyDescent="0.35">
      <c r="A87" s="1"/>
      <c r="B87" s="1"/>
      <c r="C87" s="1"/>
      <c r="D87" s="1"/>
      <c r="E87" s="1"/>
      <c r="F87" s="1"/>
      <c r="G87" s="1"/>
    </row>
    <row r="88" spans="1:7" x14ac:dyDescent="0.35">
      <c r="A88" s="1"/>
      <c r="B88" s="1"/>
      <c r="C88" s="1"/>
      <c r="D88" s="1"/>
      <c r="E88" s="1"/>
      <c r="F88" s="1"/>
      <c r="G88" s="1"/>
    </row>
    <row r="89" spans="1:7" x14ac:dyDescent="0.35">
      <c r="A89" s="1"/>
      <c r="B89" s="1"/>
      <c r="C89" s="1"/>
      <c r="D89" s="1"/>
      <c r="E89" s="1"/>
      <c r="F89" s="1"/>
      <c r="G89" s="1"/>
    </row>
    <row r="90" spans="1:7" x14ac:dyDescent="0.35">
      <c r="A90" s="1"/>
      <c r="B90" s="1"/>
      <c r="C90" s="1"/>
      <c r="D90" s="1"/>
      <c r="E90" s="1"/>
      <c r="F90" s="1"/>
      <c r="G90" s="1"/>
    </row>
    <row r="91" spans="1:7" x14ac:dyDescent="0.35">
      <c r="A91" s="1"/>
      <c r="B91" s="1"/>
      <c r="C91" s="1"/>
      <c r="D91" s="1"/>
      <c r="E91" s="1"/>
      <c r="F91" s="1"/>
      <c r="G91" s="1"/>
    </row>
    <row r="92" spans="1:7" x14ac:dyDescent="0.35">
      <c r="A92" s="1"/>
      <c r="B92" s="1"/>
      <c r="C92" s="1"/>
      <c r="D92" s="1"/>
      <c r="E92" s="1"/>
      <c r="F92" s="1"/>
      <c r="G92" s="1"/>
    </row>
    <row r="93" spans="1:7" x14ac:dyDescent="0.35">
      <c r="A93" s="1"/>
      <c r="B93" s="1"/>
      <c r="C93" s="1"/>
      <c r="D93" s="1"/>
      <c r="E93" s="1"/>
      <c r="F93" s="1"/>
      <c r="G93" s="1"/>
    </row>
    <row r="94" spans="1:7" x14ac:dyDescent="0.35">
      <c r="A94" s="1"/>
      <c r="B94" s="1"/>
      <c r="C94" s="1"/>
      <c r="D94" s="1"/>
      <c r="E94" s="1"/>
      <c r="F94" s="1"/>
      <c r="G94" s="1"/>
    </row>
    <row r="95" spans="1:7" x14ac:dyDescent="0.35">
      <c r="A95" s="1"/>
      <c r="B95" s="1"/>
      <c r="C95" s="1"/>
      <c r="D95" s="1"/>
      <c r="E95" s="1"/>
      <c r="F95" s="1"/>
      <c r="G95" s="1"/>
    </row>
    <row r="96" spans="1:7" x14ac:dyDescent="0.35">
      <c r="A96" s="1"/>
      <c r="B96" s="1"/>
      <c r="C96" s="1"/>
      <c r="D96" s="1"/>
      <c r="E96" s="1"/>
      <c r="F96" s="1"/>
      <c r="G96" s="1"/>
    </row>
    <row r="97" spans="1:7" x14ac:dyDescent="0.35">
      <c r="A97" s="1"/>
      <c r="B97" s="1"/>
      <c r="C97" s="1"/>
      <c r="D97" s="1"/>
      <c r="E97" s="1"/>
      <c r="F97" s="1"/>
      <c r="G97" s="1"/>
    </row>
    <row r="98" spans="1:7" x14ac:dyDescent="0.35">
      <c r="A98" s="1"/>
      <c r="B98" s="1"/>
      <c r="C98" s="1"/>
      <c r="D98" s="1"/>
      <c r="E98" s="1"/>
      <c r="F98" s="1"/>
      <c r="G98" s="1"/>
    </row>
    <row r="99" spans="1:7" x14ac:dyDescent="0.35">
      <c r="A99" s="1"/>
      <c r="B99" s="1"/>
      <c r="C99" s="1"/>
      <c r="D99" s="1"/>
      <c r="E99" s="1"/>
      <c r="F99" s="1"/>
      <c r="G99" s="1"/>
    </row>
    <row r="100" spans="1:7" x14ac:dyDescent="0.35">
      <c r="A100" s="1"/>
      <c r="B100" s="1"/>
      <c r="C100" s="1"/>
      <c r="D100" s="1"/>
      <c r="E100" s="1"/>
      <c r="F100" s="1"/>
      <c r="G100" s="1"/>
    </row>
    <row r="101" spans="1:7" x14ac:dyDescent="0.35">
      <c r="A101" s="1"/>
      <c r="B101" s="1"/>
      <c r="C101" s="1"/>
      <c r="D101" s="1"/>
      <c r="E101" s="1"/>
      <c r="F101" s="1"/>
      <c r="G101" s="1"/>
    </row>
    <row r="102" spans="1:7" x14ac:dyDescent="0.35">
      <c r="A102" s="1"/>
      <c r="B102" s="1"/>
      <c r="C102" s="1"/>
      <c r="D102" s="1"/>
      <c r="E102" s="1"/>
      <c r="F102" s="1"/>
      <c r="G102" s="1"/>
    </row>
    <row r="103" spans="1:7" x14ac:dyDescent="0.35">
      <c r="A103" s="1"/>
      <c r="B103" s="1"/>
      <c r="C103" s="1"/>
      <c r="D103" s="1"/>
      <c r="E103" s="1"/>
      <c r="F103" s="1"/>
      <c r="G103" s="1"/>
    </row>
    <row r="104" spans="1:7" x14ac:dyDescent="0.35">
      <c r="A104" s="1"/>
      <c r="B104" s="1"/>
      <c r="C104" s="1"/>
      <c r="D104" s="1"/>
      <c r="E104" s="1"/>
      <c r="F104" s="1"/>
      <c r="G104" s="1"/>
    </row>
    <row r="105" spans="1:7" x14ac:dyDescent="0.35">
      <c r="A105" s="1"/>
      <c r="B105" s="1"/>
      <c r="C105" s="1"/>
      <c r="D105" s="1"/>
      <c r="E105" s="1"/>
      <c r="F105" s="1"/>
      <c r="G105" s="1"/>
    </row>
    <row r="106" spans="1:7" x14ac:dyDescent="0.35">
      <c r="A106" s="1"/>
      <c r="B106" s="1"/>
      <c r="C106" s="1"/>
      <c r="D106" s="1"/>
      <c r="E106" s="1"/>
      <c r="F106" s="1"/>
      <c r="G106" s="1"/>
    </row>
    <row r="107" spans="1:7" x14ac:dyDescent="0.35">
      <c r="A107" s="1"/>
      <c r="B107" s="1"/>
      <c r="C107" s="1"/>
      <c r="D107" s="1"/>
      <c r="E107" s="1"/>
      <c r="F107" s="1"/>
      <c r="G107" s="1"/>
    </row>
    <row r="108" spans="1:7" x14ac:dyDescent="0.35">
      <c r="A108" s="1"/>
      <c r="B108" s="1"/>
      <c r="C108" s="1"/>
      <c r="D108" s="1"/>
      <c r="E108" s="1"/>
      <c r="F108" s="1"/>
      <c r="G108" s="1"/>
    </row>
    <row r="109" spans="1:7" x14ac:dyDescent="0.35">
      <c r="A109" s="1"/>
      <c r="B109" s="1"/>
      <c r="C109" s="1"/>
      <c r="D109" s="1"/>
      <c r="E109" s="1"/>
      <c r="F109" s="1"/>
      <c r="G109" s="1"/>
    </row>
    <row r="110" spans="1:7" x14ac:dyDescent="0.35">
      <c r="A110" s="1"/>
      <c r="B110" s="1"/>
      <c r="C110" s="1"/>
      <c r="D110" s="1"/>
      <c r="E110" s="1"/>
      <c r="F110" s="1"/>
      <c r="G110" s="1"/>
    </row>
    <row r="111" spans="1:7" x14ac:dyDescent="0.35">
      <c r="A111" s="1"/>
      <c r="B111" s="1"/>
      <c r="C111" s="1"/>
      <c r="D111" s="1"/>
      <c r="E111" s="1"/>
      <c r="F111" s="1"/>
      <c r="G111" s="1"/>
    </row>
    <row r="112" spans="1:7" x14ac:dyDescent="0.35">
      <c r="A112" s="1"/>
      <c r="B112" s="1"/>
      <c r="C112" s="1"/>
      <c r="D112" s="1"/>
      <c r="E112" s="1"/>
      <c r="F112" s="1"/>
      <c r="G112" s="1"/>
    </row>
    <row r="113" spans="1:7" x14ac:dyDescent="0.35">
      <c r="A113" s="1"/>
      <c r="B113" s="1"/>
      <c r="C113" s="1"/>
      <c r="D113" s="1"/>
      <c r="E113" s="1"/>
      <c r="F113" s="1"/>
      <c r="G113" s="1"/>
    </row>
    <row r="114" spans="1:7" x14ac:dyDescent="0.35">
      <c r="A114" s="1"/>
      <c r="B114" s="1"/>
      <c r="C114" s="1"/>
      <c r="D114" s="1"/>
      <c r="E114" s="1"/>
      <c r="F114" s="1"/>
      <c r="G114" s="1"/>
    </row>
    <row r="115" spans="1:7" x14ac:dyDescent="0.35">
      <c r="A115" s="1"/>
      <c r="B115" s="1"/>
      <c r="C115" s="1"/>
      <c r="D115" s="1"/>
      <c r="E115" s="1"/>
      <c r="F115" s="1"/>
      <c r="G115" s="1"/>
    </row>
    <row r="116" spans="1:7" x14ac:dyDescent="0.35">
      <c r="A116" s="1"/>
      <c r="B116" s="1"/>
      <c r="C116" s="1"/>
      <c r="D116" s="1"/>
      <c r="E116" s="1"/>
      <c r="F116" s="1"/>
      <c r="G116" s="1"/>
    </row>
    <row r="117" spans="1:7" x14ac:dyDescent="0.35">
      <c r="A117" s="1"/>
      <c r="B117" s="1"/>
      <c r="C117" s="1"/>
      <c r="D117" s="1"/>
      <c r="E117" s="1"/>
      <c r="F117" s="1"/>
      <c r="G117" s="1"/>
    </row>
    <row r="118" spans="1:7" x14ac:dyDescent="0.35">
      <c r="A118" s="1"/>
      <c r="B118" s="1"/>
      <c r="C118" s="1"/>
      <c r="D118" s="1"/>
      <c r="E118" s="1"/>
      <c r="F118" s="1"/>
      <c r="G118" s="1"/>
    </row>
    <row r="119" spans="1:7" x14ac:dyDescent="0.35">
      <c r="A119" s="1"/>
      <c r="B119" s="1"/>
      <c r="C119" s="1"/>
      <c r="D119" s="1"/>
      <c r="E119" s="1"/>
      <c r="F119" s="1"/>
      <c r="G119" s="1"/>
    </row>
    <row r="120" spans="1:7" x14ac:dyDescent="0.35">
      <c r="A120" s="1"/>
      <c r="B120" s="1"/>
      <c r="C120" s="1"/>
      <c r="D120" s="1"/>
      <c r="E120" s="1"/>
      <c r="F120" s="1"/>
      <c r="G120" s="1"/>
    </row>
    <row r="121" spans="1:7" x14ac:dyDescent="0.35">
      <c r="A121" s="1"/>
      <c r="B121" s="1"/>
      <c r="C121" s="1"/>
      <c r="D121" s="1"/>
      <c r="E121" s="1"/>
      <c r="F121" s="1"/>
      <c r="G121" s="1"/>
    </row>
    <row r="122" spans="1:7" x14ac:dyDescent="0.35">
      <c r="A122" s="1"/>
      <c r="B122" s="1"/>
      <c r="C122" s="1"/>
      <c r="D122" s="1"/>
      <c r="E122" s="1"/>
      <c r="F122" s="1"/>
      <c r="G122" s="1"/>
    </row>
    <row r="123" spans="1:7" x14ac:dyDescent="0.35">
      <c r="A123" s="1"/>
      <c r="B123" s="1"/>
      <c r="C123" s="1"/>
      <c r="D123" s="1"/>
      <c r="E123" s="1"/>
      <c r="F123" s="1"/>
      <c r="G123" s="1"/>
    </row>
    <row r="124" spans="1:7" x14ac:dyDescent="0.35">
      <c r="A124" s="1"/>
      <c r="B124" s="1"/>
      <c r="C124" s="1"/>
      <c r="D124" s="1"/>
      <c r="E124" s="1"/>
      <c r="F124" s="1"/>
      <c r="G124" s="1"/>
    </row>
    <row r="125" spans="1:7" x14ac:dyDescent="0.35">
      <c r="A125" s="1"/>
      <c r="B125" s="1"/>
      <c r="C125" s="1"/>
      <c r="D125" s="1"/>
      <c r="E125" s="1"/>
      <c r="F125" s="1"/>
      <c r="G125" s="1"/>
    </row>
    <row r="126" spans="1:7" x14ac:dyDescent="0.35">
      <c r="A126" s="1"/>
      <c r="B126" s="1"/>
      <c r="C126" s="1"/>
      <c r="D126" s="1"/>
      <c r="E126" s="1"/>
      <c r="F126" s="1"/>
      <c r="G126" s="1"/>
    </row>
    <row r="127" spans="1:7" x14ac:dyDescent="0.35">
      <c r="A127" s="1"/>
      <c r="B127" s="1"/>
      <c r="C127" s="1"/>
      <c r="D127" s="1"/>
      <c r="E127" s="1"/>
      <c r="F127" s="1"/>
      <c r="G127" s="1"/>
    </row>
    <row r="128" spans="1:7" x14ac:dyDescent="0.35">
      <c r="A128" s="1"/>
      <c r="B128" s="1"/>
      <c r="C128" s="1"/>
      <c r="D128" s="1"/>
      <c r="E128" s="1"/>
      <c r="F128" s="1"/>
      <c r="G128" s="1"/>
    </row>
    <row r="129" spans="1:7" x14ac:dyDescent="0.35">
      <c r="A129" s="1"/>
      <c r="B129" s="1"/>
      <c r="C129" s="1"/>
      <c r="D129" s="1"/>
      <c r="E129" s="1"/>
      <c r="F129" s="1"/>
      <c r="G129" s="1"/>
    </row>
    <row r="130" spans="1:7" x14ac:dyDescent="0.35">
      <c r="A130" s="1"/>
      <c r="B130" s="1"/>
      <c r="C130" s="1"/>
      <c r="D130" s="1"/>
      <c r="E130" s="1"/>
      <c r="F130" s="1"/>
      <c r="G130" s="1"/>
    </row>
    <row r="131" spans="1:7" x14ac:dyDescent="0.35">
      <c r="A131" s="1"/>
      <c r="B131" s="1"/>
      <c r="C131" s="1"/>
      <c r="D131" s="1"/>
      <c r="E131" s="1"/>
      <c r="F131" s="1"/>
      <c r="G131" s="1"/>
    </row>
    <row r="132" spans="1:7" x14ac:dyDescent="0.35">
      <c r="A132" s="1"/>
      <c r="B132" s="1"/>
      <c r="C132" s="1"/>
      <c r="D132" s="1"/>
      <c r="E132" s="1"/>
      <c r="F132" s="1"/>
      <c r="G132" s="1"/>
    </row>
    <row r="133" spans="1:7" x14ac:dyDescent="0.35">
      <c r="A133" s="1"/>
      <c r="B133" s="1"/>
      <c r="C133" s="1"/>
      <c r="D133" s="1"/>
      <c r="E133" s="1"/>
      <c r="F133" s="1"/>
      <c r="G133" s="1"/>
    </row>
    <row r="134" spans="1:7" x14ac:dyDescent="0.35">
      <c r="A134" s="1"/>
      <c r="B134" s="1"/>
      <c r="C134" s="1"/>
      <c r="D134" s="1"/>
      <c r="E134" s="1"/>
      <c r="F134" s="1"/>
      <c r="G134" s="1"/>
    </row>
    <row r="135" spans="1:7" x14ac:dyDescent="0.35">
      <c r="A135" s="1"/>
      <c r="B135" s="1"/>
      <c r="C135" s="1"/>
      <c r="D135" s="1"/>
      <c r="E135" s="1"/>
      <c r="F135" s="1"/>
      <c r="G135" s="1"/>
    </row>
    <row r="136" spans="1:7" x14ac:dyDescent="0.35">
      <c r="A136" s="1"/>
      <c r="B136" s="1"/>
      <c r="C136" s="1"/>
      <c r="D136" s="1"/>
      <c r="E136" s="1"/>
      <c r="F136" s="1"/>
      <c r="G136" s="1"/>
    </row>
    <row r="137" spans="1:7" x14ac:dyDescent="0.35">
      <c r="A137" s="1"/>
      <c r="B137" s="1"/>
      <c r="C137" s="1"/>
      <c r="D137" s="1"/>
      <c r="E137" s="1"/>
      <c r="F137" s="1"/>
      <c r="G137" s="1"/>
    </row>
    <row r="138" spans="1:7" x14ac:dyDescent="0.35">
      <c r="A138" s="1"/>
      <c r="B138" s="1"/>
      <c r="C138" s="1"/>
      <c r="D138" s="1"/>
      <c r="E138" s="1"/>
      <c r="F138" s="1"/>
      <c r="G138" s="1"/>
    </row>
    <row r="139" spans="1:7" x14ac:dyDescent="0.35">
      <c r="A139" s="1"/>
      <c r="B139" s="1"/>
      <c r="C139" s="1"/>
      <c r="D139" s="1"/>
      <c r="E139" s="1"/>
      <c r="F139" s="1"/>
      <c r="G139" s="1"/>
    </row>
    <row r="140" spans="1:7" x14ac:dyDescent="0.35">
      <c r="A140" s="1"/>
      <c r="B140" s="1"/>
      <c r="C140" s="1"/>
      <c r="D140" s="1"/>
      <c r="E140" s="1"/>
      <c r="F140" s="1"/>
      <c r="G140" s="1"/>
    </row>
    <row r="141" spans="1:7" x14ac:dyDescent="0.35">
      <c r="A141" s="1"/>
      <c r="B141" s="1"/>
      <c r="C141" s="1"/>
      <c r="D141" s="1"/>
      <c r="E141" s="1"/>
      <c r="F141" s="1"/>
      <c r="G141" s="1"/>
    </row>
    <row r="142" spans="1:7" x14ac:dyDescent="0.35">
      <c r="A142" s="1"/>
      <c r="B142" s="1"/>
      <c r="C142" s="1"/>
      <c r="D142" s="1"/>
      <c r="E142" s="1"/>
      <c r="F142" s="1"/>
      <c r="G142" s="1"/>
    </row>
    <row r="143" spans="1:7" x14ac:dyDescent="0.35">
      <c r="A143" s="1"/>
      <c r="B143" s="1"/>
      <c r="C143" s="1"/>
      <c r="D143" s="1"/>
      <c r="E143" s="1"/>
      <c r="F143" s="1"/>
      <c r="G143" s="1"/>
    </row>
    <row r="144" spans="1:7" x14ac:dyDescent="0.35">
      <c r="A144" s="1"/>
      <c r="B144" s="1"/>
      <c r="C144" s="1"/>
      <c r="D144" s="1"/>
      <c r="E144" s="1"/>
      <c r="F144" s="1"/>
      <c r="G144" s="1"/>
    </row>
    <row r="145" spans="1:7" x14ac:dyDescent="0.35">
      <c r="A145" s="1"/>
      <c r="B145" s="1"/>
      <c r="C145" s="1"/>
      <c r="D145" s="1"/>
      <c r="E145" s="1"/>
      <c r="F145" s="1"/>
      <c r="G145" s="1"/>
    </row>
    <row r="146" spans="1:7" x14ac:dyDescent="0.35">
      <c r="A146" s="1"/>
      <c r="B146" s="1"/>
      <c r="C146" s="1"/>
      <c r="D146" s="1"/>
      <c r="E146" s="1"/>
      <c r="F146" s="1"/>
      <c r="G146" s="1"/>
    </row>
    <row r="147" spans="1:7" x14ac:dyDescent="0.35">
      <c r="A147" s="1"/>
      <c r="B147" s="1"/>
      <c r="C147" s="1"/>
      <c r="D147" s="1"/>
      <c r="E147" s="1"/>
      <c r="F147" s="1"/>
      <c r="G147" s="1"/>
    </row>
    <row r="148" spans="1:7" x14ac:dyDescent="0.35">
      <c r="A148" s="1"/>
      <c r="B148" s="1"/>
      <c r="C148" s="1"/>
      <c r="D148" s="1"/>
      <c r="E148" s="1"/>
      <c r="F148" s="1"/>
      <c r="G148" s="1"/>
    </row>
    <row r="149" spans="1:7" x14ac:dyDescent="0.35">
      <c r="A149" s="1"/>
      <c r="B149" s="1"/>
      <c r="C149" s="1"/>
      <c r="D149" s="1"/>
      <c r="E149" s="1"/>
      <c r="F149" s="1"/>
      <c r="G149" s="1"/>
    </row>
    <row r="150" spans="1:7" x14ac:dyDescent="0.35">
      <c r="A150" s="1"/>
      <c r="B150" s="1"/>
      <c r="C150" s="1"/>
      <c r="D150" s="1"/>
      <c r="E150" s="1"/>
      <c r="F150" s="1"/>
      <c r="G150" s="1"/>
    </row>
    <row r="151" spans="1:7" x14ac:dyDescent="0.35">
      <c r="A151" s="1"/>
      <c r="B151" s="1"/>
      <c r="C151" s="1"/>
      <c r="D151" s="1"/>
      <c r="E151" s="1"/>
      <c r="F151" s="1"/>
      <c r="G151" s="1"/>
    </row>
    <row r="152" spans="1:7" x14ac:dyDescent="0.35">
      <c r="A152" s="1"/>
      <c r="B152" s="1"/>
      <c r="C152" s="1"/>
      <c r="D152" s="1"/>
      <c r="E152" s="1"/>
      <c r="F152" s="1"/>
      <c r="G152" s="1"/>
    </row>
    <row r="153" spans="1:7" x14ac:dyDescent="0.35">
      <c r="A153" s="1"/>
      <c r="B153" s="1"/>
      <c r="C153" s="1"/>
      <c r="D153" s="1"/>
      <c r="E153" s="1"/>
      <c r="F153" s="1"/>
      <c r="G153" s="1"/>
    </row>
    <row r="154" spans="1:7" x14ac:dyDescent="0.35">
      <c r="A154" s="1"/>
      <c r="B154" s="1"/>
      <c r="C154" s="1"/>
      <c r="D154" s="1"/>
      <c r="E154" s="1"/>
      <c r="F154" s="1"/>
      <c r="G154" s="1"/>
    </row>
    <row r="155" spans="1:7" x14ac:dyDescent="0.35">
      <c r="A155" s="1"/>
      <c r="B155" s="1"/>
      <c r="C155" s="1"/>
      <c r="D155" s="1"/>
      <c r="E155" s="1"/>
      <c r="F155" s="1"/>
      <c r="G155" s="1"/>
    </row>
    <row r="156" spans="1:7" x14ac:dyDescent="0.35">
      <c r="A156" s="1"/>
      <c r="B156" s="1"/>
      <c r="C156" s="1"/>
      <c r="D156" s="1"/>
      <c r="E156" s="1"/>
      <c r="F156" s="1"/>
      <c r="G156" s="1"/>
    </row>
    <row r="157" spans="1:7" x14ac:dyDescent="0.35">
      <c r="A157" s="1"/>
      <c r="B157" s="1"/>
      <c r="C157" s="1"/>
      <c r="D157" s="1"/>
      <c r="E157" s="1"/>
      <c r="F157" s="1"/>
      <c r="G157" s="1"/>
    </row>
    <row r="158" spans="1:7" x14ac:dyDescent="0.35">
      <c r="A158" s="1"/>
      <c r="B158" s="1"/>
      <c r="C158" s="1"/>
      <c r="D158" s="1"/>
      <c r="E158" s="1"/>
      <c r="F158" s="1"/>
      <c r="G158" s="1"/>
    </row>
    <row r="159" spans="1:7" x14ac:dyDescent="0.35">
      <c r="A159" s="1"/>
      <c r="B159" s="1"/>
      <c r="C159" s="1"/>
      <c r="D159" s="1"/>
      <c r="E159" s="1"/>
      <c r="F159" s="1"/>
      <c r="G159" s="1"/>
    </row>
    <row r="160" spans="1:7" x14ac:dyDescent="0.35">
      <c r="A160" s="1"/>
      <c r="B160" s="1"/>
      <c r="C160" s="1"/>
      <c r="D160" s="1"/>
      <c r="E160" s="1"/>
      <c r="F160" s="1"/>
      <c r="G160" s="1"/>
    </row>
    <row r="161" spans="1:7" x14ac:dyDescent="0.35">
      <c r="A161" s="1"/>
      <c r="B161" s="1"/>
      <c r="C161" s="1"/>
      <c r="D161" s="1"/>
      <c r="E161" s="1"/>
      <c r="F161" s="1"/>
      <c r="G161" s="1"/>
    </row>
    <row r="162" spans="1:7" x14ac:dyDescent="0.35">
      <c r="A162" s="1"/>
      <c r="B162" s="1"/>
      <c r="C162" s="1"/>
      <c r="D162" s="1"/>
      <c r="E162" s="1"/>
      <c r="F162" s="1"/>
      <c r="G162" s="1"/>
    </row>
    <row r="163" spans="1:7" x14ac:dyDescent="0.35">
      <c r="A163" s="1"/>
      <c r="B163" s="1"/>
      <c r="C163" s="1"/>
      <c r="D163" s="1"/>
      <c r="E163" s="1"/>
      <c r="F163" s="1"/>
      <c r="G163" s="1"/>
    </row>
    <row r="164" spans="1:7" x14ac:dyDescent="0.35">
      <c r="A164" s="1"/>
      <c r="B164" s="1"/>
      <c r="C164" s="1"/>
      <c r="D164" s="1"/>
      <c r="E164" s="1"/>
      <c r="F164" s="1"/>
      <c r="G164" s="1"/>
    </row>
    <row r="165" spans="1:7" x14ac:dyDescent="0.35">
      <c r="A165" s="1"/>
      <c r="B165" s="1"/>
      <c r="C165" s="1"/>
      <c r="D165" s="1"/>
      <c r="E165" s="1"/>
      <c r="F165" s="1"/>
      <c r="G165" s="1"/>
    </row>
    <row r="166" spans="1:7" x14ac:dyDescent="0.35">
      <c r="A166" s="1"/>
      <c r="B166" s="1"/>
      <c r="C166" s="1"/>
      <c r="D166" s="1"/>
      <c r="E166" s="1"/>
      <c r="F166" s="1"/>
      <c r="G166" s="1"/>
    </row>
    <row r="167" spans="1:7" x14ac:dyDescent="0.35">
      <c r="A167" s="1"/>
      <c r="B167" s="1"/>
      <c r="C167" s="1"/>
      <c r="D167" s="1"/>
      <c r="E167" s="1"/>
      <c r="F167" s="1"/>
      <c r="G167" s="1"/>
    </row>
    <row r="168" spans="1:7" x14ac:dyDescent="0.35">
      <c r="A168" s="1"/>
      <c r="B168" s="1"/>
      <c r="C168" s="1"/>
      <c r="D168" s="1"/>
      <c r="E168" s="1"/>
      <c r="F168" s="1"/>
      <c r="G168" s="1"/>
    </row>
    <row r="169" spans="1:7" x14ac:dyDescent="0.35">
      <c r="A169" s="1"/>
      <c r="B169" s="1"/>
      <c r="C169" s="1"/>
      <c r="D169" s="1"/>
      <c r="E169" s="1"/>
      <c r="F169" s="1"/>
      <c r="G169" s="1"/>
    </row>
    <row r="170" spans="1:7" x14ac:dyDescent="0.35">
      <c r="A170" s="1"/>
      <c r="B170" s="1"/>
      <c r="C170" s="1"/>
      <c r="D170" s="1"/>
      <c r="E170" s="1"/>
      <c r="F170" s="1"/>
      <c r="G170" s="1"/>
    </row>
    <row r="171" spans="1:7" x14ac:dyDescent="0.35">
      <c r="A171" s="1"/>
      <c r="B171" s="1"/>
      <c r="C171" s="1"/>
      <c r="D171" s="1"/>
      <c r="E171" s="1"/>
      <c r="F171" s="1"/>
      <c r="G171" s="1"/>
    </row>
    <row r="172" spans="1:7" x14ac:dyDescent="0.35">
      <c r="A172" s="1"/>
      <c r="B172" s="1"/>
      <c r="C172" s="1"/>
      <c r="D172" s="1"/>
      <c r="E172" s="1"/>
      <c r="F172" s="1"/>
      <c r="G172" s="1"/>
    </row>
    <row r="173" spans="1:7" x14ac:dyDescent="0.35">
      <c r="A173" s="1"/>
      <c r="B173" s="1"/>
      <c r="C173" s="1"/>
      <c r="D173" s="1"/>
      <c r="E173" s="1"/>
      <c r="F173" s="1"/>
      <c r="G173" s="1"/>
    </row>
    <row r="174" spans="1:7" x14ac:dyDescent="0.35">
      <c r="A174" s="1"/>
      <c r="B174" s="1"/>
      <c r="C174" s="1"/>
      <c r="D174" s="1"/>
      <c r="E174" s="1"/>
      <c r="F174" s="1"/>
      <c r="G174" s="1"/>
    </row>
    <row r="175" spans="1:7" x14ac:dyDescent="0.35">
      <c r="A175" s="1"/>
      <c r="B175" s="1"/>
      <c r="C175" s="1"/>
      <c r="D175" s="1"/>
      <c r="E175" s="1"/>
      <c r="F175" s="1"/>
      <c r="G175" s="1"/>
    </row>
    <row r="176" spans="1:7" x14ac:dyDescent="0.35">
      <c r="A176" s="1"/>
      <c r="B176" s="1"/>
      <c r="C176" s="1"/>
      <c r="D176" s="1"/>
      <c r="E176" s="1"/>
      <c r="F176" s="1"/>
      <c r="G176" s="1"/>
    </row>
    <row r="177" spans="1:7" x14ac:dyDescent="0.35">
      <c r="A177" s="1"/>
      <c r="B177" s="1"/>
      <c r="C177" s="1"/>
      <c r="D177" s="1"/>
      <c r="E177" s="1"/>
      <c r="F177" s="1"/>
      <c r="G177" s="1"/>
    </row>
    <row r="178" spans="1:7" x14ac:dyDescent="0.35">
      <c r="A178" s="1"/>
      <c r="B178" s="1"/>
      <c r="C178" s="1"/>
      <c r="D178" s="1"/>
      <c r="E178" s="1"/>
      <c r="F178" s="1"/>
      <c r="G178" s="1"/>
    </row>
    <row r="179" spans="1:7" x14ac:dyDescent="0.35">
      <c r="A179" s="1"/>
      <c r="B179" s="1"/>
      <c r="C179" s="1"/>
      <c r="D179" s="1"/>
      <c r="E179" s="1"/>
      <c r="F179" s="1"/>
      <c r="G179" s="1"/>
    </row>
    <row r="180" spans="1:7" x14ac:dyDescent="0.35">
      <c r="A180" s="1"/>
      <c r="B180" s="1"/>
      <c r="C180" s="1"/>
      <c r="D180" s="1"/>
      <c r="E180" s="1"/>
      <c r="F180" s="1"/>
      <c r="G180" s="1"/>
    </row>
    <row r="181" spans="1:7" x14ac:dyDescent="0.35">
      <c r="A181" s="1"/>
      <c r="B181" s="1"/>
      <c r="C181" s="1"/>
      <c r="D181" s="1"/>
      <c r="E181" s="1"/>
      <c r="F181" s="1"/>
      <c r="G181" s="1"/>
    </row>
    <row r="182" spans="1:7" x14ac:dyDescent="0.35">
      <c r="A182" s="1"/>
      <c r="B182" s="1"/>
      <c r="C182" s="1"/>
      <c r="D182" s="1"/>
      <c r="E182" s="1"/>
      <c r="F182" s="1"/>
      <c r="G182" s="1"/>
    </row>
    <row r="183" spans="1:7" x14ac:dyDescent="0.35">
      <c r="A183" s="1"/>
      <c r="B183" s="1"/>
      <c r="C183" s="1"/>
      <c r="D183" s="1"/>
      <c r="E183" s="1"/>
      <c r="F183" s="1"/>
      <c r="G183" s="1"/>
    </row>
    <row r="184" spans="1:7" x14ac:dyDescent="0.35">
      <c r="A184" s="1"/>
      <c r="B184" s="1"/>
      <c r="C184" s="1"/>
      <c r="D184" s="1"/>
      <c r="E184" s="1"/>
      <c r="F184" s="1"/>
      <c r="G184" s="1"/>
    </row>
    <row r="185" spans="1:7" x14ac:dyDescent="0.35">
      <c r="A185" s="1"/>
      <c r="B185" s="1"/>
      <c r="C185" s="1"/>
      <c r="D185" s="1"/>
      <c r="E185" s="1"/>
      <c r="F185" s="1"/>
      <c r="G185" s="1"/>
    </row>
    <row r="186" spans="1:7" x14ac:dyDescent="0.35">
      <c r="A186" s="1"/>
      <c r="B186" s="1"/>
      <c r="C186" s="1"/>
      <c r="D186" s="1"/>
      <c r="E186" s="1"/>
      <c r="F186" s="1"/>
      <c r="G186" s="1"/>
    </row>
    <row r="187" spans="1:7" x14ac:dyDescent="0.35">
      <c r="A187" s="1"/>
      <c r="B187" s="1"/>
      <c r="C187" s="1"/>
      <c r="D187" s="1"/>
      <c r="E187" s="1"/>
      <c r="F187" s="1"/>
      <c r="G187" s="1"/>
    </row>
    <row r="188" spans="1:7" x14ac:dyDescent="0.35">
      <c r="A188" s="1"/>
      <c r="B188" s="1"/>
      <c r="C188" s="1"/>
      <c r="D188" s="1"/>
      <c r="E188" s="1"/>
      <c r="F188" s="1"/>
      <c r="G188" s="1"/>
    </row>
    <row r="189" spans="1:7" x14ac:dyDescent="0.35">
      <c r="A189" s="1"/>
      <c r="B189" s="1"/>
      <c r="C189" s="1"/>
      <c r="D189" s="1"/>
      <c r="E189" s="1"/>
      <c r="F189" s="1"/>
      <c r="G189" s="1"/>
    </row>
    <row r="190" spans="1:7" x14ac:dyDescent="0.35">
      <c r="A190" s="1"/>
      <c r="B190" s="1"/>
      <c r="C190" s="1"/>
      <c r="D190" s="1"/>
      <c r="E190" s="1"/>
      <c r="F190" s="1"/>
      <c r="G190" s="1"/>
    </row>
    <row r="191" spans="1:7" x14ac:dyDescent="0.35">
      <c r="A191" s="1"/>
      <c r="B191" s="1"/>
      <c r="C191" s="1"/>
      <c r="D191" s="1"/>
      <c r="E191" s="1"/>
      <c r="F191" s="1"/>
      <c r="G191" s="1"/>
    </row>
    <row r="192" spans="1:7" x14ac:dyDescent="0.35">
      <c r="A192" s="1"/>
      <c r="B192" s="1"/>
      <c r="C192" s="1"/>
      <c r="D192" s="1"/>
      <c r="E192" s="1"/>
      <c r="F192" s="1"/>
      <c r="G192" s="1"/>
    </row>
    <row r="193" spans="1:7" x14ac:dyDescent="0.35">
      <c r="A193" s="1"/>
      <c r="B193" s="1"/>
      <c r="C193" s="1"/>
      <c r="D193" s="1"/>
      <c r="E193" s="1"/>
      <c r="F193" s="1"/>
      <c r="G193" s="1"/>
    </row>
    <row r="194" spans="1:7" x14ac:dyDescent="0.35">
      <c r="A194" s="1"/>
      <c r="B194" s="1"/>
      <c r="C194" s="1"/>
      <c r="D194" s="1"/>
      <c r="E194" s="1"/>
      <c r="F194" s="1"/>
      <c r="G194" s="1"/>
    </row>
    <row r="195" spans="1:7" x14ac:dyDescent="0.35">
      <c r="A195" s="1"/>
      <c r="B195" s="1"/>
      <c r="C195" s="1"/>
      <c r="D195" s="1"/>
      <c r="E195" s="1"/>
      <c r="F195" s="1"/>
      <c r="G195" s="1"/>
    </row>
    <row r="196" spans="1:7" x14ac:dyDescent="0.35">
      <c r="A196" s="1"/>
      <c r="B196" s="1"/>
      <c r="C196" s="1"/>
      <c r="D196" s="1"/>
      <c r="E196" s="1"/>
      <c r="F196" s="1"/>
      <c r="G196" s="1"/>
    </row>
    <row r="197" spans="1:7" x14ac:dyDescent="0.35">
      <c r="A197" s="1"/>
      <c r="B197" s="1"/>
      <c r="C197" s="1"/>
      <c r="D197" s="1"/>
      <c r="E197" s="1"/>
      <c r="F197" s="1"/>
      <c r="G197" s="1"/>
    </row>
    <row r="198" spans="1:7" x14ac:dyDescent="0.35">
      <c r="A198" s="1"/>
      <c r="B198" s="1"/>
      <c r="C198" s="1"/>
      <c r="D198" s="1"/>
      <c r="E198" s="1"/>
      <c r="F198" s="1"/>
      <c r="G198" s="1"/>
    </row>
    <row r="199" spans="1:7" x14ac:dyDescent="0.35">
      <c r="A199" s="1"/>
      <c r="B199" s="1"/>
      <c r="C199" s="1"/>
      <c r="D199" s="1"/>
      <c r="E199" s="1"/>
      <c r="F199" s="1"/>
      <c r="G199" s="1"/>
    </row>
    <row r="200" spans="1:7" x14ac:dyDescent="0.35">
      <c r="A200" s="1"/>
      <c r="B200" s="1"/>
      <c r="C200" s="1"/>
      <c r="D200" s="1"/>
      <c r="E200" s="1"/>
      <c r="F200" s="1"/>
      <c r="G200" s="1"/>
    </row>
    <row r="201" spans="1:7" x14ac:dyDescent="0.35">
      <c r="A201" s="1"/>
      <c r="B201" s="1"/>
      <c r="C201" s="1"/>
      <c r="D201" s="1"/>
      <c r="E201" s="1"/>
      <c r="F201" s="1"/>
      <c r="G201" s="1"/>
    </row>
    <row r="202" spans="1:7" x14ac:dyDescent="0.35">
      <c r="A202" s="1"/>
      <c r="B202" s="1"/>
      <c r="C202" s="1"/>
      <c r="D202" s="1"/>
      <c r="E202" s="1"/>
      <c r="F202" s="1"/>
      <c r="G202" s="1"/>
    </row>
    <row r="203" spans="1:7" x14ac:dyDescent="0.35">
      <c r="A203" s="1"/>
      <c r="B203" s="1"/>
      <c r="C203" s="1"/>
      <c r="D203" s="1"/>
      <c r="E203" s="1"/>
      <c r="F203" s="1"/>
      <c r="G203" s="1"/>
    </row>
    <row r="204" spans="1:7" x14ac:dyDescent="0.35">
      <c r="A204" s="1"/>
      <c r="B204" s="1"/>
      <c r="C204" s="1"/>
      <c r="D204" s="1"/>
      <c r="E204" s="1"/>
      <c r="F204" s="1"/>
      <c r="G204" s="1"/>
    </row>
    <row r="205" spans="1:7" x14ac:dyDescent="0.35">
      <c r="A205" s="1"/>
      <c r="B205" s="1"/>
      <c r="C205" s="1"/>
      <c r="D205" s="1"/>
      <c r="E205" s="1"/>
      <c r="F205" s="1"/>
      <c r="G205" s="1"/>
    </row>
    <row r="206" spans="1:7" x14ac:dyDescent="0.35">
      <c r="A206" s="1"/>
      <c r="B206" s="1"/>
      <c r="C206" s="1"/>
      <c r="D206" s="1"/>
      <c r="E206" s="1"/>
      <c r="F206" s="1"/>
      <c r="G206" s="1"/>
    </row>
    <row r="207" spans="1:7" x14ac:dyDescent="0.35">
      <c r="A207" s="1"/>
      <c r="B207" s="1"/>
      <c r="C207" s="1"/>
      <c r="D207" s="1"/>
      <c r="E207" s="1"/>
      <c r="F207" s="1"/>
      <c r="G207" s="1"/>
    </row>
    <row r="208" spans="1:7" x14ac:dyDescent="0.35">
      <c r="A208" s="1"/>
      <c r="B208" s="1"/>
      <c r="C208" s="1"/>
      <c r="D208" s="1"/>
      <c r="E208" s="1"/>
      <c r="F208" s="1"/>
      <c r="G208" s="1"/>
    </row>
    <row r="209" spans="1:7" x14ac:dyDescent="0.35">
      <c r="A209" s="1"/>
      <c r="B209" s="1"/>
      <c r="C209" s="1"/>
      <c r="D209" s="1"/>
      <c r="E209" s="1"/>
      <c r="F209" s="1"/>
      <c r="G209" s="1"/>
    </row>
    <row r="210" spans="1:7" x14ac:dyDescent="0.35">
      <c r="A210" s="1"/>
      <c r="B210" s="1"/>
      <c r="C210" s="1"/>
      <c r="D210" s="1"/>
      <c r="E210" s="1"/>
      <c r="F210" s="1"/>
      <c r="G210" s="1"/>
    </row>
    <row r="211" spans="1:7" x14ac:dyDescent="0.35">
      <c r="A211" s="1"/>
      <c r="B211" s="1"/>
      <c r="C211" s="1"/>
      <c r="D211" s="1"/>
      <c r="E211" s="1"/>
      <c r="F211" s="1"/>
      <c r="G211" s="1"/>
    </row>
    <row r="212" spans="1:7" x14ac:dyDescent="0.35">
      <c r="A212" s="1"/>
      <c r="B212" s="1"/>
      <c r="C212" s="1"/>
      <c r="D212" s="1"/>
      <c r="E212" s="1"/>
      <c r="F212" s="1"/>
      <c r="G212" s="1"/>
    </row>
    <row r="213" spans="1:7" x14ac:dyDescent="0.35">
      <c r="A213" s="1"/>
      <c r="B213" s="1"/>
      <c r="C213" s="1"/>
      <c r="D213" s="1"/>
      <c r="E213" s="1"/>
      <c r="F213" s="1"/>
      <c r="G213" s="1"/>
    </row>
    <row r="214" spans="1:7" x14ac:dyDescent="0.35">
      <c r="A214" s="1"/>
      <c r="B214" s="1"/>
      <c r="C214" s="1"/>
      <c r="D214" s="1"/>
      <c r="E214" s="1"/>
      <c r="F214" s="1"/>
      <c r="G214" s="1"/>
    </row>
    <row r="215" spans="1:7" x14ac:dyDescent="0.35">
      <c r="A215" s="1"/>
      <c r="B215" s="1"/>
      <c r="C215" s="1"/>
      <c r="D215" s="1"/>
      <c r="E215" s="1"/>
      <c r="F215" s="1"/>
      <c r="G215" s="1"/>
    </row>
    <row r="216" spans="1:7" x14ac:dyDescent="0.35">
      <c r="A216" s="1"/>
      <c r="B216" s="1"/>
      <c r="C216" s="1"/>
      <c r="D216" s="1"/>
      <c r="E216" s="1"/>
      <c r="F216" s="1"/>
      <c r="G216" s="1"/>
    </row>
    <row r="217" spans="1:7" x14ac:dyDescent="0.35">
      <c r="A217" s="1"/>
      <c r="B217" s="1"/>
      <c r="C217" s="1"/>
      <c r="D217" s="1"/>
      <c r="E217" s="1"/>
      <c r="F217" s="1"/>
      <c r="G217" s="1"/>
    </row>
    <row r="218" spans="1:7" x14ac:dyDescent="0.35">
      <c r="A218" s="1"/>
      <c r="B218" s="1"/>
      <c r="C218" s="1"/>
      <c r="D218" s="1"/>
      <c r="E218" s="1"/>
      <c r="F218" s="1"/>
      <c r="G218" s="1"/>
    </row>
    <row r="219" spans="1:7" x14ac:dyDescent="0.35">
      <c r="A219" s="1"/>
      <c r="B219" s="1"/>
      <c r="C219" s="1"/>
      <c r="D219" s="1"/>
      <c r="E219" s="1"/>
      <c r="F219" s="1"/>
      <c r="G219" s="1"/>
    </row>
    <row r="220" spans="1:7" x14ac:dyDescent="0.35">
      <c r="A220" s="1"/>
      <c r="B220" s="1"/>
      <c r="C220" s="1"/>
      <c r="D220" s="1"/>
      <c r="E220" s="1"/>
      <c r="F220" s="1"/>
      <c r="G220" s="1"/>
    </row>
    <row r="221" spans="1:7" x14ac:dyDescent="0.35">
      <c r="A221" s="1"/>
      <c r="B221" s="1"/>
      <c r="C221" s="1"/>
      <c r="D221" s="1"/>
      <c r="E221" s="1"/>
      <c r="F221" s="1"/>
      <c r="G221" s="1"/>
    </row>
    <row r="222" spans="1:7" x14ac:dyDescent="0.35">
      <c r="A222" s="1"/>
      <c r="B222" s="1"/>
      <c r="C222" s="1"/>
      <c r="D222" s="1"/>
      <c r="E222" s="1"/>
      <c r="F222" s="1"/>
      <c r="G222" s="1"/>
    </row>
    <row r="223" spans="1:7" x14ac:dyDescent="0.35">
      <c r="A223" s="1"/>
      <c r="B223" s="1"/>
      <c r="C223" s="1"/>
      <c r="D223" s="1"/>
      <c r="E223" s="1"/>
      <c r="F223" s="1"/>
      <c r="G223" s="1"/>
    </row>
    <row r="224" spans="1:7" x14ac:dyDescent="0.35">
      <c r="A224" s="1"/>
      <c r="B224" s="1"/>
      <c r="C224" s="1"/>
      <c r="D224" s="1"/>
      <c r="E224" s="1"/>
      <c r="F224" s="1"/>
      <c r="G224" s="1"/>
    </row>
    <row r="225" spans="1:7" x14ac:dyDescent="0.35">
      <c r="A225" s="1"/>
      <c r="B225" s="1"/>
      <c r="C225" s="1"/>
      <c r="D225" s="1"/>
      <c r="E225" s="1"/>
      <c r="F225" s="1"/>
      <c r="G225" s="1"/>
    </row>
    <row r="226" spans="1:7" x14ac:dyDescent="0.35">
      <c r="A226" s="1"/>
      <c r="B226" s="1"/>
      <c r="C226" s="1"/>
      <c r="D226" s="1"/>
      <c r="E226" s="1"/>
      <c r="F226" s="1"/>
      <c r="G226" s="1"/>
    </row>
    <row r="227" spans="1:7" x14ac:dyDescent="0.35">
      <c r="A227" s="1"/>
      <c r="B227" s="1"/>
      <c r="C227" s="1"/>
      <c r="D227" s="1"/>
      <c r="E227" s="1"/>
      <c r="F227" s="1"/>
      <c r="G227" s="1"/>
    </row>
    <row r="228" spans="1:7" x14ac:dyDescent="0.35">
      <c r="A228" s="1"/>
      <c r="B228" s="1"/>
      <c r="C228" s="1"/>
      <c r="D228" s="1"/>
      <c r="E228" s="1"/>
      <c r="F228" s="1"/>
      <c r="G228" s="1"/>
    </row>
    <row r="229" spans="1:7" x14ac:dyDescent="0.35">
      <c r="A229" s="1"/>
      <c r="B229" s="1"/>
      <c r="C229" s="1"/>
      <c r="D229" s="1"/>
      <c r="E229" s="1"/>
      <c r="F229" s="1"/>
      <c r="G229" s="1"/>
    </row>
    <row r="230" spans="1:7" x14ac:dyDescent="0.35">
      <c r="A230" s="1"/>
      <c r="B230" s="1"/>
      <c r="C230" s="1"/>
      <c r="D230" s="1"/>
      <c r="E230" s="1"/>
      <c r="F230" s="1"/>
      <c r="G230" s="1"/>
    </row>
    <row r="231" spans="1:7" x14ac:dyDescent="0.35">
      <c r="A231" s="1"/>
      <c r="B231" s="1"/>
      <c r="C231" s="1"/>
      <c r="D231" s="1"/>
      <c r="E231" s="1"/>
      <c r="F231" s="1"/>
      <c r="G231" s="1"/>
    </row>
    <row r="232" spans="1:7" x14ac:dyDescent="0.35">
      <c r="A232" s="1"/>
      <c r="B232" s="1"/>
      <c r="C232" s="1"/>
      <c r="D232" s="1"/>
      <c r="E232" s="1"/>
      <c r="F232" s="1"/>
      <c r="G232" s="1"/>
    </row>
    <row r="233" spans="1:7" x14ac:dyDescent="0.35">
      <c r="A233" s="1"/>
      <c r="B233" s="1"/>
      <c r="C233" s="1"/>
      <c r="D233" s="1"/>
      <c r="E233" s="1"/>
      <c r="F233" s="1"/>
      <c r="G233" s="1"/>
    </row>
    <row r="234" spans="1:7" x14ac:dyDescent="0.35">
      <c r="A234" s="1"/>
      <c r="B234" s="1"/>
      <c r="C234" s="1"/>
      <c r="D234" s="1"/>
      <c r="E234" s="1"/>
      <c r="F234" s="1"/>
      <c r="G234" s="1"/>
    </row>
    <row r="235" spans="1:7" x14ac:dyDescent="0.35">
      <c r="A235" s="1"/>
      <c r="B235" s="1"/>
      <c r="C235" s="1"/>
      <c r="D235" s="1"/>
      <c r="E235" s="1"/>
      <c r="F235" s="1"/>
      <c r="G235" s="1"/>
    </row>
    <row r="236" spans="1:7" x14ac:dyDescent="0.35">
      <c r="A236" s="1"/>
      <c r="B236" s="1"/>
      <c r="C236" s="1"/>
      <c r="D236" s="1"/>
      <c r="E236" s="1"/>
      <c r="F236" s="1"/>
      <c r="G236" s="1"/>
    </row>
    <row r="237" spans="1:7" x14ac:dyDescent="0.35">
      <c r="A237" s="1"/>
      <c r="B237" s="1"/>
      <c r="C237" s="1"/>
      <c r="D237" s="1"/>
      <c r="E237" s="1"/>
      <c r="F237" s="1"/>
      <c r="G237" s="1"/>
    </row>
    <row r="238" spans="1:7" x14ac:dyDescent="0.35">
      <c r="A238" s="1"/>
      <c r="B238" s="1"/>
      <c r="C238" s="1"/>
      <c r="D238" s="1"/>
      <c r="E238" s="1"/>
      <c r="F238" s="1"/>
      <c r="G238" s="1"/>
    </row>
    <row r="239" spans="1:7" x14ac:dyDescent="0.35">
      <c r="A239" s="1"/>
      <c r="B239" s="1"/>
      <c r="C239" s="1"/>
      <c r="D239" s="1"/>
      <c r="E239" s="1"/>
      <c r="F239" s="1"/>
      <c r="G239" s="1"/>
    </row>
    <row r="240" spans="1:7" x14ac:dyDescent="0.35">
      <c r="A240" s="1"/>
      <c r="B240" s="1"/>
      <c r="C240" s="1"/>
      <c r="D240" s="1"/>
      <c r="E240" s="1"/>
      <c r="F240" s="1"/>
      <c r="G240" s="1"/>
    </row>
    <row r="241" spans="1:7" x14ac:dyDescent="0.35">
      <c r="A241" s="1"/>
      <c r="B241" s="1"/>
      <c r="C241" s="1"/>
      <c r="D241" s="1"/>
      <c r="E241" s="1"/>
      <c r="F241" s="1"/>
      <c r="G241" s="1"/>
    </row>
    <row r="242" spans="1:7" x14ac:dyDescent="0.35">
      <c r="A242" s="1"/>
      <c r="B242" s="1"/>
      <c r="C242" s="1"/>
      <c r="D242" s="1"/>
      <c r="E242" s="1"/>
      <c r="F242" s="1"/>
      <c r="G242" s="1"/>
    </row>
    <row r="243" spans="1:7" x14ac:dyDescent="0.35">
      <c r="A243" s="1"/>
      <c r="B243" s="1"/>
      <c r="C243" s="1"/>
      <c r="D243" s="1"/>
      <c r="E243" s="1"/>
      <c r="F243" s="1"/>
      <c r="G243" s="1"/>
    </row>
    <row r="244" spans="1:7" x14ac:dyDescent="0.35">
      <c r="A244" s="1"/>
      <c r="B244" s="1"/>
      <c r="C244" s="1"/>
      <c r="D244" s="1"/>
      <c r="E244" s="1"/>
      <c r="F244" s="1"/>
      <c r="G244" s="1"/>
    </row>
    <row r="245" spans="1:7" x14ac:dyDescent="0.35">
      <c r="A245" s="1"/>
      <c r="B245" s="1"/>
      <c r="C245" s="1"/>
      <c r="D245" s="1"/>
      <c r="E245" s="1"/>
      <c r="F245" s="1"/>
      <c r="G245" s="1"/>
    </row>
    <row r="246" spans="1:7" x14ac:dyDescent="0.35">
      <c r="A246" s="1"/>
      <c r="B246" s="1"/>
      <c r="C246" s="1"/>
      <c r="D246" s="1"/>
      <c r="E246" s="1"/>
      <c r="F246" s="1"/>
      <c r="G246" s="1"/>
    </row>
    <row r="247" spans="1:7" x14ac:dyDescent="0.35">
      <c r="A247" s="1"/>
      <c r="B247" s="1"/>
      <c r="C247" s="1"/>
      <c r="D247" s="1"/>
      <c r="E247" s="1"/>
      <c r="F247" s="1"/>
      <c r="G247" s="1"/>
    </row>
    <row r="248" spans="1:7" x14ac:dyDescent="0.35">
      <c r="A248" s="1"/>
      <c r="B248" s="1"/>
      <c r="C248" s="1"/>
      <c r="D248" s="1"/>
      <c r="E248" s="1"/>
      <c r="F248" s="1"/>
      <c r="G248" s="1"/>
    </row>
    <row r="249" spans="1:7" x14ac:dyDescent="0.35">
      <c r="A249" s="1"/>
      <c r="B249" s="1"/>
      <c r="C249" s="1"/>
      <c r="D249" s="1"/>
      <c r="E249" s="1"/>
      <c r="F249" s="1"/>
      <c r="G249" s="1"/>
    </row>
    <row r="250" spans="1:7" x14ac:dyDescent="0.35">
      <c r="A250" s="1"/>
      <c r="B250" s="1"/>
      <c r="C250" s="1"/>
      <c r="D250" s="1"/>
      <c r="E250" s="1"/>
      <c r="F250" s="1"/>
      <c r="G250" s="1"/>
    </row>
    <row r="251" spans="1:7" x14ac:dyDescent="0.35">
      <c r="A251" s="1"/>
      <c r="B251" s="1"/>
      <c r="C251" s="1"/>
      <c r="D251" s="1"/>
      <c r="E251" s="1"/>
      <c r="F251" s="1"/>
      <c r="G251" s="1"/>
    </row>
    <row r="252" spans="1:7" x14ac:dyDescent="0.35">
      <c r="A252" s="1"/>
      <c r="B252" s="1"/>
      <c r="C252" s="1"/>
      <c r="D252" s="1"/>
      <c r="E252" s="1"/>
      <c r="F252" s="1"/>
      <c r="G252" s="1"/>
    </row>
    <row r="253" spans="1:7" x14ac:dyDescent="0.35">
      <c r="A253" s="1"/>
      <c r="B253" s="1"/>
      <c r="C253" s="1"/>
      <c r="D253" s="1"/>
      <c r="E253" s="1"/>
      <c r="F253" s="1"/>
      <c r="G253" s="1"/>
    </row>
    <row r="254" spans="1:7" x14ac:dyDescent="0.35">
      <c r="A254" s="1"/>
      <c r="B254" s="1"/>
      <c r="C254" s="1"/>
      <c r="D254" s="1"/>
      <c r="E254" s="1"/>
      <c r="F254" s="1"/>
      <c r="G254" s="1"/>
    </row>
    <row r="255" spans="1:7" x14ac:dyDescent="0.35">
      <c r="A255" s="1"/>
      <c r="B255" s="1"/>
      <c r="C255" s="1"/>
      <c r="D255" s="1"/>
      <c r="E255" s="1"/>
      <c r="F255" s="1"/>
      <c r="G255" s="1"/>
    </row>
    <row r="256" spans="1:7" x14ac:dyDescent="0.35">
      <c r="A256" s="1"/>
      <c r="B256" s="1"/>
      <c r="C256" s="1"/>
      <c r="D256" s="1"/>
      <c r="E256" s="1"/>
      <c r="F256" s="1"/>
      <c r="G256" s="1"/>
    </row>
    <row r="257" spans="1:7" x14ac:dyDescent="0.35">
      <c r="A257" s="1"/>
      <c r="B257" s="1"/>
      <c r="C257" s="1"/>
      <c r="D257" s="1"/>
      <c r="E257" s="1"/>
      <c r="F257" s="1"/>
      <c r="G257" s="1"/>
    </row>
    <row r="258" spans="1:7" x14ac:dyDescent="0.35">
      <c r="A258" s="1"/>
      <c r="B258" s="1"/>
      <c r="C258" s="1"/>
      <c r="D258" s="1"/>
      <c r="E258" s="1"/>
      <c r="F258" s="1"/>
      <c r="G258" s="1"/>
    </row>
    <row r="259" spans="1:7" x14ac:dyDescent="0.35">
      <c r="A259" s="1"/>
      <c r="B259" s="1"/>
      <c r="C259" s="1"/>
      <c r="D259" s="1"/>
      <c r="E259" s="1"/>
      <c r="F259" s="1"/>
      <c r="G259" s="1"/>
    </row>
    <row r="260" spans="1:7" x14ac:dyDescent="0.35">
      <c r="A260" s="1"/>
      <c r="B260" s="1"/>
      <c r="C260" s="1"/>
      <c r="D260" s="1"/>
      <c r="E260" s="1"/>
      <c r="F260" s="1"/>
      <c r="G260" s="1"/>
    </row>
    <row r="261" spans="1:7" x14ac:dyDescent="0.35">
      <c r="A261" s="1"/>
      <c r="B261" s="1"/>
      <c r="C261" s="1"/>
      <c r="D261" s="1"/>
      <c r="E261" s="1"/>
      <c r="F261" s="1"/>
      <c r="G261" s="1"/>
    </row>
    <row r="262" spans="1:7" x14ac:dyDescent="0.35">
      <c r="B262" s="1"/>
    </row>
    <row r="263" spans="1:7" x14ac:dyDescent="0.35">
      <c r="B263" s="1"/>
    </row>
    <row r="264" spans="1:7" x14ac:dyDescent="0.35">
      <c r="B264" s="1"/>
    </row>
    <row r="265" spans="1:7" x14ac:dyDescent="0.35">
      <c r="B265" s="1"/>
    </row>
    <row r="266" spans="1:7" x14ac:dyDescent="0.35">
      <c r="B266" s="1"/>
    </row>
    <row r="267" spans="1:7" x14ac:dyDescent="0.35">
      <c r="B267" s="1"/>
    </row>
    <row r="268" spans="1:7" x14ac:dyDescent="0.35">
      <c r="B268" s="1"/>
    </row>
    <row r="269" spans="1:7" x14ac:dyDescent="0.35">
      <c r="B269" s="1"/>
    </row>
    <row r="270" spans="1:7" x14ac:dyDescent="0.35">
      <c r="B270" s="1"/>
    </row>
    <row r="271" spans="1:7" x14ac:dyDescent="0.35">
      <c r="B271" s="1"/>
    </row>
    <row r="272" spans="1:7" x14ac:dyDescent="0.35">
      <c r="B272" s="1"/>
    </row>
    <row r="273" spans="2:2" x14ac:dyDescent="0.35">
      <c r="B273" s="1"/>
    </row>
    <row r="274" spans="2:2" x14ac:dyDescent="0.35">
      <c r="B274" s="1"/>
    </row>
    <row r="275" spans="2:2" x14ac:dyDescent="0.35">
      <c r="B275" s="1"/>
    </row>
    <row r="276" spans="2:2" x14ac:dyDescent="0.35">
      <c r="B276" s="1"/>
    </row>
    <row r="277" spans="2:2" x14ac:dyDescent="0.35">
      <c r="B277" s="1"/>
    </row>
    <row r="278" spans="2:2" x14ac:dyDescent="0.35">
      <c r="B278" s="1"/>
    </row>
    <row r="279" spans="2:2" x14ac:dyDescent="0.35">
      <c r="B279" s="1"/>
    </row>
    <row r="280" spans="2:2" x14ac:dyDescent="0.35">
      <c r="B280" s="1"/>
    </row>
    <row r="281" spans="2:2" x14ac:dyDescent="0.35">
      <c r="B281" s="1"/>
    </row>
    <row r="282" spans="2:2" x14ac:dyDescent="0.35">
      <c r="B282" s="1"/>
    </row>
    <row r="283" spans="2:2" x14ac:dyDescent="0.35">
      <c r="B283" s="1"/>
    </row>
    <row r="284" spans="2:2" x14ac:dyDescent="0.35">
      <c r="B284" s="1"/>
    </row>
    <row r="285" spans="2:2" x14ac:dyDescent="0.35">
      <c r="B285" s="1"/>
    </row>
    <row r="286" spans="2:2" x14ac:dyDescent="0.35">
      <c r="B286" s="1"/>
    </row>
    <row r="287" spans="2:2" x14ac:dyDescent="0.35">
      <c r="B287" s="1"/>
    </row>
    <row r="288" spans="2:2" x14ac:dyDescent="0.35">
      <c r="B288" s="1"/>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9438-C3A2-4450-A986-4924D02626B0}">
  <sheetPr codeName="Sheet20"/>
  <dimension ref="A1:AN288"/>
  <sheetViews>
    <sheetView rightToLeft="1" workbookViewId="0">
      <pane xSplit="1" ySplit="1" topLeftCell="B2" activePane="bottomRight" state="frozen"/>
      <selection activeCell="A6" sqref="A6"/>
      <selection pane="topRight" activeCell="A6" sqref="A6"/>
      <selection pane="bottomLeft" activeCell="A6" sqref="A6"/>
      <selection pane="bottomRight" activeCell="H9" sqref="H9"/>
    </sheetView>
  </sheetViews>
  <sheetFormatPr defaultColWidth="8.81640625" defaultRowHeight="14.5" x14ac:dyDescent="0.35"/>
  <cols>
    <col min="1" max="1" width="52.1796875" style="8" customWidth="1"/>
    <col min="2" max="2" width="10" style="2" customWidth="1"/>
    <col min="3" max="3" width="9.81640625" style="8" customWidth="1"/>
    <col min="4" max="4" width="11.81640625" style="2" customWidth="1"/>
    <col min="5" max="7" width="8.81640625" style="2"/>
    <col min="8" max="15" width="8.81640625" style="1" customWidth="1"/>
    <col min="16" max="17" width="8.81640625" style="30" customWidth="1"/>
    <col min="18" max="34" width="8.81640625" style="1" customWidth="1"/>
    <col min="35" max="35" width="8.81640625" style="2"/>
    <col min="36" max="36" width="10.08984375" style="2" bestFit="1" customWidth="1"/>
    <col min="37" max="37" width="8.81640625" style="2"/>
    <col min="38" max="38" width="10.54296875" style="2" bestFit="1" customWidth="1"/>
    <col min="39" max="39" width="8.81640625" style="2"/>
    <col min="40" max="40" width="17" style="2" bestFit="1" customWidth="1"/>
    <col min="41" max="16384" width="8.81640625" style="2"/>
  </cols>
  <sheetData>
    <row r="1" spans="1:40" ht="15" thickBot="1" x14ac:dyDescent="0.4">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5">
      <c r="A2" s="5" t="s">
        <v>528</v>
      </c>
      <c r="B2" s="6"/>
      <c r="C2" s="5"/>
      <c r="D2" s="1"/>
      <c r="E2" s="1"/>
      <c r="F2" s="1"/>
      <c r="G2" s="54" t="s">
        <v>118</v>
      </c>
      <c r="H2" s="1" t="s">
        <v>287</v>
      </c>
      <c r="I2" s="3"/>
      <c r="J2" s="3"/>
      <c r="K2" s="3"/>
      <c r="L2" s="3"/>
      <c r="M2" s="3"/>
      <c r="N2" s="3"/>
      <c r="O2" s="3"/>
      <c r="P2" s="29"/>
      <c r="Q2" s="29"/>
      <c r="R2" s="3"/>
      <c r="S2" s="3"/>
      <c r="T2" s="3"/>
      <c r="U2" s="3"/>
      <c r="V2" s="3"/>
      <c r="W2" s="3"/>
      <c r="X2" s="3"/>
      <c r="Y2" s="3"/>
      <c r="Z2" s="3"/>
      <c r="AA2" s="3"/>
      <c r="AB2" s="3"/>
      <c r="AC2" s="3"/>
      <c r="AD2" s="3"/>
      <c r="AE2" s="3"/>
      <c r="AF2" s="3"/>
      <c r="AG2" s="3"/>
      <c r="AH2" s="3"/>
      <c r="AJ2" s="2">
        <f>COUNTA(B2:AH2)</f>
        <v>2</v>
      </c>
      <c r="AL2" s="2">
        <f>COUNTA(F2:O2,R2:S2)</f>
        <v>2</v>
      </c>
      <c r="AN2" s="2">
        <f>COUNTIF(AL2:AL11,"&gt;=2")</f>
        <v>2</v>
      </c>
    </row>
    <row r="3" spans="1:40" x14ac:dyDescent="0.35">
      <c r="A3" s="1" t="s">
        <v>542</v>
      </c>
      <c r="B3" s="6"/>
      <c r="C3" s="1"/>
      <c r="D3" s="1"/>
      <c r="E3" s="1"/>
      <c r="F3" s="1"/>
      <c r="G3" s="63" t="s">
        <v>543</v>
      </c>
      <c r="H3" s="1" t="s">
        <v>285</v>
      </c>
      <c r="AJ3" s="2">
        <f t="shared" ref="AJ3:AJ11" si="0">COUNTA(B3:AH3)</f>
        <v>2</v>
      </c>
      <c r="AL3" s="2">
        <f t="shared" ref="AL3:AL11" si="1">COUNTA(F3:O3,R3:S3)</f>
        <v>2</v>
      </c>
    </row>
    <row r="4" spans="1:40" ht="29" x14ac:dyDescent="0.35">
      <c r="A4" s="5" t="s">
        <v>661</v>
      </c>
      <c r="B4" s="6"/>
      <c r="C4" s="5"/>
      <c r="D4" s="17"/>
      <c r="E4" s="17"/>
      <c r="F4" s="17"/>
      <c r="G4" s="1"/>
      <c r="H4" s="10" t="s">
        <v>289</v>
      </c>
      <c r="AJ4" s="2">
        <f t="shared" si="0"/>
        <v>1</v>
      </c>
      <c r="AL4" s="2">
        <f t="shared" si="1"/>
        <v>1</v>
      </c>
    </row>
    <row r="5" spans="1:40" x14ac:dyDescent="0.35">
      <c r="A5" s="5" t="s">
        <v>662</v>
      </c>
      <c r="B5" s="5"/>
      <c r="C5" s="5"/>
      <c r="D5" s="17"/>
      <c r="E5" s="17"/>
      <c r="F5" s="17"/>
      <c r="G5" s="1"/>
      <c r="H5" s="10" t="s">
        <v>290</v>
      </c>
      <c r="AJ5" s="2">
        <f t="shared" si="0"/>
        <v>1</v>
      </c>
      <c r="AL5" s="2">
        <f t="shared" si="1"/>
        <v>1</v>
      </c>
    </row>
    <row r="6" spans="1:40" x14ac:dyDescent="0.35">
      <c r="A6" s="5" t="s">
        <v>663</v>
      </c>
      <c r="B6" s="6"/>
      <c r="C6" s="5"/>
      <c r="D6" s="1"/>
      <c r="E6" s="1"/>
      <c r="F6" s="1"/>
      <c r="G6" s="1"/>
      <c r="H6" s="10" t="s">
        <v>660</v>
      </c>
      <c r="AJ6" s="2">
        <f t="shared" si="0"/>
        <v>1</v>
      </c>
      <c r="AL6" s="2">
        <f t="shared" si="1"/>
        <v>1</v>
      </c>
    </row>
    <row r="7" spans="1:40" x14ac:dyDescent="0.35">
      <c r="A7" s="5" t="s">
        <v>664</v>
      </c>
      <c r="B7" s="6"/>
      <c r="C7" s="5"/>
      <c r="D7" s="1"/>
      <c r="E7" s="1"/>
      <c r="F7" s="1"/>
      <c r="G7" s="1"/>
      <c r="H7" s="10" t="s">
        <v>539</v>
      </c>
      <c r="AJ7" s="2">
        <f t="shared" si="0"/>
        <v>1</v>
      </c>
      <c r="AL7" s="2">
        <f t="shared" si="1"/>
        <v>1</v>
      </c>
    </row>
    <row r="8" spans="1:40" ht="29" x14ac:dyDescent="0.35">
      <c r="A8" s="5" t="s">
        <v>665</v>
      </c>
      <c r="B8" s="6"/>
      <c r="C8" s="5"/>
      <c r="D8" s="1"/>
      <c r="E8" s="1"/>
      <c r="F8" s="1"/>
      <c r="G8" s="1"/>
      <c r="H8" s="10" t="s">
        <v>541</v>
      </c>
      <c r="AJ8" s="2">
        <f t="shared" si="0"/>
        <v>1</v>
      </c>
      <c r="AL8" s="2">
        <f t="shared" si="1"/>
        <v>1</v>
      </c>
    </row>
    <row r="9" spans="1:40" x14ac:dyDescent="0.35">
      <c r="A9" s="5" t="s">
        <v>666</v>
      </c>
      <c r="B9" s="6"/>
      <c r="C9" s="5"/>
      <c r="D9" s="1"/>
      <c r="E9" s="1"/>
      <c r="F9" s="1"/>
      <c r="G9" s="1"/>
      <c r="H9" s="12" t="s">
        <v>543</v>
      </c>
      <c r="AJ9" s="2">
        <f t="shared" si="0"/>
        <v>1</v>
      </c>
      <c r="AL9" s="2">
        <f t="shared" si="1"/>
        <v>1</v>
      </c>
    </row>
    <row r="10" spans="1:40" x14ac:dyDescent="0.35">
      <c r="A10" s="5" t="s">
        <v>667</v>
      </c>
      <c r="B10" s="6"/>
      <c r="C10" s="5"/>
      <c r="D10" s="1"/>
      <c r="E10" s="1"/>
      <c r="F10" s="1"/>
      <c r="G10" s="1"/>
      <c r="H10" s="1" t="s">
        <v>668</v>
      </c>
      <c r="AJ10" s="2">
        <f t="shared" si="0"/>
        <v>1</v>
      </c>
      <c r="AL10" s="2">
        <f t="shared" si="1"/>
        <v>1</v>
      </c>
    </row>
    <row r="11" spans="1:40" x14ac:dyDescent="0.35">
      <c r="A11" s="5" t="s">
        <v>669</v>
      </c>
      <c r="B11" s="6"/>
      <c r="C11" s="5"/>
      <c r="D11" s="1"/>
      <c r="E11" s="1"/>
      <c r="F11" s="1"/>
      <c r="G11" s="1"/>
      <c r="H11" s="1" t="s">
        <v>295</v>
      </c>
      <c r="AJ11" s="2">
        <f t="shared" si="0"/>
        <v>1</v>
      </c>
      <c r="AL11" s="2">
        <f t="shared" si="1"/>
        <v>1</v>
      </c>
    </row>
    <row r="12" spans="1:40" x14ac:dyDescent="0.35">
      <c r="A12" s="5"/>
      <c r="B12" s="1"/>
      <c r="C12" s="5"/>
      <c r="D12" s="1"/>
      <c r="E12" s="1"/>
      <c r="F12" s="1"/>
      <c r="G12" s="1"/>
    </row>
    <row r="13" spans="1:40" x14ac:dyDescent="0.35">
      <c r="A13" s="5"/>
      <c r="B13" s="1"/>
      <c r="C13" s="5"/>
      <c r="D13" s="1"/>
      <c r="E13" s="1"/>
      <c r="F13" s="1"/>
      <c r="G13" s="1"/>
    </row>
    <row r="14" spans="1:40" x14ac:dyDescent="0.35">
      <c r="A14" s="5"/>
      <c r="B14" s="1"/>
      <c r="C14" s="5"/>
      <c r="D14" s="1"/>
      <c r="E14" s="1"/>
      <c r="F14" s="1"/>
      <c r="G14" s="1"/>
    </row>
    <row r="15" spans="1:40" x14ac:dyDescent="0.35">
      <c r="A15" s="5"/>
      <c r="B15" s="5"/>
      <c r="C15" s="5"/>
      <c r="D15" s="1"/>
      <c r="E15" s="1"/>
      <c r="F15" s="1"/>
      <c r="G15" s="1"/>
    </row>
    <row r="16" spans="1:40" x14ac:dyDescent="0.35">
      <c r="A16" s="5"/>
      <c r="B16" s="1"/>
      <c r="C16" s="5"/>
      <c r="D16" s="1"/>
      <c r="E16" s="1"/>
      <c r="F16" s="1"/>
      <c r="G16" s="1"/>
    </row>
    <row r="17" spans="1:7" x14ac:dyDescent="0.35">
      <c r="A17" s="5"/>
      <c r="B17" s="1"/>
      <c r="C17" s="5"/>
      <c r="D17" s="1"/>
      <c r="E17" s="1"/>
      <c r="F17" s="1"/>
      <c r="G17" s="1"/>
    </row>
    <row r="18" spans="1:7" x14ac:dyDescent="0.35">
      <c r="A18" s="5"/>
      <c r="B18" s="1"/>
      <c r="C18" s="5"/>
      <c r="D18" s="1"/>
      <c r="E18" s="1"/>
      <c r="F18" s="1"/>
      <c r="G18" s="1"/>
    </row>
    <row r="19" spans="1:7" x14ac:dyDescent="0.35">
      <c r="A19" s="5"/>
      <c r="B19" s="1"/>
      <c r="C19" s="5"/>
      <c r="D19" s="1"/>
      <c r="E19" s="1"/>
      <c r="F19" s="1"/>
      <c r="G19" s="1"/>
    </row>
    <row r="20" spans="1:7" x14ac:dyDescent="0.35">
      <c r="A20" s="5"/>
      <c r="B20" s="1"/>
      <c r="C20" s="5"/>
      <c r="D20" s="1"/>
      <c r="E20" s="1"/>
      <c r="F20" s="1"/>
      <c r="G20" s="1"/>
    </row>
    <row r="21" spans="1:7" x14ac:dyDescent="0.35">
      <c r="A21" s="5"/>
      <c r="B21" s="1"/>
      <c r="C21" s="5"/>
      <c r="D21" s="1"/>
      <c r="E21" s="1"/>
      <c r="F21" s="1"/>
      <c r="G21" s="1"/>
    </row>
    <row r="22" spans="1:7" x14ac:dyDescent="0.35">
      <c r="A22" s="5"/>
      <c r="B22" s="1"/>
      <c r="C22" s="5"/>
      <c r="D22" s="1"/>
      <c r="E22" s="1"/>
      <c r="F22" s="1"/>
      <c r="G22" s="1"/>
    </row>
    <row r="23" spans="1:7" x14ac:dyDescent="0.35">
      <c r="A23" s="5"/>
      <c r="B23" s="1"/>
      <c r="C23" s="5"/>
      <c r="D23" s="1"/>
      <c r="E23" s="1"/>
      <c r="F23" s="1"/>
      <c r="G23" s="1"/>
    </row>
    <row r="24" spans="1:7" x14ac:dyDescent="0.35">
      <c r="A24" s="5"/>
      <c r="B24" s="1"/>
      <c r="C24" s="5"/>
      <c r="D24" s="1"/>
      <c r="E24" s="1"/>
      <c r="F24" s="1"/>
      <c r="G24" s="1"/>
    </row>
    <row r="25" spans="1:7" x14ac:dyDescent="0.35">
      <c r="A25" s="5"/>
      <c r="B25" s="1"/>
      <c r="C25" s="5"/>
      <c r="D25" s="1"/>
      <c r="E25" s="1"/>
      <c r="F25" s="1"/>
      <c r="G25" s="1"/>
    </row>
    <row r="26" spans="1:7" x14ac:dyDescent="0.35">
      <c r="A26" s="5"/>
      <c r="B26" s="5"/>
      <c r="C26" s="5"/>
      <c r="D26" s="1"/>
      <c r="E26" s="1"/>
      <c r="F26" s="1"/>
      <c r="G26" s="1"/>
    </row>
    <row r="27" spans="1:7" x14ac:dyDescent="0.35">
      <c r="A27" s="5"/>
      <c r="B27" s="5"/>
      <c r="C27" s="5"/>
      <c r="D27" s="1"/>
      <c r="E27" s="1"/>
      <c r="F27" s="1"/>
      <c r="G27" s="1"/>
    </row>
    <row r="28" spans="1:7" x14ac:dyDescent="0.35">
      <c r="A28" s="5"/>
      <c r="B28" s="5"/>
      <c r="C28" s="5"/>
      <c r="D28" s="1"/>
      <c r="E28" s="1"/>
      <c r="F28" s="1"/>
      <c r="G28" s="1"/>
    </row>
    <row r="29" spans="1:7" x14ac:dyDescent="0.35">
      <c r="A29" s="5"/>
      <c r="B29" s="5"/>
      <c r="C29" s="5"/>
      <c r="D29" s="1"/>
      <c r="E29" s="1"/>
      <c r="F29" s="1"/>
      <c r="G29" s="1"/>
    </row>
    <row r="30" spans="1:7" x14ac:dyDescent="0.35">
      <c r="A30" s="5"/>
      <c r="B30" s="5"/>
      <c r="C30" s="5"/>
      <c r="D30" s="1"/>
      <c r="E30" s="1"/>
      <c r="F30" s="1"/>
      <c r="G30" s="1"/>
    </row>
    <row r="31" spans="1:7" x14ac:dyDescent="0.35">
      <c r="A31" s="5"/>
      <c r="B31" s="5"/>
      <c r="C31" s="5"/>
      <c r="D31" s="1"/>
      <c r="E31" s="1"/>
      <c r="F31" s="1"/>
      <c r="G31" s="1"/>
    </row>
    <row r="32" spans="1:7" x14ac:dyDescent="0.35">
      <c r="A32" s="5"/>
      <c r="B32" s="5"/>
      <c r="C32" s="5"/>
      <c r="D32" s="1"/>
      <c r="E32" s="1"/>
      <c r="F32" s="1"/>
      <c r="G32" s="1"/>
    </row>
    <row r="33" spans="1:7" x14ac:dyDescent="0.35">
      <c r="A33" s="5"/>
      <c r="B33" s="5"/>
      <c r="C33" s="5"/>
      <c r="D33" s="1"/>
      <c r="E33" s="1"/>
      <c r="F33" s="1"/>
      <c r="G33" s="1"/>
    </row>
    <row r="34" spans="1:7" x14ac:dyDescent="0.35">
      <c r="A34" s="5"/>
      <c r="B34" s="5"/>
      <c r="C34" s="5"/>
      <c r="D34" s="1"/>
      <c r="E34" s="1"/>
      <c r="F34" s="1"/>
      <c r="G34" s="1"/>
    </row>
    <row r="35" spans="1:7" x14ac:dyDescent="0.35">
      <c r="A35" s="5"/>
      <c r="B35" s="5"/>
      <c r="C35" s="5"/>
      <c r="D35" s="1"/>
      <c r="E35" s="1"/>
      <c r="F35" s="1"/>
      <c r="G35" s="1"/>
    </row>
    <row r="36" spans="1:7" x14ac:dyDescent="0.35">
      <c r="A36" s="5"/>
      <c r="B36" s="5"/>
      <c r="C36" s="5"/>
      <c r="D36" s="1"/>
      <c r="E36" s="1"/>
      <c r="F36" s="1"/>
      <c r="G36" s="1"/>
    </row>
    <row r="37" spans="1:7" x14ac:dyDescent="0.35">
      <c r="A37" s="5"/>
      <c r="B37" s="5"/>
      <c r="C37" s="5"/>
      <c r="D37" s="1"/>
      <c r="E37" s="1"/>
      <c r="F37" s="1"/>
      <c r="G37" s="1"/>
    </row>
    <row r="38" spans="1:7" x14ac:dyDescent="0.35">
      <c r="A38" s="5"/>
      <c r="B38" s="5"/>
      <c r="C38" s="5"/>
      <c r="D38" s="1"/>
      <c r="E38" s="1"/>
      <c r="F38" s="1"/>
      <c r="G38" s="1"/>
    </row>
    <row r="39" spans="1:7" x14ac:dyDescent="0.35">
      <c r="A39" s="5"/>
      <c r="B39" s="5"/>
      <c r="C39" s="5"/>
      <c r="D39" s="1"/>
      <c r="E39" s="1"/>
      <c r="F39" s="1"/>
      <c r="G39" s="1"/>
    </row>
    <row r="40" spans="1:7" x14ac:dyDescent="0.35">
      <c r="A40" s="5"/>
      <c r="B40" s="5"/>
      <c r="C40" s="5"/>
      <c r="D40" s="1"/>
      <c r="E40" s="1"/>
      <c r="F40" s="1"/>
      <c r="G40" s="1"/>
    </row>
    <row r="41" spans="1:7" x14ac:dyDescent="0.35">
      <c r="A41" s="5"/>
      <c r="B41" s="5"/>
      <c r="C41" s="5"/>
      <c r="D41" s="1"/>
      <c r="E41" s="1"/>
      <c r="F41" s="1"/>
      <c r="G41" s="1"/>
    </row>
    <row r="42" spans="1:7" x14ac:dyDescent="0.35">
      <c r="A42" s="5"/>
      <c r="B42" s="5"/>
      <c r="C42" s="5"/>
      <c r="D42" s="1"/>
      <c r="E42" s="1"/>
      <c r="F42" s="1"/>
      <c r="G42" s="1"/>
    </row>
    <row r="43" spans="1:7" x14ac:dyDescent="0.35">
      <c r="A43" s="5"/>
      <c r="B43" s="5"/>
      <c r="C43" s="5"/>
      <c r="D43" s="1"/>
      <c r="E43" s="1"/>
      <c r="F43" s="1"/>
      <c r="G43" s="1"/>
    </row>
    <row r="44" spans="1:7" x14ac:dyDescent="0.35">
      <c r="A44" s="5"/>
      <c r="B44" s="5"/>
      <c r="C44" s="5"/>
      <c r="D44" s="1"/>
      <c r="E44" s="1"/>
      <c r="F44" s="1"/>
      <c r="G44" s="1"/>
    </row>
    <row r="45" spans="1:7" x14ac:dyDescent="0.35">
      <c r="A45" s="5"/>
      <c r="B45" s="5"/>
      <c r="C45" s="5"/>
      <c r="D45" s="1"/>
      <c r="E45" s="1"/>
      <c r="F45" s="1"/>
      <c r="G45" s="1"/>
    </row>
    <row r="46" spans="1:7" x14ac:dyDescent="0.35">
      <c r="A46" s="5"/>
      <c r="B46" s="5"/>
      <c r="C46" s="5"/>
      <c r="D46" s="1"/>
      <c r="E46" s="1"/>
      <c r="F46" s="1"/>
      <c r="G46" s="1"/>
    </row>
    <row r="47" spans="1:7" x14ac:dyDescent="0.35">
      <c r="A47" s="5"/>
      <c r="B47" s="5"/>
      <c r="C47" s="5"/>
      <c r="D47" s="1"/>
      <c r="E47" s="1"/>
      <c r="F47" s="1"/>
      <c r="G47" s="1"/>
    </row>
    <row r="48" spans="1:7" x14ac:dyDescent="0.35">
      <c r="A48" s="5"/>
      <c r="B48" s="5"/>
      <c r="C48" s="5"/>
      <c r="D48" s="1"/>
      <c r="E48" s="1"/>
      <c r="F48" s="1"/>
      <c r="G48" s="1"/>
    </row>
    <row r="49" spans="1:7" x14ac:dyDescent="0.35">
      <c r="A49" s="5"/>
      <c r="B49" s="5"/>
      <c r="C49" s="5"/>
      <c r="D49" s="1"/>
      <c r="E49" s="1"/>
      <c r="F49" s="1"/>
      <c r="G49" s="1"/>
    </row>
    <row r="50" spans="1:7" x14ac:dyDescent="0.35">
      <c r="A50" s="5"/>
      <c r="B50" s="5"/>
      <c r="C50" s="5"/>
      <c r="D50" s="1"/>
      <c r="E50" s="1"/>
      <c r="F50" s="1"/>
      <c r="G50" s="1"/>
    </row>
    <row r="51" spans="1:7" x14ac:dyDescent="0.35">
      <c r="A51" s="5"/>
      <c r="B51" s="5"/>
      <c r="C51" s="5"/>
      <c r="D51" s="1"/>
      <c r="E51" s="1"/>
      <c r="F51" s="1"/>
      <c r="G51" s="1"/>
    </row>
    <row r="52" spans="1:7" x14ac:dyDescent="0.35">
      <c r="A52" s="5"/>
      <c r="B52" s="5"/>
      <c r="C52" s="5"/>
      <c r="D52" s="1"/>
      <c r="E52" s="1"/>
      <c r="F52" s="1"/>
      <c r="G52" s="1"/>
    </row>
    <row r="53" spans="1:7" x14ac:dyDescent="0.35">
      <c r="A53" s="5"/>
      <c r="B53" s="5"/>
      <c r="C53" s="5"/>
      <c r="D53" s="1"/>
      <c r="E53" s="1"/>
      <c r="F53" s="1"/>
      <c r="G53" s="1"/>
    </row>
    <row r="54" spans="1:7" x14ac:dyDescent="0.35">
      <c r="A54" s="5"/>
      <c r="B54" s="5"/>
      <c r="C54" s="5"/>
      <c r="D54" s="1"/>
      <c r="E54" s="1"/>
      <c r="F54" s="1"/>
      <c r="G54" s="1"/>
    </row>
    <row r="55" spans="1:7" x14ac:dyDescent="0.35">
      <c r="A55" s="5"/>
      <c r="B55" s="5"/>
      <c r="C55" s="5"/>
      <c r="D55" s="1"/>
      <c r="E55" s="1"/>
      <c r="F55" s="1"/>
      <c r="G55" s="1"/>
    </row>
    <row r="56" spans="1:7" x14ac:dyDescent="0.35">
      <c r="A56" s="5"/>
      <c r="B56" s="5"/>
      <c r="C56" s="5"/>
      <c r="D56" s="1"/>
      <c r="E56" s="1"/>
      <c r="F56" s="1"/>
      <c r="G56" s="1"/>
    </row>
    <row r="57" spans="1:7" x14ac:dyDescent="0.35">
      <c r="A57" s="5"/>
      <c r="B57" s="5"/>
      <c r="C57" s="5"/>
      <c r="D57" s="1"/>
      <c r="E57" s="1"/>
      <c r="F57" s="1"/>
      <c r="G57" s="1"/>
    </row>
    <row r="58" spans="1:7" x14ac:dyDescent="0.35">
      <c r="A58" s="5"/>
      <c r="B58" s="5"/>
      <c r="C58" s="5"/>
      <c r="D58" s="1"/>
      <c r="E58" s="1"/>
      <c r="F58" s="1"/>
      <c r="G58" s="1"/>
    </row>
    <row r="59" spans="1:7" x14ac:dyDescent="0.35">
      <c r="A59" s="5"/>
      <c r="B59" s="5"/>
      <c r="C59" s="5"/>
      <c r="D59" s="1"/>
      <c r="E59" s="1"/>
      <c r="F59" s="1"/>
      <c r="G59" s="1"/>
    </row>
    <row r="60" spans="1:7" x14ac:dyDescent="0.35">
      <c r="A60" s="5"/>
      <c r="B60" s="5"/>
      <c r="C60" s="5"/>
      <c r="D60" s="1"/>
      <c r="E60" s="1"/>
      <c r="F60" s="1"/>
      <c r="G60" s="1"/>
    </row>
    <row r="61" spans="1:7" x14ac:dyDescent="0.35">
      <c r="A61" s="5"/>
      <c r="B61" s="5"/>
      <c r="C61" s="5"/>
      <c r="D61" s="1"/>
      <c r="E61" s="1"/>
      <c r="F61" s="1"/>
      <c r="G61" s="1"/>
    </row>
    <row r="62" spans="1:7" x14ac:dyDescent="0.35">
      <c r="A62" s="5"/>
      <c r="B62" s="5"/>
      <c r="C62" s="5"/>
      <c r="D62" s="1"/>
      <c r="E62" s="1"/>
      <c r="F62" s="1"/>
      <c r="G62" s="1"/>
    </row>
    <row r="63" spans="1:7" x14ac:dyDescent="0.35">
      <c r="A63" s="5"/>
      <c r="B63" s="5"/>
      <c r="C63" s="5"/>
      <c r="D63" s="1"/>
      <c r="E63" s="1"/>
      <c r="F63" s="1"/>
      <c r="G63" s="1"/>
    </row>
    <row r="64" spans="1:7" x14ac:dyDescent="0.35">
      <c r="A64" s="5"/>
      <c r="B64" s="5"/>
      <c r="C64" s="5"/>
      <c r="D64" s="1"/>
      <c r="E64" s="1"/>
      <c r="F64" s="1"/>
      <c r="G64" s="1"/>
    </row>
    <row r="65" spans="1:7" x14ac:dyDescent="0.35">
      <c r="A65" s="5"/>
      <c r="B65" s="5"/>
      <c r="C65" s="5"/>
      <c r="D65" s="1"/>
      <c r="E65" s="1"/>
      <c r="F65" s="1"/>
      <c r="G65" s="1"/>
    </row>
    <row r="66" spans="1:7" x14ac:dyDescent="0.35">
      <c r="A66" s="5"/>
      <c r="B66" s="5"/>
      <c r="C66" s="5"/>
      <c r="D66" s="1"/>
      <c r="E66" s="1"/>
      <c r="F66" s="1"/>
      <c r="G66" s="1"/>
    </row>
    <row r="67" spans="1:7" x14ac:dyDescent="0.35">
      <c r="A67" s="5"/>
      <c r="B67" s="5"/>
      <c r="C67" s="5"/>
      <c r="D67" s="1"/>
      <c r="E67" s="1"/>
      <c r="F67" s="1"/>
      <c r="G67" s="1"/>
    </row>
    <row r="68" spans="1:7" x14ac:dyDescent="0.35">
      <c r="A68" s="5"/>
      <c r="B68" s="5"/>
      <c r="C68" s="5"/>
      <c r="D68" s="1"/>
      <c r="E68" s="1"/>
      <c r="F68" s="1"/>
      <c r="G68" s="1"/>
    </row>
    <row r="69" spans="1:7" x14ac:dyDescent="0.35">
      <c r="A69" s="5"/>
      <c r="B69" s="5"/>
      <c r="C69" s="5"/>
      <c r="D69" s="1"/>
      <c r="E69" s="1"/>
      <c r="F69" s="1"/>
      <c r="G69" s="1"/>
    </row>
    <row r="70" spans="1:7" x14ac:dyDescent="0.35">
      <c r="A70" s="5"/>
      <c r="B70" s="5"/>
      <c r="C70" s="5"/>
      <c r="D70" s="1"/>
      <c r="E70" s="1"/>
      <c r="F70" s="1"/>
      <c r="G70" s="1"/>
    </row>
    <row r="71" spans="1:7" x14ac:dyDescent="0.35">
      <c r="A71" s="5"/>
      <c r="B71" s="1"/>
      <c r="C71" s="5"/>
      <c r="D71" s="1"/>
      <c r="E71" s="1"/>
      <c r="F71" s="1"/>
      <c r="G71" s="1"/>
    </row>
    <row r="72" spans="1:7" x14ac:dyDescent="0.35">
      <c r="A72" s="5"/>
      <c r="B72" s="1"/>
      <c r="C72" s="5"/>
      <c r="D72" s="1"/>
      <c r="E72" s="1"/>
      <c r="F72" s="1"/>
      <c r="G72" s="1"/>
    </row>
    <row r="73" spans="1:7" x14ac:dyDescent="0.35">
      <c r="A73" s="5"/>
      <c r="B73" s="1"/>
      <c r="C73" s="5"/>
      <c r="D73" s="1"/>
      <c r="E73" s="1"/>
      <c r="F73" s="1"/>
      <c r="G73" s="1"/>
    </row>
    <row r="74" spans="1:7" x14ac:dyDescent="0.35">
      <c r="A74" s="5"/>
      <c r="B74" s="1"/>
      <c r="C74" s="5"/>
      <c r="D74" s="1"/>
      <c r="E74" s="1"/>
      <c r="F74" s="1"/>
      <c r="G74" s="1"/>
    </row>
    <row r="75" spans="1:7" x14ac:dyDescent="0.35">
      <c r="A75" s="5"/>
      <c r="B75" s="1"/>
      <c r="C75" s="5"/>
      <c r="D75" s="1"/>
      <c r="E75" s="1"/>
      <c r="F75" s="1"/>
      <c r="G75" s="1"/>
    </row>
    <row r="76" spans="1:7" x14ac:dyDescent="0.35">
      <c r="A76" s="5"/>
      <c r="B76" s="1"/>
      <c r="C76" s="5"/>
      <c r="D76" s="1"/>
      <c r="E76" s="1"/>
      <c r="F76" s="1"/>
      <c r="G76" s="1"/>
    </row>
    <row r="77" spans="1:7" x14ac:dyDescent="0.35">
      <c r="A77" s="5"/>
      <c r="B77" s="1"/>
      <c r="C77" s="5"/>
      <c r="D77" s="1"/>
      <c r="E77" s="1"/>
      <c r="F77" s="1"/>
      <c r="G77" s="1"/>
    </row>
    <row r="78" spans="1:7" x14ac:dyDescent="0.35">
      <c r="A78" s="5"/>
      <c r="B78" s="1"/>
      <c r="C78" s="5"/>
      <c r="D78" s="1"/>
      <c r="E78" s="1"/>
      <c r="F78" s="1"/>
      <c r="G78" s="1"/>
    </row>
    <row r="79" spans="1:7" x14ac:dyDescent="0.35">
      <c r="A79" s="5"/>
      <c r="B79" s="1"/>
      <c r="C79" s="5"/>
      <c r="D79" s="1"/>
      <c r="E79" s="1"/>
      <c r="F79" s="1"/>
      <c r="G79" s="1"/>
    </row>
    <row r="80" spans="1:7" x14ac:dyDescent="0.35">
      <c r="A80" s="5"/>
      <c r="B80" s="5"/>
      <c r="C80" s="5"/>
      <c r="D80" s="1"/>
      <c r="E80" s="1"/>
      <c r="F80" s="1"/>
      <c r="G80" s="1"/>
    </row>
    <row r="81" spans="1:7" x14ac:dyDescent="0.35">
      <c r="A81" s="5"/>
      <c r="B81" s="1"/>
      <c r="C81" s="5"/>
      <c r="D81" s="1"/>
      <c r="E81" s="1"/>
      <c r="F81" s="1"/>
      <c r="G81" s="1"/>
    </row>
    <row r="82" spans="1:7" x14ac:dyDescent="0.35">
      <c r="A82" s="5"/>
      <c r="B82" s="1"/>
      <c r="C82" s="5"/>
      <c r="D82" s="1"/>
      <c r="E82" s="1"/>
      <c r="F82" s="1"/>
      <c r="G82" s="1"/>
    </row>
    <row r="83" spans="1:7" x14ac:dyDescent="0.35">
      <c r="A83" s="5"/>
      <c r="B83" s="1"/>
      <c r="C83" s="5"/>
      <c r="D83" s="1"/>
      <c r="E83" s="1"/>
      <c r="F83" s="1"/>
      <c r="G83" s="1"/>
    </row>
    <row r="84" spans="1:7" x14ac:dyDescent="0.35">
      <c r="A84" s="5"/>
      <c r="B84" s="1"/>
      <c r="C84" s="5"/>
      <c r="D84" s="1"/>
      <c r="E84" s="1"/>
      <c r="F84" s="1"/>
      <c r="G84" s="1"/>
    </row>
    <row r="85" spans="1:7" x14ac:dyDescent="0.35">
      <c r="A85" s="5"/>
      <c r="B85" s="1"/>
      <c r="C85" s="5"/>
      <c r="D85" s="1"/>
      <c r="E85" s="1"/>
      <c r="F85" s="1"/>
      <c r="G85" s="1"/>
    </row>
    <row r="86" spans="1:7" x14ac:dyDescent="0.35">
      <c r="A86" s="5"/>
      <c r="B86" s="1"/>
      <c r="C86" s="5"/>
      <c r="D86" s="1"/>
      <c r="E86" s="1"/>
      <c r="F86" s="1"/>
      <c r="G86" s="1"/>
    </row>
    <row r="87" spans="1:7" x14ac:dyDescent="0.35">
      <c r="A87" s="5"/>
      <c r="B87" s="1"/>
      <c r="C87" s="5"/>
      <c r="D87" s="1"/>
      <c r="E87" s="1"/>
      <c r="F87" s="1"/>
      <c r="G87" s="1"/>
    </row>
    <row r="88" spans="1:7" x14ac:dyDescent="0.35">
      <c r="A88" s="5"/>
      <c r="B88" s="1"/>
      <c r="C88" s="5"/>
      <c r="D88" s="1"/>
      <c r="E88" s="1"/>
      <c r="F88" s="1"/>
      <c r="G88" s="1"/>
    </row>
    <row r="89" spans="1:7" x14ac:dyDescent="0.35">
      <c r="A89" s="5"/>
      <c r="B89" s="1"/>
      <c r="C89" s="5"/>
      <c r="D89" s="1"/>
      <c r="E89" s="1"/>
      <c r="F89" s="1"/>
      <c r="G89" s="1"/>
    </row>
    <row r="90" spans="1:7" x14ac:dyDescent="0.35">
      <c r="A90" s="5"/>
      <c r="B90" s="1"/>
      <c r="C90" s="5"/>
      <c r="D90" s="1"/>
      <c r="E90" s="1"/>
      <c r="F90" s="1"/>
      <c r="G90" s="1"/>
    </row>
    <row r="91" spans="1:7" x14ac:dyDescent="0.35">
      <c r="A91" s="5"/>
      <c r="B91" s="1"/>
      <c r="C91" s="5"/>
      <c r="D91" s="1"/>
      <c r="E91" s="1"/>
      <c r="F91" s="1"/>
      <c r="G91" s="1"/>
    </row>
    <row r="92" spans="1:7" x14ac:dyDescent="0.35">
      <c r="A92" s="5"/>
      <c r="B92" s="1"/>
      <c r="C92" s="5"/>
      <c r="D92" s="1"/>
      <c r="E92" s="1"/>
      <c r="F92" s="1"/>
      <c r="G92" s="1"/>
    </row>
    <row r="93" spans="1:7" x14ac:dyDescent="0.35">
      <c r="A93" s="5"/>
      <c r="B93" s="1"/>
      <c r="C93" s="5"/>
      <c r="D93" s="1"/>
      <c r="E93" s="1"/>
      <c r="F93" s="1"/>
      <c r="G93" s="1"/>
    </row>
    <row r="94" spans="1:7" x14ac:dyDescent="0.35">
      <c r="A94" s="5"/>
      <c r="B94" s="1"/>
      <c r="C94" s="5"/>
      <c r="D94" s="1"/>
      <c r="E94" s="1"/>
      <c r="F94" s="1"/>
      <c r="G94" s="1"/>
    </row>
    <row r="95" spans="1:7" x14ac:dyDescent="0.35">
      <c r="A95" s="5"/>
      <c r="B95" s="1"/>
      <c r="C95" s="5"/>
      <c r="D95" s="1"/>
      <c r="E95" s="1"/>
      <c r="F95" s="1"/>
      <c r="G95" s="1"/>
    </row>
    <row r="96" spans="1:7" x14ac:dyDescent="0.35">
      <c r="A96" s="5"/>
      <c r="B96" s="1"/>
      <c r="C96" s="5"/>
      <c r="D96" s="1"/>
      <c r="E96" s="1"/>
      <c r="F96" s="1"/>
      <c r="G96" s="1"/>
    </row>
    <row r="97" spans="1:7" x14ac:dyDescent="0.35">
      <c r="A97" s="5"/>
      <c r="B97" s="1"/>
      <c r="C97" s="5"/>
      <c r="D97" s="1"/>
      <c r="E97" s="1"/>
      <c r="F97" s="1"/>
      <c r="G97" s="1"/>
    </row>
    <row r="98" spans="1:7" x14ac:dyDescent="0.35">
      <c r="A98" s="5"/>
      <c r="B98" s="1"/>
      <c r="C98" s="5"/>
      <c r="D98" s="1"/>
      <c r="E98" s="1"/>
      <c r="F98" s="1"/>
      <c r="G98" s="1"/>
    </row>
    <row r="99" spans="1:7" x14ac:dyDescent="0.35">
      <c r="A99" s="5"/>
      <c r="B99" s="1"/>
      <c r="C99" s="5"/>
      <c r="D99" s="1"/>
      <c r="E99" s="1"/>
      <c r="F99" s="1"/>
      <c r="G99" s="1"/>
    </row>
    <row r="100" spans="1:7" x14ac:dyDescent="0.35">
      <c r="A100" s="5"/>
      <c r="B100" s="1"/>
      <c r="C100" s="5"/>
      <c r="D100" s="1"/>
      <c r="E100" s="1"/>
      <c r="F100" s="1"/>
      <c r="G100" s="1"/>
    </row>
    <row r="101" spans="1:7" x14ac:dyDescent="0.35">
      <c r="A101" s="5"/>
      <c r="B101" s="1"/>
      <c r="C101" s="5"/>
      <c r="D101" s="1"/>
      <c r="E101" s="1"/>
      <c r="F101" s="1"/>
      <c r="G101" s="1"/>
    </row>
    <row r="102" spans="1:7" x14ac:dyDescent="0.35">
      <c r="A102" s="5"/>
      <c r="B102" s="1"/>
      <c r="C102" s="5"/>
      <c r="D102" s="1"/>
      <c r="E102" s="1"/>
      <c r="F102" s="1"/>
      <c r="G102" s="1"/>
    </row>
    <row r="103" spans="1:7" x14ac:dyDescent="0.35">
      <c r="A103" s="5"/>
      <c r="B103" s="1"/>
      <c r="C103" s="5"/>
      <c r="D103" s="1"/>
      <c r="E103" s="1"/>
      <c r="F103" s="1"/>
      <c r="G103" s="1"/>
    </row>
    <row r="104" spans="1:7" x14ac:dyDescent="0.35">
      <c r="A104" s="5"/>
      <c r="B104" s="1"/>
      <c r="C104" s="5"/>
      <c r="D104" s="1"/>
      <c r="E104" s="1"/>
      <c r="F104" s="1"/>
      <c r="G104" s="1"/>
    </row>
    <row r="105" spans="1:7" x14ac:dyDescent="0.35">
      <c r="A105" s="5"/>
      <c r="B105" s="1"/>
      <c r="C105" s="5"/>
      <c r="D105" s="1"/>
      <c r="E105" s="1"/>
      <c r="F105" s="1"/>
      <c r="G105" s="1"/>
    </row>
    <row r="106" spans="1:7" x14ac:dyDescent="0.35">
      <c r="A106" s="5"/>
      <c r="B106" s="1"/>
      <c r="C106" s="5"/>
      <c r="D106" s="1"/>
      <c r="E106" s="1"/>
      <c r="F106" s="1"/>
      <c r="G106" s="1"/>
    </row>
    <row r="107" spans="1:7" x14ac:dyDescent="0.35">
      <c r="A107" s="5"/>
      <c r="B107" s="1"/>
      <c r="C107" s="5"/>
      <c r="D107" s="1"/>
      <c r="E107" s="1"/>
      <c r="F107" s="1"/>
      <c r="G107" s="1"/>
    </row>
    <row r="108" spans="1:7" x14ac:dyDescent="0.35">
      <c r="A108" s="5"/>
      <c r="B108" s="1"/>
      <c r="C108" s="5"/>
      <c r="D108" s="1"/>
      <c r="E108" s="1"/>
      <c r="F108" s="1"/>
      <c r="G108" s="1"/>
    </row>
    <row r="109" spans="1:7" x14ac:dyDescent="0.35">
      <c r="A109" s="5"/>
      <c r="B109" s="1"/>
      <c r="C109" s="5"/>
      <c r="D109" s="1"/>
      <c r="E109" s="1"/>
      <c r="F109" s="1"/>
      <c r="G109" s="1"/>
    </row>
    <row r="110" spans="1:7" x14ac:dyDescent="0.35">
      <c r="A110" s="5"/>
      <c r="B110" s="1"/>
      <c r="C110" s="5"/>
      <c r="D110" s="1"/>
      <c r="E110" s="1"/>
      <c r="F110" s="1"/>
      <c r="G110" s="1"/>
    </row>
    <row r="111" spans="1:7" x14ac:dyDescent="0.35">
      <c r="A111" s="5"/>
      <c r="B111" s="1"/>
      <c r="C111" s="5"/>
      <c r="D111" s="1"/>
      <c r="E111" s="1"/>
      <c r="F111" s="1"/>
      <c r="G111" s="1"/>
    </row>
    <row r="112" spans="1:7" x14ac:dyDescent="0.35">
      <c r="A112" s="5"/>
      <c r="B112" s="1"/>
      <c r="C112" s="5"/>
      <c r="D112" s="1"/>
      <c r="E112" s="1"/>
      <c r="F112" s="1"/>
      <c r="G112" s="1"/>
    </row>
    <row r="113" spans="1:7" x14ac:dyDescent="0.35">
      <c r="A113" s="5"/>
      <c r="B113" s="1"/>
      <c r="C113" s="5"/>
      <c r="D113" s="1"/>
      <c r="E113" s="1"/>
      <c r="F113" s="1"/>
      <c r="G113" s="1"/>
    </row>
    <row r="114" spans="1:7" x14ac:dyDescent="0.35">
      <c r="A114" s="5"/>
      <c r="B114" s="1"/>
      <c r="C114" s="5"/>
      <c r="D114" s="1"/>
      <c r="E114" s="1"/>
      <c r="F114" s="1"/>
      <c r="G114" s="1"/>
    </row>
    <row r="115" spans="1:7" x14ac:dyDescent="0.35">
      <c r="A115" s="5"/>
      <c r="B115" s="1"/>
      <c r="C115" s="5"/>
      <c r="D115" s="1"/>
      <c r="E115" s="1"/>
      <c r="F115" s="1"/>
      <c r="G115" s="1"/>
    </row>
    <row r="116" spans="1:7" x14ac:dyDescent="0.35">
      <c r="A116" s="5"/>
      <c r="B116" s="1"/>
      <c r="C116" s="5"/>
      <c r="D116" s="1"/>
      <c r="E116" s="1"/>
      <c r="F116" s="1"/>
      <c r="G116" s="1"/>
    </row>
    <row r="117" spans="1:7" x14ac:dyDescent="0.35">
      <c r="A117" s="5"/>
      <c r="B117" s="1"/>
      <c r="C117" s="5"/>
      <c r="D117" s="1"/>
      <c r="E117" s="1"/>
      <c r="F117" s="1"/>
      <c r="G117" s="1"/>
    </row>
    <row r="118" spans="1:7" x14ac:dyDescent="0.35">
      <c r="A118" s="5"/>
      <c r="B118" s="1"/>
      <c r="C118" s="5"/>
      <c r="D118" s="1"/>
      <c r="E118" s="1"/>
      <c r="F118" s="1"/>
      <c r="G118" s="1"/>
    </row>
    <row r="119" spans="1:7" x14ac:dyDescent="0.35">
      <c r="A119" s="5"/>
      <c r="B119" s="1"/>
      <c r="C119" s="5"/>
      <c r="D119" s="1"/>
      <c r="E119" s="1"/>
      <c r="F119" s="1"/>
      <c r="G119" s="1"/>
    </row>
    <row r="120" spans="1:7" x14ac:dyDescent="0.35">
      <c r="A120" s="5"/>
      <c r="B120" s="1"/>
      <c r="C120" s="5"/>
      <c r="D120" s="1"/>
      <c r="E120" s="1"/>
      <c r="F120" s="1"/>
      <c r="G120" s="1"/>
    </row>
    <row r="121" spans="1:7" x14ac:dyDescent="0.35">
      <c r="A121" s="5"/>
      <c r="B121" s="1"/>
      <c r="C121" s="5"/>
      <c r="D121" s="1"/>
      <c r="E121" s="1"/>
      <c r="F121" s="1"/>
      <c r="G121" s="1"/>
    </row>
    <row r="122" spans="1:7" x14ac:dyDescent="0.35">
      <c r="A122" s="5"/>
      <c r="B122" s="1"/>
      <c r="C122" s="5"/>
      <c r="D122" s="1"/>
      <c r="E122" s="1"/>
      <c r="F122" s="1"/>
      <c r="G122" s="1"/>
    </row>
    <row r="123" spans="1:7" x14ac:dyDescent="0.35">
      <c r="A123" s="5"/>
      <c r="B123" s="1"/>
      <c r="C123" s="5"/>
      <c r="D123" s="1"/>
      <c r="E123" s="1"/>
      <c r="F123" s="1"/>
      <c r="G123" s="1"/>
    </row>
    <row r="124" spans="1:7" x14ac:dyDescent="0.35">
      <c r="A124" s="5"/>
      <c r="B124" s="1"/>
      <c r="C124" s="5"/>
      <c r="D124" s="1"/>
      <c r="E124" s="1"/>
      <c r="F124" s="1"/>
      <c r="G124" s="1"/>
    </row>
    <row r="125" spans="1:7" x14ac:dyDescent="0.35">
      <c r="A125" s="5"/>
      <c r="B125" s="1"/>
      <c r="C125" s="5"/>
      <c r="D125" s="1"/>
      <c r="E125" s="1"/>
      <c r="F125" s="1"/>
      <c r="G125" s="1"/>
    </row>
    <row r="126" spans="1:7" x14ac:dyDescent="0.35">
      <c r="A126" s="5"/>
      <c r="B126" s="1"/>
      <c r="C126" s="5"/>
      <c r="D126" s="1"/>
      <c r="E126" s="1"/>
      <c r="F126" s="1"/>
      <c r="G126" s="1"/>
    </row>
    <row r="127" spans="1:7" x14ac:dyDescent="0.35">
      <c r="A127" s="5"/>
      <c r="B127" s="1"/>
      <c r="C127" s="5"/>
      <c r="D127" s="1"/>
      <c r="E127" s="1"/>
      <c r="F127" s="1"/>
      <c r="G127" s="1"/>
    </row>
    <row r="128" spans="1:7" x14ac:dyDescent="0.35">
      <c r="A128" s="5"/>
      <c r="B128" s="1"/>
      <c r="C128" s="5"/>
      <c r="D128" s="1"/>
      <c r="E128" s="1"/>
      <c r="F128" s="1"/>
      <c r="G128" s="1"/>
    </row>
    <row r="129" spans="1:7" x14ac:dyDescent="0.35">
      <c r="A129" s="5"/>
      <c r="B129" s="1"/>
      <c r="C129" s="5"/>
      <c r="D129" s="1"/>
      <c r="E129" s="1"/>
      <c r="F129" s="1"/>
      <c r="G129" s="1"/>
    </row>
    <row r="130" spans="1:7" x14ac:dyDescent="0.35">
      <c r="A130" s="5"/>
      <c r="B130" s="1"/>
      <c r="C130" s="5"/>
      <c r="D130" s="1"/>
      <c r="E130" s="1"/>
      <c r="F130" s="1"/>
      <c r="G130" s="1"/>
    </row>
    <row r="131" spans="1:7" x14ac:dyDescent="0.35">
      <c r="A131" s="5"/>
      <c r="B131" s="1"/>
      <c r="C131" s="5"/>
      <c r="D131" s="1"/>
      <c r="E131" s="1"/>
      <c r="F131" s="1"/>
      <c r="G131" s="1"/>
    </row>
    <row r="132" spans="1:7" x14ac:dyDescent="0.35">
      <c r="A132" s="5"/>
      <c r="B132" s="1"/>
      <c r="C132" s="5"/>
      <c r="D132" s="1"/>
      <c r="E132" s="1"/>
      <c r="F132" s="1"/>
      <c r="G132" s="1"/>
    </row>
    <row r="133" spans="1:7" x14ac:dyDescent="0.35">
      <c r="A133" s="5"/>
      <c r="B133" s="1"/>
      <c r="C133" s="5"/>
      <c r="D133" s="1"/>
      <c r="E133" s="1"/>
      <c r="F133" s="1"/>
      <c r="G133" s="1"/>
    </row>
    <row r="134" spans="1:7" x14ac:dyDescent="0.35">
      <c r="A134" s="5"/>
      <c r="B134" s="1"/>
      <c r="C134" s="5"/>
      <c r="D134" s="1"/>
      <c r="E134" s="1"/>
      <c r="F134" s="1"/>
      <c r="G134" s="1"/>
    </row>
    <row r="135" spans="1:7" x14ac:dyDescent="0.35">
      <c r="A135" s="5"/>
      <c r="B135" s="1"/>
      <c r="C135" s="5"/>
      <c r="D135" s="1"/>
      <c r="E135" s="1"/>
      <c r="F135" s="1"/>
      <c r="G135" s="1"/>
    </row>
    <row r="136" spans="1:7" x14ac:dyDescent="0.35">
      <c r="A136" s="5"/>
      <c r="B136" s="1"/>
      <c r="C136" s="5"/>
      <c r="D136" s="1"/>
      <c r="E136" s="1"/>
      <c r="F136" s="1"/>
      <c r="G136" s="1"/>
    </row>
    <row r="137" spans="1:7" x14ac:dyDescent="0.35">
      <c r="A137" s="5"/>
      <c r="B137" s="1"/>
      <c r="C137" s="5"/>
      <c r="D137" s="1"/>
      <c r="E137" s="1"/>
      <c r="F137" s="1"/>
      <c r="G137" s="1"/>
    </row>
    <row r="138" spans="1:7" x14ac:dyDescent="0.35">
      <c r="A138" s="5"/>
      <c r="B138" s="1"/>
      <c r="C138" s="5"/>
      <c r="D138" s="1"/>
      <c r="E138" s="1"/>
      <c r="F138" s="1"/>
      <c r="G138" s="1"/>
    </row>
    <row r="139" spans="1:7" x14ac:dyDescent="0.35">
      <c r="A139" s="5"/>
      <c r="B139" s="1"/>
      <c r="C139" s="5"/>
      <c r="D139" s="1"/>
      <c r="E139" s="1"/>
      <c r="F139" s="1"/>
      <c r="G139" s="1"/>
    </row>
    <row r="140" spans="1:7" x14ac:dyDescent="0.35">
      <c r="A140" s="5"/>
      <c r="B140" s="1"/>
      <c r="C140" s="5"/>
      <c r="D140" s="1"/>
      <c r="E140" s="1"/>
      <c r="F140" s="1"/>
      <c r="G140" s="1"/>
    </row>
    <row r="141" spans="1:7" x14ac:dyDescent="0.35">
      <c r="A141" s="5"/>
      <c r="B141" s="1"/>
      <c r="C141" s="5"/>
      <c r="D141" s="1"/>
      <c r="E141" s="1"/>
      <c r="F141" s="1"/>
      <c r="G141" s="1"/>
    </row>
    <row r="142" spans="1:7" x14ac:dyDescent="0.35">
      <c r="A142" s="5"/>
      <c r="B142" s="1"/>
      <c r="C142" s="5"/>
      <c r="D142" s="1"/>
      <c r="E142" s="1"/>
      <c r="F142" s="1"/>
      <c r="G142" s="1"/>
    </row>
    <row r="143" spans="1:7" x14ac:dyDescent="0.35">
      <c r="A143" s="5"/>
      <c r="B143" s="1"/>
      <c r="C143" s="5"/>
      <c r="D143" s="1"/>
      <c r="E143" s="1"/>
      <c r="F143" s="1"/>
      <c r="G143" s="1"/>
    </row>
    <row r="144" spans="1:7" x14ac:dyDescent="0.35">
      <c r="A144" s="5"/>
      <c r="B144" s="1"/>
      <c r="C144" s="5"/>
      <c r="D144" s="1"/>
      <c r="E144" s="1"/>
      <c r="F144" s="1"/>
      <c r="G144" s="1"/>
    </row>
    <row r="145" spans="1:7" x14ac:dyDescent="0.35">
      <c r="A145" s="5"/>
      <c r="B145" s="1"/>
      <c r="C145" s="5"/>
      <c r="D145" s="1"/>
      <c r="E145" s="1"/>
      <c r="F145" s="1"/>
      <c r="G145" s="1"/>
    </row>
    <row r="146" spans="1:7" x14ac:dyDescent="0.35">
      <c r="A146" s="5"/>
      <c r="B146" s="1"/>
      <c r="C146" s="5"/>
      <c r="D146" s="1"/>
      <c r="E146" s="1"/>
      <c r="F146" s="1"/>
      <c r="G146" s="1"/>
    </row>
    <row r="147" spans="1:7" x14ac:dyDescent="0.35">
      <c r="A147" s="5"/>
      <c r="B147" s="1"/>
      <c r="C147" s="5"/>
      <c r="D147" s="1"/>
      <c r="E147" s="1"/>
      <c r="F147" s="1"/>
      <c r="G147" s="1"/>
    </row>
    <row r="148" spans="1:7" x14ac:dyDescent="0.35">
      <c r="A148" s="5"/>
      <c r="B148" s="1"/>
      <c r="C148" s="5"/>
      <c r="D148" s="1"/>
      <c r="E148" s="1"/>
      <c r="F148" s="1"/>
      <c r="G148" s="1"/>
    </row>
    <row r="149" spans="1:7" x14ac:dyDescent="0.35">
      <c r="A149" s="5"/>
      <c r="B149" s="1"/>
      <c r="C149" s="5"/>
      <c r="D149" s="1"/>
      <c r="E149" s="1"/>
      <c r="F149" s="1"/>
      <c r="G149" s="1"/>
    </row>
    <row r="150" spans="1:7" x14ac:dyDescent="0.35">
      <c r="A150" s="5"/>
      <c r="B150" s="1"/>
      <c r="C150" s="5"/>
      <c r="D150" s="1"/>
      <c r="E150" s="1"/>
      <c r="F150" s="1"/>
      <c r="G150" s="1"/>
    </row>
    <row r="151" spans="1:7" x14ac:dyDescent="0.35">
      <c r="A151" s="5"/>
      <c r="B151" s="1"/>
      <c r="C151" s="5"/>
      <c r="D151" s="1"/>
      <c r="E151" s="1"/>
      <c r="F151" s="1"/>
      <c r="G151" s="1"/>
    </row>
    <row r="152" spans="1:7" x14ac:dyDescent="0.35">
      <c r="A152" s="5"/>
      <c r="B152" s="1"/>
      <c r="C152" s="5"/>
      <c r="D152" s="1"/>
      <c r="E152" s="1"/>
      <c r="F152" s="1"/>
      <c r="G152" s="1"/>
    </row>
    <row r="153" spans="1:7" x14ac:dyDescent="0.35">
      <c r="A153" s="5"/>
      <c r="B153" s="1"/>
      <c r="C153" s="5"/>
      <c r="D153" s="1"/>
      <c r="E153" s="1"/>
      <c r="F153" s="1"/>
      <c r="G153" s="1"/>
    </row>
    <row r="154" spans="1:7" x14ac:dyDescent="0.35">
      <c r="A154" s="5"/>
      <c r="B154" s="1"/>
      <c r="C154" s="5"/>
      <c r="D154" s="1"/>
      <c r="E154" s="1"/>
      <c r="F154" s="1"/>
      <c r="G154" s="1"/>
    </row>
    <row r="155" spans="1:7" x14ac:dyDescent="0.35">
      <c r="A155" s="5"/>
      <c r="B155" s="1"/>
      <c r="C155" s="5"/>
      <c r="D155" s="1"/>
      <c r="E155" s="1"/>
      <c r="F155" s="1"/>
      <c r="G155" s="1"/>
    </row>
    <row r="156" spans="1:7" x14ac:dyDescent="0.35">
      <c r="A156" s="5"/>
      <c r="B156" s="1"/>
      <c r="C156" s="5"/>
      <c r="D156" s="1"/>
      <c r="E156" s="1"/>
      <c r="F156" s="1"/>
      <c r="G156" s="1"/>
    </row>
    <row r="157" spans="1:7" x14ac:dyDescent="0.35">
      <c r="A157" s="5"/>
      <c r="B157" s="1"/>
      <c r="C157" s="5"/>
      <c r="D157" s="1"/>
      <c r="E157" s="1"/>
      <c r="F157" s="1"/>
      <c r="G157" s="1"/>
    </row>
    <row r="158" spans="1:7" x14ac:dyDescent="0.35">
      <c r="A158" s="5"/>
      <c r="B158" s="1"/>
      <c r="C158" s="5"/>
      <c r="D158" s="1"/>
      <c r="E158" s="1"/>
      <c r="F158" s="1"/>
      <c r="G158" s="1"/>
    </row>
    <row r="159" spans="1:7" x14ac:dyDescent="0.35">
      <c r="A159" s="5"/>
      <c r="B159" s="1"/>
      <c r="C159" s="5"/>
      <c r="D159" s="1"/>
      <c r="E159" s="1"/>
      <c r="F159" s="1"/>
      <c r="G159" s="1"/>
    </row>
    <row r="160" spans="1:7" x14ac:dyDescent="0.35">
      <c r="A160" s="5"/>
      <c r="B160" s="1"/>
      <c r="C160" s="5"/>
      <c r="D160" s="1"/>
      <c r="E160" s="1"/>
      <c r="F160" s="1"/>
      <c r="G160" s="1"/>
    </row>
    <row r="161" spans="1:7" x14ac:dyDescent="0.35">
      <c r="A161" s="5"/>
      <c r="B161" s="1"/>
      <c r="C161" s="5"/>
      <c r="D161" s="1"/>
      <c r="E161" s="1"/>
      <c r="F161" s="1"/>
      <c r="G161" s="1"/>
    </row>
    <row r="162" spans="1:7" x14ac:dyDescent="0.35">
      <c r="A162" s="5"/>
      <c r="B162" s="1"/>
      <c r="C162" s="5"/>
      <c r="D162" s="1"/>
      <c r="E162" s="1"/>
      <c r="F162" s="1"/>
      <c r="G162" s="1"/>
    </row>
    <row r="163" spans="1:7" x14ac:dyDescent="0.35">
      <c r="A163" s="5"/>
      <c r="B163" s="1"/>
      <c r="C163" s="5"/>
      <c r="D163" s="1"/>
      <c r="E163" s="1"/>
      <c r="F163" s="1"/>
      <c r="G163" s="1"/>
    </row>
    <row r="164" spans="1:7" x14ac:dyDescent="0.35">
      <c r="A164" s="5"/>
      <c r="B164" s="1"/>
      <c r="C164" s="5"/>
      <c r="D164" s="1"/>
      <c r="E164" s="1"/>
      <c r="F164" s="1"/>
      <c r="G164" s="1"/>
    </row>
    <row r="165" spans="1:7" x14ac:dyDescent="0.35">
      <c r="A165" s="5"/>
      <c r="B165" s="1"/>
      <c r="C165" s="5"/>
      <c r="D165" s="1"/>
      <c r="E165" s="1"/>
      <c r="F165" s="1"/>
      <c r="G165" s="1"/>
    </row>
    <row r="166" spans="1:7" x14ac:dyDescent="0.35">
      <c r="A166" s="5"/>
      <c r="B166" s="1"/>
      <c r="C166" s="5"/>
      <c r="D166" s="1"/>
      <c r="E166" s="1"/>
      <c r="F166" s="1"/>
      <c r="G166" s="1"/>
    </row>
    <row r="167" spans="1:7" x14ac:dyDescent="0.35">
      <c r="A167" s="5"/>
      <c r="B167" s="1"/>
      <c r="C167" s="5"/>
      <c r="D167" s="1"/>
      <c r="E167" s="1"/>
      <c r="F167" s="1"/>
      <c r="G167" s="1"/>
    </row>
    <row r="168" spans="1:7" x14ac:dyDescent="0.35">
      <c r="A168" s="5"/>
      <c r="B168" s="1"/>
      <c r="C168" s="5"/>
      <c r="D168" s="1"/>
      <c r="E168" s="1"/>
      <c r="F168" s="1"/>
      <c r="G168" s="1"/>
    </row>
    <row r="169" spans="1:7" x14ac:dyDescent="0.35">
      <c r="A169" s="5"/>
      <c r="B169" s="1"/>
      <c r="C169" s="5"/>
      <c r="D169" s="1"/>
      <c r="E169" s="1"/>
      <c r="F169" s="1"/>
      <c r="G169" s="1"/>
    </row>
    <row r="170" spans="1:7" x14ac:dyDescent="0.35">
      <c r="A170" s="5"/>
      <c r="B170" s="1"/>
      <c r="C170" s="5"/>
      <c r="D170" s="1"/>
      <c r="E170" s="1"/>
      <c r="F170" s="1"/>
      <c r="G170" s="1"/>
    </row>
    <row r="171" spans="1:7" x14ac:dyDescent="0.35">
      <c r="A171" s="5"/>
      <c r="B171" s="1"/>
      <c r="C171" s="5"/>
      <c r="D171" s="1"/>
      <c r="E171" s="1"/>
      <c r="F171" s="1"/>
      <c r="G171" s="1"/>
    </row>
    <row r="172" spans="1:7" x14ac:dyDescent="0.35">
      <c r="A172" s="5"/>
      <c r="B172" s="1"/>
      <c r="C172" s="5"/>
      <c r="D172" s="1"/>
      <c r="E172" s="1"/>
      <c r="F172" s="1"/>
      <c r="G172" s="1"/>
    </row>
    <row r="173" spans="1:7" x14ac:dyDescent="0.35">
      <c r="A173" s="5"/>
      <c r="B173" s="1"/>
      <c r="C173" s="5"/>
      <c r="D173" s="1"/>
      <c r="E173" s="1"/>
      <c r="F173" s="1"/>
      <c r="G173" s="1"/>
    </row>
    <row r="174" spans="1:7" x14ac:dyDescent="0.35">
      <c r="A174" s="5"/>
      <c r="B174" s="1"/>
      <c r="C174" s="5"/>
      <c r="D174" s="1"/>
      <c r="E174" s="1"/>
      <c r="F174" s="1"/>
      <c r="G174" s="1"/>
    </row>
    <row r="175" spans="1:7" x14ac:dyDescent="0.35">
      <c r="A175" s="5"/>
      <c r="B175" s="1"/>
      <c r="C175" s="5"/>
      <c r="D175" s="1"/>
      <c r="E175" s="1"/>
      <c r="F175" s="1"/>
      <c r="G175" s="1"/>
    </row>
    <row r="176" spans="1:7" x14ac:dyDescent="0.35">
      <c r="A176" s="5"/>
      <c r="B176" s="1"/>
      <c r="C176" s="5"/>
      <c r="D176" s="1"/>
      <c r="E176" s="1"/>
      <c r="F176" s="1"/>
      <c r="G176" s="1"/>
    </row>
    <row r="177" spans="1:7" x14ac:dyDescent="0.35">
      <c r="A177" s="5"/>
      <c r="B177" s="1"/>
      <c r="C177" s="5"/>
      <c r="D177" s="1"/>
      <c r="E177" s="1"/>
      <c r="F177" s="1"/>
      <c r="G177" s="1"/>
    </row>
    <row r="178" spans="1:7" x14ac:dyDescent="0.35">
      <c r="A178" s="5"/>
      <c r="B178" s="1"/>
      <c r="C178" s="5"/>
      <c r="D178" s="1"/>
      <c r="E178" s="1"/>
      <c r="F178" s="1"/>
      <c r="G178" s="1"/>
    </row>
    <row r="179" spans="1:7" x14ac:dyDescent="0.35">
      <c r="A179" s="5"/>
      <c r="B179" s="1"/>
      <c r="C179" s="5"/>
      <c r="D179" s="1"/>
      <c r="E179" s="1"/>
      <c r="F179" s="1"/>
      <c r="G179" s="1"/>
    </row>
    <row r="180" spans="1:7" x14ac:dyDescent="0.35">
      <c r="A180" s="5"/>
      <c r="B180" s="1"/>
      <c r="C180" s="5"/>
      <c r="D180" s="1"/>
      <c r="E180" s="1"/>
      <c r="F180" s="1"/>
      <c r="G180" s="1"/>
    </row>
    <row r="181" spans="1:7" x14ac:dyDescent="0.35">
      <c r="A181" s="5"/>
      <c r="B181" s="1"/>
      <c r="C181" s="5"/>
      <c r="D181" s="1"/>
      <c r="E181" s="1"/>
      <c r="F181" s="1"/>
      <c r="G181" s="1"/>
    </row>
    <row r="182" spans="1:7" x14ac:dyDescent="0.35">
      <c r="A182" s="5"/>
      <c r="B182" s="1"/>
      <c r="C182" s="5"/>
      <c r="D182" s="1"/>
      <c r="E182" s="1"/>
      <c r="F182" s="1"/>
      <c r="G182" s="1"/>
    </row>
    <row r="183" spans="1:7" x14ac:dyDescent="0.35">
      <c r="A183" s="5"/>
      <c r="B183" s="1"/>
      <c r="C183" s="5"/>
      <c r="D183" s="1"/>
      <c r="E183" s="1"/>
      <c r="F183" s="1"/>
      <c r="G183" s="1"/>
    </row>
    <row r="184" spans="1:7" x14ac:dyDescent="0.35">
      <c r="A184" s="5"/>
      <c r="B184" s="1"/>
      <c r="C184" s="5"/>
      <c r="D184" s="1"/>
      <c r="E184" s="1"/>
      <c r="F184" s="1"/>
      <c r="G184" s="1"/>
    </row>
    <row r="185" spans="1:7" x14ac:dyDescent="0.35">
      <c r="A185" s="5"/>
      <c r="B185" s="1"/>
      <c r="C185" s="5"/>
      <c r="D185" s="1"/>
      <c r="E185" s="1"/>
      <c r="F185" s="1"/>
      <c r="G185" s="1"/>
    </row>
    <row r="186" spans="1:7" x14ac:dyDescent="0.35">
      <c r="A186" s="5"/>
      <c r="B186" s="1"/>
      <c r="C186" s="5"/>
      <c r="D186" s="1"/>
      <c r="E186" s="1"/>
      <c r="F186" s="1"/>
      <c r="G186" s="1"/>
    </row>
    <row r="187" spans="1:7" x14ac:dyDescent="0.35">
      <c r="A187" s="5"/>
      <c r="B187" s="1"/>
      <c r="C187" s="5"/>
      <c r="D187" s="1"/>
      <c r="E187" s="1"/>
      <c r="F187" s="1"/>
      <c r="G187" s="1"/>
    </row>
    <row r="188" spans="1:7" x14ac:dyDescent="0.35">
      <c r="A188" s="5"/>
      <c r="B188" s="1"/>
      <c r="C188" s="5"/>
      <c r="D188" s="1"/>
      <c r="E188" s="1"/>
      <c r="F188" s="1"/>
      <c r="G188" s="1"/>
    </row>
    <row r="189" spans="1:7" x14ac:dyDescent="0.35">
      <c r="A189" s="5"/>
      <c r="B189" s="1"/>
      <c r="C189" s="5"/>
      <c r="D189" s="1"/>
      <c r="E189" s="1"/>
      <c r="F189" s="1"/>
      <c r="G189" s="1"/>
    </row>
    <row r="190" spans="1:7" x14ac:dyDescent="0.35">
      <c r="A190" s="5"/>
      <c r="B190" s="1"/>
      <c r="C190" s="5"/>
      <c r="D190" s="1"/>
      <c r="E190" s="1"/>
      <c r="F190" s="1"/>
      <c r="G190" s="1"/>
    </row>
    <row r="191" spans="1:7" x14ac:dyDescent="0.35">
      <c r="A191" s="5"/>
      <c r="B191" s="1"/>
      <c r="C191" s="5"/>
      <c r="D191" s="1"/>
      <c r="E191" s="1"/>
      <c r="F191" s="1"/>
      <c r="G191" s="1"/>
    </row>
    <row r="192" spans="1:7" x14ac:dyDescent="0.35">
      <c r="A192" s="5"/>
      <c r="B192" s="1"/>
      <c r="C192" s="5"/>
      <c r="D192" s="1"/>
      <c r="E192" s="1"/>
      <c r="F192" s="1"/>
      <c r="G192" s="1"/>
    </row>
    <row r="193" spans="1:7" x14ac:dyDescent="0.35">
      <c r="A193" s="5"/>
      <c r="B193" s="1"/>
      <c r="C193" s="5"/>
      <c r="D193" s="1"/>
      <c r="E193" s="1"/>
      <c r="F193" s="1"/>
      <c r="G193" s="1"/>
    </row>
    <row r="194" spans="1:7" x14ac:dyDescent="0.35">
      <c r="A194" s="5"/>
      <c r="B194" s="1"/>
      <c r="C194" s="5"/>
      <c r="D194" s="1"/>
      <c r="E194" s="1"/>
      <c r="F194" s="1"/>
      <c r="G194" s="1"/>
    </row>
    <row r="195" spans="1:7" x14ac:dyDescent="0.35">
      <c r="A195" s="5"/>
      <c r="B195" s="1"/>
      <c r="C195" s="5"/>
      <c r="D195" s="1"/>
      <c r="E195" s="1"/>
      <c r="F195" s="1"/>
      <c r="G195" s="1"/>
    </row>
    <row r="196" spans="1:7" x14ac:dyDescent="0.35">
      <c r="A196" s="5"/>
      <c r="B196" s="1"/>
      <c r="C196" s="5"/>
      <c r="D196" s="1"/>
      <c r="E196" s="1"/>
      <c r="F196" s="1"/>
      <c r="G196" s="1"/>
    </row>
    <row r="197" spans="1:7" x14ac:dyDescent="0.35">
      <c r="A197" s="5"/>
      <c r="B197" s="1"/>
      <c r="C197" s="5"/>
      <c r="D197" s="1"/>
      <c r="E197" s="1"/>
      <c r="F197" s="1"/>
      <c r="G197" s="1"/>
    </row>
    <row r="198" spans="1:7" x14ac:dyDescent="0.35">
      <c r="A198" s="5"/>
      <c r="B198" s="1"/>
      <c r="C198" s="5"/>
      <c r="D198" s="1"/>
      <c r="E198" s="1"/>
      <c r="F198" s="1"/>
      <c r="G198" s="1"/>
    </row>
    <row r="199" spans="1:7" x14ac:dyDescent="0.35">
      <c r="A199" s="5"/>
      <c r="B199" s="1"/>
      <c r="C199" s="5"/>
      <c r="D199" s="1"/>
      <c r="E199" s="1"/>
      <c r="F199" s="1"/>
      <c r="G199" s="1"/>
    </row>
    <row r="200" spans="1:7" x14ac:dyDescent="0.35">
      <c r="A200" s="5"/>
      <c r="B200" s="1"/>
      <c r="C200" s="5"/>
      <c r="D200" s="1"/>
      <c r="E200" s="1"/>
      <c r="F200" s="1"/>
      <c r="G200" s="1"/>
    </row>
    <row r="201" spans="1:7" x14ac:dyDescent="0.35">
      <c r="A201" s="5"/>
      <c r="B201" s="1"/>
      <c r="C201" s="5"/>
      <c r="D201" s="1"/>
      <c r="E201" s="1"/>
      <c r="F201" s="1"/>
      <c r="G201" s="1"/>
    </row>
    <row r="202" spans="1:7" x14ac:dyDescent="0.35">
      <c r="A202" s="5"/>
      <c r="B202" s="1"/>
      <c r="C202" s="5"/>
      <c r="D202" s="1"/>
      <c r="E202" s="1"/>
      <c r="F202" s="1"/>
      <c r="G202" s="1"/>
    </row>
    <row r="203" spans="1:7" x14ac:dyDescent="0.35">
      <c r="A203" s="5"/>
      <c r="B203" s="1"/>
      <c r="C203" s="5"/>
      <c r="D203" s="1"/>
      <c r="E203" s="1"/>
      <c r="F203" s="1"/>
      <c r="G203" s="1"/>
    </row>
    <row r="204" spans="1:7" x14ac:dyDescent="0.35">
      <c r="A204" s="5"/>
      <c r="B204" s="1"/>
      <c r="C204" s="5"/>
      <c r="D204" s="1"/>
      <c r="E204" s="1"/>
      <c r="F204" s="1"/>
      <c r="G204" s="1"/>
    </row>
    <row r="205" spans="1:7" x14ac:dyDescent="0.35">
      <c r="A205" s="5"/>
      <c r="B205" s="1"/>
      <c r="C205" s="5"/>
      <c r="D205" s="1"/>
      <c r="E205" s="1"/>
      <c r="F205" s="1"/>
      <c r="G205" s="1"/>
    </row>
    <row r="206" spans="1:7" x14ac:dyDescent="0.35">
      <c r="A206" s="5"/>
      <c r="B206" s="1"/>
      <c r="C206" s="5"/>
      <c r="D206" s="1"/>
      <c r="E206" s="1"/>
      <c r="F206" s="1"/>
      <c r="G206" s="1"/>
    </row>
    <row r="207" spans="1:7" x14ac:dyDescent="0.35">
      <c r="A207" s="5"/>
      <c r="B207" s="1"/>
      <c r="C207" s="5"/>
      <c r="D207" s="1"/>
      <c r="E207" s="1"/>
      <c r="F207" s="1"/>
      <c r="G207" s="1"/>
    </row>
    <row r="208" spans="1:7" x14ac:dyDescent="0.35">
      <c r="A208" s="5"/>
      <c r="B208" s="1"/>
      <c r="C208" s="5"/>
      <c r="D208" s="1"/>
      <c r="E208" s="1"/>
      <c r="F208" s="1"/>
      <c r="G208" s="1"/>
    </row>
    <row r="209" spans="1:7" x14ac:dyDescent="0.35">
      <c r="A209" s="5"/>
      <c r="B209" s="1"/>
      <c r="C209" s="5"/>
      <c r="D209" s="1"/>
      <c r="E209" s="1"/>
      <c r="F209" s="1"/>
      <c r="G209" s="1"/>
    </row>
    <row r="210" spans="1:7" x14ac:dyDescent="0.35">
      <c r="A210" s="5"/>
      <c r="B210" s="1"/>
      <c r="C210" s="5"/>
      <c r="D210" s="1"/>
      <c r="E210" s="1"/>
      <c r="F210" s="1"/>
      <c r="G210" s="1"/>
    </row>
    <row r="211" spans="1:7" x14ac:dyDescent="0.35">
      <c r="A211" s="5"/>
      <c r="B211" s="1"/>
      <c r="C211" s="5"/>
      <c r="D211" s="1"/>
      <c r="E211" s="1"/>
      <c r="F211" s="1"/>
      <c r="G211" s="1"/>
    </row>
    <row r="212" spans="1:7" x14ac:dyDescent="0.35">
      <c r="A212" s="5"/>
      <c r="B212" s="1"/>
      <c r="C212" s="5"/>
      <c r="D212" s="1"/>
      <c r="E212" s="1"/>
      <c r="F212" s="1"/>
      <c r="G212" s="1"/>
    </row>
    <row r="213" spans="1:7" x14ac:dyDescent="0.35">
      <c r="A213" s="5"/>
      <c r="B213" s="1"/>
      <c r="C213" s="5"/>
      <c r="D213" s="1"/>
      <c r="E213" s="1"/>
      <c r="F213" s="1"/>
      <c r="G213" s="1"/>
    </row>
    <row r="214" spans="1:7" x14ac:dyDescent="0.35">
      <c r="A214" s="5"/>
      <c r="B214" s="1"/>
      <c r="C214" s="5"/>
      <c r="D214" s="1"/>
      <c r="E214" s="1"/>
      <c r="F214" s="1"/>
      <c r="G214" s="1"/>
    </row>
    <row r="215" spans="1:7" x14ac:dyDescent="0.35">
      <c r="A215" s="5"/>
      <c r="B215" s="1"/>
      <c r="C215" s="5"/>
      <c r="D215" s="1"/>
      <c r="E215" s="1"/>
      <c r="F215" s="1"/>
      <c r="G215" s="1"/>
    </row>
    <row r="216" spans="1:7" x14ac:dyDescent="0.35">
      <c r="A216" s="5"/>
      <c r="B216" s="1"/>
      <c r="C216" s="5"/>
      <c r="D216" s="1"/>
      <c r="E216" s="1"/>
      <c r="F216" s="1"/>
      <c r="G216" s="1"/>
    </row>
    <row r="217" spans="1:7" x14ac:dyDescent="0.35">
      <c r="A217" s="5"/>
      <c r="B217" s="1"/>
      <c r="C217" s="5"/>
      <c r="D217" s="1"/>
      <c r="E217" s="1"/>
      <c r="F217" s="1"/>
      <c r="G217" s="1"/>
    </row>
    <row r="218" spans="1:7" x14ac:dyDescent="0.35">
      <c r="A218" s="5"/>
      <c r="B218" s="1"/>
      <c r="C218" s="5"/>
      <c r="D218" s="1"/>
      <c r="E218" s="1"/>
      <c r="F218" s="1"/>
      <c r="G218" s="1"/>
    </row>
    <row r="219" spans="1:7" x14ac:dyDescent="0.35">
      <c r="A219" s="5"/>
      <c r="B219" s="1"/>
      <c r="C219" s="5"/>
      <c r="D219" s="1"/>
      <c r="E219" s="1"/>
      <c r="F219" s="1"/>
      <c r="G219" s="1"/>
    </row>
    <row r="220" spans="1:7" x14ac:dyDescent="0.35">
      <c r="A220" s="5"/>
      <c r="B220" s="1"/>
      <c r="C220" s="5"/>
      <c r="D220" s="1"/>
      <c r="E220" s="1"/>
      <c r="F220" s="1"/>
      <c r="G220" s="1"/>
    </row>
    <row r="221" spans="1:7" x14ac:dyDescent="0.35">
      <c r="A221" s="5"/>
      <c r="B221" s="1"/>
      <c r="C221" s="5"/>
      <c r="D221" s="1"/>
      <c r="E221" s="1"/>
      <c r="F221" s="1"/>
      <c r="G221" s="1"/>
    </row>
    <row r="222" spans="1:7" x14ac:dyDescent="0.35">
      <c r="A222" s="5"/>
      <c r="B222" s="1"/>
      <c r="C222" s="5"/>
      <c r="D222" s="1"/>
      <c r="E222" s="1"/>
      <c r="F222" s="1"/>
      <c r="G222" s="1"/>
    </row>
    <row r="223" spans="1:7" x14ac:dyDescent="0.35">
      <c r="A223" s="5"/>
      <c r="B223" s="1"/>
      <c r="C223" s="5"/>
      <c r="D223" s="1"/>
      <c r="E223" s="1"/>
      <c r="F223" s="1"/>
      <c r="G223" s="1"/>
    </row>
    <row r="224" spans="1:7" x14ac:dyDescent="0.35">
      <c r="A224" s="5"/>
      <c r="B224" s="1"/>
      <c r="C224" s="5"/>
      <c r="D224" s="1"/>
      <c r="E224" s="1"/>
      <c r="F224" s="1"/>
      <c r="G224" s="1"/>
    </row>
    <row r="225" spans="1:7" x14ac:dyDescent="0.35">
      <c r="A225" s="5"/>
      <c r="B225" s="1"/>
      <c r="C225" s="5"/>
      <c r="D225" s="1"/>
      <c r="E225" s="1"/>
      <c r="F225" s="1"/>
      <c r="G225" s="1"/>
    </row>
    <row r="226" spans="1:7" x14ac:dyDescent="0.35">
      <c r="A226" s="5"/>
      <c r="B226" s="1"/>
      <c r="C226" s="5"/>
      <c r="D226" s="1"/>
      <c r="E226" s="1"/>
      <c r="F226" s="1"/>
      <c r="G226" s="1"/>
    </row>
    <row r="227" spans="1:7" x14ac:dyDescent="0.35">
      <c r="A227" s="5"/>
      <c r="B227" s="1"/>
      <c r="C227" s="5"/>
      <c r="D227" s="1"/>
      <c r="E227" s="1"/>
      <c r="F227" s="1"/>
      <c r="G227" s="1"/>
    </row>
    <row r="228" spans="1:7" x14ac:dyDescent="0.35">
      <c r="A228" s="5"/>
      <c r="B228" s="1"/>
      <c r="C228" s="5"/>
      <c r="D228" s="1"/>
      <c r="E228" s="1"/>
      <c r="F228" s="1"/>
      <c r="G228" s="1"/>
    </row>
    <row r="229" spans="1:7" x14ac:dyDescent="0.35">
      <c r="A229" s="5"/>
      <c r="B229" s="1"/>
      <c r="C229" s="5"/>
      <c r="D229" s="1"/>
      <c r="E229" s="1"/>
      <c r="F229" s="1"/>
      <c r="G229" s="1"/>
    </row>
    <row r="230" spans="1:7" x14ac:dyDescent="0.35">
      <c r="A230" s="5"/>
      <c r="B230" s="1"/>
      <c r="C230" s="5"/>
      <c r="D230" s="1"/>
      <c r="E230" s="1"/>
      <c r="F230" s="1"/>
      <c r="G230" s="1"/>
    </row>
    <row r="231" spans="1:7" x14ac:dyDescent="0.35">
      <c r="A231" s="5"/>
      <c r="B231" s="1"/>
      <c r="C231" s="5"/>
      <c r="D231" s="1"/>
      <c r="E231" s="1"/>
      <c r="F231" s="1"/>
      <c r="G231" s="1"/>
    </row>
    <row r="232" spans="1:7" x14ac:dyDescent="0.35">
      <c r="A232" s="5"/>
      <c r="B232" s="1"/>
      <c r="C232" s="5"/>
      <c r="D232" s="1"/>
      <c r="E232" s="1"/>
      <c r="F232" s="1"/>
      <c r="G232" s="1"/>
    </row>
    <row r="233" spans="1:7" x14ac:dyDescent="0.35">
      <c r="A233" s="5"/>
      <c r="B233" s="1"/>
      <c r="C233" s="5"/>
      <c r="D233" s="1"/>
      <c r="E233" s="1"/>
      <c r="F233" s="1"/>
      <c r="G233" s="1"/>
    </row>
    <row r="234" spans="1:7" x14ac:dyDescent="0.35">
      <c r="A234" s="5"/>
      <c r="B234" s="1"/>
      <c r="C234" s="5"/>
      <c r="D234" s="1"/>
      <c r="E234" s="1"/>
      <c r="F234" s="1"/>
      <c r="G234" s="1"/>
    </row>
    <row r="235" spans="1:7" x14ac:dyDescent="0.35">
      <c r="A235" s="5"/>
      <c r="B235" s="1"/>
      <c r="C235" s="5"/>
      <c r="D235" s="1"/>
      <c r="E235" s="1"/>
      <c r="F235" s="1"/>
      <c r="G235" s="1"/>
    </row>
    <row r="236" spans="1:7" x14ac:dyDescent="0.35">
      <c r="A236" s="5"/>
      <c r="B236" s="1"/>
      <c r="C236" s="5"/>
      <c r="D236" s="1"/>
      <c r="E236" s="1"/>
      <c r="F236" s="1"/>
      <c r="G236" s="1"/>
    </row>
    <row r="237" spans="1:7" x14ac:dyDescent="0.35">
      <c r="A237" s="5"/>
      <c r="B237" s="1"/>
      <c r="C237" s="5"/>
      <c r="D237" s="1"/>
      <c r="E237" s="1"/>
      <c r="F237" s="1"/>
      <c r="G237" s="1"/>
    </row>
    <row r="238" spans="1:7" x14ac:dyDescent="0.35">
      <c r="A238" s="5"/>
      <c r="B238" s="1"/>
      <c r="C238" s="5"/>
      <c r="D238" s="1"/>
      <c r="E238" s="1"/>
      <c r="F238" s="1"/>
      <c r="G238" s="1"/>
    </row>
    <row r="239" spans="1:7" x14ac:dyDescent="0.35">
      <c r="A239" s="5"/>
      <c r="B239" s="1"/>
      <c r="C239" s="5"/>
      <c r="D239" s="1"/>
      <c r="E239" s="1"/>
      <c r="F239" s="1"/>
      <c r="G239" s="1"/>
    </row>
    <row r="240" spans="1:7" x14ac:dyDescent="0.35">
      <c r="A240" s="5"/>
      <c r="B240" s="1"/>
      <c r="C240" s="5"/>
      <c r="D240" s="1"/>
      <c r="E240" s="1"/>
      <c r="F240" s="1"/>
      <c r="G240" s="1"/>
    </row>
    <row r="241" spans="1:7" x14ac:dyDescent="0.35">
      <c r="A241" s="5"/>
      <c r="B241" s="1"/>
      <c r="C241" s="5"/>
      <c r="D241" s="1"/>
      <c r="E241" s="1"/>
      <c r="F241" s="1"/>
      <c r="G241" s="1"/>
    </row>
    <row r="242" spans="1:7" x14ac:dyDescent="0.35">
      <c r="A242" s="5"/>
      <c r="B242" s="1"/>
      <c r="C242" s="5"/>
      <c r="D242" s="1"/>
      <c r="E242" s="1"/>
      <c r="F242" s="1"/>
      <c r="G242" s="1"/>
    </row>
    <row r="243" spans="1:7" x14ac:dyDescent="0.35">
      <c r="A243" s="5"/>
      <c r="B243" s="1"/>
      <c r="C243" s="5"/>
      <c r="D243" s="1"/>
      <c r="E243" s="1"/>
      <c r="F243" s="1"/>
      <c r="G243" s="1"/>
    </row>
    <row r="244" spans="1:7" x14ac:dyDescent="0.35">
      <c r="A244" s="5"/>
      <c r="B244" s="1"/>
      <c r="C244" s="5"/>
      <c r="D244" s="1"/>
      <c r="E244" s="1"/>
      <c r="F244" s="1"/>
      <c r="G244" s="1"/>
    </row>
    <row r="245" spans="1:7" x14ac:dyDescent="0.35">
      <c r="A245" s="5"/>
      <c r="B245" s="1"/>
      <c r="C245" s="5"/>
      <c r="D245" s="1"/>
      <c r="E245" s="1"/>
      <c r="F245" s="1"/>
      <c r="G245" s="1"/>
    </row>
    <row r="246" spans="1:7" x14ac:dyDescent="0.35">
      <c r="A246" s="5"/>
      <c r="B246" s="1"/>
      <c r="C246" s="5"/>
      <c r="D246" s="1"/>
      <c r="E246" s="1"/>
      <c r="F246" s="1"/>
      <c r="G246" s="1"/>
    </row>
    <row r="247" spans="1:7" x14ac:dyDescent="0.35">
      <c r="A247" s="5"/>
      <c r="B247" s="1"/>
      <c r="C247" s="5"/>
      <c r="D247" s="1"/>
      <c r="E247" s="1"/>
      <c r="F247" s="1"/>
      <c r="G247" s="1"/>
    </row>
    <row r="248" spans="1:7" x14ac:dyDescent="0.35">
      <c r="A248" s="5"/>
      <c r="B248" s="1"/>
      <c r="C248" s="5"/>
      <c r="D248" s="1"/>
      <c r="E248" s="1"/>
      <c r="F248" s="1"/>
      <c r="G248" s="1"/>
    </row>
    <row r="249" spans="1:7" x14ac:dyDescent="0.35">
      <c r="A249" s="5"/>
      <c r="B249" s="1"/>
      <c r="C249" s="5"/>
      <c r="D249" s="1"/>
      <c r="E249" s="1"/>
      <c r="F249" s="1"/>
      <c r="G249" s="1"/>
    </row>
    <row r="250" spans="1:7" x14ac:dyDescent="0.35">
      <c r="A250" s="5"/>
      <c r="B250" s="1"/>
      <c r="C250" s="5"/>
      <c r="D250" s="1"/>
      <c r="E250" s="1"/>
      <c r="F250" s="1"/>
      <c r="G250" s="1"/>
    </row>
    <row r="251" spans="1:7" x14ac:dyDescent="0.35">
      <c r="A251" s="5"/>
      <c r="B251" s="1"/>
      <c r="C251" s="5"/>
      <c r="D251" s="1"/>
      <c r="E251" s="1"/>
      <c r="F251" s="1"/>
      <c r="G251" s="1"/>
    </row>
    <row r="252" spans="1:7" x14ac:dyDescent="0.35">
      <c r="A252" s="5"/>
      <c r="B252" s="1"/>
      <c r="C252" s="5"/>
      <c r="D252" s="1"/>
      <c r="E252" s="1"/>
      <c r="F252" s="1"/>
      <c r="G252" s="1"/>
    </row>
    <row r="253" spans="1:7" x14ac:dyDescent="0.35">
      <c r="A253" s="5"/>
      <c r="B253" s="1"/>
      <c r="C253" s="5"/>
      <c r="D253" s="1"/>
      <c r="E253" s="1"/>
      <c r="F253" s="1"/>
      <c r="G253" s="1"/>
    </row>
    <row r="254" spans="1:7" x14ac:dyDescent="0.35">
      <c r="A254" s="5"/>
      <c r="B254" s="1"/>
      <c r="C254" s="5"/>
      <c r="D254" s="1"/>
      <c r="E254" s="1"/>
      <c r="F254" s="1"/>
      <c r="G254" s="1"/>
    </row>
    <row r="255" spans="1:7" x14ac:dyDescent="0.35">
      <c r="A255" s="5"/>
      <c r="B255" s="1"/>
      <c r="C255" s="5"/>
      <c r="D255" s="1"/>
      <c r="E255" s="1"/>
      <c r="F255" s="1"/>
      <c r="G255" s="1"/>
    </row>
    <row r="256" spans="1:7" x14ac:dyDescent="0.35">
      <c r="A256" s="5"/>
      <c r="B256" s="1"/>
      <c r="C256" s="5"/>
      <c r="D256" s="1"/>
      <c r="E256" s="1"/>
      <c r="F256" s="1"/>
      <c r="G256" s="1"/>
    </row>
    <row r="257" spans="1:7" x14ac:dyDescent="0.35">
      <c r="A257" s="5"/>
      <c r="B257" s="1"/>
      <c r="C257" s="5"/>
      <c r="D257" s="1"/>
      <c r="E257" s="1"/>
      <c r="F257" s="1"/>
      <c r="G257" s="1"/>
    </row>
    <row r="258" spans="1:7" x14ac:dyDescent="0.35">
      <c r="A258" s="5"/>
      <c r="B258" s="1"/>
      <c r="C258" s="5"/>
      <c r="D258" s="1"/>
      <c r="E258" s="1"/>
      <c r="F258" s="1"/>
      <c r="G258" s="1"/>
    </row>
    <row r="259" spans="1:7" x14ac:dyDescent="0.35">
      <c r="A259" s="5"/>
      <c r="B259" s="1"/>
      <c r="C259" s="5"/>
      <c r="D259" s="1"/>
      <c r="E259" s="1"/>
      <c r="F259" s="1"/>
      <c r="G259" s="1"/>
    </row>
    <row r="260" spans="1:7" x14ac:dyDescent="0.35">
      <c r="A260" s="5"/>
      <c r="B260" s="1"/>
      <c r="C260" s="5"/>
      <c r="D260" s="1"/>
      <c r="E260" s="1"/>
      <c r="F260" s="1"/>
      <c r="G260" s="1"/>
    </row>
    <row r="261" spans="1:7" x14ac:dyDescent="0.35">
      <c r="B261" s="1"/>
    </row>
    <row r="262" spans="1:7" x14ac:dyDescent="0.35">
      <c r="B262" s="1"/>
    </row>
    <row r="263" spans="1:7" x14ac:dyDescent="0.35">
      <c r="B263" s="1"/>
    </row>
    <row r="264" spans="1:7" x14ac:dyDescent="0.35">
      <c r="B264" s="1"/>
    </row>
    <row r="265" spans="1:7" x14ac:dyDescent="0.35">
      <c r="B265" s="1"/>
    </row>
    <row r="266" spans="1:7" x14ac:dyDescent="0.35">
      <c r="B266" s="1"/>
    </row>
    <row r="267" spans="1:7" x14ac:dyDescent="0.35">
      <c r="B267" s="1"/>
    </row>
    <row r="268" spans="1:7" x14ac:dyDescent="0.35">
      <c r="B268" s="1"/>
    </row>
    <row r="269" spans="1:7" x14ac:dyDescent="0.35">
      <c r="B269" s="1"/>
    </row>
    <row r="270" spans="1:7" x14ac:dyDescent="0.35">
      <c r="B270" s="1"/>
    </row>
    <row r="271" spans="1:7" x14ac:dyDescent="0.35">
      <c r="B271" s="1"/>
    </row>
    <row r="272" spans="1:7" x14ac:dyDescent="0.35">
      <c r="B272" s="1"/>
    </row>
    <row r="273" spans="2:2" x14ac:dyDescent="0.35">
      <c r="B273" s="1"/>
    </row>
    <row r="274" spans="2:2" x14ac:dyDescent="0.35">
      <c r="B274" s="1"/>
    </row>
    <row r="275" spans="2:2" x14ac:dyDescent="0.35">
      <c r="B275" s="1"/>
    </row>
    <row r="276" spans="2:2" x14ac:dyDescent="0.35">
      <c r="B276" s="1"/>
    </row>
    <row r="277" spans="2:2" x14ac:dyDescent="0.35">
      <c r="B277" s="1"/>
    </row>
    <row r="278" spans="2:2" x14ac:dyDescent="0.35">
      <c r="B278" s="1"/>
    </row>
    <row r="279" spans="2:2" x14ac:dyDescent="0.35">
      <c r="B279" s="1"/>
    </row>
    <row r="280" spans="2:2" x14ac:dyDescent="0.35">
      <c r="B280" s="1"/>
    </row>
    <row r="281" spans="2:2" x14ac:dyDescent="0.35">
      <c r="B281" s="1"/>
    </row>
    <row r="282" spans="2:2" x14ac:dyDescent="0.35">
      <c r="B282" s="1"/>
    </row>
    <row r="283" spans="2:2" x14ac:dyDescent="0.35">
      <c r="B283" s="1"/>
    </row>
    <row r="284" spans="2:2" x14ac:dyDescent="0.35">
      <c r="B284" s="1"/>
    </row>
    <row r="285" spans="2:2" x14ac:dyDescent="0.35">
      <c r="B285" s="1"/>
    </row>
    <row r="286" spans="2:2" x14ac:dyDescent="0.35">
      <c r="B286" s="1"/>
    </row>
    <row r="287" spans="2:2" x14ac:dyDescent="0.35">
      <c r="B287" s="1"/>
    </row>
    <row r="288" spans="2:2" x14ac:dyDescent="0.35">
      <c r="B288" s="1"/>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14F4B-83BB-4D91-8B46-A0F50905B663}">
  <sheetPr codeName="Sheet21"/>
  <dimension ref="A1:AO288"/>
  <sheetViews>
    <sheetView rightToLeft="1" workbookViewId="0">
      <pane xSplit="1" ySplit="1" topLeftCell="B9" activePane="bottomRight" state="frozen"/>
      <selection activeCell="A6" sqref="A6"/>
      <selection pane="topRight" activeCell="A6" sqref="A6"/>
      <selection pane="bottomLeft" activeCell="A6" sqref="A6"/>
      <selection pane="bottomRight" activeCell="C15" sqref="C15"/>
    </sheetView>
  </sheetViews>
  <sheetFormatPr defaultColWidth="8.81640625" defaultRowHeight="14.5" x14ac:dyDescent="0.35"/>
  <cols>
    <col min="1" max="1" width="52.1796875" style="8" customWidth="1"/>
    <col min="2" max="3" width="10" style="2" customWidth="1"/>
    <col min="4" max="4" width="10" style="8" customWidth="1"/>
    <col min="5" max="5" width="11.81640625" style="2" customWidth="1"/>
    <col min="6" max="8" width="8.81640625" style="2"/>
    <col min="9" max="16" width="8.81640625" style="1" customWidth="1"/>
    <col min="17" max="18" width="8.81640625" style="30" customWidth="1"/>
    <col min="19" max="35" width="8.81640625" style="1" customWidth="1"/>
    <col min="36" max="36" width="8.81640625" style="2"/>
    <col min="37" max="37" width="10.08984375" style="2" bestFit="1" customWidth="1"/>
    <col min="38" max="38" width="8.81640625" style="2"/>
    <col min="39" max="39" width="10.54296875" style="2" bestFit="1" customWidth="1"/>
    <col min="40" max="40" width="8.81640625" style="2"/>
    <col min="41" max="41" width="17" style="2" bestFit="1" customWidth="1"/>
    <col min="42" max="16384" width="8.81640625" style="2"/>
  </cols>
  <sheetData>
    <row r="1" spans="1:41" ht="15" thickBot="1" x14ac:dyDescent="0.4">
      <c r="A1" s="7" t="s">
        <v>0</v>
      </c>
      <c r="B1" s="4">
        <v>2025</v>
      </c>
      <c r="C1" s="4">
        <v>2022</v>
      </c>
      <c r="D1" s="7">
        <v>2021</v>
      </c>
      <c r="E1" s="4">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ht="43.5" x14ac:dyDescent="0.35">
      <c r="A2" s="5" t="s">
        <v>46</v>
      </c>
      <c r="B2" s="6"/>
      <c r="C2" s="6"/>
      <c r="D2" s="5"/>
      <c r="E2" s="1"/>
      <c r="F2" s="3"/>
      <c r="G2" s="3"/>
      <c r="H2" s="3"/>
      <c r="I2" s="3"/>
      <c r="J2" s="3"/>
      <c r="K2" s="3"/>
      <c r="L2" s="3"/>
      <c r="M2" s="3"/>
      <c r="N2" s="3"/>
      <c r="O2" s="3"/>
      <c r="P2" s="3"/>
      <c r="Q2" s="29"/>
      <c r="R2" s="29"/>
      <c r="S2" s="3"/>
      <c r="T2" s="3"/>
      <c r="U2" s="3"/>
      <c r="V2" s="3"/>
      <c r="W2" s="3"/>
      <c r="X2" s="3"/>
      <c r="Y2" s="3"/>
      <c r="Z2" s="3"/>
      <c r="AA2" s="3"/>
      <c r="AB2" s="3"/>
      <c r="AC2" s="3"/>
      <c r="AD2" s="3"/>
      <c r="AE2" s="3"/>
      <c r="AF2" s="3"/>
      <c r="AG2" s="3"/>
      <c r="AH2" s="3"/>
      <c r="AI2" s="3"/>
      <c r="AK2" s="2">
        <f>COUNTA(C2:AI2)</f>
        <v>0</v>
      </c>
      <c r="AM2" s="2">
        <f>COUNTA(G2:P2,S2:T2)</f>
        <v>0</v>
      </c>
      <c r="AO2" s="2">
        <f>COUNTIF(AM2:AM36,"&gt;=2")</f>
        <v>3</v>
      </c>
    </row>
    <row r="3" spans="1:41" x14ac:dyDescent="0.35">
      <c r="A3" s="5" t="s">
        <v>47</v>
      </c>
      <c r="B3" s="6"/>
      <c r="C3" s="6"/>
      <c r="D3" s="5"/>
      <c r="E3" s="1"/>
      <c r="F3" s="1"/>
      <c r="G3" s="1"/>
      <c r="H3" s="1"/>
      <c r="AK3" s="2">
        <f t="shared" ref="AK3:AK36" si="0">COUNTA(C3:AI3)</f>
        <v>0</v>
      </c>
      <c r="AM3" s="2">
        <f t="shared" ref="AM3:AM36" si="1">COUNTA(G3:P3,S3:T3)</f>
        <v>0</v>
      </c>
    </row>
    <row r="4" spans="1:41" ht="29" x14ac:dyDescent="0.35">
      <c r="A4" s="5" t="s">
        <v>48</v>
      </c>
      <c r="B4" s="6"/>
      <c r="C4" s="6"/>
      <c r="D4" s="5"/>
      <c r="E4" s="1"/>
      <c r="F4" s="1"/>
      <c r="G4" s="1"/>
      <c r="H4" s="1"/>
      <c r="AK4" s="2">
        <f t="shared" si="0"/>
        <v>0</v>
      </c>
      <c r="AM4" s="2">
        <f t="shared" si="1"/>
        <v>0</v>
      </c>
    </row>
    <row r="5" spans="1:41" x14ac:dyDescent="0.35">
      <c r="A5" s="5" t="s">
        <v>49</v>
      </c>
      <c r="B5" s="6"/>
      <c r="C5" s="5"/>
      <c r="D5" s="5"/>
      <c r="E5" s="1"/>
      <c r="F5" s="1"/>
      <c r="G5" s="1"/>
      <c r="H5" s="1"/>
      <c r="AK5" s="2">
        <f t="shared" si="0"/>
        <v>0</v>
      </c>
      <c r="AM5" s="2">
        <f t="shared" si="1"/>
        <v>0</v>
      </c>
    </row>
    <row r="6" spans="1:41" ht="29" x14ac:dyDescent="0.35">
      <c r="A6" s="5" t="s">
        <v>50</v>
      </c>
      <c r="B6" s="6"/>
      <c r="C6" s="6"/>
      <c r="D6" s="5"/>
      <c r="E6" s="1"/>
      <c r="F6" s="1"/>
      <c r="G6" s="1"/>
      <c r="H6" s="1"/>
      <c r="AK6" s="2">
        <f t="shared" si="0"/>
        <v>0</v>
      </c>
      <c r="AM6" s="2">
        <f t="shared" si="1"/>
        <v>0</v>
      </c>
    </row>
    <row r="7" spans="1:41" x14ac:dyDescent="0.35">
      <c r="A7" s="5" t="s">
        <v>51</v>
      </c>
      <c r="B7" s="6"/>
      <c r="C7" s="6"/>
      <c r="D7" s="5"/>
      <c r="E7" s="1"/>
      <c r="F7" s="1"/>
      <c r="G7" s="1"/>
      <c r="H7" s="1"/>
      <c r="AK7" s="2">
        <f t="shared" si="0"/>
        <v>0</v>
      </c>
      <c r="AM7" s="2">
        <f t="shared" si="1"/>
        <v>0</v>
      </c>
    </row>
    <row r="8" spans="1:41" ht="29" x14ac:dyDescent="0.35">
      <c r="A8" s="5" t="s">
        <v>52</v>
      </c>
      <c r="B8" s="6"/>
      <c r="C8" s="6"/>
      <c r="D8" s="5"/>
      <c r="E8" s="1"/>
      <c r="F8" s="1"/>
      <c r="G8" s="1"/>
      <c r="H8" s="1"/>
      <c r="AK8" s="2">
        <f t="shared" si="0"/>
        <v>0</v>
      </c>
      <c r="AM8" s="2">
        <f t="shared" si="1"/>
        <v>0</v>
      </c>
    </row>
    <row r="9" spans="1:41" ht="29" x14ac:dyDescent="0.35">
      <c r="A9" s="5" t="s">
        <v>53</v>
      </c>
      <c r="B9" s="6"/>
      <c r="C9" s="6"/>
      <c r="D9" s="5"/>
      <c r="E9" s="1"/>
      <c r="F9" s="1"/>
      <c r="G9" s="1"/>
      <c r="H9" s="1"/>
      <c r="AK9" s="2">
        <f t="shared" si="0"/>
        <v>0</v>
      </c>
      <c r="AM9" s="2">
        <f t="shared" si="1"/>
        <v>0</v>
      </c>
    </row>
    <row r="10" spans="1:41" ht="29" x14ac:dyDescent="0.35">
      <c r="A10" s="5" t="s">
        <v>54</v>
      </c>
      <c r="B10" s="6"/>
      <c r="C10" s="6"/>
      <c r="D10" s="5"/>
      <c r="E10" s="1"/>
      <c r="F10" s="1"/>
      <c r="G10" s="1"/>
      <c r="H10" s="1"/>
      <c r="AK10" s="2">
        <f t="shared" si="0"/>
        <v>0</v>
      </c>
      <c r="AM10" s="2">
        <f t="shared" si="1"/>
        <v>0</v>
      </c>
    </row>
    <row r="11" spans="1:41" x14ac:dyDescent="0.35">
      <c r="A11" s="5" t="s">
        <v>55</v>
      </c>
      <c r="B11" s="6"/>
      <c r="C11" s="6"/>
      <c r="D11" s="5"/>
      <c r="E11" s="1"/>
      <c r="F11" s="1"/>
      <c r="G11" s="1"/>
      <c r="H11" s="1"/>
      <c r="AK11" s="2">
        <f t="shared" si="0"/>
        <v>0</v>
      </c>
      <c r="AM11" s="2">
        <f t="shared" si="1"/>
        <v>0</v>
      </c>
    </row>
    <row r="12" spans="1:41" ht="29" x14ac:dyDescent="0.35">
      <c r="A12" s="5" t="s">
        <v>124</v>
      </c>
      <c r="B12" s="6"/>
      <c r="C12" s="44" t="s">
        <v>532</v>
      </c>
      <c r="D12" s="5"/>
      <c r="E12" s="1"/>
      <c r="F12" s="1"/>
      <c r="G12" s="1"/>
      <c r="H12" s="1"/>
      <c r="AK12" s="2">
        <f t="shared" si="0"/>
        <v>1</v>
      </c>
      <c r="AM12" s="2">
        <f t="shared" si="1"/>
        <v>0</v>
      </c>
    </row>
    <row r="13" spans="1:41" ht="29" x14ac:dyDescent="0.35">
      <c r="A13" s="5" t="s">
        <v>125</v>
      </c>
      <c r="B13" s="6" t="s">
        <v>533</v>
      </c>
      <c r="C13" s="44" t="s">
        <v>533</v>
      </c>
      <c r="D13" s="5"/>
      <c r="E13" s="1"/>
      <c r="F13" s="1"/>
      <c r="G13" s="1"/>
      <c r="H13" s="1"/>
      <c r="AK13" s="2">
        <f t="shared" si="0"/>
        <v>1</v>
      </c>
      <c r="AM13" s="2">
        <f t="shared" si="1"/>
        <v>0</v>
      </c>
    </row>
    <row r="14" spans="1:41" x14ac:dyDescent="0.35">
      <c r="A14" s="5" t="s">
        <v>175</v>
      </c>
      <c r="B14" s="6"/>
      <c r="C14" s="1" t="s">
        <v>3294</v>
      </c>
      <c r="D14" s="5"/>
      <c r="E14" s="1"/>
      <c r="F14" s="1"/>
      <c r="G14" s="1"/>
      <c r="H14" s="1"/>
      <c r="AK14" s="2">
        <f t="shared" si="0"/>
        <v>1</v>
      </c>
      <c r="AM14" s="2">
        <f t="shared" si="1"/>
        <v>0</v>
      </c>
    </row>
    <row r="15" spans="1:41" ht="29" x14ac:dyDescent="0.35">
      <c r="A15" s="5" t="s">
        <v>193</v>
      </c>
      <c r="B15" s="5"/>
      <c r="C15" s="5"/>
      <c r="D15" s="5"/>
      <c r="E15" s="1"/>
      <c r="F15" s="1"/>
      <c r="G15" s="66" t="s">
        <v>194</v>
      </c>
      <c r="H15" s="67" t="s">
        <v>425</v>
      </c>
      <c r="I15" s="67" t="s">
        <v>424</v>
      </c>
      <c r="J15" s="53" t="s">
        <v>442</v>
      </c>
      <c r="K15" s="53" t="s">
        <v>917</v>
      </c>
      <c r="R15" s="54" t="s">
        <v>1433</v>
      </c>
      <c r="S15" s="53" t="s">
        <v>2154</v>
      </c>
      <c r="T15" s="53" t="s">
        <v>39</v>
      </c>
      <c r="V15" s="53" t="s">
        <v>877</v>
      </c>
      <c r="W15" s="54" t="s">
        <v>513</v>
      </c>
      <c r="AA15" s="53" t="s">
        <v>425</v>
      </c>
      <c r="AH15" s="53" t="s">
        <v>1179</v>
      </c>
      <c r="AI15" s="1" t="s">
        <v>1247</v>
      </c>
      <c r="AK15" s="2">
        <f t="shared" si="0"/>
        <v>13</v>
      </c>
      <c r="AM15" s="2">
        <f t="shared" si="1"/>
        <v>7</v>
      </c>
    </row>
    <row r="16" spans="1:41" x14ac:dyDescent="0.35">
      <c r="A16" s="5" t="s">
        <v>244</v>
      </c>
      <c r="B16" s="1"/>
      <c r="C16" s="1"/>
      <c r="D16" s="5"/>
      <c r="E16" s="1"/>
      <c r="F16" s="1"/>
      <c r="G16" s="12" t="s">
        <v>245</v>
      </c>
      <c r="H16" s="1"/>
      <c r="AK16" s="2">
        <f t="shared" si="0"/>
        <v>1</v>
      </c>
      <c r="AM16" s="2">
        <f t="shared" si="1"/>
        <v>1</v>
      </c>
    </row>
    <row r="17" spans="1:39" ht="29" x14ac:dyDescent="0.35">
      <c r="A17" s="5" t="s">
        <v>254</v>
      </c>
      <c r="B17" s="1"/>
      <c r="C17" s="1"/>
      <c r="D17" s="5"/>
      <c r="E17" s="1"/>
      <c r="F17" s="1"/>
      <c r="G17" s="1"/>
      <c r="H17" s="1"/>
      <c r="AK17" s="2">
        <f t="shared" si="0"/>
        <v>0</v>
      </c>
      <c r="AM17" s="2">
        <f t="shared" si="1"/>
        <v>0</v>
      </c>
    </row>
    <row r="18" spans="1:39" x14ac:dyDescent="0.35">
      <c r="A18" s="5" t="s">
        <v>255</v>
      </c>
      <c r="B18" s="1"/>
      <c r="C18" s="1"/>
      <c r="D18" s="5"/>
      <c r="E18" s="1"/>
      <c r="F18" s="1"/>
      <c r="G18" s="1"/>
      <c r="H18" s="1"/>
      <c r="AK18" s="2">
        <f t="shared" si="0"/>
        <v>0</v>
      </c>
      <c r="AM18" s="2">
        <f t="shared" si="1"/>
        <v>0</v>
      </c>
    </row>
    <row r="19" spans="1:39" x14ac:dyDescent="0.35">
      <c r="A19" s="5" t="s">
        <v>256</v>
      </c>
      <c r="B19" s="1"/>
      <c r="C19" s="1"/>
      <c r="D19" s="5"/>
      <c r="E19" s="1"/>
      <c r="F19" s="1"/>
      <c r="G19" s="1"/>
      <c r="H19" s="1"/>
      <c r="AK19" s="2">
        <f t="shared" si="0"/>
        <v>0</v>
      </c>
      <c r="AM19" s="2">
        <f t="shared" si="1"/>
        <v>0</v>
      </c>
    </row>
    <row r="20" spans="1:39" x14ac:dyDescent="0.35">
      <c r="A20" s="5" t="s">
        <v>257</v>
      </c>
      <c r="B20" s="1"/>
      <c r="C20" s="1"/>
      <c r="D20" s="5"/>
      <c r="E20" s="1"/>
      <c r="F20" s="1"/>
      <c r="G20" s="1"/>
      <c r="H20" s="1"/>
      <c r="AK20" s="2">
        <f t="shared" si="0"/>
        <v>0</v>
      </c>
      <c r="AM20" s="2">
        <f t="shared" si="1"/>
        <v>0</v>
      </c>
    </row>
    <row r="21" spans="1:39" ht="29" x14ac:dyDescent="0.35">
      <c r="A21" s="5" t="s">
        <v>258</v>
      </c>
      <c r="B21" s="1"/>
      <c r="C21" s="1"/>
      <c r="D21" s="5"/>
      <c r="E21" s="1"/>
      <c r="F21" s="1"/>
      <c r="G21" s="1"/>
      <c r="H21" s="1"/>
      <c r="AK21" s="2">
        <f t="shared" si="0"/>
        <v>0</v>
      </c>
      <c r="AM21" s="2">
        <f t="shared" si="1"/>
        <v>0</v>
      </c>
    </row>
    <row r="22" spans="1:39" x14ac:dyDescent="0.35">
      <c r="A22" s="5" t="s">
        <v>259</v>
      </c>
      <c r="B22" s="1"/>
      <c r="C22" s="1"/>
      <c r="D22" s="5"/>
      <c r="E22" s="1"/>
      <c r="F22" s="1"/>
      <c r="G22" s="1"/>
      <c r="H22" s="1"/>
      <c r="AK22" s="2">
        <f t="shared" si="0"/>
        <v>0</v>
      </c>
      <c r="AM22" s="2">
        <f t="shared" si="1"/>
        <v>0</v>
      </c>
    </row>
    <row r="23" spans="1:39" ht="29" x14ac:dyDescent="0.35">
      <c r="A23" s="5" t="s">
        <v>260</v>
      </c>
      <c r="B23" s="1"/>
      <c r="C23" s="1"/>
      <c r="D23" s="5"/>
      <c r="E23" s="1"/>
      <c r="F23" s="1"/>
      <c r="G23" s="1"/>
      <c r="H23" s="1"/>
      <c r="AK23" s="2">
        <f t="shared" si="0"/>
        <v>0</v>
      </c>
      <c r="AM23" s="2">
        <f t="shared" si="1"/>
        <v>0</v>
      </c>
    </row>
    <row r="24" spans="1:39" ht="29" x14ac:dyDescent="0.35">
      <c r="A24" s="5" t="s">
        <v>426</v>
      </c>
      <c r="B24" s="45" t="s">
        <v>427</v>
      </c>
      <c r="C24" s="45" t="s">
        <v>427</v>
      </c>
      <c r="D24" s="5"/>
      <c r="E24" s="1"/>
      <c r="F24" s="1"/>
      <c r="G24" s="1"/>
      <c r="H24" s="67" t="s">
        <v>427</v>
      </c>
      <c r="I24" s="67" t="s">
        <v>425</v>
      </c>
      <c r="J24" s="53" t="s">
        <v>443</v>
      </c>
      <c r="K24" s="1" t="s">
        <v>916</v>
      </c>
      <c r="AK24" s="2">
        <f t="shared" si="0"/>
        <v>5</v>
      </c>
      <c r="AM24" s="2">
        <f t="shared" si="1"/>
        <v>4</v>
      </c>
    </row>
    <row r="25" spans="1:39" ht="43.5" x14ac:dyDescent="0.35">
      <c r="A25" s="5" t="s">
        <v>105</v>
      </c>
      <c r="B25" s="6"/>
      <c r="C25" s="44" t="s">
        <v>504</v>
      </c>
      <c r="D25" s="5"/>
      <c r="E25" s="1"/>
      <c r="F25" s="1"/>
      <c r="G25" s="1"/>
      <c r="H25" s="1"/>
      <c r="AK25" s="2">
        <f t="shared" si="0"/>
        <v>1</v>
      </c>
      <c r="AM25" s="2">
        <f t="shared" si="1"/>
        <v>0</v>
      </c>
    </row>
    <row r="26" spans="1:39" ht="29" x14ac:dyDescent="0.35">
      <c r="A26" s="5" t="s">
        <v>106</v>
      </c>
      <c r="B26" s="6"/>
      <c r="C26" s="5"/>
      <c r="D26" s="5"/>
      <c r="E26" s="1"/>
      <c r="F26" s="1"/>
      <c r="G26" s="1"/>
      <c r="H26" s="1"/>
      <c r="AK26" s="2">
        <f t="shared" si="0"/>
        <v>0</v>
      </c>
      <c r="AM26" s="2">
        <f t="shared" si="1"/>
        <v>0</v>
      </c>
    </row>
    <row r="27" spans="1:39" ht="29" x14ac:dyDescent="0.35">
      <c r="A27" s="5" t="s">
        <v>107</v>
      </c>
      <c r="B27" s="6"/>
      <c r="C27" s="5"/>
      <c r="D27" s="5"/>
      <c r="E27" s="1"/>
      <c r="F27" s="1"/>
      <c r="G27" s="1"/>
      <c r="H27" s="1"/>
      <c r="AK27" s="2">
        <f t="shared" si="0"/>
        <v>0</v>
      </c>
      <c r="AM27" s="2">
        <f t="shared" si="1"/>
        <v>0</v>
      </c>
    </row>
    <row r="28" spans="1:39" ht="29" x14ac:dyDescent="0.35">
      <c r="A28" s="5" t="s">
        <v>108</v>
      </c>
      <c r="B28" s="6"/>
      <c r="C28" s="38" t="s">
        <v>508</v>
      </c>
      <c r="D28" s="5"/>
      <c r="E28" s="1"/>
      <c r="F28" s="1"/>
      <c r="G28" s="1"/>
      <c r="H28" s="1"/>
      <c r="AK28" s="2">
        <f t="shared" si="0"/>
        <v>1</v>
      </c>
      <c r="AM28" s="2">
        <f t="shared" si="1"/>
        <v>0</v>
      </c>
    </row>
    <row r="29" spans="1:39" ht="29" x14ac:dyDescent="0.35">
      <c r="A29" s="5" t="s">
        <v>1241</v>
      </c>
      <c r="B29" s="5"/>
      <c r="C29" s="5"/>
      <c r="D29" s="5"/>
      <c r="E29" s="1"/>
      <c r="F29" s="1"/>
      <c r="G29" s="1"/>
      <c r="H29" s="1"/>
      <c r="M29" s="1" t="s">
        <v>946</v>
      </c>
      <c r="AK29" s="2">
        <f t="shared" si="0"/>
        <v>1</v>
      </c>
      <c r="AM29" s="2">
        <f t="shared" si="1"/>
        <v>1</v>
      </c>
    </row>
    <row r="30" spans="1:39" ht="29" x14ac:dyDescent="0.35">
      <c r="A30" s="5" t="s">
        <v>870</v>
      </c>
      <c r="B30" s="5"/>
      <c r="C30" s="5"/>
      <c r="D30" s="5"/>
      <c r="E30" s="1"/>
      <c r="F30" s="1"/>
      <c r="G30" s="1"/>
      <c r="H30" s="1"/>
      <c r="J30" s="53" t="s">
        <v>871</v>
      </c>
      <c r="K30" s="1" t="s">
        <v>1148</v>
      </c>
      <c r="AK30" s="2">
        <f t="shared" si="0"/>
        <v>2</v>
      </c>
      <c r="AM30" s="2">
        <f t="shared" si="1"/>
        <v>2</v>
      </c>
    </row>
    <row r="31" spans="1:39" x14ac:dyDescent="0.35">
      <c r="A31" s="5" t="s">
        <v>1099</v>
      </c>
      <c r="B31" s="5"/>
      <c r="C31" s="5"/>
      <c r="D31" s="5"/>
      <c r="E31" s="1"/>
      <c r="F31" s="1"/>
      <c r="G31" s="1"/>
      <c r="H31" s="1"/>
      <c r="K31" s="1" t="s">
        <v>1100</v>
      </c>
      <c r="AK31" s="2">
        <f t="shared" si="0"/>
        <v>1</v>
      </c>
      <c r="AM31" s="2">
        <f t="shared" si="1"/>
        <v>1</v>
      </c>
    </row>
    <row r="32" spans="1:39" ht="43.5" x14ac:dyDescent="0.35">
      <c r="A32" s="5" t="s">
        <v>2545</v>
      </c>
      <c r="B32" s="5"/>
      <c r="C32" s="5"/>
      <c r="D32" s="5"/>
      <c r="E32" s="1"/>
      <c r="F32" s="1"/>
      <c r="G32" s="1"/>
      <c r="H32" s="1"/>
      <c r="W32" s="53" t="s">
        <v>267</v>
      </c>
      <c r="AA32" s="1" t="s">
        <v>510</v>
      </c>
      <c r="AK32" s="2">
        <f t="shared" si="0"/>
        <v>2</v>
      </c>
      <c r="AM32" s="2">
        <f t="shared" si="1"/>
        <v>0</v>
      </c>
    </row>
    <row r="33" spans="1:39" ht="43.5" x14ac:dyDescent="0.35">
      <c r="A33" s="5" t="s">
        <v>2546</v>
      </c>
      <c r="B33" s="5"/>
      <c r="C33" s="5"/>
      <c r="D33" s="5"/>
      <c r="E33" s="1"/>
      <c r="F33" s="1"/>
      <c r="G33" s="1"/>
      <c r="H33" s="1"/>
      <c r="W33" s="53" t="s">
        <v>517</v>
      </c>
      <c r="AA33" s="1" t="s">
        <v>512</v>
      </c>
      <c r="AK33" s="2">
        <f t="shared" si="0"/>
        <v>2</v>
      </c>
      <c r="AM33" s="2">
        <f t="shared" si="1"/>
        <v>0</v>
      </c>
    </row>
    <row r="34" spans="1:39" ht="29" x14ac:dyDescent="0.35">
      <c r="A34" s="5" t="s">
        <v>3173</v>
      </c>
      <c r="B34" s="5"/>
      <c r="C34" s="5"/>
      <c r="D34" s="5"/>
      <c r="E34" s="1"/>
      <c r="F34" s="1"/>
      <c r="G34" s="1"/>
      <c r="H34" s="1"/>
      <c r="AK34" s="2">
        <f t="shared" si="0"/>
        <v>0</v>
      </c>
      <c r="AM34" s="2">
        <f t="shared" si="1"/>
        <v>0</v>
      </c>
    </row>
    <row r="35" spans="1:39" ht="29" x14ac:dyDescent="0.35">
      <c r="A35" s="5" t="s">
        <v>3174</v>
      </c>
      <c r="B35" s="5"/>
      <c r="C35" s="5"/>
      <c r="D35" s="5"/>
      <c r="E35" s="1"/>
      <c r="F35" s="1"/>
      <c r="G35" s="1"/>
      <c r="H35" s="1"/>
      <c r="AK35" s="2">
        <f t="shared" si="0"/>
        <v>0</v>
      </c>
      <c r="AM35" s="2">
        <f t="shared" si="1"/>
        <v>0</v>
      </c>
    </row>
    <row r="36" spans="1:39" x14ac:dyDescent="0.35">
      <c r="A36" s="5" t="s">
        <v>3175</v>
      </c>
      <c r="B36" s="5"/>
      <c r="C36" s="5"/>
      <c r="D36" s="5"/>
      <c r="E36" s="1"/>
      <c r="F36" s="1"/>
      <c r="G36" s="1"/>
      <c r="H36" s="1"/>
      <c r="AK36" s="2">
        <f t="shared" si="0"/>
        <v>0</v>
      </c>
      <c r="AM36" s="2">
        <f t="shared" si="1"/>
        <v>0</v>
      </c>
    </row>
    <row r="37" spans="1:39" x14ac:dyDescent="0.35">
      <c r="A37" s="5"/>
      <c r="B37" s="5"/>
      <c r="C37" s="5"/>
      <c r="D37" s="5"/>
      <c r="E37" s="1"/>
      <c r="F37" s="1"/>
      <c r="G37" s="1"/>
      <c r="H37" s="1"/>
    </row>
    <row r="38" spans="1:39" x14ac:dyDescent="0.35">
      <c r="A38" s="5"/>
      <c r="B38" s="5"/>
      <c r="C38" s="5"/>
      <c r="D38" s="5"/>
      <c r="E38" s="1"/>
      <c r="F38" s="1"/>
      <c r="G38" s="1"/>
      <c r="H38" s="1"/>
    </row>
    <row r="39" spans="1:39" x14ac:dyDescent="0.35">
      <c r="A39" s="5"/>
      <c r="B39" s="5"/>
      <c r="C39" s="5"/>
      <c r="D39" s="5"/>
      <c r="E39" s="1"/>
      <c r="F39" s="1"/>
      <c r="G39" s="1"/>
      <c r="H39" s="1"/>
    </row>
    <row r="40" spans="1:39" x14ac:dyDescent="0.35">
      <c r="A40" s="5"/>
      <c r="B40" s="5"/>
      <c r="C40" s="5"/>
      <c r="D40" s="5"/>
      <c r="E40" s="1"/>
      <c r="F40" s="1"/>
      <c r="G40" s="1"/>
      <c r="H40" s="1"/>
    </row>
    <row r="41" spans="1:39" x14ac:dyDescent="0.35">
      <c r="A41" s="5"/>
      <c r="B41" s="5"/>
      <c r="C41" s="5"/>
      <c r="D41" s="5"/>
      <c r="E41" s="1"/>
      <c r="F41" s="1"/>
      <c r="G41" s="1"/>
      <c r="H41" s="1"/>
    </row>
    <row r="42" spans="1:39" x14ac:dyDescent="0.35">
      <c r="A42" s="5"/>
      <c r="B42" s="5"/>
      <c r="C42" s="5"/>
      <c r="D42" s="5"/>
      <c r="E42" s="1"/>
      <c r="F42" s="1"/>
      <c r="G42" s="1"/>
      <c r="H42" s="1"/>
    </row>
    <row r="43" spans="1:39" x14ac:dyDescent="0.35">
      <c r="A43" s="5"/>
      <c r="B43" s="5"/>
      <c r="C43" s="5"/>
      <c r="D43" s="5"/>
      <c r="E43" s="1"/>
      <c r="F43" s="1"/>
      <c r="G43" s="1"/>
      <c r="H43" s="1"/>
    </row>
    <row r="44" spans="1:39" x14ac:dyDescent="0.35">
      <c r="A44" s="5"/>
      <c r="B44" s="5"/>
      <c r="C44" s="5"/>
      <c r="D44" s="5"/>
      <c r="E44" s="1"/>
      <c r="F44" s="1"/>
      <c r="G44" s="1"/>
      <c r="H44" s="1"/>
    </row>
    <row r="45" spans="1:39" x14ac:dyDescent="0.35">
      <c r="A45" s="5"/>
      <c r="B45" s="5"/>
      <c r="C45" s="5"/>
      <c r="D45" s="5"/>
      <c r="E45" s="1"/>
      <c r="F45" s="1"/>
      <c r="G45" s="1"/>
      <c r="H45" s="1"/>
    </row>
    <row r="46" spans="1:39" x14ac:dyDescent="0.35">
      <c r="A46" s="5"/>
      <c r="B46" s="5"/>
      <c r="C46" s="5"/>
      <c r="D46" s="5"/>
      <c r="E46" s="1"/>
      <c r="F46" s="1"/>
      <c r="G46" s="1"/>
      <c r="H46" s="1"/>
    </row>
    <row r="47" spans="1:39" x14ac:dyDescent="0.35">
      <c r="A47" s="5"/>
      <c r="B47" s="5"/>
      <c r="C47" s="5"/>
      <c r="D47" s="5"/>
      <c r="E47" s="1"/>
      <c r="F47" s="1"/>
      <c r="G47" s="1"/>
      <c r="H47" s="1"/>
    </row>
    <row r="48" spans="1:39" x14ac:dyDescent="0.35">
      <c r="A48" s="5"/>
      <c r="B48" s="5"/>
      <c r="C48" s="5"/>
      <c r="D48" s="5"/>
      <c r="E48" s="1"/>
      <c r="F48" s="1"/>
      <c r="G48" s="1"/>
      <c r="H48" s="1"/>
    </row>
    <row r="49" spans="1:8" x14ac:dyDescent="0.35">
      <c r="A49" s="5"/>
      <c r="B49" s="5"/>
      <c r="C49" s="5"/>
      <c r="D49" s="5"/>
      <c r="E49" s="1"/>
      <c r="F49" s="1"/>
      <c r="G49" s="1"/>
      <c r="H49" s="1"/>
    </row>
    <row r="50" spans="1:8" x14ac:dyDescent="0.35">
      <c r="A50" s="5"/>
      <c r="B50" s="5"/>
      <c r="C50" s="5"/>
      <c r="D50" s="5"/>
      <c r="E50" s="1"/>
      <c r="F50" s="1"/>
      <c r="G50" s="1"/>
      <c r="H50" s="1"/>
    </row>
    <row r="51" spans="1:8" x14ac:dyDescent="0.35">
      <c r="A51" s="5"/>
      <c r="B51" s="5"/>
      <c r="C51" s="5"/>
      <c r="D51" s="5"/>
      <c r="E51" s="1"/>
      <c r="F51" s="1"/>
      <c r="G51" s="1"/>
      <c r="H51" s="1"/>
    </row>
    <row r="52" spans="1:8" x14ac:dyDescent="0.35">
      <c r="A52" s="5"/>
      <c r="B52" s="5"/>
      <c r="C52" s="5"/>
      <c r="D52" s="5"/>
      <c r="E52" s="1"/>
      <c r="F52" s="1"/>
      <c r="G52" s="1"/>
      <c r="H52" s="1"/>
    </row>
    <row r="53" spans="1:8" x14ac:dyDescent="0.35">
      <c r="A53" s="5"/>
      <c r="B53" s="5"/>
      <c r="C53" s="5"/>
      <c r="D53" s="5"/>
      <c r="E53" s="1"/>
      <c r="F53" s="1"/>
      <c r="G53" s="1"/>
      <c r="H53" s="1"/>
    </row>
    <row r="54" spans="1:8" x14ac:dyDescent="0.35">
      <c r="A54" s="5"/>
      <c r="B54" s="5"/>
      <c r="C54" s="5"/>
      <c r="D54" s="5"/>
      <c r="E54" s="1"/>
      <c r="F54" s="1"/>
      <c r="G54" s="1"/>
      <c r="H54" s="1"/>
    </row>
    <row r="55" spans="1:8" x14ac:dyDescent="0.35">
      <c r="A55" s="5"/>
      <c r="B55" s="5"/>
      <c r="C55" s="5"/>
      <c r="D55" s="5"/>
      <c r="E55" s="1"/>
      <c r="F55" s="1"/>
      <c r="G55" s="1"/>
      <c r="H55" s="1"/>
    </row>
    <row r="56" spans="1:8" x14ac:dyDescent="0.35">
      <c r="A56" s="5"/>
      <c r="B56" s="5"/>
      <c r="C56" s="5"/>
      <c r="D56" s="5"/>
      <c r="E56" s="1"/>
      <c r="F56" s="1"/>
      <c r="G56" s="1"/>
      <c r="H56" s="1"/>
    </row>
    <row r="57" spans="1:8" x14ac:dyDescent="0.35">
      <c r="A57" s="5"/>
      <c r="B57" s="5"/>
      <c r="C57" s="5"/>
      <c r="D57" s="5"/>
      <c r="E57" s="1"/>
      <c r="F57" s="1"/>
      <c r="G57" s="1"/>
      <c r="H57" s="1"/>
    </row>
    <row r="58" spans="1:8" x14ac:dyDescent="0.35">
      <c r="A58" s="5"/>
      <c r="B58" s="5"/>
      <c r="C58" s="5"/>
      <c r="D58" s="5"/>
      <c r="E58" s="1"/>
      <c r="F58" s="1"/>
      <c r="G58" s="1"/>
      <c r="H58" s="1"/>
    </row>
    <row r="59" spans="1:8" x14ac:dyDescent="0.35">
      <c r="A59" s="5"/>
      <c r="B59" s="5"/>
      <c r="C59" s="5"/>
      <c r="D59" s="5"/>
      <c r="E59" s="1"/>
      <c r="F59" s="1"/>
      <c r="G59" s="1"/>
      <c r="H59" s="1"/>
    </row>
    <row r="60" spans="1:8" x14ac:dyDescent="0.35">
      <c r="A60" s="5"/>
      <c r="B60" s="5"/>
      <c r="C60" s="5"/>
      <c r="D60" s="5"/>
      <c r="E60" s="1"/>
      <c r="F60" s="1"/>
      <c r="G60" s="1"/>
      <c r="H60" s="1"/>
    </row>
    <row r="61" spans="1:8" x14ac:dyDescent="0.35">
      <c r="A61" s="5"/>
      <c r="B61" s="5"/>
      <c r="C61" s="5"/>
      <c r="D61" s="5"/>
      <c r="E61" s="1"/>
      <c r="F61" s="1"/>
      <c r="G61" s="1"/>
      <c r="H61" s="1"/>
    </row>
    <row r="62" spans="1:8" x14ac:dyDescent="0.35">
      <c r="A62" s="5"/>
      <c r="B62" s="5"/>
      <c r="C62" s="5"/>
      <c r="D62" s="5"/>
      <c r="E62" s="1"/>
      <c r="F62" s="1"/>
      <c r="G62" s="1"/>
      <c r="H62" s="1"/>
    </row>
    <row r="63" spans="1:8" x14ac:dyDescent="0.35">
      <c r="A63" s="5"/>
      <c r="B63" s="5"/>
      <c r="C63" s="5"/>
      <c r="D63" s="5"/>
      <c r="E63" s="1"/>
      <c r="F63" s="1"/>
      <c r="G63" s="1"/>
      <c r="H63" s="1"/>
    </row>
    <row r="64" spans="1:8" x14ac:dyDescent="0.35">
      <c r="A64" s="5"/>
      <c r="B64" s="5"/>
      <c r="C64" s="5"/>
      <c r="D64" s="5"/>
      <c r="E64" s="1"/>
      <c r="F64" s="1"/>
      <c r="G64" s="1"/>
      <c r="H64" s="1"/>
    </row>
    <row r="65" spans="1:8" x14ac:dyDescent="0.35">
      <c r="A65" s="5"/>
      <c r="B65" s="5"/>
      <c r="C65" s="5"/>
      <c r="D65" s="5"/>
      <c r="E65" s="1"/>
      <c r="F65" s="1"/>
      <c r="G65" s="1"/>
      <c r="H65" s="1"/>
    </row>
    <row r="66" spans="1:8" x14ac:dyDescent="0.35">
      <c r="A66" s="5"/>
      <c r="B66" s="5"/>
      <c r="C66" s="5"/>
      <c r="D66" s="5"/>
      <c r="E66" s="1"/>
      <c r="F66" s="1"/>
      <c r="G66" s="1"/>
      <c r="H66" s="1"/>
    </row>
    <row r="67" spans="1:8" x14ac:dyDescent="0.35">
      <c r="A67" s="5"/>
      <c r="B67" s="5"/>
      <c r="C67" s="5"/>
      <c r="D67" s="5"/>
      <c r="E67" s="1"/>
      <c r="F67" s="1"/>
      <c r="G67" s="1"/>
      <c r="H67" s="1"/>
    </row>
    <row r="68" spans="1:8" x14ac:dyDescent="0.35">
      <c r="A68" s="5"/>
      <c r="B68" s="5"/>
      <c r="C68" s="5"/>
      <c r="D68" s="5"/>
      <c r="E68" s="1"/>
      <c r="F68" s="1"/>
      <c r="G68" s="1"/>
      <c r="H68" s="1"/>
    </row>
    <row r="69" spans="1:8" x14ac:dyDescent="0.35">
      <c r="A69" s="5"/>
      <c r="B69" s="5"/>
      <c r="C69" s="5"/>
      <c r="D69" s="5"/>
      <c r="E69" s="1"/>
      <c r="F69" s="1"/>
      <c r="G69" s="1"/>
      <c r="H69" s="1"/>
    </row>
    <row r="70" spans="1:8" x14ac:dyDescent="0.35">
      <c r="A70" s="5"/>
      <c r="B70" s="5"/>
      <c r="C70" s="5"/>
      <c r="D70" s="5"/>
      <c r="E70" s="1"/>
      <c r="F70" s="1"/>
      <c r="G70" s="1"/>
      <c r="H70" s="1"/>
    </row>
    <row r="71" spans="1:8" x14ac:dyDescent="0.35">
      <c r="A71" s="5"/>
      <c r="B71" s="1"/>
      <c r="C71" s="1"/>
      <c r="D71" s="5"/>
      <c r="E71" s="1"/>
      <c r="F71" s="1"/>
      <c r="G71" s="1"/>
      <c r="H71" s="1"/>
    </row>
    <row r="72" spans="1:8" x14ac:dyDescent="0.35">
      <c r="A72" s="5"/>
      <c r="B72" s="1"/>
      <c r="C72" s="1"/>
      <c r="D72" s="5"/>
      <c r="E72" s="1"/>
      <c r="F72" s="1"/>
      <c r="G72" s="1"/>
      <c r="H72" s="1"/>
    </row>
    <row r="73" spans="1:8" x14ac:dyDescent="0.35">
      <c r="A73" s="5"/>
      <c r="B73" s="1"/>
      <c r="C73" s="1"/>
      <c r="D73" s="5"/>
      <c r="E73" s="1"/>
      <c r="F73" s="1"/>
      <c r="G73" s="1"/>
      <c r="H73" s="1"/>
    </row>
    <row r="74" spans="1:8" x14ac:dyDescent="0.35">
      <c r="A74" s="5"/>
      <c r="B74" s="1"/>
      <c r="C74" s="1"/>
      <c r="D74" s="5"/>
      <c r="E74" s="1"/>
      <c r="F74" s="1"/>
      <c r="G74" s="1"/>
      <c r="H74" s="1"/>
    </row>
    <row r="75" spans="1:8" x14ac:dyDescent="0.35">
      <c r="A75" s="5"/>
      <c r="B75" s="1"/>
      <c r="C75" s="1"/>
      <c r="D75" s="5"/>
      <c r="E75" s="1"/>
      <c r="F75" s="1"/>
      <c r="G75" s="1"/>
      <c r="H75" s="1"/>
    </row>
    <row r="76" spans="1:8" x14ac:dyDescent="0.35">
      <c r="A76" s="5"/>
      <c r="B76" s="1"/>
      <c r="C76" s="1"/>
      <c r="D76" s="5"/>
      <c r="E76" s="1"/>
      <c r="F76" s="1"/>
      <c r="G76" s="1"/>
      <c r="H76" s="1"/>
    </row>
    <row r="77" spans="1:8" x14ac:dyDescent="0.35">
      <c r="A77" s="5"/>
      <c r="B77" s="1"/>
      <c r="C77" s="1"/>
      <c r="D77" s="5"/>
      <c r="E77" s="1"/>
      <c r="F77" s="1"/>
      <c r="G77" s="1"/>
      <c r="H77" s="1"/>
    </row>
    <row r="78" spans="1:8" x14ac:dyDescent="0.35">
      <c r="A78" s="5"/>
      <c r="B78" s="1"/>
      <c r="C78" s="1"/>
      <c r="D78" s="5"/>
      <c r="E78" s="1"/>
      <c r="F78" s="1"/>
      <c r="G78" s="1"/>
      <c r="H78" s="1"/>
    </row>
    <row r="79" spans="1:8" x14ac:dyDescent="0.35">
      <c r="A79" s="5"/>
      <c r="B79" s="1"/>
      <c r="C79" s="1"/>
      <c r="D79" s="5"/>
      <c r="E79" s="1"/>
      <c r="F79" s="1"/>
      <c r="G79" s="1"/>
      <c r="H79" s="1"/>
    </row>
    <row r="80" spans="1:8" x14ac:dyDescent="0.35">
      <c r="A80" s="5"/>
      <c r="B80" s="5"/>
      <c r="C80" s="5"/>
      <c r="D80" s="5"/>
      <c r="E80" s="1"/>
      <c r="F80" s="1"/>
      <c r="G80" s="1"/>
      <c r="H80" s="1"/>
    </row>
    <row r="81" spans="1:8" x14ac:dyDescent="0.35">
      <c r="A81" s="5"/>
      <c r="B81" s="1"/>
      <c r="C81" s="1"/>
      <c r="D81" s="5"/>
      <c r="E81" s="1"/>
      <c r="F81" s="1"/>
      <c r="G81" s="1"/>
      <c r="H81" s="1"/>
    </row>
    <row r="82" spans="1:8" x14ac:dyDescent="0.35">
      <c r="A82" s="5"/>
      <c r="B82" s="1"/>
      <c r="C82" s="1"/>
      <c r="D82" s="5"/>
      <c r="E82" s="1"/>
      <c r="F82" s="1"/>
      <c r="G82" s="1"/>
      <c r="H82" s="1"/>
    </row>
    <row r="83" spans="1:8" x14ac:dyDescent="0.35">
      <c r="A83" s="5"/>
      <c r="B83" s="1"/>
      <c r="C83" s="1"/>
      <c r="D83" s="5"/>
      <c r="E83" s="1"/>
      <c r="F83" s="1"/>
      <c r="G83" s="1"/>
      <c r="H83" s="1"/>
    </row>
    <row r="84" spans="1:8" x14ac:dyDescent="0.35">
      <c r="A84" s="5"/>
      <c r="B84" s="1"/>
      <c r="C84" s="1"/>
      <c r="D84" s="5"/>
      <c r="E84" s="1"/>
      <c r="F84" s="1"/>
      <c r="G84" s="1"/>
      <c r="H84" s="1"/>
    </row>
    <row r="85" spans="1:8" x14ac:dyDescent="0.35">
      <c r="A85" s="5"/>
      <c r="B85" s="1"/>
      <c r="C85" s="1"/>
      <c r="D85" s="5"/>
      <c r="E85" s="1"/>
      <c r="F85" s="1"/>
      <c r="G85" s="1"/>
      <c r="H85" s="1"/>
    </row>
    <row r="86" spans="1:8" x14ac:dyDescent="0.35">
      <c r="A86" s="5"/>
      <c r="B86" s="1"/>
      <c r="C86" s="1"/>
      <c r="D86" s="5"/>
      <c r="E86" s="1"/>
      <c r="F86" s="1"/>
      <c r="G86" s="1"/>
      <c r="H86" s="1"/>
    </row>
    <row r="87" spans="1:8" x14ac:dyDescent="0.35">
      <c r="A87" s="5"/>
      <c r="B87" s="1"/>
      <c r="C87" s="1"/>
      <c r="D87" s="5"/>
      <c r="E87" s="1"/>
      <c r="F87" s="1"/>
      <c r="G87" s="1"/>
      <c r="H87" s="1"/>
    </row>
    <row r="88" spans="1:8" x14ac:dyDescent="0.35">
      <c r="A88" s="5"/>
      <c r="B88" s="1"/>
      <c r="C88" s="1"/>
      <c r="D88" s="5"/>
      <c r="E88" s="1"/>
      <c r="F88" s="1"/>
      <c r="G88" s="1"/>
      <c r="H88" s="1"/>
    </row>
    <row r="89" spans="1:8" x14ac:dyDescent="0.35">
      <c r="A89" s="5"/>
      <c r="B89" s="1"/>
      <c r="C89" s="1"/>
      <c r="D89" s="5"/>
      <c r="E89" s="1"/>
      <c r="F89" s="1"/>
      <c r="G89" s="1"/>
      <c r="H89" s="1"/>
    </row>
    <row r="90" spans="1:8" x14ac:dyDescent="0.35">
      <c r="A90" s="5"/>
      <c r="B90" s="1"/>
      <c r="C90" s="1"/>
      <c r="D90" s="5"/>
      <c r="E90" s="1"/>
      <c r="F90" s="1"/>
      <c r="G90" s="1"/>
      <c r="H90" s="1"/>
    </row>
    <row r="91" spans="1:8" x14ac:dyDescent="0.35">
      <c r="A91" s="5"/>
      <c r="B91" s="1"/>
      <c r="C91" s="1"/>
      <c r="D91" s="5"/>
      <c r="E91" s="1"/>
      <c r="F91" s="1"/>
      <c r="G91" s="1"/>
      <c r="H91" s="1"/>
    </row>
    <row r="92" spans="1:8" x14ac:dyDescent="0.35">
      <c r="A92" s="5"/>
      <c r="B92" s="1"/>
      <c r="C92" s="1"/>
      <c r="D92" s="5"/>
      <c r="E92" s="1"/>
      <c r="F92" s="1"/>
      <c r="G92" s="1"/>
      <c r="H92" s="1"/>
    </row>
    <row r="93" spans="1:8" x14ac:dyDescent="0.35">
      <c r="A93" s="5"/>
      <c r="B93" s="1"/>
      <c r="C93" s="1"/>
      <c r="D93" s="5"/>
      <c r="E93" s="1"/>
      <c r="F93" s="1"/>
      <c r="G93" s="1"/>
      <c r="H93" s="1"/>
    </row>
    <row r="94" spans="1:8" x14ac:dyDescent="0.35">
      <c r="A94" s="5"/>
      <c r="B94" s="1"/>
      <c r="C94" s="1"/>
      <c r="D94" s="5"/>
      <c r="E94" s="1"/>
      <c r="F94" s="1"/>
      <c r="G94" s="1"/>
      <c r="H94" s="1"/>
    </row>
    <row r="95" spans="1:8" x14ac:dyDescent="0.35">
      <c r="A95" s="5"/>
      <c r="B95" s="1"/>
      <c r="C95" s="1"/>
      <c r="D95" s="5"/>
      <c r="E95" s="1"/>
      <c r="F95" s="1"/>
      <c r="G95" s="1"/>
      <c r="H95" s="1"/>
    </row>
    <row r="96" spans="1:8" x14ac:dyDescent="0.35">
      <c r="A96" s="5"/>
      <c r="B96" s="1"/>
      <c r="C96" s="1"/>
      <c r="D96" s="5"/>
      <c r="E96" s="1"/>
      <c r="F96" s="1"/>
      <c r="G96" s="1"/>
      <c r="H96" s="1"/>
    </row>
    <row r="97" spans="1:8" x14ac:dyDescent="0.35">
      <c r="A97" s="5"/>
      <c r="B97" s="1"/>
      <c r="C97" s="1"/>
      <c r="D97" s="5"/>
      <c r="E97" s="1"/>
      <c r="F97" s="1"/>
      <c r="G97" s="1"/>
      <c r="H97" s="1"/>
    </row>
    <row r="98" spans="1:8" x14ac:dyDescent="0.35">
      <c r="A98" s="5"/>
      <c r="B98" s="1"/>
      <c r="C98" s="1"/>
      <c r="D98" s="5"/>
      <c r="E98" s="1"/>
      <c r="F98" s="1"/>
      <c r="G98" s="1"/>
      <c r="H98" s="1"/>
    </row>
    <row r="99" spans="1:8" x14ac:dyDescent="0.35">
      <c r="A99" s="5"/>
      <c r="B99" s="1"/>
      <c r="C99" s="1"/>
      <c r="D99" s="5"/>
      <c r="E99" s="1"/>
      <c r="F99" s="1"/>
      <c r="G99" s="1"/>
      <c r="H99" s="1"/>
    </row>
    <row r="100" spans="1:8" x14ac:dyDescent="0.35">
      <c r="A100" s="5"/>
      <c r="B100" s="1"/>
      <c r="C100" s="1"/>
      <c r="D100" s="5"/>
      <c r="E100" s="1"/>
      <c r="F100" s="1"/>
      <c r="G100" s="1"/>
      <c r="H100" s="1"/>
    </row>
    <row r="101" spans="1:8" x14ac:dyDescent="0.35">
      <c r="A101" s="5"/>
      <c r="B101" s="1"/>
      <c r="C101" s="1"/>
      <c r="D101" s="5"/>
      <c r="E101" s="1"/>
      <c r="F101" s="1"/>
      <c r="G101" s="1"/>
      <c r="H101" s="1"/>
    </row>
    <row r="102" spans="1:8" x14ac:dyDescent="0.35">
      <c r="A102" s="5"/>
      <c r="B102" s="1"/>
      <c r="C102" s="1"/>
      <c r="D102" s="5"/>
      <c r="E102" s="1"/>
      <c r="F102" s="1"/>
      <c r="G102" s="1"/>
      <c r="H102" s="1"/>
    </row>
    <row r="103" spans="1:8" x14ac:dyDescent="0.35">
      <c r="A103" s="5"/>
      <c r="B103" s="1"/>
      <c r="C103" s="1"/>
      <c r="D103" s="5"/>
      <c r="E103" s="1"/>
      <c r="F103" s="1"/>
      <c r="G103" s="1"/>
      <c r="H103" s="1"/>
    </row>
    <row r="104" spans="1:8" x14ac:dyDescent="0.35">
      <c r="A104" s="5"/>
      <c r="B104" s="1"/>
      <c r="C104" s="1"/>
      <c r="D104" s="5"/>
      <c r="E104" s="1"/>
      <c r="F104" s="1"/>
      <c r="G104" s="1"/>
      <c r="H104" s="1"/>
    </row>
    <row r="105" spans="1:8" x14ac:dyDescent="0.35">
      <c r="A105" s="5"/>
      <c r="B105" s="1"/>
      <c r="C105" s="1"/>
      <c r="D105" s="5"/>
      <c r="E105" s="1"/>
      <c r="F105" s="1"/>
      <c r="G105" s="1"/>
      <c r="H105" s="1"/>
    </row>
    <row r="106" spans="1:8" x14ac:dyDescent="0.35">
      <c r="A106" s="5"/>
      <c r="B106" s="1"/>
      <c r="C106" s="1"/>
      <c r="D106" s="5"/>
      <c r="E106" s="1"/>
      <c r="F106" s="1"/>
      <c r="G106" s="1"/>
      <c r="H106" s="1"/>
    </row>
    <row r="107" spans="1:8" x14ac:dyDescent="0.35">
      <c r="A107" s="5"/>
      <c r="B107" s="1"/>
      <c r="C107" s="1"/>
      <c r="D107" s="5"/>
      <c r="E107" s="1"/>
      <c r="F107" s="1"/>
      <c r="G107" s="1"/>
      <c r="H107" s="1"/>
    </row>
    <row r="108" spans="1:8" x14ac:dyDescent="0.35">
      <c r="A108" s="5"/>
      <c r="B108" s="1"/>
      <c r="C108" s="1"/>
      <c r="D108" s="5"/>
      <c r="E108" s="1"/>
      <c r="F108" s="1"/>
      <c r="G108" s="1"/>
      <c r="H108" s="1"/>
    </row>
    <row r="109" spans="1:8" x14ac:dyDescent="0.35">
      <c r="A109" s="5"/>
      <c r="B109" s="1"/>
      <c r="C109" s="1"/>
      <c r="D109" s="5"/>
      <c r="E109" s="1"/>
      <c r="F109" s="1"/>
      <c r="G109" s="1"/>
      <c r="H109" s="1"/>
    </row>
    <row r="110" spans="1:8" x14ac:dyDescent="0.35">
      <c r="A110" s="5"/>
      <c r="B110" s="1"/>
      <c r="C110" s="1"/>
      <c r="D110" s="5"/>
      <c r="E110" s="1"/>
      <c r="F110" s="1"/>
      <c r="G110" s="1"/>
      <c r="H110" s="1"/>
    </row>
    <row r="111" spans="1:8" x14ac:dyDescent="0.35">
      <c r="A111" s="5"/>
      <c r="B111" s="1"/>
      <c r="C111" s="1"/>
      <c r="D111" s="5"/>
      <c r="E111" s="1"/>
      <c r="F111" s="1"/>
      <c r="G111" s="1"/>
      <c r="H111" s="1"/>
    </row>
    <row r="112" spans="1:8" x14ac:dyDescent="0.35">
      <c r="A112" s="5"/>
      <c r="B112" s="1"/>
      <c r="C112" s="1"/>
      <c r="D112" s="5"/>
      <c r="E112" s="1"/>
      <c r="F112" s="1"/>
      <c r="G112" s="1"/>
      <c r="H112" s="1"/>
    </row>
    <row r="113" spans="1:8" x14ac:dyDescent="0.35">
      <c r="A113" s="5"/>
      <c r="B113" s="1"/>
      <c r="C113" s="1"/>
      <c r="D113" s="5"/>
      <c r="E113" s="1"/>
      <c r="F113" s="1"/>
      <c r="G113" s="1"/>
      <c r="H113" s="1"/>
    </row>
    <row r="114" spans="1:8" x14ac:dyDescent="0.35">
      <c r="A114" s="5"/>
      <c r="B114" s="1"/>
      <c r="C114" s="1"/>
      <c r="D114" s="5"/>
      <c r="E114" s="1"/>
      <c r="F114" s="1"/>
      <c r="G114" s="1"/>
      <c r="H114" s="1"/>
    </row>
    <row r="115" spans="1:8" x14ac:dyDescent="0.35">
      <c r="A115" s="5"/>
      <c r="B115" s="1"/>
      <c r="C115" s="1"/>
      <c r="D115" s="5"/>
      <c r="E115" s="1"/>
      <c r="F115" s="1"/>
      <c r="G115" s="1"/>
      <c r="H115" s="1"/>
    </row>
    <row r="116" spans="1:8" x14ac:dyDescent="0.35">
      <c r="A116" s="5"/>
      <c r="B116" s="1"/>
      <c r="C116" s="1"/>
      <c r="D116" s="5"/>
      <c r="E116" s="1"/>
      <c r="F116" s="1"/>
      <c r="G116" s="1"/>
      <c r="H116" s="1"/>
    </row>
    <row r="117" spans="1:8" x14ac:dyDescent="0.35">
      <c r="A117" s="5"/>
      <c r="B117" s="1"/>
      <c r="C117" s="1"/>
      <c r="D117" s="5"/>
      <c r="E117" s="1"/>
      <c r="F117" s="1"/>
      <c r="G117" s="1"/>
      <c r="H117" s="1"/>
    </row>
    <row r="118" spans="1:8" x14ac:dyDescent="0.35">
      <c r="A118" s="5"/>
      <c r="B118" s="1"/>
      <c r="C118" s="1"/>
      <c r="D118" s="5"/>
      <c r="E118" s="1"/>
      <c r="F118" s="1"/>
      <c r="G118" s="1"/>
      <c r="H118" s="1"/>
    </row>
    <row r="119" spans="1:8" x14ac:dyDescent="0.35">
      <c r="A119" s="5"/>
      <c r="B119" s="1"/>
      <c r="C119" s="1"/>
      <c r="D119" s="5"/>
      <c r="E119" s="1"/>
      <c r="F119" s="1"/>
      <c r="G119" s="1"/>
      <c r="H119" s="1"/>
    </row>
    <row r="120" spans="1:8" x14ac:dyDescent="0.35">
      <c r="A120" s="5"/>
      <c r="B120" s="1"/>
      <c r="C120" s="1"/>
      <c r="D120" s="5"/>
      <c r="E120" s="1"/>
      <c r="F120" s="1"/>
      <c r="G120" s="1"/>
      <c r="H120" s="1"/>
    </row>
    <row r="121" spans="1:8" x14ac:dyDescent="0.35">
      <c r="A121" s="5"/>
      <c r="B121" s="1"/>
      <c r="C121" s="1"/>
      <c r="D121" s="5"/>
      <c r="E121" s="1"/>
      <c r="F121" s="1"/>
      <c r="G121" s="1"/>
      <c r="H121" s="1"/>
    </row>
    <row r="122" spans="1:8" x14ac:dyDescent="0.35">
      <c r="A122" s="5"/>
      <c r="B122" s="1"/>
      <c r="C122" s="1"/>
      <c r="D122" s="5"/>
      <c r="E122" s="1"/>
      <c r="F122" s="1"/>
      <c r="G122" s="1"/>
      <c r="H122" s="1"/>
    </row>
    <row r="123" spans="1:8" x14ac:dyDescent="0.35">
      <c r="A123" s="5"/>
      <c r="B123" s="1"/>
      <c r="C123" s="1"/>
      <c r="D123" s="5"/>
      <c r="E123" s="1"/>
      <c r="F123" s="1"/>
      <c r="G123" s="1"/>
      <c r="H123" s="1"/>
    </row>
    <row r="124" spans="1:8" x14ac:dyDescent="0.35">
      <c r="A124" s="5"/>
      <c r="B124" s="1"/>
      <c r="C124" s="1"/>
      <c r="D124" s="5"/>
      <c r="E124" s="1"/>
      <c r="F124" s="1"/>
      <c r="G124" s="1"/>
      <c r="H124" s="1"/>
    </row>
    <row r="125" spans="1:8" x14ac:dyDescent="0.35">
      <c r="A125" s="5"/>
      <c r="B125" s="1"/>
      <c r="C125" s="1"/>
      <c r="D125" s="5"/>
      <c r="E125" s="1"/>
      <c r="F125" s="1"/>
      <c r="G125" s="1"/>
      <c r="H125" s="1"/>
    </row>
    <row r="126" spans="1:8" x14ac:dyDescent="0.35">
      <c r="A126" s="5"/>
      <c r="B126" s="1"/>
      <c r="C126" s="1"/>
      <c r="D126" s="5"/>
      <c r="E126" s="1"/>
      <c r="F126" s="1"/>
      <c r="G126" s="1"/>
      <c r="H126" s="1"/>
    </row>
    <row r="127" spans="1:8" x14ac:dyDescent="0.35">
      <c r="A127" s="5"/>
      <c r="B127" s="1"/>
      <c r="C127" s="1"/>
      <c r="D127" s="5"/>
      <c r="E127" s="1"/>
      <c r="F127" s="1"/>
      <c r="G127" s="1"/>
      <c r="H127" s="1"/>
    </row>
    <row r="128" spans="1:8" x14ac:dyDescent="0.35">
      <c r="A128" s="5"/>
      <c r="B128" s="1"/>
      <c r="C128" s="1"/>
      <c r="D128" s="5"/>
      <c r="E128" s="1"/>
      <c r="F128" s="1"/>
      <c r="G128" s="1"/>
      <c r="H128" s="1"/>
    </row>
    <row r="129" spans="1:8" x14ac:dyDescent="0.35">
      <c r="A129" s="5"/>
      <c r="B129" s="1"/>
      <c r="C129" s="1"/>
      <c r="D129" s="5"/>
      <c r="E129" s="1"/>
      <c r="F129" s="1"/>
      <c r="G129" s="1"/>
      <c r="H129" s="1"/>
    </row>
    <row r="130" spans="1:8" x14ac:dyDescent="0.35">
      <c r="A130" s="5"/>
      <c r="B130" s="1"/>
      <c r="C130" s="1"/>
      <c r="D130" s="5"/>
      <c r="E130" s="1"/>
      <c r="F130" s="1"/>
      <c r="G130" s="1"/>
      <c r="H130" s="1"/>
    </row>
    <row r="131" spans="1:8" x14ac:dyDescent="0.35">
      <c r="A131" s="5"/>
      <c r="B131" s="1"/>
      <c r="C131" s="1"/>
      <c r="D131" s="5"/>
      <c r="E131" s="1"/>
      <c r="F131" s="1"/>
      <c r="G131" s="1"/>
      <c r="H131" s="1"/>
    </row>
    <row r="132" spans="1:8" x14ac:dyDescent="0.35">
      <c r="A132" s="5"/>
      <c r="B132" s="1"/>
      <c r="C132" s="1"/>
      <c r="D132" s="5"/>
      <c r="E132" s="1"/>
      <c r="F132" s="1"/>
      <c r="G132" s="1"/>
      <c r="H132" s="1"/>
    </row>
    <row r="133" spans="1:8" x14ac:dyDescent="0.35">
      <c r="A133" s="5"/>
      <c r="B133" s="1"/>
      <c r="C133" s="1"/>
      <c r="D133" s="5"/>
      <c r="E133" s="1"/>
      <c r="F133" s="1"/>
      <c r="G133" s="1"/>
      <c r="H133" s="1"/>
    </row>
    <row r="134" spans="1:8" x14ac:dyDescent="0.35">
      <c r="A134" s="5"/>
      <c r="B134" s="1"/>
      <c r="C134" s="1"/>
      <c r="D134" s="5"/>
      <c r="E134" s="1"/>
      <c r="F134" s="1"/>
      <c r="G134" s="1"/>
      <c r="H134" s="1"/>
    </row>
    <row r="135" spans="1:8" x14ac:dyDescent="0.35">
      <c r="A135" s="5"/>
      <c r="B135" s="1"/>
      <c r="C135" s="1"/>
      <c r="D135" s="5"/>
      <c r="E135" s="1"/>
      <c r="F135" s="1"/>
      <c r="G135" s="1"/>
      <c r="H135" s="1"/>
    </row>
    <row r="136" spans="1:8" x14ac:dyDescent="0.35">
      <c r="A136" s="5"/>
      <c r="B136" s="1"/>
      <c r="C136" s="1"/>
      <c r="D136" s="5"/>
      <c r="E136" s="1"/>
      <c r="F136" s="1"/>
      <c r="G136" s="1"/>
      <c r="H136" s="1"/>
    </row>
    <row r="137" spans="1:8" x14ac:dyDescent="0.35">
      <c r="A137" s="5"/>
      <c r="B137" s="1"/>
      <c r="C137" s="1"/>
      <c r="D137" s="5"/>
      <c r="E137" s="1"/>
      <c r="F137" s="1"/>
      <c r="G137" s="1"/>
      <c r="H137" s="1"/>
    </row>
    <row r="138" spans="1:8" x14ac:dyDescent="0.35">
      <c r="A138" s="5"/>
      <c r="B138" s="1"/>
      <c r="C138" s="1"/>
      <c r="D138" s="5"/>
      <c r="E138" s="1"/>
      <c r="F138" s="1"/>
      <c r="G138" s="1"/>
      <c r="H138" s="1"/>
    </row>
    <row r="139" spans="1:8" x14ac:dyDescent="0.35">
      <c r="A139" s="5"/>
      <c r="B139" s="1"/>
      <c r="C139" s="1"/>
      <c r="D139" s="5"/>
      <c r="E139" s="1"/>
      <c r="F139" s="1"/>
      <c r="G139" s="1"/>
      <c r="H139" s="1"/>
    </row>
    <row r="140" spans="1:8" x14ac:dyDescent="0.35">
      <c r="A140" s="5"/>
      <c r="B140" s="1"/>
      <c r="C140" s="1"/>
      <c r="D140" s="5"/>
      <c r="E140" s="1"/>
      <c r="F140" s="1"/>
      <c r="G140" s="1"/>
      <c r="H140" s="1"/>
    </row>
    <row r="141" spans="1:8" x14ac:dyDescent="0.35">
      <c r="A141" s="5"/>
      <c r="B141" s="1"/>
      <c r="C141" s="1"/>
      <c r="D141" s="5"/>
      <c r="E141" s="1"/>
      <c r="F141" s="1"/>
      <c r="G141" s="1"/>
      <c r="H141" s="1"/>
    </row>
    <row r="142" spans="1:8" x14ac:dyDescent="0.35">
      <c r="A142" s="5"/>
      <c r="B142" s="1"/>
      <c r="C142" s="1"/>
      <c r="D142" s="5"/>
      <c r="E142" s="1"/>
      <c r="F142" s="1"/>
      <c r="G142" s="1"/>
      <c r="H142" s="1"/>
    </row>
    <row r="143" spans="1:8" x14ac:dyDescent="0.35">
      <c r="A143" s="5"/>
      <c r="B143" s="1"/>
      <c r="C143" s="1"/>
      <c r="D143" s="5"/>
      <c r="E143" s="1"/>
      <c r="F143" s="1"/>
      <c r="G143" s="1"/>
      <c r="H143" s="1"/>
    </row>
    <row r="144" spans="1:8" x14ac:dyDescent="0.35">
      <c r="A144" s="5"/>
      <c r="B144" s="1"/>
      <c r="C144" s="1"/>
      <c r="D144" s="5"/>
      <c r="E144" s="1"/>
      <c r="F144" s="1"/>
      <c r="G144" s="1"/>
      <c r="H144" s="1"/>
    </row>
    <row r="145" spans="1:8" x14ac:dyDescent="0.35">
      <c r="A145" s="5"/>
      <c r="B145" s="1"/>
      <c r="C145" s="1"/>
      <c r="D145" s="5"/>
      <c r="E145" s="1"/>
      <c r="F145" s="1"/>
      <c r="G145" s="1"/>
      <c r="H145" s="1"/>
    </row>
    <row r="146" spans="1:8" x14ac:dyDescent="0.35">
      <c r="A146" s="5"/>
      <c r="B146" s="1"/>
      <c r="C146" s="1"/>
      <c r="D146" s="5"/>
      <c r="E146" s="1"/>
      <c r="F146" s="1"/>
      <c r="G146" s="1"/>
      <c r="H146" s="1"/>
    </row>
    <row r="147" spans="1:8" x14ac:dyDescent="0.35">
      <c r="A147" s="5"/>
      <c r="B147" s="1"/>
      <c r="C147" s="1"/>
      <c r="D147" s="5"/>
      <c r="E147" s="1"/>
      <c r="F147" s="1"/>
      <c r="G147" s="1"/>
      <c r="H147" s="1"/>
    </row>
    <row r="148" spans="1:8" x14ac:dyDescent="0.35">
      <c r="A148" s="5"/>
      <c r="B148" s="1"/>
      <c r="C148" s="1"/>
      <c r="D148" s="5"/>
      <c r="E148" s="1"/>
      <c r="F148" s="1"/>
      <c r="G148" s="1"/>
      <c r="H148" s="1"/>
    </row>
    <row r="149" spans="1:8" x14ac:dyDescent="0.35">
      <c r="A149" s="5"/>
      <c r="B149" s="1"/>
      <c r="C149" s="1"/>
      <c r="D149" s="5"/>
      <c r="E149" s="1"/>
      <c r="F149" s="1"/>
      <c r="G149" s="1"/>
      <c r="H149" s="1"/>
    </row>
    <row r="150" spans="1:8" x14ac:dyDescent="0.35">
      <c r="A150" s="5"/>
      <c r="B150" s="1"/>
      <c r="C150" s="1"/>
      <c r="D150" s="5"/>
      <c r="E150" s="1"/>
      <c r="F150" s="1"/>
      <c r="G150" s="1"/>
      <c r="H150" s="1"/>
    </row>
    <row r="151" spans="1:8" x14ac:dyDescent="0.35">
      <c r="A151" s="5"/>
      <c r="B151" s="1"/>
      <c r="C151" s="1"/>
      <c r="D151" s="5"/>
      <c r="E151" s="1"/>
      <c r="F151" s="1"/>
      <c r="G151" s="1"/>
      <c r="H151" s="1"/>
    </row>
    <row r="152" spans="1:8" x14ac:dyDescent="0.35">
      <c r="A152" s="5"/>
      <c r="B152" s="1"/>
      <c r="C152" s="1"/>
      <c r="D152" s="5"/>
      <c r="E152" s="1"/>
      <c r="F152" s="1"/>
      <c r="G152" s="1"/>
      <c r="H152" s="1"/>
    </row>
    <row r="153" spans="1:8" x14ac:dyDescent="0.35">
      <c r="A153" s="5"/>
      <c r="B153" s="1"/>
      <c r="C153" s="1"/>
      <c r="D153" s="5"/>
      <c r="E153" s="1"/>
      <c r="F153" s="1"/>
      <c r="G153" s="1"/>
      <c r="H153" s="1"/>
    </row>
    <row r="154" spans="1:8" x14ac:dyDescent="0.35">
      <c r="A154" s="5"/>
      <c r="B154" s="1"/>
      <c r="C154" s="1"/>
      <c r="D154" s="5"/>
      <c r="E154" s="1"/>
      <c r="F154" s="1"/>
      <c r="G154" s="1"/>
      <c r="H154" s="1"/>
    </row>
    <row r="155" spans="1:8" x14ac:dyDescent="0.35">
      <c r="A155" s="5"/>
      <c r="B155" s="1"/>
      <c r="C155" s="1"/>
      <c r="D155" s="5"/>
      <c r="E155" s="1"/>
      <c r="F155" s="1"/>
      <c r="G155" s="1"/>
      <c r="H155" s="1"/>
    </row>
    <row r="156" spans="1:8" x14ac:dyDescent="0.35">
      <c r="A156" s="5"/>
      <c r="B156" s="1"/>
      <c r="C156" s="1"/>
      <c r="D156" s="5"/>
      <c r="E156" s="1"/>
      <c r="F156" s="1"/>
      <c r="G156" s="1"/>
      <c r="H156" s="1"/>
    </row>
    <row r="157" spans="1:8" x14ac:dyDescent="0.35">
      <c r="A157" s="5"/>
      <c r="B157" s="1"/>
      <c r="C157" s="1"/>
      <c r="D157" s="5"/>
      <c r="E157" s="1"/>
      <c r="F157" s="1"/>
      <c r="G157" s="1"/>
      <c r="H157" s="1"/>
    </row>
    <row r="158" spans="1:8" x14ac:dyDescent="0.35">
      <c r="A158" s="5"/>
      <c r="B158" s="1"/>
      <c r="C158" s="1"/>
      <c r="D158" s="5"/>
      <c r="E158" s="1"/>
      <c r="F158" s="1"/>
      <c r="G158" s="1"/>
      <c r="H158" s="1"/>
    </row>
    <row r="159" spans="1:8" x14ac:dyDescent="0.35">
      <c r="A159" s="5"/>
      <c r="B159" s="1"/>
      <c r="C159" s="1"/>
      <c r="D159" s="5"/>
      <c r="E159" s="1"/>
      <c r="F159" s="1"/>
      <c r="G159" s="1"/>
      <c r="H159" s="1"/>
    </row>
    <row r="160" spans="1:8" x14ac:dyDescent="0.35">
      <c r="A160" s="5"/>
      <c r="B160" s="1"/>
      <c r="C160" s="1"/>
      <c r="D160" s="5"/>
      <c r="E160" s="1"/>
      <c r="F160" s="1"/>
      <c r="G160" s="1"/>
      <c r="H160" s="1"/>
    </row>
    <row r="161" spans="1:8" x14ac:dyDescent="0.35">
      <c r="A161" s="5"/>
      <c r="B161" s="1"/>
      <c r="C161" s="1"/>
      <c r="D161" s="5"/>
      <c r="E161" s="1"/>
      <c r="F161" s="1"/>
      <c r="G161" s="1"/>
      <c r="H161" s="1"/>
    </row>
    <row r="162" spans="1:8" x14ac:dyDescent="0.35">
      <c r="A162" s="5"/>
      <c r="B162" s="1"/>
      <c r="C162" s="1"/>
      <c r="D162" s="5"/>
      <c r="E162" s="1"/>
      <c r="F162" s="1"/>
      <c r="G162" s="1"/>
      <c r="H162" s="1"/>
    </row>
    <row r="163" spans="1:8" x14ac:dyDescent="0.35">
      <c r="A163" s="5"/>
      <c r="B163" s="1"/>
      <c r="C163" s="1"/>
      <c r="D163" s="5"/>
      <c r="E163" s="1"/>
      <c r="F163" s="1"/>
      <c r="G163" s="1"/>
      <c r="H163" s="1"/>
    </row>
    <row r="164" spans="1:8" x14ac:dyDescent="0.35">
      <c r="A164" s="5"/>
      <c r="B164" s="1"/>
      <c r="C164" s="1"/>
      <c r="D164" s="5"/>
      <c r="E164" s="1"/>
      <c r="F164" s="1"/>
      <c r="G164" s="1"/>
      <c r="H164" s="1"/>
    </row>
    <row r="165" spans="1:8" x14ac:dyDescent="0.35">
      <c r="A165" s="5"/>
      <c r="B165" s="1"/>
      <c r="C165" s="1"/>
      <c r="D165" s="5"/>
      <c r="E165" s="1"/>
      <c r="F165" s="1"/>
      <c r="G165" s="1"/>
      <c r="H165" s="1"/>
    </row>
    <row r="166" spans="1:8" x14ac:dyDescent="0.35">
      <c r="A166" s="5"/>
      <c r="B166" s="1"/>
      <c r="C166" s="1"/>
      <c r="D166" s="5"/>
      <c r="E166" s="1"/>
      <c r="F166" s="1"/>
      <c r="G166" s="1"/>
      <c r="H166" s="1"/>
    </row>
    <row r="167" spans="1:8" x14ac:dyDescent="0.35">
      <c r="A167" s="5"/>
      <c r="B167" s="1"/>
      <c r="C167" s="1"/>
      <c r="D167" s="5"/>
      <c r="E167" s="1"/>
      <c r="F167" s="1"/>
      <c r="G167" s="1"/>
      <c r="H167" s="1"/>
    </row>
    <row r="168" spans="1:8" x14ac:dyDescent="0.35">
      <c r="A168" s="5"/>
      <c r="B168" s="1"/>
      <c r="C168" s="1"/>
      <c r="D168" s="5"/>
      <c r="E168" s="1"/>
      <c r="F168" s="1"/>
      <c r="G168" s="1"/>
      <c r="H168" s="1"/>
    </row>
    <row r="169" spans="1:8" x14ac:dyDescent="0.35">
      <c r="A169" s="5"/>
      <c r="B169" s="1"/>
      <c r="C169" s="1"/>
      <c r="D169" s="5"/>
      <c r="E169" s="1"/>
      <c r="F169" s="1"/>
      <c r="G169" s="1"/>
      <c r="H169" s="1"/>
    </row>
    <row r="170" spans="1:8" x14ac:dyDescent="0.35">
      <c r="A170" s="5"/>
      <c r="B170" s="1"/>
      <c r="C170" s="1"/>
      <c r="D170" s="5"/>
      <c r="E170" s="1"/>
      <c r="F170" s="1"/>
      <c r="G170" s="1"/>
      <c r="H170" s="1"/>
    </row>
    <row r="171" spans="1:8" x14ac:dyDescent="0.35">
      <c r="A171" s="5"/>
      <c r="B171" s="1"/>
      <c r="C171" s="1"/>
      <c r="D171" s="5"/>
      <c r="E171" s="1"/>
      <c r="F171" s="1"/>
      <c r="G171" s="1"/>
      <c r="H171" s="1"/>
    </row>
    <row r="172" spans="1:8" x14ac:dyDescent="0.35">
      <c r="A172" s="5"/>
      <c r="B172" s="1"/>
      <c r="C172" s="1"/>
      <c r="D172" s="5"/>
      <c r="E172" s="1"/>
      <c r="F172" s="1"/>
      <c r="G172" s="1"/>
      <c r="H172" s="1"/>
    </row>
    <row r="173" spans="1:8" x14ac:dyDescent="0.35">
      <c r="A173" s="5"/>
      <c r="B173" s="1"/>
      <c r="C173" s="1"/>
      <c r="D173" s="5"/>
      <c r="E173" s="1"/>
      <c r="F173" s="1"/>
      <c r="G173" s="1"/>
      <c r="H173" s="1"/>
    </row>
    <row r="174" spans="1:8" x14ac:dyDescent="0.35">
      <c r="A174" s="5"/>
      <c r="B174" s="1"/>
      <c r="C174" s="1"/>
      <c r="D174" s="5"/>
      <c r="E174" s="1"/>
      <c r="F174" s="1"/>
      <c r="G174" s="1"/>
      <c r="H174" s="1"/>
    </row>
    <row r="175" spans="1:8" x14ac:dyDescent="0.35">
      <c r="A175" s="5"/>
      <c r="B175" s="1"/>
      <c r="C175" s="1"/>
      <c r="D175" s="5"/>
      <c r="E175" s="1"/>
      <c r="F175" s="1"/>
      <c r="G175" s="1"/>
      <c r="H175" s="1"/>
    </row>
    <row r="176" spans="1:8" x14ac:dyDescent="0.35">
      <c r="A176" s="5"/>
      <c r="B176" s="1"/>
      <c r="C176" s="1"/>
      <c r="D176" s="5"/>
      <c r="E176" s="1"/>
      <c r="F176" s="1"/>
      <c r="G176" s="1"/>
      <c r="H176" s="1"/>
    </row>
    <row r="177" spans="1:8" x14ac:dyDescent="0.35">
      <c r="A177" s="5"/>
      <c r="B177" s="1"/>
      <c r="C177" s="1"/>
      <c r="D177" s="5"/>
      <c r="E177" s="1"/>
      <c r="F177" s="1"/>
      <c r="G177" s="1"/>
      <c r="H177" s="1"/>
    </row>
    <row r="178" spans="1:8" x14ac:dyDescent="0.35">
      <c r="A178" s="5"/>
      <c r="B178" s="1"/>
      <c r="C178" s="1"/>
      <c r="D178" s="5"/>
      <c r="E178" s="1"/>
      <c r="F178" s="1"/>
      <c r="G178" s="1"/>
      <c r="H178" s="1"/>
    </row>
    <row r="179" spans="1:8" x14ac:dyDescent="0.35">
      <c r="A179" s="5"/>
      <c r="B179" s="1"/>
      <c r="C179" s="1"/>
      <c r="D179" s="5"/>
      <c r="E179" s="1"/>
      <c r="F179" s="1"/>
      <c r="G179" s="1"/>
      <c r="H179" s="1"/>
    </row>
    <row r="180" spans="1:8" x14ac:dyDescent="0.35">
      <c r="A180" s="5"/>
      <c r="B180" s="1"/>
      <c r="C180" s="1"/>
      <c r="D180" s="5"/>
      <c r="E180" s="1"/>
      <c r="F180" s="1"/>
      <c r="G180" s="1"/>
      <c r="H180" s="1"/>
    </row>
    <row r="181" spans="1:8" x14ac:dyDescent="0.35">
      <c r="A181" s="5"/>
      <c r="B181" s="1"/>
      <c r="C181" s="1"/>
      <c r="D181" s="5"/>
      <c r="E181" s="1"/>
      <c r="F181" s="1"/>
      <c r="G181" s="1"/>
      <c r="H181" s="1"/>
    </row>
    <row r="182" spans="1:8" x14ac:dyDescent="0.35">
      <c r="A182" s="5"/>
      <c r="B182" s="1"/>
      <c r="C182" s="1"/>
      <c r="D182" s="5"/>
      <c r="E182" s="1"/>
      <c r="F182" s="1"/>
      <c r="G182" s="1"/>
      <c r="H182" s="1"/>
    </row>
    <row r="183" spans="1:8" x14ac:dyDescent="0.35">
      <c r="A183" s="5"/>
      <c r="B183" s="1"/>
      <c r="C183" s="1"/>
      <c r="D183" s="5"/>
      <c r="E183" s="1"/>
      <c r="F183" s="1"/>
      <c r="G183" s="1"/>
      <c r="H183" s="1"/>
    </row>
    <row r="184" spans="1:8" x14ac:dyDescent="0.35">
      <c r="A184" s="5"/>
      <c r="B184" s="1"/>
      <c r="C184" s="1"/>
      <c r="D184" s="5"/>
      <c r="E184" s="1"/>
      <c r="F184" s="1"/>
      <c r="G184" s="1"/>
      <c r="H184" s="1"/>
    </row>
    <row r="185" spans="1:8" x14ac:dyDescent="0.35">
      <c r="A185" s="5"/>
      <c r="B185" s="1"/>
      <c r="C185" s="1"/>
      <c r="D185" s="5"/>
      <c r="E185" s="1"/>
      <c r="F185" s="1"/>
      <c r="G185" s="1"/>
      <c r="H185" s="1"/>
    </row>
    <row r="186" spans="1:8" x14ac:dyDescent="0.35">
      <c r="A186" s="5"/>
      <c r="B186" s="1"/>
      <c r="C186" s="1"/>
      <c r="D186" s="5"/>
      <c r="E186" s="1"/>
      <c r="F186" s="1"/>
      <c r="G186" s="1"/>
      <c r="H186" s="1"/>
    </row>
    <row r="187" spans="1:8" x14ac:dyDescent="0.35">
      <c r="A187" s="5"/>
      <c r="B187" s="1"/>
      <c r="C187" s="1"/>
      <c r="D187" s="5"/>
      <c r="E187" s="1"/>
      <c r="F187" s="1"/>
      <c r="G187" s="1"/>
      <c r="H187" s="1"/>
    </row>
    <row r="188" spans="1:8" x14ac:dyDescent="0.35">
      <c r="A188" s="5"/>
      <c r="B188" s="1"/>
      <c r="C188" s="1"/>
      <c r="D188" s="5"/>
      <c r="E188" s="1"/>
      <c r="F188" s="1"/>
      <c r="G188" s="1"/>
      <c r="H188" s="1"/>
    </row>
    <row r="189" spans="1:8" x14ac:dyDescent="0.35">
      <c r="A189" s="5"/>
      <c r="B189" s="1"/>
      <c r="C189" s="1"/>
      <c r="D189" s="5"/>
      <c r="E189" s="1"/>
      <c r="F189" s="1"/>
      <c r="G189" s="1"/>
      <c r="H189" s="1"/>
    </row>
    <row r="190" spans="1:8" x14ac:dyDescent="0.35">
      <c r="A190" s="5"/>
      <c r="B190" s="1"/>
      <c r="C190" s="1"/>
      <c r="D190" s="5"/>
      <c r="E190" s="1"/>
      <c r="F190" s="1"/>
      <c r="G190" s="1"/>
      <c r="H190" s="1"/>
    </row>
    <row r="191" spans="1:8" x14ac:dyDescent="0.35">
      <c r="A191" s="5"/>
      <c r="B191" s="1"/>
      <c r="C191" s="1"/>
      <c r="D191" s="5"/>
      <c r="E191" s="1"/>
      <c r="F191" s="1"/>
      <c r="G191" s="1"/>
      <c r="H191" s="1"/>
    </row>
    <row r="192" spans="1:8" x14ac:dyDescent="0.35">
      <c r="A192" s="5"/>
      <c r="B192" s="1"/>
      <c r="C192" s="1"/>
      <c r="D192" s="5"/>
      <c r="E192" s="1"/>
      <c r="F192" s="1"/>
      <c r="G192" s="1"/>
      <c r="H192" s="1"/>
    </row>
    <row r="193" spans="1:8" x14ac:dyDescent="0.35">
      <c r="A193" s="5"/>
      <c r="B193" s="1"/>
      <c r="C193" s="1"/>
      <c r="D193" s="5"/>
      <c r="E193" s="1"/>
      <c r="F193" s="1"/>
      <c r="G193" s="1"/>
      <c r="H193" s="1"/>
    </row>
    <row r="194" spans="1:8" x14ac:dyDescent="0.35">
      <c r="A194" s="5"/>
      <c r="B194" s="1"/>
      <c r="C194" s="1"/>
      <c r="D194" s="5"/>
      <c r="E194" s="1"/>
      <c r="F194" s="1"/>
      <c r="G194" s="1"/>
      <c r="H194" s="1"/>
    </row>
    <row r="195" spans="1:8" x14ac:dyDescent="0.35">
      <c r="A195" s="5"/>
      <c r="B195" s="1"/>
      <c r="C195" s="1"/>
      <c r="D195" s="5"/>
      <c r="E195" s="1"/>
      <c r="F195" s="1"/>
      <c r="G195" s="1"/>
      <c r="H195" s="1"/>
    </row>
    <row r="196" spans="1:8" x14ac:dyDescent="0.35">
      <c r="A196" s="5"/>
      <c r="B196" s="1"/>
      <c r="C196" s="1"/>
      <c r="D196" s="5"/>
      <c r="E196" s="1"/>
      <c r="F196" s="1"/>
      <c r="G196" s="1"/>
      <c r="H196" s="1"/>
    </row>
    <row r="197" spans="1:8" x14ac:dyDescent="0.35">
      <c r="A197" s="5"/>
      <c r="B197" s="1"/>
      <c r="C197" s="1"/>
      <c r="D197" s="5"/>
      <c r="E197" s="1"/>
      <c r="F197" s="1"/>
      <c r="G197" s="1"/>
      <c r="H197" s="1"/>
    </row>
    <row r="198" spans="1:8" x14ac:dyDescent="0.35">
      <c r="A198" s="5"/>
      <c r="B198" s="1"/>
      <c r="C198" s="1"/>
      <c r="D198" s="5"/>
      <c r="E198" s="1"/>
      <c r="F198" s="1"/>
      <c r="G198" s="1"/>
      <c r="H198" s="1"/>
    </row>
    <row r="199" spans="1:8" x14ac:dyDescent="0.35">
      <c r="A199" s="5"/>
      <c r="B199" s="1"/>
      <c r="C199" s="1"/>
      <c r="D199" s="5"/>
      <c r="E199" s="1"/>
      <c r="F199" s="1"/>
      <c r="G199" s="1"/>
      <c r="H199" s="1"/>
    </row>
    <row r="200" spans="1:8" x14ac:dyDescent="0.35">
      <c r="A200" s="5"/>
      <c r="B200" s="1"/>
      <c r="C200" s="1"/>
      <c r="D200" s="5"/>
      <c r="E200" s="1"/>
      <c r="F200" s="1"/>
      <c r="G200" s="1"/>
      <c r="H200" s="1"/>
    </row>
    <row r="201" spans="1:8" x14ac:dyDescent="0.35">
      <c r="A201" s="5"/>
      <c r="B201" s="1"/>
      <c r="C201" s="1"/>
      <c r="D201" s="5"/>
      <c r="E201" s="1"/>
      <c r="F201" s="1"/>
      <c r="G201" s="1"/>
      <c r="H201" s="1"/>
    </row>
    <row r="202" spans="1:8" x14ac:dyDescent="0.35">
      <c r="A202" s="5"/>
      <c r="B202" s="1"/>
      <c r="C202" s="1"/>
      <c r="D202" s="5"/>
      <c r="E202" s="1"/>
      <c r="F202" s="1"/>
      <c r="G202" s="1"/>
      <c r="H202" s="1"/>
    </row>
    <row r="203" spans="1:8" x14ac:dyDescent="0.35">
      <c r="A203" s="5"/>
      <c r="B203" s="1"/>
      <c r="C203" s="1"/>
      <c r="D203" s="5"/>
      <c r="E203" s="1"/>
      <c r="F203" s="1"/>
      <c r="G203" s="1"/>
      <c r="H203" s="1"/>
    </row>
    <row r="204" spans="1:8" x14ac:dyDescent="0.35">
      <c r="A204" s="5"/>
      <c r="B204" s="1"/>
      <c r="C204" s="1"/>
      <c r="D204" s="5"/>
      <c r="E204" s="1"/>
      <c r="F204" s="1"/>
      <c r="G204" s="1"/>
      <c r="H204" s="1"/>
    </row>
    <row r="205" spans="1:8" x14ac:dyDescent="0.35">
      <c r="A205" s="5"/>
      <c r="B205" s="1"/>
      <c r="C205" s="1"/>
      <c r="D205" s="5"/>
      <c r="E205" s="1"/>
      <c r="F205" s="1"/>
      <c r="G205" s="1"/>
      <c r="H205" s="1"/>
    </row>
    <row r="206" spans="1:8" x14ac:dyDescent="0.35">
      <c r="A206" s="5"/>
      <c r="B206" s="1"/>
      <c r="C206" s="1"/>
      <c r="D206" s="5"/>
      <c r="E206" s="1"/>
      <c r="F206" s="1"/>
      <c r="G206" s="1"/>
      <c r="H206" s="1"/>
    </row>
    <row r="207" spans="1:8" x14ac:dyDescent="0.35">
      <c r="A207" s="5"/>
      <c r="B207" s="1"/>
      <c r="C207" s="1"/>
      <c r="D207" s="5"/>
      <c r="E207" s="1"/>
      <c r="F207" s="1"/>
      <c r="G207" s="1"/>
      <c r="H207" s="1"/>
    </row>
    <row r="208" spans="1:8" x14ac:dyDescent="0.35">
      <c r="A208" s="5"/>
      <c r="B208" s="1"/>
      <c r="C208" s="1"/>
      <c r="D208" s="5"/>
      <c r="E208" s="1"/>
      <c r="F208" s="1"/>
      <c r="G208" s="1"/>
      <c r="H208" s="1"/>
    </row>
    <row r="209" spans="1:8" x14ac:dyDescent="0.35">
      <c r="A209" s="5"/>
      <c r="B209" s="1"/>
      <c r="C209" s="1"/>
      <c r="D209" s="5"/>
      <c r="E209" s="1"/>
      <c r="F209" s="1"/>
      <c r="G209" s="1"/>
      <c r="H209" s="1"/>
    </row>
    <row r="210" spans="1:8" x14ac:dyDescent="0.35">
      <c r="A210" s="5"/>
      <c r="B210" s="1"/>
      <c r="C210" s="1"/>
      <c r="D210" s="5"/>
      <c r="E210" s="1"/>
      <c r="F210" s="1"/>
      <c r="G210" s="1"/>
      <c r="H210" s="1"/>
    </row>
    <row r="211" spans="1:8" x14ac:dyDescent="0.35">
      <c r="A211" s="5"/>
      <c r="B211" s="1"/>
      <c r="C211" s="1"/>
      <c r="D211" s="5"/>
      <c r="E211" s="1"/>
      <c r="F211" s="1"/>
      <c r="G211" s="1"/>
      <c r="H211" s="1"/>
    </row>
    <row r="212" spans="1:8" x14ac:dyDescent="0.35">
      <c r="A212" s="5"/>
      <c r="B212" s="1"/>
      <c r="C212" s="1"/>
      <c r="D212" s="5"/>
      <c r="E212" s="1"/>
      <c r="F212" s="1"/>
      <c r="G212" s="1"/>
      <c r="H212" s="1"/>
    </row>
    <row r="213" spans="1:8" x14ac:dyDescent="0.35">
      <c r="A213" s="5"/>
      <c r="B213" s="1"/>
      <c r="C213" s="1"/>
      <c r="D213" s="5"/>
      <c r="E213" s="1"/>
      <c r="F213" s="1"/>
      <c r="G213" s="1"/>
      <c r="H213" s="1"/>
    </row>
    <row r="214" spans="1:8" x14ac:dyDescent="0.35">
      <c r="A214" s="5"/>
      <c r="B214" s="1"/>
      <c r="C214" s="1"/>
      <c r="D214" s="5"/>
      <c r="E214" s="1"/>
      <c r="F214" s="1"/>
      <c r="G214" s="1"/>
      <c r="H214" s="1"/>
    </row>
    <row r="215" spans="1:8" x14ac:dyDescent="0.35">
      <c r="A215" s="5"/>
      <c r="B215" s="1"/>
      <c r="C215" s="1"/>
      <c r="D215" s="5"/>
      <c r="E215" s="1"/>
      <c r="F215" s="1"/>
      <c r="G215" s="1"/>
      <c r="H215" s="1"/>
    </row>
    <row r="216" spans="1:8" x14ac:dyDescent="0.35">
      <c r="A216" s="5"/>
      <c r="B216" s="1"/>
      <c r="C216" s="1"/>
      <c r="D216" s="5"/>
      <c r="E216" s="1"/>
      <c r="F216" s="1"/>
      <c r="G216" s="1"/>
      <c r="H216" s="1"/>
    </row>
    <row r="217" spans="1:8" x14ac:dyDescent="0.35">
      <c r="A217" s="5"/>
      <c r="B217" s="1"/>
      <c r="C217" s="1"/>
      <c r="D217" s="5"/>
      <c r="E217" s="1"/>
      <c r="F217" s="1"/>
      <c r="G217" s="1"/>
      <c r="H217" s="1"/>
    </row>
    <row r="218" spans="1:8" x14ac:dyDescent="0.35">
      <c r="A218" s="5"/>
      <c r="B218" s="1"/>
      <c r="C218" s="1"/>
      <c r="D218" s="5"/>
      <c r="E218" s="1"/>
      <c r="F218" s="1"/>
      <c r="G218" s="1"/>
      <c r="H218" s="1"/>
    </row>
    <row r="219" spans="1:8" x14ac:dyDescent="0.35">
      <c r="A219" s="5"/>
      <c r="B219" s="1"/>
      <c r="C219" s="1"/>
      <c r="D219" s="5"/>
      <c r="E219" s="1"/>
      <c r="F219" s="1"/>
      <c r="G219" s="1"/>
      <c r="H219" s="1"/>
    </row>
    <row r="220" spans="1:8" x14ac:dyDescent="0.35">
      <c r="A220" s="5"/>
      <c r="B220" s="1"/>
      <c r="C220" s="1"/>
      <c r="D220" s="5"/>
      <c r="E220" s="1"/>
      <c r="F220" s="1"/>
      <c r="G220" s="1"/>
      <c r="H220" s="1"/>
    </row>
    <row r="221" spans="1:8" x14ac:dyDescent="0.35">
      <c r="A221" s="5"/>
      <c r="B221" s="1"/>
      <c r="C221" s="1"/>
      <c r="D221" s="5"/>
      <c r="E221" s="1"/>
      <c r="F221" s="1"/>
      <c r="G221" s="1"/>
      <c r="H221" s="1"/>
    </row>
    <row r="222" spans="1:8" x14ac:dyDescent="0.35">
      <c r="A222" s="5"/>
      <c r="B222" s="1"/>
      <c r="C222" s="1"/>
      <c r="D222" s="5"/>
      <c r="E222" s="1"/>
      <c r="F222" s="1"/>
      <c r="G222" s="1"/>
      <c r="H222" s="1"/>
    </row>
    <row r="223" spans="1:8" x14ac:dyDescent="0.35">
      <c r="A223" s="5"/>
      <c r="B223" s="1"/>
      <c r="C223" s="1"/>
      <c r="D223" s="5"/>
      <c r="E223" s="1"/>
      <c r="F223" s="1"/>
      <c r="G223" s="1"/>
      <c r="H223" s="1"/>
    </row>
    <row r="224" spans="1:8" x14ac:dyDescent="0.35">
      <c r="A224" s="5"/>
      <c r="B224" s="1"/>
      <c r="C224" s="1"/>
      <c r="D224" s="5"/>
      <c r="E224" s="1"/>
      <c r="F224" s="1"/>
      <c r="G224" s="1"/>
      <c r="H224" s="1"/>
    </row>
    <row r="225" spans="1:8" x14ac:dyDescent="0.35">
      <c r="A225" s="5"/>
      <c r="B225" s="1"/>
      <c r="C225" s="1"/>
      <c r="D225" s="5"/>
      <c r="E225" s="1"/>
      <c r="F225" s="1"/>
      <c r="G225" s="1"/>
      <c r="H225" s="1"/>
    </row>
    <row r="226" spans="1:8" x14ac:dyDescent="0.35">
      <c r="A226" s="5"/>
      <c r="B226" s="1"/>
      <c r="C226" s="1"/>
      <c r="D226" s="5"/>
      <c r="E226" s="1"/>
      <c r="F226" s="1"/>
      <c r="G226" s="1"/>
      <c r="H226" s="1"/>
    </row>
    <row r="227" spans="1:8" x14ac:dyDescent="0.35">
      <c r="A227" s="5"/>
      <c r="B227" s="1"/>
      <c r="C227" s="1"/>
      <c r="D227" s="5"/>
      <c r="E227" s="1"/>
      <c r="F227" s="1"/>
      <c r="G227" s="1"/>
      <c r="H227" s="1"/>
    </row>
    <row r="228" spans="1:8" x14ac:dyDescent="0.35">
      <c r="A228" s="5"/>
      <c r="B228" s="1"/>
      <c r="C228" s="1"/>
      <c r="D228" s="5"/>
      <c r="E228" s="1"/>
      <c r="F228" s="1"/>
      <c r="G228" s="1"/>
      <c r="H228" s="1"/>
    </row>
    <row r="229" spans="1:8" x14ac:dyDescent="0.35">
      <c r="A229" s="5"/>
      <c r="B229" s="1"/>
      <c r="C229" s="1"/>
      <c r="D229" s="5"/>
      <c r="E229" s="1"/>
      <c r="F229" s="1"/>
      <c r="G229" s="1"/>
      <c r="H229" s="1"/>
    </row>
    <row r="230" spans="1:8" x14ac:dyDescent="0.35">
      <c r="A230" s="5"/>
      <c r="B230" s="1"/>
      <c r="C230" s="1"/>
      <c r="D230" s="5"/>
      <c r="E230" s="1"/>
      <c r="F230" s="1"/>
      <c r="G230" s="1"/>
      <c r="H230" s="1"/>
    </row>
    <row r="231" spans="1:8" x14ac:dyDescent="0.35">
      <c r="A231" s="5"/>
      <c r="B231" s="1"/>
      <c r="C231" s="1"/>
      <c r="D231" s="5"/>
      <c r="E231" s="1"/>
      <c r="F231" s="1"/>
      <c r="G231" s="1"/>
      <c r="H231" s="1"/>
    </row>
    <row r="232" spans="1:8" x14ac:dyDescent="0.35">
      <c r="A232" s="5"/>
      <c r="B232" s="1"/>
      <c r="C232" s="1"/>
      <c r="D232" s="5"/>
      <c r="E232" s="1"/>
      <c r="F232" s="1"/>
      <c r="G232" s="1"/>
      <c r="H232" s="1"/>
    </row>
    <row r="233" spans="1:8" x14ac:dyDescent="0.35">
      <c r="A233" s="5"/>
      <c r="B233" s="1"/>
      <c r="C233" s="1"/>
      <c r="D233" s="5"/>
      <c r="E233" s="1"/>
      <c r="F233" s="1"/>
      <c r="G233" s="1"/>
      <c r="H233" s="1"/>
    </row>
    <row r="234" spans="1:8" x14ac:dyDescent="0.35">
      <c r="A234" s="5"/>
      <c r="B234" s="1"/>
      <c r="C234" s="1"/>
      <c r="D234" s="5"/>
      <c r="E234" s="1"/>
      <c r="F234" s="1"/>
      <c r="G234" s="1"/>
      <c r="H234" s="1"/>
    </row>
    <row r="235" spans="1:8" x14ac:dyDescent="0.35">
      <c r="A235" s="5"/>
      <c r="B235" s="1"/>
      <c r="C235" s="1"/>
      <c r="D235" s="5"/>
      <c r="E235" s="1"/>
      <c r="F235" s="1"/>
      <c r="G235" s="1"/>
      <c r="H235" s="1"/>
    </row>
    <row r="236" spans="1:8" x14ac:dyDescent="0.35">
      <c r="A236" s="5"/>
      <c r="B236" s="1"/>
      <c r="C236" s="1"/>
      <c r="D236" s="5"/>
      <c r="E236" s="1"/>
      <c r="F236" s="1"/>
      <c r="G236" s="1"/>
      <c r="H236" s="1"/>
    </row>
    <row r="237" spans="1:8" x14ac:dyDescent="0.35">
      <c r="A237" s="5"/>
      <c r="B237" s="1"/>
      <c r="C237" s="1"/>
      <c r="D237" s="5"/>
      <c r="E237" s="1"/>
      <c r="F237" s="1"/>
      <c r="G237" s="1"/>
      <c r="H237" s="1"/>
    </row>
    <row r="238" spans="1:8" x14ac:dyDescent="0.35">
      <c r="A238" s="5"/>
      <c r="B238" s="1"/>
      <c r="C238" s="1"/>
      <c r="D238" s="5"/>
      <c r="E238" s="1"/>
      <c r="F238" s="1"/>
      <c r="G238" s="1"/>
      <c r="H238" s="1"/>
    </row>
    <row r="239" spans="1:8" x14ac:dyDescent="0.35">
      <c r="A239" s="5"/>
      <c r="B239" s="1"/>
      <c r="C239" s="1"/>
      <c r="D239" s="5"/>
      <c r="E239" s="1"/>
      <c r="F239" s="1"/>
      <c r="G239" s="1"/>
      <c r="H239" s="1"/>
    </row>
    <row r="240" spans="1:8" x14ac:dyDescent="0.35">
      <c r="A240" s="5"/>
      <c r="B240" s="1"/>
      <c r="C240" s="1"/>
      <c r="D240" s="5"/>
      <c r="E240" s="1"/>
      <c r="F240" s="1"/>
      <c r="G240" s="1"/>
      <c r="H240" s="1"/>
    </row>
    <row r="241" spans="1:8" x14ac:dyDescent="0.35">
      <c r="A241" s="5"/>
      <c r="B241" s="1"/>
      <c r="C241" s="1"/>
      <c r="D241" s="5"/>
      <c r="E241" s="1"/>
      <c r="F241" s="1"/>
      <c r="G241" s="1"/>
      <c r="H241" s="1"/>
    </row>
    <row r="242" spans="1:8" x14ac:dyDescent="0.35">
      <c r="A242" s="5"/>
      <c r="B242" s="1"/>
      <c r="C242" s="1"/>
      <c r="D242" s="5"/>
      <c r="E242" s="1"/>
      <c r="F242" s="1"/>
      <c r="G242" s="1"/>
      <c r="H242" s="1"/>
    </row>
    <row r="243" spans="1:8" x14ac:dyDescent="0.35">
      <c r="A243" s="5"/>
      <c r="B243" s="1"/>
      <c r="C243" s="1"/>
      <c r="D243" s="5"/>
      <c r="E243" s="1"/>
      <c r="F243" s="1"/>
      <c r="G243" s="1"/>
      <c r="H243" s="1"/>
    </row>
    <row r="244" spans="1:8" x14ac:dyDescent="0.35">
      <c r="A244" s="5"/>
      <c r="B244" s="1"/>
      <c r="C244" s="1"/>
      <c r="D244" s="5"/>
      <c r="E244" s="1"/>
      <c r="F244" s="1"/>
      <c r="G244" s="1"/>
      <c r="H244" s="1"/>
    </row>
    <row r="245" spans="1:8" x14ac:dyDescent="0.35">
      <c r="A245" s="5"/>
      <c r="B245" s="1"/>
      <c r="C245" s="1"/>
      <c r="D245" s="5"/>
      <c r="E245" s="1"/>
      <c r="F245" s="1"/>
      <c r="G245" s="1"/>
      <c r="H245" s="1"/>
    </row>
    <row r="246" spans="1:8" x14ac:dyDescent="0.35">
      <c r="A246" s="5"/>
      <c r="B246" s="1"/>
      <c r="C246" s="1"/>
      <c r="D246" s="5"/>
      <c r="E246" s="1"/>
      <c r="F246" s="1"/>
      <c r="G246" s="1"/>
      <c r="H246" s="1"/>
    </row>
    <row r="247" spans="1:8" x14ac:dyDescent="0.35">
      <c r="A247" s="5"/>
      <c r="B247" s="1"/>
      <c r="C247" s="1"/>
      <c r="D247" s="5"/>
      <c r="E247" s="1"/>
      <c r="F247" s="1"/>
      <c r="G247" s="1"/>
      <c r="H247" s="1"/>
    </row>
    <row r="248" spans="1:8" x14ac:dyDescent="0.35">
      <c r="A248" s="5"/>
      <c r="B248" s="1"/>
      <c r="C248" s="1"/>
      <c r="D248" s="5"/>
      <c r="E248" s="1"/>
      <c r="F248" s="1"/>
      <c r="G248" s="1"/>
      <c r="H248" s="1"/>
    </row>
    <row r="249" spans="1:8" x14ac:dyDescent="0.35">
      <c r="A249" s="5"/>
      <c r="B249" s="1"/>
      <c r="C249" s="1"/>
      <c r="D249" s="5"/>
      <c r="E249" s="1"/>
      <c r="F249" s="1"/>
      <c r="G249" s="1"/>
      <c r="H249" s="1"/>
    </row>
    <row r="250" spans="1:8" x14ac:dyDescent="0.35">
      <c r="A250" s="5"/>
      <c r="B250" s="1"/>
      <c r="C250" s="1"/>
      <c r="D250" s="5"/>
      <c r="E250" s="1"/>
      <c r="F250" s="1"/>
      <c r="G250" s="1"/>
      <c r="H250" s="1"/>
    </row>
    <row r="251" spans="1:8" x14ac:dyDescent="0.35">
      <c r="A251" s="5"/>
      <c r="B251" s="1"/>
      <c r="C251" s="1"/>
      <c r="D251" s="5"/>
      <c r="E251" s="1"/>
      <c r="F251" s="1"/>
      <c r="G251" s="1"/>
      <c r="H251" s="1"/>
    </row>
    <row r="252" spans="1:8" x14ac:dyDescent="0.35">
      <c r="A252" s="5"/>
      <c r="B252" s="1"/>
      <c r="C252" s="1"/>
      <c r="D252" s="5"/>
      <c r="E252" s="1"/>
      <c r="F252" s="1"/>
      <c r="G252" s="1"/>
      <c r="H252" s="1"/>
    </row>
    <row r="253" spans="1:8" x14ac:dyDescent="0.35">
      <c r="A253" s="5"/>
      <c r="B253" s="1"/>
      <c r="C253" s="1"/>
      <c r="D253" s="5"/>
      <c r="E253" s="1"/>
      <c r="F253" s="1"/>
      <c r="G253" s="1"/>
      <c r="H253" s="1"/>
    </row>
    <row r="254" spans="1:8" x14ac:dyDescent="0.35">
      <c r="A254" s="5"/>
      <c r="B254" s="1"/>
      <c r="C254" s="1"/>
      <c r="D254" s="5"/>
      <c r="E254" s="1"/>
      <c r="F254" s="1"/>
      <c r="G254" s="1"/>
      <c r="H254" s="1"/>
    </row>
    <row r="255" spans="1:8" x14ac:dyDescent="0.35">
      <c r="A255" s="5"/>
      <c r="B255" s="1"/>
      <c r="C255" s="1"/>
      <c r="D255" s="5"/>
      <c r="E255" s="1"/>
      <c r="F255" s="1"/>
      <c r="G255" s="1"/>
      <c r="H255" s="1"/>
    </row>
    <row r="256" spans="1:8" x14ac:dyDescent="0.35">
      <c r="A256" s="5"/>
      <c r="B256" s="1"/>
      <c r="C256" s="1"/>
      <c r="D256" s="5"/>
      <c r="E256" s="1"/>
      <c r="F256" s="1"/>
      <c r="G256" s="1"/>
      <c r="H256" s="1"/>
    </row>
    <row r="257" spans="1:8" x14ac:dyDescent="0.35">
      <c r="A257" s="5"/>
      <c r="B257" s="1"/>
      <c r="C257" s="1"/>
      <c r="D257" s="5"/>
      <c r="E257" s="1"/>
      <c r="F257" s="1"/>
      <c r="G257" s="1"/>
      <c r="H257" s="1"/>
    </row>
    <row r="258" spans="1:8" x14ac:dyDescent="0.35">
      <c r="A258" s="5"/>
      <c r="B258" s="1"/>
      <c r="C258" s="1"/>
      <c r="D258" s="5"/>
      <c r="E258" s="1"/>
      <c r="F258" s="1"/>
      <c r="G258" s="1"/>
      <c r="H258" s="1"/>
    </row>
    <row r="259" spans="1:8" x14ac:dyDescent="0.35">
      <c r="A259" s="5"/>
      <c r="B259" s="1"/>
      <c r="C259" s="1"/>
      <c r="D259" s="5"/>
      <c r="E259" s="1"/>
      <c r="F259" s="1"/>
      <c r="G259" s="1"/>
      <c r="H259" s="1"/>
    </row>
    <row r="260" spans="1:8" x14ac:dyDescent="0.35">
      <c r="A260" s="5"/>
      <c r="B260" s="1"/>
      <c r="C260" s="1"/>
      <c r="D260" s="5"/>
      <c r="E260" s="1"/>
      <c r="F260" s="1"/>
      <c r="G260" s="1"/>
      <c r="H260" s="1"/>
    </row>
    <row r="261" spans="1:8" x14ac:dyDescent="0.35">
      <c r="B261" s="1"/>
      <c r="C261" s="1"/>
    </row>
    <row r="262" spans="1:8" x14ac:dyDescent="0.35">
      <c r="B262" s="1"/>
      <c r="C262" s="1"/>
    </row>
    <row r="263" spans="1:8" x14ac:dyDescent="0.35">
      <c r="B263" s="1"/>
      <c r="C263" s="1"/>
    </row>
    <row r="264" spans="1:8" x14ac:dyDescent="0.35">
      <c r="B264" s="1"/>
      <c r="C264" s="1"/>
    </row>
    <row r="265" spans="1:8" x14ac:dyDescent="0.35">
      <c r="B265" s="1"/>
      <c r="C265" s="1"/>
    </row>
    <row r="266" spans="1:8" x14ac:dyDescent="0.35">
      <c r="B266" s="1"/>
      <c r="C266" s="1"/>
    </row>
    <row r="267" spans="1:8" x14ac:dyDescent="0.35">
      <c r="B267" s="1"/>
      <c r="C267" s="1"/>
    </row>
    <row r="268" spans="1:8" x14ac:dyDescent="0.35">
      <c r="B268" s="1"/>
      <c r="C268" s="1"/>
    </row>
    <row r="269" spans="1:8" x14ac:dyDescent="0.35">
      <c r="B269" s="1"/>
      <c r="C269" s="1"/>
    </row>
    <row r="270" spans="1:8" x14ac:dyDescent="0.35">
      <c r="B270" s="1"/>
      <c r="C270" s="1"/>
    </row>
    <row r="271" spans="1:8" x14ac:dyDescent="0.35">
      <c r="B271" s="1"/>
      <c r="C271" s="1"/>
    </row>
    <row r="272" spans="1:8" x14ac:dyDescent="0.35">
      <c r="B272" s="1"/>
      <c r="C272" s="1"/>
    </row>
    <row r="273" spans="2:3" x14ac:dyDescent="0.35">
      <c r="B273" s="1"/>
      <c r="C273" s="1"/>
    </row>
    <row r="274" spans="2:3" x14ac:dyDescent="0.35">
      <c r="B274" s="1"/>
      <c r="C274" s="1"/>
    </row>
    <row r="275" spans="2:3" x14ac:dyDescent="0.35">
      <c r="B275" s="1"/>
      <c r="C275" s="1"/>
    </row>
    <row r="276" spans="2:3" x14ac:dyDescent="0.35">
      <c r="B276" s="1"/>
      <c r="C276" s="1"/>
    </row>
    <row r="277" spans="2:3" x14ac:dyDescent="0.35">
      <c r="B277" s="1"/>
      <c r="C277" s="1"/>
    </row>
    <row r="278" spans="2:3" x14ac:dyDescent="0.35">
      <c r="B278" s="1"/>
      <c r="C278" s="1"/>
    </row>
    <row r="279" spans="2:3" x14ac:dyDescent="0.35">
      <c r="B279" s="1"/>
      <c r="C279" s="1"/>
    </row>
    <row r="280" spans="2:3" x14ac:dyDescent="0.35">
      <c r="B280" s="1"/>
      <c r="C280" s="1"/>
    </row>
    <row r="281" spans="2:3" x14ac:dyDescent="0.35">
      <c r="B281" s="1"/>
      <c r="C281" s="1"/>
    </row>
    <row r="282" spans="2:3" x14ac:dyDescent="0.35">
      <c r="B282" s="1"/>
      <c r="C282" s="1"/>
    </row>
    <row r="283" spans="2:3" x14ac:dyDescent="0.35">
      <c r="B283" s="1"/>
      <c r="C283" s="1"/>
    </row>
    <row r="284" spans="2:3" x14ac:dyDescent="0.35">
      <c r="B284" s="1"/>
      <c r="C284" s="1"/>
    </row>
    <row r="285" spans="2:3" x14ac:dyDescent="0.35">
      <c r="B285" s="1"/>
      <c r="C285" s="1"/>
    </row>
    <row r="286" spans="2:3" x14ac:dyDescent="0.35">
      <c r="B286" s="1"/>
      <c r="C286" s="1"/>
    </row>
    <row r="287" spans="2:3" x14ac:dyDescent="0.35">
      <c r="B287" s="1"/>
      <c r="C287" s="1"/>
    </row>
    <row r="288" spans="2:3" x14ac:dyDescent="0.35">
      <c r="B288" s="1"/>
      <c r="C288" s="1"/>
    </row>
  </sheetData>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58C9C-DE4E-4D98-A70E-71A3A3F19504}">
  <sheetPr codeName="Sheet22"/>
  <dimension ref="A1:AN288"/>
  <sheetViews>
    <sheetView rightToLeft="1" workbookViewId="0">
      <pane xSplit="1" ySplit="1" topLeftCell="X3" activePane="bottomRight" state="frozen"/>
      <selection activeCell="A6" sqref="A6"/>
      <selection pane="topRight" activeCell="A6" sqref="A6"/>
      <selection pane="bottomLeft" activeCell="A6" sqref="A6"/>
      <selection pane="bottomRight" activeCell="A7" sqref="A7"/>
    </sheetView>
  </sheetViews>
  <sheetFormatPr defaultColWidth="8.81640625" defaultRowHeight="14.5" x14ac:dyDescent="0.35"/>
  <cols>
    <col min="1" max="1" width="52.1796875" style="8" customWidth="1"/>
    <col min="2" max="2" width="10" style="2" customWidth="1"/>
    <col min="3" max="3" width="10.1796875" style="8" customWidth="1"/>
    <col min="4" max="4" width="11.81640625" style="2" customWidth="1"/>
    <col min="5" max="7" width="8.81640625" style="2"/>
    <col min="8" max="15" width="8.81640625" style="1" customWidth="1"/>
    <col min="16" max="17" width="8.81640625" style="30" customWidth="1"/>
    <col min="18" max="34" width="8.81640625" style="1" customWidth="1"/>
    <col min="35" max="35" width="8.81640625" style="2"/>
    <col min="36" max="36" width="10.08984375" style="2" bestFit="1" customWidth="1"/>
    <col min="37" max="37" width="8.81640625" style="2"/>
    <col min="38" max="38" width="10.54296875" style="2" bestFit="1" customWidth="1"/>
    <col min="39" max="39" width="8.81640625" style="2"/>
    <col min="40" max="40" width="17" style="2" bestFit="1" customWidth="1"/>
    <col min="41" max="16384" width="8.81640625" style="2"/>
  </cols>
  <sheetData>
    <row r="1" spans="1:40" ht="15" thickBot="1" x14ac:dyDescent="0.4">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29" x14ac:dyDescent="0.35">
      <c r="A2" s="5" t="s">
        <v>41</v>
      </c>
      <c r="B2" s="6"/>
      <c r="C2" s="5" t="s">
        <v>42</v>
      </c>
      <c r="D2" s="1" t="s">
        <v>42</v>
      </c>
      <c r="E2" s="3"/>
      <c r="F2" s="3"/>
      <c r="G2" s="3"/>
      <c r="H2" s="3"/>
      <c r="I2" s="3"/>
      <c r="J2" s="3"/>
      <c r="K2" s="3"/>
      <c r="L2" s="3"/>
      <c r="M2" s="3"/>
      <c r="N2" s="3"/>
      <c r="O2" s="3"/>
      <c r="P2" s="29"/>
      <c r="Q2" s="29"/>
      <c r="R2" s="3"/>
      <c r="S2" s="3"/>
      <c r="T2" s="3"/>
      <c r="U2" s="3"/>
      <c r="V2" s="3"/>
      <c r="W2" s="3"/>
      <c r="X2" s="3"/>
      <c r="Y2" s="3"/>
      <c r="Z2" s="3"/>
      <c r="AA2" s="3"/>
      <c r="AB2" s="3"/>
      <c r="AC2" s="3"/>
      <c r="AD2" s="3"/>
      <c r="AE2" s="3"/>
      <c r="AF2" s="3"/>
      <c r="AG2" s="3"/>
      <c r="AH2" s="3"/>
      <c r="AJ2" s="2">
        <f>COUNTA(B2:AH2)</f>
        <v>2</v>
      </c>
      <c r="AL2" s="2">
        <f>COUNTA(F2:O2,R2:S2)</f>
        <v>0</v>
      </c>
      <c r="AN2" s="2">
        <f>COUNTIF(AL2:AL8,"&gt;=2")</f>
        <v>1</v>
      </c>
    </row>
    <row r="3" spans="1:40" ht="29" x14ac:dyDescent="0.35">
      <c r="A3" s="5" t="s">
        <v>43</v>
      </c>
      <c r="B3" s="10" t="s">
        <v>44</v>
      </c>
      <c r="C3" s="5" t="s">
        <v>44</v>
      </c>
      <c r="D3" s="53" t="s">
        <v>44</v>
      </c>
      <c r="E3" s="61" t="s">
        <v>365</v>
      </c>
      <c r="F3" s="61" t="s">
        <v>44</v>
      </c>
      <c r="G3" s="12" t="s">
        <v>63</v>
      </c>
      <c r="AJ3" s="2">
        <f t="shared" ref="AJ3:AJ8" si="0">COUNTA(B3:AH3)</f>
        <v>6</v>
      </c>
      <c r="AL3" s="2">
        <f t="shared" ref="AL3:AL8" si="1">COUNTA(F3:O3,R3:S3)</f>
        <v>2</v>
      </c>
    </row>
    <row r="4" spans="1:40" ht="72.5" x14ac:dyDescent="0.35">
      <c r="A4" s="5" t="s">
        <v>45</v>
      </c>
      <c r="B4" s="43" t="s">
        <v>17</v>
      </c>
      <c r="C4" s="5" t="s">
        <v>17</v>
      </c>
      <c r="D4" s="59" t="s">
        <v>17</v>
      </c>
      <c r="E4" s="1"/>
      <c r="F4" s="10" t="s">
        <v>17</v>
      </c>
      <c r="G4" s="1"/>
      <c r="AJ4" s="2">
        <f t="shared" si="0"/>
        <v>4</v>
      </c>
      <c r="AL4" s="2">
        <f t="shared" si="1"/>
        <v>1</v>
      </c>
    </row>
    <row r="5" spans="1:40" ht="43.5" x14ac:dyDescent="0.35">
      <c r="A5" s="5" t="s">
        <v>2864</v>
      </c>
      <c r="B5" s="5"/>
      <c r="C5" s="5"/>
      <c r="D5" s="1"/>
      <c r="E5" s="1"/>
      <c r="F5" s="1"/>
      <c r="G5" s="1"/>
      <c r="AD5" s="1" t="s">
        <v>1096</v>
      </c>
      <c r="AJ5" s="2">
        <f t="shared" si="0"/>
        <v>1</v>
      </c>
      <c r="AL5" s="2">
        <f t="shared" si="1"/>
        <v>0</v>
      </c>
    </row>
    <row r="6" spans="1:40" ht="29" x14ac:dyDescent="0.35">
      <c r="A6" s="5" t="s">
        <v>2865</v>
      </c>
      <c r="B6" s="6"/>
      <c r="C6" s="5"/>
      <c r="D6" s="1"/>
      <c r="E6" s="1"/>
      <c r="F6" s="1"/>
      <c r="G6" s="1"/>
      <c r="AD6" s="1" t="s">
        <v>1512</v>
      </c>
      <c r="AJ6" s="2">
        <f t="shared" si="0"/>
        <v>1</v>
      </c>
      <c r="AL6" s="2">
        <f t="shared" si="1"/>
        <v>0</v>
      </c>
    </row>
    <row r="7" spans="1:40" x14ac:dyDescent="0.35">
      <c r="A7" s="5" t="s">
        <v>2867</v>
      </c>
      <c r="B7" s="6"/>
      <c r="C7" s="5"/>
      <c r="D7" s="1"/>
      <c r="E7" s="1"/>
      <c r="F7" s="1"/>
      <c r="G7" s="1"/>
      <c r="AD7" s="1" t="s">
        <v>1462</v>
      </c>
      <c r="AJ7" s="2">
        <f t="shared" si="0"/>
        <v>1</v>
      </c>
      <c r="AL7" s="2">
        <f t="shared" si="1"/>
        <v>0</v>
      </c>
    </row>
    <row r="8" spans="1:40" ht="29" x14ac:dyDescent="0.35">
      <c r="A8" s="5" t="s">
        <v>2895</v>
      </c>
      <c r="B8" s="6"/>
      <c r="C8" s="5"/>
      <c r="D8" s="1"/>
      <c r="E8" s="1"/>
      <c r="F8" s="1"/>
      <c r="G8" s="1"/>
      <c r="AD8" s="1" t="s">
        <v>2896</v>
      </c>
      <c r="AJ8" s="2">
        <f t="shared" si="0"/>
        <v>1</v>
      </c>
      <c r="AL8" s="2">
        <f t="shared" si="1"/>
        <v>0</v>
      </c>
    </row>
    <row r="9" spans="1:40" x14ac:dyDescent="0.35">
      <c r="A9" s="5"/>
      <c r="B9" s="6"/>
      <c r="C9" s="5"/>
      <c r="D9" s="1"/>
      <c r="E9" s="1"/>
      <c r="F9" s="1"/>
      <c r="G9" s="1"/>
    </row>
    <row r="10" spans="1:40" x14ac:dyDescent="0.35">
      <c r="A10" s="5"/>
      <c r="B10" s="6"/>
      <c r="C10" s="5"/>
      <c r="D10" s="1"/>
      <c r="E10" s="1"/>
      <c r="F10" s="1"/>
      <c r="G10" s="1"/>
    </row>
    <row r="11" spans="1:40" x14ac:dyDescent="0.35">
      <c r="A11" s="5"/>
      <c r="B11" s="6"/>
      <c r="C11" s="5"/>
      <c r="D11" s="1"/>
      <c r="E11" s="1"/>
      <c r="F11" s="1"/>
      <c r="G11" s="1"/>
    </row>
    <row r="12" spans="1:40" x14ac:dyDescent="0.35">
      <c r="A12" s="5"/>
      <c r="B12" s="1"/>
      <c r="C12" s="5"/>
      <c r="D12" s="1"/>
      <c r="E12" s="1"/>
      <c r="F12" s="1"/>
      <c r="G12" s="1"/>
    </row>
    <row r="13" spans="1:40" x14ac:dyDescent="0.35">
      <c r="A13" s="5"/>
      <c r="B13" s="1"/>
      <c r="C13" s="5"/>
      <c r="D13" s="1"/>
      <c r="E13" s="1"/>
      <c r="F13" s="1"/>
      <c r="G13" s="1"/>
    </row>
    <row r="14" spans="1:40" x14ac:dyDescent="0.35">
      <c r="A14" s="5"/>
      <c r="B14" s="1"/>
      <c r="C14" s="5"/>
      <c r="D14" s="1"/>
      <c r="E14" s="1"/>
      <c r="F14" s="1"/>
      <c r="G14" s="1"/>
    </row>
    <row r="15" spans="1:40" x14ac:dyDescent="0.35">
      <c r="A15" s="5"/>
      <c r="B15" s="5"/>
      <c r="C15" s="5"/>
      <c r="D15" s="1"/>
      <c r="E15" s="1"/>
      <c r="F15" s="1"/>
      <c r="G15" s="1"/>
    </row>
    <row r="16" spans="1:40" x14ac:dyDescent="0.35">
      <c r="A16" s="5"/>
      <c r="B16" s="1"/>
      <c r="C16" s="5"/>
      <c r="D16" s="1"/>
      <c r="E16" s="1"/>
      <c r="F16" s="1"/>
      <c r="G16" s="1"/>
    </row>
    <row r="17" spans="1:7" x14ac:dyDescent="0.35">
      <c r="A17" s="5"/>
      <c r="B17" s="1"/>
      <c r="C17" s="5"/>
      <c r="D17" s="1"/>
      <c r="E17" s="1"/>
      <c r="F17" s="1"/>
      <c r="G17" s="1"/>
    </row>
    <row r="18" spans="1:7" x14ac:dyDescent="0.35">
      <c r="A18" s="5"/>
      <c r="B18" s="1"/>
      <c r="C18" s="5"/>
      <c r="D18" s="1"/>
      <c r="E18" s="1"/>
      <c r="F18" s="1"/>
      <c r="G18" s="1"/>
    </row>
    <row r="19" spans="1:7" x14ac:dyDescent="0.35">
      <c r="A19" s="5"/>
      <c r="B19" s="1"/>
      <c r="C19" s="5"/>
      <c r="D19" s="1"/>
      <c r="E19" s="1"/>
      <c r="F19" s="1"/>
      <c r="G19" s="1"/>
    </row>
    <row r="20" spans="1:7" x14ac:dyDescent="0.35">
      <c r="A20" s="5"/>
      <c r="B20" s="1"/>
      <c r="C20" s="5"/>
      <c r="D20" s="1"/>
      <c r="E20" s="1"/>
      <c r="F20" s="1"/>
      <c r="G20" s="1"/>
    </row>
    <row r="21" spans="1:7" x14ac:dyDescent="0.35">
      <c r="A21" s="5"/>
      <c r="B21" s="1"/>
      <c r="C21" s="5"/>
      <c r="D21" s="1"/>
      <c r="E21" s="1"/>
      <c r="F21" s="1"/>
      <c r="G21" s="1"/>
    </row>
    <row r="22" spans="1:7" x14ac:dyDescent="0.35">
      <c r="A22" s="5"/>
      <c r="B22" s="1"/>
      <c r="C22" s="5"/>
      <c r="D22" s="1"/>
      <c r="E22" s="1"/>
      <c r="F22" s="1"/>
      <c r="G22" s="1"/>
    </row>
    <row r="23" spans="1:7" x14ac:dyDescent="0.35">
      <c r="A23" s="5"/>
      <c r="B23" s="1"/>
      <c r="C23" s="5"/>
      <c r="D23" s="1"/>
      <c r="E23" s="1"/>
      <c r="F23" s="1"/>
      <c r="G23" s="1"/>
    </row>
    <row r="24" spans="1:7" x14ac:dyDescent="0.35">
      <c r="A24" s="5"/>
      <c r="B24" s="1"/>
      <c r="C24" s="5"/>
      <c r="D24" s="1"/>
      <c r="E24" s="1"/>
      <c r="F24" s="1"/>
      <c r="G24" s="1"/>
    </row>
    <row r="25" spans="1:7" x14ac:dyDescent="0.35">
      <c r="A25" s="5"/>
      <c r="B25" s="1"/>
      <c r="C25" s="5"/>
      <c r="D25" s="1"/>
      <c r="E25" s="1"/>
      <c r="F25" s="1"/>
      <c r="G25" s="1"/>
    </row>
    <row r="26" spans="1:7" x14ac:dyDescent="0.35">
      <c r="A26" s="5"/>
      <c r="B26" s="5"/>
      <c r="C26" s="5"/>
      <c r="D26" s="1"/>
      <c r="E26" s="1"/>
      <c r="F26" s="1"/>
      <c r="G26" s="1"/>
    </row>
    <row r="27" spans="1:7" x14ac:dyDescent="0.35">
      <c r="A27" s="5"/>
      <c r="B27" s="5"/>
      <c r="C27" s="5"/>
      <c r="D27" s="1"/>
      <c r="E27" s="1"/>
      <c r="F27" s="1"/>
      <c r="G27" s="1"/>
    </row>
    <row r="28" spans="1:7" x14ac:dyDescent="0.35">
      <c r="A28" s="5"/>
      <c r="B28" s="5"/>
      <c r="C28" s="5"/>
      <c r="D28" s="1"/>
      <c r="E28" s="1"/>
      <c r="F28" s="1"/>
      <c r="G28" s="1"/>
    </row>
    <row r="29" spans="1:7" x14ac:dyDescent="0.35">
      <c r="A29" s="5"/>
      <c r="B29" s="5"/>
      <c r="C29" s="5"/>
      <c r="D29" s="1"/>
      <c r="E29" s="1"/>
      <c r="F29" s="1"/>
      <c r="G29" s="1"/>
    </row>
    <row r="30" spans="1:7" x14ac:dyDescent="0.35">
      <c r="A30" s="5"/>
      <c r="B30" s="5"/>
      <c r="C30" s="5"/>
      <c r="D30" s="1"/>
      <c r="E30" s="1"/>
      <c r="F30" s="1"/>
      <c r="G30" s="1"/>
    </row>
    <row r="31" spans="1:7" x14ac:dyDescent="0.35">
      <c r="A31" s="5"/>
      <c r="B31" s="5"/>
      <c r="C31" s="5"/>
      <c r="D31" s="1"/>
      <c r="E31" s="1"/>
      <c r="F31" s="1"/>
      <c r="G31" s="1"/>
    </row>
    <row r="32" spans="1:7" x14ac:dyDescent="0.35">
      <c r="A32" s="5"/>
      <c r="B32" s="5"/>
      <c r="C32" s="5"/>
      <c r="D32" s="1"/>
      <c r="E32" s="1"/>
      <c r="F32" s="1"/>
      <c r="G32" s="1"/>
    </row>
    <row r="33" spans="1:7" x14ac:dyDescent="0.35">
      <c r="A33" s="5"/>
      <c r="B33" s="5"/>
      <c r="C33" s="5"/>
      <c r="D33" s="1"/>
      <c r="E33" s="1"/>
      <c r="F33" s="1"/>
      <c r="G33" s="1"/>
    </row>
    <row r="34" spans="1:7" x14ac:dyDescent="0.35">
      <c r="A34" s="5"/>
      <c r="B34" s="5"/>
      <c r="C34" s="5"/>
      <c r="D34" s="1"/>
      <c r="E34" s="1"/>
      <c r="F34" s="1"/>
      <c r="G34" s="1"/>
    </row>
    <row r="35" spans="1:7" x14ac:dyDescent="0.35">
      <c r="A35" s="5"/>
      <c r="B35" s="5"/>
      <c r="C35" s="5"/>
      <c r="D35" s="1"/>
      <c r="E35" s="1"/>
      <c r="F35" s="1"/>
      <c r="G35" s="1"/>
    </row>
    <row r="36" spans="1:7" x14ac:dyDescent="0.35">
      <c r="A36" s="5"/>
      <c r="B36" s="5"/>
      <c r="C36" s="5"/>
      <c r="D36" s="1"/>
      <c r="E36" s="1"/>
      <c r="F36" s="1"/>
      <c r="G36" s="1"/>
    </row>
    <row r="37" spans="1:7" x14ac:dyDescent="0.35">
      <c r="A37" s="5"/>
      <c r="B37" s="5"/>
      <c r="C37" s="5"/>
      <c r="D37" s="1"/>
      <c r="E37" s="1"/>
      <c r="F37" s="1"/>
      <c r="G37" s="1"/>
    </row>
    <row r="38" spans="1:7" x14ac:dyDescent="0.35">
      <c r="A38" s="5"/>
      <c r="B38" s="5"/>
      <c r="C38" s="5"/>
      <c r="D38" s="1"/>
      <c r="E38" s="1"/>
      <c r="F38" s="1"/>
      <c r="G38" s="1"/>
    </row>
    <row r="39" spans="1:7" x14ac:dyDescent="0.35">
      <c r="A39" s="5"/>
      <c r="B39" s="5"/>
      <c r="C39" s="5"/>
      <c r="D39" s="1"/>
      <c r="E39" s="1"/>
      <c r="F39" s="1"/>
      <c r="G39" s="1"/>
    </row>
    <row r="40" spans="1:7" x14ac:dyDescent="0.35">
      <c r="A40" s="5"/>
      <c r="B40" s="5"/>
      <c r="C40" s="5"/>
      <c r="D40" s="1"/>
      <c r="E40" s="1"/>
      <c r="F40" s="1"/>
      <c r="G40" s="1"/>
    </row>
    <row r="41" spans="1:7" x14ac:dyDescent="0.35">
      <c r="A41" s="5"/>
      <c r="B41" s="5"/>
      <c r="C41" s="5"/>
      <c r="D41" s="1"/>
      <c r="E41" s="1"/>
      <c r="F41" s="1"/>
      <c r="G41" s="1"/>
    </row>
    <row r="42" spans="1:7" x14ac:dyDescent="0.35">
      <c r="A42" s="5"/>
      <c r="B42" s="5"/>
      <c r="C42" s="5"/>
      <c r="D42" s="1"/>
      <c r="E42" s="1"/>
      <c r="F42" s="1"/>
      <c r="G42" s="1"/>
    </row>
    <row r="43" spans="1:7" x14ac:dyDescent="0.35">
      <c r="A43" s="5"/>
      <c r="B43" s="5"/>
      <c r="C43" s="5"/>
      <c r="D43" s="1"/>
      <c r="E43" s="1"/>
      <c r="F43" s="1"/>
      <c r="G43" s="1"/>
    </row>
    <row r="44" spans="1:7" x14ac:dyDescent="0.35">
      <c r="A44" s="5"/>
      <c r="B44" s="5"/>
      <c r="C44" s="5"/>
      <c r="D44" s="1"/>
      <c r="E44" s="1"/>
      <c r="F44" s="1"/>
      <c r="G44" s="1"/>
    </row>
    <row r="45" spans="1:7" x14ac:dyDescent="0.35">
      <c r="A45" s="5"/>
      <c r="B45" s="5"/>
      <c r="C45" s="5"/>
      <c r="D45" s="1"/>
      <c r="E45" s="1"/>
      <c r="F45" s="1"/>
      <c r="G45" s="1"/>
    </row>
    <row r="46" spans="1:7" x14ac:dyDescent="0.35">
      <c r="A46" s="5"/>
      <c r="B46" s="5"/>
      <c r="C46" s="5"/>
      <c r="D46" s="1"/>
      <c r="E46" s="1"/>
      <c r="F46" s="1"/>
      <c r="G46" s="1"/>
    </row>
    <row r="47" spans="1:7" x14ac:dyDescent="0.35">
      <c r="A47" s="5"/>
      <c r="B47" s="5"/>
      <c r="C47" s="5"/>
      <c r="D47" s="1"/>
      <c r="E47" s="1"/>
      <c r="F47" s="1"/>
      <c r="G47" s="1"/>
    </row>
    <row r="48" spans="1:7" x14ac:dyDescent="0.35">
      <c r="A48" s="5"/>
      <c r="B48" s="5"/>
      <c r="C48" s="5"/>
      <c r="D48" s="1"/>
      <c r="E48" s="1"/>
      <c r="F48" s="1"/>
      <c r="G48" s="1"/>
    </row>
    <row r="49" spans="1:7" x14ac:dyDescent="0.35">
      <c r="A49" s="5"/>
      <c r="B49" s="5"/>
      <c r="C49" s="5"/>
      <c r="D49" s="1"/>
      <c r="E49" s="1"/>
      <c r="F49" s="1"/>
      <c r="G49" s="1"/>
    </row>
    <row r="50" spans="1:7" x14ac:dyDescent="0.35">
      <c r="A50" s="5"/>
      <c r="B50" s="5"/>
      <c r="C50" s="5"/>
      <c r="D50" s="1"/>
      <c r="E50" s="1"/>
      <c r="F50" s="1"/>
      <c r="G50" s="1"/>
    </row>
    <row r="51" spans="1:7" x14ac:dyDescent="0.35">
      <c r="A51" s="5"/>
      <c r="B51" s="5"/>
      <c r="C51" s="5"/>
      <c r="D51" s="1"/>
      <c r="E51" s="1"/>
      <c r="F51" s="1"/>
      <c r="G51" s="1"/>
    </row>
    <row r="52" spans="1:7" x14ac:dyDescent="0.35">
      <c r="A52" s="5"/>
      <c r="B52" s="5"/>
      <c r="C52" s="5"/>
      <c r="D52" s="1"/>
      <c r="E52" s="1"/>
      <c r="F52" s="1"/>
      <c r="G52" s="1"/>
    </row>
    <row r="53" spans="1:7" x14ac:dyDescent="0.35">
      <c r="A53" s="5"/>
      <c r="B53" s="5"/>
      <c r="C53" s="5"/>
      <c r="D53" s="1"/>
      <c r="E53" s="1"/>
      <c r="F53" s="1"/>
      <c r="G53" s="1"/>
    </row>
    <row r="54" spans="1:7" x14ac:dyDescent="0.35">
      <c r="A54" s="5"/>
      <c r="B54" s="5"/>
      <c r="C54" s="5"/>
      <c r="D54" s="1"/>
      <c r="E54" s="1"/>
      <c r="F54" s="1"/>
      <c r="G54" s="1"/>
    </row>
    <row r="55" spans="1:7" x14ac:dyDescent="0.35">
      <c r="A55" s="5"/>
      <c r="B55" s="5"/>
      <c r="C55" s="5"/>
      <c r="D55" s="1"/>
      <c r="E55" s="1"/>
      <c r="F55" s="1"/>
      <c r="G55" s="1"/>
    </row>
    <row r="56" spans="1:7" x14ac:dyDescent="0.35">
      <c r="A56" s="5"/>
      <c r="B56" s="5"/>
      <c r="C56" s="5"/>
      <c r="D56" s="1"/>
      <c r="E56" s="1"/>
      <c r="F56" s="1"/>
      <c r="G56" s="1"/>
    </row>
    <row r="57" spans="1:7" x14ac:dyDescent="0.35">
      <c r="A57" s="5"/>
      <c r="B57" s="5"/>
      <c r="C57" s="5"/>
      <c r="D57" s="1"/>
      <c r="E57" s="1"/>
      <c r="F57" s="1"/>
      <c r="G57" s="1"/>
    </row>
    <row r="58" spans="1:7" x14ac:dyDescent="0.35">
      <c r="A58" s="5"/>
      <c r="B58" s="5"/>
      <c r="C58" s="5"/>
      <c r="D58" s="1"/>
      <c r="E58" s="1"/>
      <c r="F58" s="1"/>
      <c r="G58" s="1"/>
    </row>
    <row r="59" spans="1:7" x14ac:dyDescent="0.35">
      <c r="A59" s="5"/>
      <c r="B59" s="5"/>
      <c r="C59" s="5"/>
      <c r="D59" s="1"/>
      <c r="E59" s="1"/>
      <c r="F59" s="1"/>
      <c r="G59" s="1"/>
    </row>
    <row r="60" spans="1:7" x14ac:dyDescent="0.35">
      <c r="A60" s="5"/>
      <c r="B60" s="5"/>
      <c r="C60" s="5"/>
      <c r="D60" s="1"/>
      <c r="E60" s="1"/>
      <c r="F60" s="1"/>
      <c r="G60" s="1"/>
    </row>
    <row r="61" spans="1:7" x14ac:dyDescent="0.35">
      <c r="A61" s="5"/>
      <c r="B61" s="5"/>
      <c r="C61" s="5"/>
      <c r="D61" s="1"/>
      <c r="E61" s="1"/>
      <c r="F61" s="1"/>
      <c r="G61" s="1"/>
    </row>
    <row r="62" spans="1:7" x14ac:dyDescent="0.35">
      <c r="A62" s="5"/>
      <c r="B62" s="5"/>
      <c r="C62" s="5"/>
      <c r="D62" s="1"/>
      <c r="E62" s="1"/>
      <c r="F62" s="1"/>
      <c r="G62" s="1"/>
    </row>
    <row r="63" spans="1:7" x14ac:dyDescent="0.35">
      <c r="A63" s="5"/>
      <c r="B63" s="5"/>
      <c r="C63" s="5"/>
      <c r="D63" s="1"/>
      <c r="E63" s="1"/>
      <c r="F63" s="1"/>
      <c r="G63" s="1"/>
    </row>
    <row r="64" spans="1:7" x14ac:dyDescent="0.35">
      <c r="A64" s="5"/>
      <c r="B64" s="5"/>
      <c r="C64" s="5"/>
      <c r="D64" s="1"/>
      <c r="E64" s="1"/>
      <c r="F64" s="1"/>
      <c r="G64" s="1"/>
    </row>
    <row r="65" spans="1:7" x14ac:dyDescent="0.35">
      <c r="A65" s="5"/>
      <c r="B65" s="5"/>
      <c r="C65" s="5"/>
      <c r="D65" s="1"/>
      <c r="E65" s="1"/>
      <c r="F65" s="1"/>
      <c r="G65" s="1"/>
    </row>
    <row r="66" spans="1:7" x14ac:dyDescent="0.35">
      <c r="A66" s="5"/>
      <c r="B66" s="5"/>
      <c r="C66" s="5"/>
      <c r="D66" s="1"/>
      <c r="E66" s="1"/>
      <c r="F66" s="1"/>
      <c r="G66" s="1"/>
    </row>
    <row r="67" spans="1:7" x14ac:dyDescent="0.35">
      <c r="A67" s="5"/>
      <c r="B67" s="5"/>
      <c r="C67" s="5"/>
      <c r="D67" s="1"/>
      <c r="E67" s="1"/>
      <c r="F67" s="1"/>
      <c r="G67" s="1"/>
    </row>
    <row r="68" spans="1:7" x14ac:dyDescent="0.35">
      <c r="A68" s="5"/>
      <c r="B68" s="5"/>
      <c r="C68" s="5"/>
      <c r="D68" s="1"/>
      <c r="E68" s="1"/>
      <c r="F68" s="1"/>
      <c r="G68" s="1"/>
    </row>
    <row r="69" spans="1:7" x14ac:dyDescent="0.35">
      <c r="A69" s="5"/>
      <c r="B69" s="5"/>
      <c r="C69" s="5"/>
      <c r="D69" s="1"/>
      <c r="E69" s="1"/>
      <c r="F69" s="1"/>
      <c r="G69" s="1"/>
    </row>
    <row r="70" spans="1:7" x14ac:dyDescent="0.35">
      <c r="A70" s="5"/>
      <c r="B70" s="5"/>
      <c r="C70" s="5"/>
      <c r="D70" s="1"/>
      <c r="E70" s="1"/>
      <c r="F70" s="1"/>
      <c r="G70" s="1"/>
    </row>
    <row r="71" spans="1:7" x14ac:dyDescent="0.35">
      <c r="A71" s="5"/>
      <c r="B71" s="1"/>
      <c r="C71" s="5"/>
      <c r="D71" s="1"/>
      <c r="E71" s="1"/>
      <c r="F71" s="1"/>
      <c r="G71" s="1"/>
    </row>
    <row r="72" spans="1:7" x14ac:dyDescent="0.35">
      <c r="A72" s="5"/>
      <c r="B72" s="1"/>
      <c r="C72" s="5"/>
      <c r="D72" s="1"/>
      <c r="E72" s="1"/>
      <c r="F72" s="1"/>
      <c r="G72" s="1"/>
    </row>
    <row r="73" spans="1:7" x14ac:dyDescent="0.35">
      <c r="A73" s="5"/>
      <c r="B73" s="1"/>
      <c r="C73" s="5"/>
      <c r="D73" s="1"/>
      <c r="E73" s="1"/>
      <c r="F73" s="1"/>
      <c r="G73" s="1"/>
    </row>
    <row r="74" spans="1:7" x14ac:dyDescent="0.35">
      <c r="A74" s="5"/>
      <c r="B74" s="1"/>
      <c r="C74" s="5"/>
      <c r="D74" s="1"/>
      <c r="E74" s="1"/>
      <c r="F74" s="1"/>
      <c r="G74" s="1"/>
    </row>
    <row r="75" spans="1:7" x14ac:dyDescent="0.35">
      <c r="A75" s="5"/>
      <c r="B75" s="1"/>
      <c r="C75" s="5"/>
      <c r="D75" s="1"/>
      <c r="E75" s="1"/>
      <c r="F75" s="1"/>
      <c r="G75" s="1"/>
    </row>
    <row r="76" spans="1:7" x14ac:dyDescent="0.35">
      <c r="A76" s="5"/>
      <c r="B76" s="1"/>
      <c r="C76" s="5"/>
      <c r="D76" s="1"/>
      <c r="E76" s="1"/>
      <c r="F76" s="1"/>
      <c r="G76" s="1"/>
    </row>
    <row r="77" spans="1:7" x14ac:dyDescent="0.35">
      <c r="A77" s="5"/>
      <c r="B77" s="1"/>
      <c r="C77" s="5"/>
      <c r="D77" s="1"/>
      <c r="E77" s="1"/>
      <c r="F77" s="1"/>
      <c r="G77" s="1"/>
    </row>
    <row r="78" spans="1:7" x14ac:dyDescent="0.35">
      <c r="A78" s="5"/>
      <c r="B78" s="1"/>
      <c r="C78" s="5"/>
      <c r="D78" s="1"/>
      <c r="E78" s="1"/>
      <c r="F78" s="1"/>
      <c r="G78" s="1"/>
    </row>
    <row r="79" spans="1:7" x14ac:dyDescent="0.35">
      <c r="A79" s="5"/>
      <c r="B79" s="1"/>
      <c r="C79" s="5"/>
      <c r="D79" s="1"/>
      <c r="E79" s="1"/>
      <c r="F79" s="1"/>
      <c r="G79" s="1"/>
    </row>
    <row r="80" spans="1:7" x14ac:dyDescent="0.35">
      <c r="A80" s="5"/>
      <c r="B80" s="5"/>
      <c r="C80" s="5"/>
      <c r="D80" s="1"/>
      <c r="E80" s="1"/>
      <c r="F80" s="1"/>
      <c r="G80" s="1"/>
    </row>
    <row r="81" spans="1:7" x14ac:dyDescent="0.35">
      <c r="A81" s="5"/>
      <c r="B81" s="1"/>
      <c r="C81" s="5"/>
      <c r="D81" s="1"/>
      <c r="E81" s="1"/>
      <c r="F81" s="1"/>
      <c r="G81" s="1"/>
    </row>
    <row r="82" spans="1:7" x14ac:dyDescent="0.35">
      <c r="A82" s="5"/>
      <c r="B82" s="1"/>
      <c r="C82" s="5"/>
      <c r="D82" s="1"/>
      <c r="E82" s="1"/>
      <c r="F82" s="1"/>
      <c r="G82" s="1"/>
    </row>
    <row r="83" spans="1:7" x14ac:dyDescent="0.35">
      <c r="A83" s="5"/>
      <c r="B83" s="1"/>
      <c r="C83" s="5"/>
      <c r="D83" s="1"/>
      <c r="E83" s="1"/>
      <c r="F83" s="1"/>
      <c r="G83" s="1"/>
    </row>
    <row r="84" spans="1:7" x14ac:dyDescent="0.35">
      <c r="A84" s="5"/>
      <c r="B84" s="1"/>
      <c r="C84" s="5"/>
      <c r="D84" s="1"/>
      <c r="E84" s="1"/>
      <c r="F84" s="1"/>
      <c r="G84" s="1"/>
    </row>
    <row r="85" spans="1:7" x14ac:dyDescent="0.35">
      <c r="A85" s="5"/>
      <c r="B85" s="1"/>
      <c r="C85" s="5"/>
      <c r="D85" s="1"/>
      <c r="E85" s="1"/>
      <c r="F85" s="1"/>
      <c r="G85" s="1"/>
    </row>
    <row r="86" spans="1:7" x14ac:dyDescent="0.35">
      <c r="A86" s="5"/>
      <c r="B86" s="1"/>
      <c r="C86" s="5"/>
      <c r="D86" s="1"/>
      <c r="E86" s="1"/>
      <c r="F86" s="1"/>
      <c r="G86" s="1"/>
    </row>
    <row r="87" spans="1:7" x14ac:dyDescent="0.35">
      <c r="A87" s="5"/>
      <c r="B87" s="1"/>
      <c r="C87" s="5"/>
      <c r="D87" s="1"/>
      <c r="E87" s="1"/>
      <c r="F87" s="1"/>
      <c r="G87" s="1"/>
    </row>
    <row r="88" spans="1:7" x14ac:dyDescent="0.35">
      <c r="A88" s="5"/>
      <c r="B88" s="1"/>
      <c r="C88" s="5"/>
      <c r="D88" s="1"/>
      <c r="E88" s="1"/>
      <c r="F88" s="1"/>
      <c r="G88" s="1"/>
    </row>
    <row r="89" spans="1:7" x14ac:dyDescent="0.35">
      <c r="A89" s="5"/>
      <c r="B89" s="1"/>
      <c r="C89" s="5"/>
      <c r="D89" s="1"/>
      <c r="E89" s="1"/>
      <c r="F89" s="1"/>
      <c r="G89" s="1"/>
    </row>
    <row r="90" spans="1:7" x14ac:dyDescent="0.35">
      <c r="A90" s="5"/>
      <c r="B90" s="1"/>
      <c r="C90" s="5"/>
      <c r="D90" s="1"/>
      <c r="E90" s="1"/>
      <c r="F90" s="1"/>
      <c r="G90" s="1"/>
    </row>
    <row r="91" spans="1:7" x14ac:dyDescent="0.35">
      <c r="A91" s="5"/>
      <c r="B91" s="1"/>
      <c r="C91" s="5"/>
      <c r="D91" s="1"/>
      <c r="E91" s="1"/>
      <c r="F91" s="1"/>
      <c r="G91" s="1"/>
    </row>
    <row r="92" spans="1:7" x14ac:dyDescent="0.35">
      <c r="A92" s="5"/>
      <c r="B92" s="1"/>
      <c r="C92" s="5"/>
      <c r="D92" s="1"/>
      <c r="E92" s="1"/>
      <c r="F92" s="1"/>
      <c r="G92" s="1"/>
    </row>
    <row r="93" spans="1:7" x14ac:dyDescent="0.35">
      <c r="A93" s="5"/>
      <c r="B93" s="1"/>
      <c r="C93" s="5"/>
      <c r="D93" s="1"/>
      <c r="E93" s="1"/>
      <c r="F93" s="1"/>
      <c r="G93" s="1"/>
    </row>
    <row r="94" spans="1:7" x14ac:dyDescent="0.35">
      <c r="A94" s="5"/>
      <c r="B94" s="1"/>
      <c r="C94" s="5"/>
      <c r="D94" s="1"/>
      <c r="E94" s="1"/>
      <c r="F94" s="1"/>
      <c r="G94" s="1"/>
    </row>
    <row r="95" spans="1:7" x14ac:dyDescent="0.35">
      <c r="A95" s="5"/>
      <c r="B95" s="1"/>
      <c r="C95" s="5"/>
      <c r="D95" s="1"/>
      <c r="E95" s="1"/>
      <c r="F95" s="1"/>
      <c r="G95" s="1"/>
    </row>
    <row r="96" spans="1:7" x14ac:dyDescent="0.35">
      <c r="A96" s="5"/>
      <c r="B96" s="1"/>
      <c r="C96" s="5"/>
      <c r="D96" s="1"/>
      <c r="E96" s="1"/>
      <c r="F96" s="1"/>
      <c r="G96" s="1"/>
    </row>
    <row r="97" spans="1:7" x14ac:dyDescent="0.35">
      <c r="A97" s="5"/>
      <c r="B97" s="1"/>
      <c r="C97" s="5"/>
      <c r="D97" s="1"/>
      <c r="E97" s="1"/>
      <c r="F97" s="1"/>
      <c r="G97" s="1"/>
    </row>
    <row r="98" spans="1:7" x14ac:dyDescent="0.35">
      <c r="A98" s="5"/>
      <c r="B98" s="1"/>
      <c r="C98" s="5"/>
      <c r="D98" s="1"/>
      <c r="E98" s="1"/>
      <c r="F98" s="1"/>
      <c r="G98" s="1"/>
    </row>
    <row r="99" spans="1:7" x14ac:dyDescent="0.35">
      <c r="A99" s="5"/>
      <c r="B99" s="1"/>
      <c r="C99" s="5"/>
      <c r="D99" s="1"/>
      <c r="E99" s="1"/>
      <c r="F99" s="1"/>
      <c r="G99" s="1"/>
    </row>
    <row r="100" spans="1:7" x14ac:dyDescent="0.35">
      <c r="A100" s="5"/>
      <c r="B100" s="1"/>
      <c r="C100" s="5"/>
      <c r="D100" s="1"/>
      <c r="E100" s="1"/>
      <c r="F100" s="1"/>
      <c r="G100" s="1"/>
    </row>
    <row r="101" spans="1:7" x14ac:dyDescent="0.35">
      <c r="A101" s="5"/>
      <c r="B101" s="1"/>
      <c r="C101" s="5"/>
      <c r="D101" s="1"/>
      <c r="E101" s="1"/>
      <c r="F101" s="1"/>
      <c r="G101" s="1"/>
    </row>
    <row r="102" spans="1:7" x14ac:dyDescent="0.35">
      <c r="A102" s="5"/>
      <c r="B102" s="1"/>
      <c r="C102" s="5"/>
      <c r="D102" s="1"/>
      <c r="E102" s="1"/>
      <c r="F102" s="1"/>
      <c r="G102" s="1"/>
    </row>
    <row r="103" spans="1:7" x14ac:dyDescent="0.35">
      <c r="A103" s="5"/>
      <c r="B103" s="1"/>
      <c r="C103" s="5"/>
      <c r="D103" s="1"/>
      <c r="E103" s="1"/>
      <c r="F103" s="1"/>
      <c r="G103" s="1"/>
    </row>
    <row r="104" spans="1:7" x14ac:dyDescent="0.35">
      <c r="A104" s="5"/>
      <c r="B104" s="1"/>
      <c r="C104" s="5"/>
      <c r="D104" s="1"/>
      <c r="E104" s="1"/>
      <c r="F104" s="1"/>
      <c r="G104" s="1"/>
    </row>
    <row r="105" spans="1:7" x14ac:dyDescent="0.35">
      <c r="A105" s="5"/>
      <c r="B105" s="1"/>
      <c r="C105" s="5"/>
      <c r="D105" s="1"/>
      <c r="E105" s="1"/>
      <c r="F105" s="1"/>
      <c r="G105" s="1"/>
    </row>
    <row r="106" spans="1:7" x14ac:dyDescent="0.35">
      <c r="A106" s="5"/>
      <c r="B106" s="1"/>
      <c r="C106" s="5"/>
      <c r="D106" s="1"/>
      <c r="E106" s="1"/>
      <c r="F106" s="1"/>
      <c r="G106" s="1"/>
    </row>
    <row r="107" spans="1:7" x14ac:dyDescent="0.35">
      <c r="A107" s="5"/>
      <c r="B107" s="1"/>
      <c r="C107" s="5"/>
      <c r="D107" s="1"/>
      <c r="E107" s="1"/>
      <c r="F107" s="1"/>
      <c r="G107" s="1"/>
    </row>
    <row r="108" spans="1:7" x14ac:dyDescent="0.35">
      <c r="A108" s="5"/>
      <c r="B108" s="1"/>
      <c r="C108" s="5"/>
      <c r="D108" s="1"/>
      <c r="E108" s="1"/>
      <c r="F108" s="1"/>
      <c r="G108" s="1"/>
    </row>
    <row r="109" spans="1:7" x14ac:dyDescent="0.35">
      <c r="A109" s="5"/>
      <c r="B109" s="1"/>
      <c r="C109" s="5"/>
      <c r="D109" s="1"/>
      <c r="E109" s="1"/>
      <c r="F109" s="1"/>
      <c r="G109" s="1"/>
    </row>
    <row r="110" spans="1:7" x14ac:dyDescent="0.35">
      <c r="A110" s="5"/>
      <c r="B110" s="1"/>
      <c r="C110" s="5"/>
      <c r="D110" s="1"/>
      <c r="E110" s="1"/>
      <c r="F110" s="1"/>
      <c r="G110" s="1"/>
    </row>
    <row r="111" spans="1:7" x14ac:dyDescent="0.35">
      <c r="A111" s="5"/>
      <c r="B111" s="1"/>
      <c r="C111" s="5"/>
      <c r="D111" s="1"/>
      <c r="E111" s="1"/>
      <c r="F111" s="1"/>
      <c r="G111" s="1"/>
    </row>
    <row r="112" spans="1:7" x14ac:dyDescent="0.35">
      <c r="A112" s="5"/>
      <c r="B112" s="1"/>
      <c r="C112" s="5"/>
      <c r="D112" s="1"/>
      <c r="E112" s="1"/>
      <c r="F112" s="1"/>
      <c r="G112" s="1"/>
    </row>
    <row r="113" spans="1:7" x14ac:dyDescent="0.35">
      <c r="A113" s="5"/>
      <c r="B113" s="1"/>
      <c r="C113" s="5"/>
      <c r="D113" s="1"/>
      <c r="E113" s="1"/>
      <c r="F113" s="1"/>
      <c r="G113" s="1"/>
    </row>
    <row r="114" spans="1:7" x14ac:dyDescent="0.35">
      <c r="A114" s="5"/>
      <c r="B114" s="1"/>
      <c r="C114" s="5"/>
      <c r="D114" s="1"/>
      <c r="E114" s="1"/>
      <c r="F114" s="1"/>
      <c r="G114" s="1"/>
    </row>
    <row r="115" spans="1:7" x14ac:dyDescent="0.35">
      <c r="A115" s="5"/>
      <c r="B115" s="1"/>
      <c r="C115" s="5"/>
      <c r="D115" s="1"/>
      <c r="E115" s="1"/>
      <c r="F115" s="1"/>
      <c r="G115" s="1"/>
    </row>
    <row r="116" spans="1:7" x14ac:dyDescent="0.35">
      <c r="A116" s="5"/>
      <c r="B116" s="1"/>
      <c r="C116" s="5"/>
      <c r="D116" s="1"/>
      <c r="E116" s="1"/>
      <c r="F116" s="1"/>
      <c r="G116" s="1"/>
    </row>
    <row r="117" spans="1:7" x14ac:dyDescent="0.35">
      <c r="A117" s="5"/>
      <c r="B117" s="1"/>
      <c r="C117" s="5"/>
      <c r="D117" s="1"/>
      <c r="E117" s="1"/>
      <c r="F117" s="1"/>
      <c r="G117" s="1"/>
    </row>
    <row r="118" spans="1:7" x14ac:dyDescent="0.35">
      <c r="A118" s="5"/>
      <c r="B118" s="1"/>
      <c r="C118" s="5"/>
      <c r="D118" s="1"/>
      <c r="E118" s="1"/>
      <c r="F118" s="1"/>
      <c r="G118" s="1"/>
    </row>
    <row r="119" spans="1:7" x14ac:dyDescent="0.35">
      <c r="A119" s="5"/>
      <c r="B119" s="1"/>
      <c r="C119" s="5"/>
      <c r="D119" s="1"/>
      <c r="E119" s="1"/>
      <c r="F119" s="1"/>
      <c r="G119" s="1"/>
    </row>
    <row r="120" spans="1:7" x14ac:dyDescent="0.35">
      <c r="A120" s="5"/>
      <c r="B120" s="1"/>
      <c r="C120" s="5"/>
      <c r="D120" s="1"/>
      <c r="E120" s="1"/>
      <c r="F120" s="1"/>
      <c r="G120" s="1"/>
    </row>
    <row r="121" spans="1:7" x14ac:dyDescent="0.35">
      <c r="A121" s="5"/>
      <c r="B121" s="1"/>
      <c r="C121" s="5"/>
      <c r="D121" s="1"/>
      <c r="E121" s="1"/>
      <c r="F121" s="1"/>
      <c r="G121" s="1"/>
    </row>
    <row r="122" spans="1:7" x14ac:dyDescent="0.35">
      <c r="A122" s="5"/>
      <c r="B122" s="1"/>
      <c r="C122" s="5"/>
      <c r="D122" s="1"/>
      <c r="E122" s="1"/>
      <c r="F122" s="1"/>
      <c r="G122" s="1"/>
    </row>
    <row r="123" spans="1:7" x14ac:dyDescent="0.35">
      <c r="A123" s="5"/>
      <c r="B123" s="1"/>
      <c r="C123" s="5"/>
      <c r="D123" s="1"/>
      <c r="E123" s="1"/>
      <c r="F123" s="1"/>
      <c r="G123" s="1"/>
    </row>
    <row r="124" spans="1:7" x14ac:dyDescent="0.35">
      <c r="A124" s="5"/>
      <c r="B124" s="1"/>
      <c r="C124" s="5"/>
      <c r="D124" s="1"/>
      <c r="E124" s="1"/>
      <c r="F124" s="1"/>
      <c r="G124" s="1"/>
    </row>
    <row r="125" spans="1:7" x14ac:dyDescent="0.35">
      <c r="A125" s="5"/>
      <c r="B125" s="1"/>
      <c r="C125" s="5"/>
      <c r="D125" s="1"/>
      <c r="E125" s="1"/>
      <c r="F125" s="1"/>
      <c r="G125" s="1"/>
    </row>
    <row r="126" spans="1:7" x14ac:dyDescent="0.35">
      <c r="A126" s="5"/>
      <c r="B126" s="1"/>
      <c r="C126" s="5"/>
      <c r="D126" s="1"/>
      <c r="E126" s="1"/>
      <c r="F126" s="1"/>
      <c r="G126" s="1"/>
    </row>
    <row r="127" spans="1:7" x14ac:dyDescent="0.35">
      <c r="A127" s="5"/>
      <c r="B127" s="1"/>
      <c r="C127" s="5"/>
      <c r="D127" s="1"/>
      <c r="E127" s="1"/>
      <c r="F127" s="1"/>
      <c r="G127" s="1"/>
    </row>
    <row r="128" spans="1:7" x14ac:dyDescent="0.35">
      <c r="A128" s="5"/>
      <c r="B128" s="1"/>
      <c r="C128" s="5"/>
      <c r="D128" s="1"/>
      <c r="E128" s="1"/>
      <c r="F128" s="1"/>
      <c r="G128" s="1"/>
    </row>
    <row r="129" spans="1:7" x14ac:dyDescent="0.35">
      <c r="A129" s="5"/>
      <c r="B129" s="1"/>
      <c r="C129" s="5"/>
      <c r="D129" s="1"/>
      <c r="E129" s="1"/>
      <c r="F129" s="1"/>
      <c r="G129" s="1"/>
    </row>
    <row r="130" spans="1:7" x14ac:dyDescent="0.35">
      <c r="A130" s="5"/>
      <c r="B130" s="1"/>
      <c r="C130" s="5"/>
      <c r="D130" s="1"/>
      <c r="E130" s="1"/>
      <c r="F130" s="1"/>
      <c r="G130" s="1"/>
    </row>
    <row r="131" spans="1:7" x14ac:dyDescent="0.35">
      <c r="A131" s="5"/>
      <c r="B131" s="1"/>
      <c r="C131" s="5"/>
      <c r="D131" s="1"/>
      <c r="E131" s="1"/>
      <c r="F131" s="1"/>
      <c r="G131" s="1"/>
    </row>
    <row r="132" spans="1:7" x14ac:dyDescent="0.35">
      <c r="A132" s="5"/>
      <c r="B132" s="1"/>
      <c r="C132" s="5"/>
      <c r="D132" s="1"/>
      <c r="E132" s="1"/>
      <c r="F132" s="1"/>
      <c r="G132" s="1"/>
    </row>
    <row r="133" spans="1:7" x14ac:dyDescent="0.35">
      <c r="A133" s="5"/>
      <c r="B133" s="1"/>
      <c r="C133" s="5"/>
      <c r="D133" s="1"/>
      <c r="E133" s="1"/>
      <c r="F133" s="1"/>
      <c r="G133" s="1"/>
    </row>
    <row r="134" spans="1:7" x14ac:dyDescent="0.35">
      <c r="A134" s="5"/>
      <c r="B134" s="1"/>
      <c r="C134" s="5"/>
      <c r="D134" s="1"/>
      <c r="E134" s="1"/>
      <c r="F134" s="1"/>
      <c r="G134" s="1"/>
    </row>
    <row r="135" spans="1:7" x14ac:dyDescent="0.35">
      <c r="A135" s="5"/>
      <c r="B135" s="1"/>
      <c r="C135" s="5"/>
      <c r="D135" s="1"/>
      <c r="E135" s="1"/>
      <c r="F135" s="1"/>
      <c r="G135" s="1"/>
    </row>
    <row r="136" spans="1:7" x14ac:dyDescent="0.35">
      <c r="A136" s="5"/>
      <c r="B136" s="1"/>
      <c r="C136" s="5"/>
      <c r="D136" s="1"/>
      <c r="E136" s="1"/>
      <c r="F136" s="1"/>
      <c r="G136" s="1"/>
    </row>
    <row r="137" spans="1:7" x14ac:dyDescent="0.35">
      <c r="A137" s="5"/>
      <c r="B137" s="1"/>
      <c r="C137" s="5"/>
      <c r="D137" s="1"/>
      <c r="E137" s="1"/>
      <c r="F137" s="1"/>
      <c r="G137" s="1"/>
    </row>
    <row r="138" spans="1:7" x14ac:dyDescent="0.35">
      <c r="A138" s="5"/>
      <c r="B138" s="1"/>
      <c r="C138" s="5"/>
      <c r="D138" s="1"/>
      <c r="E138" s="1"/>
      <c r="F138" s="1"/>
      <c r="G138" s="1"/>
    </row>
    <row r="139" spans="1:7" x14ac:dyDescent="0.35">
      <c r="A139" s="5"/>
      <c r="B139" s="1"/>
      <c r="C139" s="5"/>
      <c r="D139" s="1"/>
      <c r="E139" s="1"/>
      <c r="F139" s="1"/>
      <c r="G139" s="1"/>
    </row>
    <row r="140" spans="1:7" x14ac:dyDescent="0.35">
      <c r="A140" s="5"/>
      <c r="B140" s="1"/>
      <c r="C140" s="5"/>
      <c r="D140" s="1"/>
      <c r="E140" s="1"/>
      <c r="F140" s="1"/>
      <c r="G140" s="1"/>
    </row>
    <row r="141" spans="1:7" x14ac:dyDescent="0.35">
      <c r="A141" s="5"/>
      <c r="B141" s="1"/>
      <c r="C141" s="5"/>
      <c r="D141" s="1"/>
      <c r="E141" s="1"/>
      <c r="F141" s="1"/>
      <c r="G141" s="1"/>
    </row>
    <row r="142" spans="1:7" x14ac:dyDescent="0.35">
      <c r="A142" s="5"/>
      <c r="B142" s="1"/>
      <c r="C142" s="5"/>
      <c r="D142" s="1"/>
      <c r="E142" s="1"/>
      <c r="F142" s="1"/>
      <c r="G142" s="1"/>
    </row>
    <row r="143" spans="1:7" x14ac:dyDescent="0.35">
      <c r="A143" s="5"/>
      <c r="B143" s="1"/>
      <c r="C143" s="5"/>
      <c r="D143" s="1"/>
      <c r="E143" s="1"/>
      <c r="F143" s="1"/>
      <c r="G143" s="1"/>
    </row>
    <row r="144" spans="1:7" x14ac:dyDescent="0.35">
      <c r="A144" s="5"/>
      <c r="B144" s="1"/>
      <c r="C144" s="5"/>
      <c r="D144" s="1"/>
      <c r="E144" s="1"/>
      <c r="F144" s="1"/>
      <c r="G144" s="1"/>
    </row>
    <row r="145" spans="1:7" x14ac:dyDescent="0.35">
      <c r="A145" s="5"/>
      <c r="B145" s="1"/>
      <c r="C145" s="5"/>
      <c r="D145" s="1"/>
      <c r="E145" s="1"/>
      <c r="F145" s="1"/>
      <c r="G145" s="1"/>
    </row>
    <row r="146" spans="1:7" x14ac:dyDescent="0.35">
      <c r="A146" s="5"/>
      <c r="B146" s="1"/>
      <c r="C146" s="5"/>
      <c r="D146" s="1"/>
      <c r="E146" s="1"/>
      <c r="F146" s="1"/>
      <c r="G146" s="1"/>
    </row>
    <row r="147" spans="1:7" x14ac:dyDescent="0.35">
      <c r="A147" s="5"/>
      <c r="B147" s="1"/>
      <c r="C147" s="5"/>
      <c r="D147" s="1"/>
      <c r="E147" s="1"/>
      <c r="F147" s="1"/>
      <c r="G147" s="1"/>
    </row>
    <row r="148" spans="1:7" x14ac:dyDescent="0.35">
      <c r="A148" s="5"/>
      <c r="B148" s="1"/>
      <c r="C148" s="5"/>
      <c r="D148" s="1"/>
      <c r="E148" s="1"/>
      <c r="F148" s="1"/>
      <c r="G148" s="1"/>
    </row>
    <row r="149" spans="1:7" x14ac:dyDescent="0.35">
      <c r="A149" s="5"/>
      <c r="B149" s="1"/>
      <c r="C149" s="5"/>
      <c r="D149" s="1"/>
      <c r="E149" s="1"/>
      <c r="F149" s="1"/>
      <c r="G149" s="1"/>
    </row>
    <row r="150" spans="1:7" x14ac:dyDescent="0.35">
      <c r="A150" s="5"/>
      <c r="B150" s="1"/>
      <c r="C150" s="5"/>
      <c r="D150" s="1"/>
      <c r="E150" s="1"/>
      <c r="F150" s="1"/>
      <c r="G150" s="1"/>
    </row>
    <row r="151" spans="1:7" x14ac:dyDescent="0.35">
      <c r="A151" s="5"/>
      <c r="B151" s="1"/>
      <c r="C151" s="5"/>
      <c r="D151" s="1"/>
      <c r="E151" s="1"/>
      <c r="F151" s="1"/>
      <c r="G151" s="1"/>
    </row>
    <row r="152" spans="1:7" x14ac:dyDescent="0.35">
      <c r="A152" s="5"/>
      <c r="B152" s="1"/>
      <c r="C152" s="5"/>
      <c r="D152" s="1"/>
      <c r="E152" s="1"/>
      <c r="F152" s="1"/>
      <c r="G152" s="1"/>
    </row>
    <row r="153" spans="1:7" x14ac:dyDescent="0.35">
      <c r="A153" s="5"/>
      <c r="B153" s="1"/>
      <c r="C153" s="5"/>
      <c r="D153" s="1"/>
      <c r="E153" s="1"/>
      <c r="F153" s="1"/>
      <c r="G153" s="1"/>
    </row>
    <row r="154" spans="1:7" x14ac:dyDescent="0.35">
      <c r="A154" s="5"/>
      <c r="B154" s="1"/>
      <c r="C154" s="5"/>
      <c r="D154" s="1"/>
      <c r="E154" s="1"/>
      <c r="F154" s="1"/>
      <c r="G154" s="1"/>
    </row>
    <row r="155" spans="1:7" x14ac:dyDescent="0.35">
      <c r="A155" s="5"/>
      <c r="B155" s="1"/>
      <c r="C155" s="5"/>
      <c r="D155" s="1"/>
      <c r="E155" s="1"/>
      <c r="F155" s="1"/>
      <c r="G155" s="1"/>
    </row>
    <row r="156" spans="1:7" x14ac:dyDescent="0.35">
      <c r="A156" s="5"/>
      <c r="B156" s="1"/>
      <c r="C156" s="5"/>
      <c r="D156" s="1"/>
      <c r="E156" s="1"/>
      <c r="F156" s="1"/>
      <c r="G156" s="1"/>
    </row>
    <row r="157" spans="1:7" x14ac:dyDescent="0.35">
      <c r="A157" s="5"/>
      <c r="B157" s="1"/>
      <c r="C157" s="5"/>
      <c r="D157" s="1"/>
      <c r="E157" s="1"/>
      <c r="F157" s="1"/>
      <c r="G157" s="1"/>
    </row>
    <row r="158" spans="1:7" x14ac:dyDescent="0.35">
      <c r="A158" s="5"/>
      <c r="B158" s="1"/>
      <c r="C158" s="5"/>
      <c r="D158" s="1"/>
      <c r="E158" s="1"/>
      <c r="F158" s="1"/>
      <c r="G158" s="1"/>
    </row>
    <row r="159" spans="1:7" x14ac:dyDescent="0.35">
      <c r="A159" s="5"/>
      <c r="B159" s="1"/>
      <c r="C159" s="5"/>
      <c r="D159" s="1"/>
      <c r="E159" s="1"/>
      <c r="F159" s="1"/>
      <c r="G159" s="1"/>
    </row>
    <row r="160" spans="1:7" x14ac:dyDescent="0.35">
      <c r="A160" s="5"/>
      <c r="B160" s="1"/>
      <c r="C160" s="5"/>
      <c r="D160" s="1"/>
      <c r="E160" s="1"/>
      <c r="F160" s="1"/>
      <c r="G160" s="1"/>
    </row>
    <row r="161" spans="1:7" x14ac:dyDescent="0.35">
      <c r="A161" s="5"/>
      <c r="B161" s="1"/>
      <c r="C161" s="5"/>
      <c r="D161" s="1"/>
      <c r="E161" s="1"/>
      <c r="F161" s="1"/>
      <c r="G161" s="1"/>
    </row>
    <row r="162" spans="1:7" x14ac:dyDescent="0.35">
      <c r="A162" s="5"/>
      <c r="B162" s="1"/>
      <c r="C162" s="5"/>
      <c r="D162" s="1"/>
      <c r="E162" s="1"/>
      <c r="F162" s="1"/>
      <c r="G162" s="1"/>
    </row>
    <row r="163" spans="1:7" x14ac:dyDescent="0.35">
      <c r="A163" s="5"/>
      <c r="B163" s="1"/>
      <c r="C163" s="5"/>
      <c r="D163" s="1"/>
      <c r="E163" s="1"/>
      <c r="F163" s="1"/>
      <c r="G163" s="1"/>
    </row>
    <row r="164" spans="1:7" x14ac:dyDescent="0.35">
      <c r="A164" s="5"/>
      <c r="B164" s="1"/>
      <c r="C164" s="5"/>
      <c r="D164" s="1"/>
      <c r="E164" s="1"/>
      <c r="F164" s="1"/>
      <c r="G164" s="1"/>
    </row>
    <row r="165" spans="1:7" x14ac:dyDescent="0.35">
      <c r="A165" s="5"/>
      <c r="B165" s="1"/>
      <c r="C165" s="5"/>
      <c r="D165" s="1"/>
      <c r="E165" s="1"/>
      <c r="F165" s="1"/>
      <c r="G165" s="1"/>
    </row>
    <row r="166" spans="1:7" x14ac:dyDescent="0.35">
      <c r="A166" s="5"/>
      <c r="B166" s="1"/>
      <c r="C166" s="5"/>
      <c r="D166" s="1"/>
      <c r="E166" s="1"/>
      <c r="F166" s="1"/>
      <c r="G166" s="1"/>
    </row>
    <row r="167" spans="1:7" x14ac:dyDescent="0.35">
      <c r="A167" s="5"/>
      <c r="B167" s="1"/>
      <c r="C167" s="5"/>
      <c r="D167" s="1"/>
      <c r="E167" s="1"/>
      <c r="F167" s="1"/>
      <c r="G167" s="1"/>
    </row>
    <row r="168" spans="1:7" x14ac:dyDescent="0.35">
      <c r="A168" s="5"/>
      <c r="B168" s="1"/>
      <c r="C168" s="5"/>
      <c r="D168" s="1"/>
      <c r="E168" s="1"/>
      <c r="F168" s="1"/>
      <c r="G168" s="1"/>
    </row>
    <row r="169" spans="1:7" x14ac:dyDescent="0.35">
      <c r="A169" s="5"/>
      <c r="B169" s="1"/>
      <c r="C169" s="5"/>
      <c r="D169" s="1"/>
      <c r="E169" s="1"/>
      <c r="F169" s="1"/>
      <c r="G169" s="1"/>
    </row>
    <row r="170" spans="1:7" x14ac:dyDescent="0.35">
      <c r="A170" s="5"/>
      <c r="B170" s="1"/>
      <c r="C170" s="5"/>
      <c r="D170" s="1"/>
      <c r="E170" s="1"/>
      <c r="F170" s="1"/>
      <c r="G170" s="1"/>
    </row>
    <row r="171" spans="1:7" x14ac:dyDescent="0.35">
      <c r="A171" s="5"/>
      <c r="B171" s="1"/>
      <c r="C171" s="5"/>
      <c r="D171" s="1"/>
      <c r="E171" s="1"/>
      <c r="F171" s="1"/>
      <c r="G171" s="1"/>
    </row>
    <row r="172" spans="1:7" x14ac:dyDescent="0.35">
      <c r="A172" s="5"/>
      <c r="B172" s="1"/>
      <c r="C172" s="5"/>
      <c r="D172" s="1"/>
      <c r="E172" s="1"/>
      <c r="F172" s="1"/>
      <c r="G172" s="1"/>
    </row>
    <row r="173" spans="1:7" x14ac:dyDescent="0.35">
      <c r="A173" s="5"/>
      <c r="B173" s="1"/>
      <c r="C173" s="5"/>
      <c r="D173" s="1"/>
      <c r="E173" s="1"/>
      <c r="F173" s="1"/>
      <c r="G173" s="1"/>
    </row>
    <row r="174" spans="1:7" x14ac:dyDescent="0.35">
      <c r="A174" s="5"/>
      <c r="B174" s="1"/>
      <c r="C174" s="5"/>
      <c r="D174" s="1"/>
      <c r="E174" s="1"/>
      <c r="F174" s="1"/>
      <c r="G174" s="1"/>
    </row>
    <row r="175" spans="1:7" x14ac:dyDescent="0.35">
      <c r="A175" s="5"/>
      <c r="B175" s="1"/>
      <c r="C175" s="5"/>
      <c r="D175" s="1"/>
      <c r="E175" s="1"/>
      <c r="F175" s="1"/>
      <c r="G175" s="1"/>
    </row>
    <row r="176" spans="1:7" x14ac:dyDescent="0.35">
      <c r="A176" s="5"/>
      <c r="B176" s="1"/>
      <c r="C176" s="5"/>
      <c r="D176" s="1"/>
      <c r="E176" s="1"/>
      <c r="F176" s="1"/>
      <c r="G176" s="1"/>
    </row>
    <row r="177" spans="1:7" x14ac:dyDescent="0.35">
      <c r="A177" s="5"/>
      <c r="B177" s="1"/>
      <c r="C177" s="5"/>
      <c r="D177" s="1"/>
      <c r="E177" s="1"/>
      <c r="F177" s="1"/>
      <c r="G177" s="1"/>
    </row>
    <row r="178" spans="1:7" x14ac:dyDescent="0.35">
      <c r="A178" s="5"/>
      <c r="B178" s="1"/>
      <c r="C178" s="5"/>
      <c r="D178" s="1"/>
      <c r="E178" s="1"/>
      <c r="F178" s="1"/>
      <c r="G178" s="1"/>
    </row>
    <row r="179" spans="1:7" x14ac:dyDescent="0.35">
      <c r="A179" s="5"/>
      <c r="B179" s="1"/>
      <c r="C179" s="5"/>
      <c r="D179" s="1"/>
      <c r="E179" s="1"/>
      <c r="F179" s="1"/>
      <c r="G179" s="1"/>
    </row>
    <row r="180" spans="1:7" x14ac:dyDescent="0.35">
      <c r="A180" s="5"/>
      <c r="B180" s="1"/>
      <c r="C180" s="5"/>
      <c r="D180" s="1"/>
      <c r="E180" s="1"/>
      <c r="F180" s="1"/>
      <c r="G180" s="1"/>
    </row>
    <row r="181" spans="1:7" x14ac:dyDescent="0.35">
      <c r="A181" s="5"/>
      <c r="B181" s="1"/>
      <c r="C181" s="5"/>
      <c r="D181" s="1"/>
      <c r="E181" s="1"/>
      <c r="F181" s="1"/>
      <c r="G181" s="1"/>
    </row>
    <row r="182" spans="1:7" x14ac:dyDescent="0.35">
      <c r="A182" s="5"/>
      <c r="B182" s="1"/>
      <c r="C182" s="5"/>
      <c r="D182" s="1"/>
      <c r="E182" s="1"/>
      <c r="F182" s="1"/>
      <c r="G182" s="1"/>
    </row>
    <row r="183" spans="1:7" x14ac:dyDescent="0.35">
      <c r="A183" s="5"/>
      <c r="B183" s="1"/>
      <c r="C183" s="5"/>
      <c r="D183" s="1"/>
      <c r="E183" s="1"/>
      <c r="F183" s="1"/>
      <c r="G183" s="1"/>
    </row>
    <row r="184" spans="1:7" x14ac:dyDescent="0.35">
      <c r="A184" s="5"/>
      <c r="B184" s="1"/>
      <c r="C184" s="5"/>
      <c r="D184" s="1"/>
      <c r="E184" s="1"/>
      <c r="F184" s="1"/>
      <c r="G184" s="1"/>
    </row>
    <row r="185" spans="1:7" x14ac:dyDescent="0.35">
      <c r="A185" s="5"/>
      <c r="B185" s="1"/>
      <c r="C185" s="5"/>
      <c r="D185" s="1"/>
      <c r="E185" s="1"/>
      <c r="F185" s="1"/>
      <c r="G185" s="1"/>
    </row>
    <row r="186" spans="1:7" x14ac:dyDescent="0.35">
      <c r="A186" s="5"/>
      <c r="B186" s="1"/>
      <c r="C186" s="5"/>
      <c r="D186" s="1"/>
      <c r="E186" s="1"/>
      <c r="F186" s="1"/>
      <c r="G186" s="1"/>
    </row>
    <row r="187" spans="1:7" x14ac:dyDescent="0.35">
      <c r="A187" s="5"/>
      <c r="B187" s="1"/>
      <c r="C187" s="5"/>
      <c r="D187" s="1"/>
      <c r="E187" s="1"/>
      <c r="F187" s="1"/>
      <c r="G187" s="1"/>
    </row>
    <row r="188" spans="1:7" x14ac:dyDescent="0.35">
      <c r="A188" s="5"/>
      <c r="B188" s="1"/>
      <c r="C188" s="5"/>
      <c r="D188" s="1"/>
      <c r="E188" s="1"/>
      <c r="F188" s="1"/>
      <c r="G188" s="1"/>
    </row>
    <row r="189" spans="1:7" x14ac:dyDescent="0.35">
      <c r="A189" s="5"/>
      <c r="B189" s="1"/>
      <c r="C189" s="5"/>
      <c r="D189" s="1"/>
      <c r="E189" s="1"/>
      <c r="F189" s="1"/>
      <c r="G189" s="1"/>
    </row>
    <row r="190" spans="1:7" x14ac:dyDescent="0.35">
      <c r="A190" s="5"/>
      <c r="B190" s="1"/>
      <c r="C190" s="5"/>
      <c r="D190" s="1"/>
      <c r="E190" s="1"/>
      <c r="F190" s="1"/>
      <c r="G190" s="1"/>
    </row>
    <row r="191" spans="1:7" x14ac:dyDescent="0.35">
      <c r="A191" s="5"/>
      <c r="B191" s="1"/>
      <c r="C191" s="5"/>
      <c r="D191" s="1"/>
      <c r="E191" s="1"/>
      <c r="F191" s="1"/>
      <c r="G191" s="1"/>
    </row>
    <row r="192" spans="1:7" x14ac:dyDescent="0.35">
      <c r="A192" s="5"/>
      <c r="B192" s="1"/>
      <c r="C192" s="5"/>
      <c r="D192" s="1"/>
      <c r="E192" s="1"/>
      <c r="F192" s="1"/>
      <c r="G192" s="1"/>
    </row>
    <row r="193" spans="1:7" x14ac:dyDescent="0.35">
      <c r="A193" s="5"/>
      <c r="B193" s="1"/>
      <c r="C193" s="5"/>
      <c r="D193" s="1"/>
      <c r="E193" s="1"/>
      <c r="F193" s="1"/>
      <c r="G193" s="1"/>
    </row>
    <row r="194" spans="1:7" x14ac:dyDescent="0.35">
      <c r="A194" s="5"/>
      <c r="B194" s="1"/>
      <c r="C194" s="5"/>
      <c r="D194" s="1"/>
      <c r="E194" s="1"/>
      <c r="F194" s="1"/>
      <c r="G194" s="1"/>
    </row>
    <row r="195" spans="1:7" x14ac:dyDescent="0.35">
      <c r="A195" s="5"/>
      <c r="B195" s="1"/>
      <c r="C195" s="5"/>
      <c r="D195" s="1"/>
      <c r="E195" s="1"/>
      <c r="F195" s="1"/>
      <c r="G195" s="1"/>
    </row>
    <row r="196" spans="1:7" x14ac:dyDescent="0.35">
      <c r="A196" s="5"/>
      <c r="B196" s="1"/>
      <c r="C196" s="5"/>
      <c r="D196" s="1"/>
      <c r="E196" s="1"/>
      <c r="F196" s="1"/>
      <c r="G196" s="1"/>
    </row>
    <row r="197" spans="1:7" x14ac:dyDescent="0.35">
      <c r="A197" s="5"/>
      <c r="B197" s="1"/>
      <c r="C197" s="5"/>
      <c r="D197" s="1"/>
      <c r="E197" s="1"/>
      <c r="F197" s="1"/>
      <c r="G197" s="1"/>
    </row>
    <row r="198" spans="1:7" x14ac:dyDescent="0.35">
      <c r="A198" s="5"/>
      <c r="B198" s="1"/>
      <c r="C198" s="5"/>
      <c r="D198" s="1"/>
      <c r="E198" s="1"/>
      <c r="F198" s="1"/>
      <c r="G198" s="1"/>
    </row>
    <row r="199" spans="1:7" x14ac:dyDescent="0.35">
      <c r="A199" s="5"/>
      <c r="B199" s="1"/>
      <c r="C199" s="5"/>
      <c r="D199" s="1"/>
      <c r="E199" s="1"/>
      <c r="F199" s="1"/>
      <c r="G199" s="1"/>
    </row>
    <row r="200" spans="1:7" x14ac:dyDescent="0.35">
      <c r="A200" s="5"/>
      <c r="B200" s="1"/>
      <c r="C200" s="5"/>
      <c r="D200" s="1"/>
      <c r="E200" s="1"/>
      <c r="F200" s="1"/>
      <c r="G200" s="1"/>
    </row>
    <row r="201" spans="1:7" x14ac:dyDescent="0.35">
      <c r="A201" s="5"/>
      <c r="B201" s="1"/>
      <c r="C201" s="5"/>
      <c r="D201" s="1"/>
      <c r="E201" s="1"/>
      <c r="F201" s="1"/>
      <c r="G201" s="1"/>
    </row>
    <row r="202" spans="1:7" x14ac:dyDescent="0.35">
      <c r="A202" s="5"/>
      <c r="B202" s="1"/>
      <c r="C202" s="5"/>
      <c r="D202" s="1"/>
      <c r="E202" s="1"/>
      <c r="F202" s="1"/>
      <c r="G202" s="1"/>
    </row>
    <row r="203" spans="1:7" x14ac:dyDescent="0.35">
      <c r="A203" s="5"/>
      <c r="B203" s="1"/>
      <c r="C203" s="5"/>
      <c r="D203" s="1"/>
      <c r="E203" s="1"/>
      <c r="F203" s="1"/>
      <c r="G203" s="1"/>
    </row>
    <row r="204" spans="1:7" x14ac:dyDescent="0.35">
      <c r="A204" s="5"/>
      <c r="B204" s="1"/>
      <c r="C204" s="5"/>
      <c r="D204" s="1"/>
      <c r="E204" s="1"/>
      <c r="F204" s="1"/>
      <c r="G204" s="1"/>
    </row>
    <row r="205" spans="1:7" x14ac:dyDescent="0.35">
      <c r="A205" s="5"/>
      <c r="B205" s="1"/>
      <c r="C205" s="5"/>
      <c r="D205" s="1"/>
      <c r="E205" s="1"/>
      <c r="F205" s="1"/>
      <c r="G205" s="1"/>
    </row>
    <row r="206" spans="1:7" x14ac:dyDescent="0.35">
      <c r="A206" s="5"/>
      <c r="B206" s="1"/>
      <c r="C206" s="5"/>
      <c r="D206" s="1"/>
      <c r="E206" s="1"/>
      <c r="F206" s="1"/>
      <c r="G206" s="1"/>
    </row>
    <row r="207" spans="1:7" x14ac:dyDescent="0.35">
      <c r="A207" s="5"/>
      <c r="B207" s="1"/>
      <c r="C207" s="5"/>
      <c r="D207" s="1"/>
      <c r="E207" s="1"/>
      <c r="F207" s="1"/>
      <c r="G207" s="1"/>
    </row>
    <row r="208" spans="1:7" x14ac:dyDescent="0.35">
      <c r="A208" s="5"/>
      <c r="B208" s="1"/>
      <c r="C208" s="5"/>
      <c r="D208" s="1"/>
      <c r="E208" s="1"/>
      <c r="F208" s="1"/>
      <c r="G208" s="1"/>
    </row>
    <row r="209" spans="1:7" x14ac:dyDescent="0.35">
      <c r="A209" s="5"/>
      <c r="B209" s="1"/>
      <c r="C209" s="5"/>
      <c r="D209" s="1"/>
      <c r="E209" s="1"/>
      <c r="F209" s="1"/>
      <c r="G209" s="1"/>
    </row>
    <row r="210" spans="1:7" x14ac:dyDescent="0.35">
      <c r="A210" s="5"/>
      <c r="B210" s="1"/>
      <c r="C210" s="5"/>
      <c r="D210" s="1"/>
      <c r="E210" s="1"/>
      <c r="F210" s="1"/>
      <c r="G210" s="1"/>
    </row>
    <row r="211" spans="1:7" x14ac:dyDescent="0.35">
      <c r="A211" s="5"/>
      <c r="B211" s="1"/>
      <c r="C211" s="5"/>
      <c r="D211" s="1"/>
      <c r="E211" s="1"/>
      <c r="F211" s="1"/>
      <c r="G211" s="1"/>
    </row>
    <row r="212" spans="1:7" x14ac:dyDescent="0.35">
      <c r="A212" s="5"/>
      <c r="B212" s="1"/>
      <c r="C212" s="5"/>
      <c r="D212" s="1"/>
      <c r="E212" s="1"/>
      <c r="F212" s="1"/>
      <c r="G212" s="1"/>
    </row>
    <row r="213" spans="1:7" x14ac:dyDescent="0.35">
      <c r="A213" s="5"/>
      <c r="B213" s="1"/>
      <c r="C213" s="5"/>
      <c r="D213" s="1"/>
      <c r="E213" s="1"/>
      <c r="F213" s="1"/>
      <c r="G213" s="1"/>
    </row>
    <row r="214" spans="1:7" x14ac:dyDescent="0.35">
      <c r="A214" s="5"/>
      <c r="B214" s="1"/>
      <c r="C214" s="5"/>
      <c r="D214" s="1"/>
      <c r="E214" s="1"/>
      <c r="F214" s="1"/>
      <c r="G214" s="1"/>
    </row>
    <row r="215" spans="1:7" x14ac:dyDescent="0.35">
      <c r="A215" s="5"/>
      <c r="B215" s="1"/>
      <c r="C215" s="5"/>
      <c r="D215" s="1"/>
      <c r="E215" s="1"/>
      <c r="F215" s="1"/>
      <c r="G215" s="1"/>
    </row>
    <row r="216" spans="1:7" x14ac:dyDescent="0.35">
      <c r="A216" s="5"/>
      <c r="B216" s="1"/>
      <c r="C216" s="5"/>
      <c r="D216" s="1"/>
      <c r="E216" s="1"/>
      <c r="F216" s="1"/>
      <c r="G216" s="1"/>
    </row>
    <row r="217" spans="1:7" x14ac:dyDescent="0.35">
      <c r="A217" s="5"/>
      <c r="B217" s="1"/>
      <c r="C217" s="5"/>
      <c r="D217" s="1"/>
      <c r="E217" s="1"/>
      <c r="F217" s="1"/>
      <c r="G217" s="1"/>
    </row>
    <row r="218" spans="1:7" x14ac:dyDescent="0.35">
      <c r="A218" s="5"/>
      <c r="B218" s="1"/>
      <c r="C218" s="5"/>
      <c r="D218" s="1"/>
      <c r="E218" s="1"/>
      <c r="F218" s="1"/>
      <c r="G218" s="1"/>
    </row>
    <row r="219" spans="1:7" x14ac:dyDescent="0.35">
      <c r="A219" s="5"/>
      <c r="B219" s="1"/>
      <c r="C219" s="5"/>
      <c r="D219" s="1"/>
      <c r="E219" s="1"/>
      <c r="F219" s="1"/>
      <c r="G219" s="1"/>
    </row>
    <row r="220" spans="1:7" x14ac:dyDescent="0.35">
      <c r="A220" s="5"/>
      <c r="B220" s="1"/>
      <c r="C220" s="5"/>
      <c r="D220" s="1"/>
      <c r="E220" s="1"/>
      <c r="F220" s="1"/>
      <c r="G220" s="1"/>
    </row>
    <row r="221" spans="1:7" x14ac:dyDescent="0.35">
      <c r="A221" s="5"/>
      <c r="B221" s="1"/>
      <c r="C221" s="5"/>
      <c r="D221" s="1"/>
      <c r="E221" s="1"/>
      <c r="F221" s="1"/>
      <c r="G221" s="1"/>
    </row>
    <row r="222" spans="1:7" x14ac:dyDescent="0.35">
      <c r="A222" s="5"/>
      <c r="B222" s="1"/>
      <c r="C222" s="5"/>
      <c r="D222" s="1"/>
      <c r="E222" s="1"/>
      <c r="F222" s="1"/>
      <c r="G222" s="1"/>
    </row>
    <row r="223" spans="1:7" x14ac:dyDescent="0.35">
      <c r="A223" s="5"/>
      <c r="B223" s="1"/>
      <c r="C223" s="5"/>
      <c r="D223" s="1"/>
      <c r="E223" s="1"/>
      <c r="F223" s="1"/>
      <c r="G223" s="1"/>
    </row>
    <row r="224" spans="1:7" x14ac:dyDescent="0.35">
      <c r="A224" s="5"/>
      <c r="B224" s="1"/>
      <c r="C224" s="5"/>
      <c r="D224" s="1"/>
      <c r="E224" s="1"/>
      <c r="F224" s="1"/>
      <c r="G224" s="1"/>
    </row>
    <row r="225" spans="1:7" x14ac:dyDescent="0.35">
      <c r="A225" s="5"/>
      <c r="B225" s="1"/>
      <c r="C225" s="5"/>
      <c r="D225" s="1"/>
      <c r="E225" s="1"/>
      <c r="F225" s="1"/>
      <c r="G225" s="1"/>
    </row>
    <row r="226" spans="1:7" x14ac:dyDescent="0.35">
      <c r="A226" s="5"/>
      <c r="B226" s="1"/>
      <c r="C226" s="5"/>
      <c r="D226" s="1"/>
      <c r="E226" s="1"/>
      <c r="F226" s="1"/>
      <c r="G226" s="1"/>
    </row>
    <row r="227" spans="1:7" x14ac:dyDescent="0.35">
      <c r="A227" s="5"/>
      <c r="B227" s="1"/>
      <c r="C227" s="5"/>
      <c r="D227" s="1"/>
      <c r="E227" s="1"/>
      <c r="F227" s="1"/>
      <c r="G227" s="1"/>
    </row>
    <row r="228" spans="1:7" x14ac:dyDescent="0.35">
      <c r="A228" s="5"/>
      <c r="B228" s="1"/>
      <c r="C228" s="5"/>
      <c r="D228" s="1"/>
      <c r="E228" s="1"/>
      <c r="F228" s="1"/>
      <c r="G228" s="1"/>
    </row>
    <row r="229" spans="1:7" x14ac:dyDescent="0.35">
      <c r="A229" s="5"/>
      <c r="B229" s="1"/>
      <c r="C229" s="5"/>
      <c r="D229" s="1"/>
      <c r="E229" s="1"/>
      <c r="F229" s="1"/>
      <c r="G229" s="1"/>
    </row>
    <row r="230" spans="1:7" x14ac:dyDescent="0.35">
      <c r="A230" s="5"/>
      <c r="B230" s="1"/>
      <c r="C230" s="5"/>
      <c r="D230" s="1"/>
      <c r="E230" s="1"/>
      <c r="F230" s="1"/>
      <c r="G230" s="1"/>
    </row>
    <row r="231" spans="1:7" x14ac:dyDescent="0.35">
      <c r="A231" s="5"/>
      <c r="B231" s="1"/>
      <c r="C231" s="5"/>
      <c r="D231" s="1"/>
      <c r="E231" s="1"/>
      <c r="F231" s="1"/>
      <c r="G231" s="1"/>
    </row>
    <row r="232" spans="1:7" x14ac:dyDescent="0.35">
      <c r="A232" s="5"/>
      <c r="B232" s="1"/>
      <c r="C232" s="5"/>
      <c r="D232" s="1"/>
      <c r="E232" s="1"/>
      <c r="F232" s="1"/>
      <c r="G232" s="1"/>
    </row>
    <row r="233" spans="1:7" x14ac:dyDescent="0.35">
      <c r="A233" s="5"/>
      <c r="B233" s="1"/>
      <c r="C233" s="5"/>
      <c r="D233" s="1"/>
      <c r="E233" s="1"/>
      <c r="F233" s="1"/>
      <c r="G233" s="1"/>
    </row>
    <row r="234" spans="1:7" x14ac:dyDescent="0.35">
      <c r="A234" s="5"/>
      <c r="B234" s="1"/>
      <c r="C234" s="5"/>
      <c r="D234" s="1"/>
      <c r="E234" s="1"/>
      <c r="F234" s="1"/>
      <c r="G234" s="1"/>
    </row>
    <row r="235" spans="1:7" x14ac:dyDescent="0.35">
      <c r="A235" s="5"/>
      <c r="B235" s="1"/>
      <c r="C235" s="5"/>
      <c r="D235" s="1"/>
      <c r="E235" s="1"/>
      <c r="F235" s="1"/>
      <c r="G235" s="1"/>
    </row>
    <row r="236" spans="1:7" x14ac:dyDescent="0.35">
      <c r="A236" s="5"/>
      <c r="B236" s="1"/>
      <c r="C236" s="5"/>
      <c r="D236" s="1"/>
      <c r="E236" s="1"/>
      <c r="F236" s="1"/>
      <c r="G236" s="1"/>
    </row>
    <row r="237" spans="1:7" x14ac:dyDescent="0.35">
      <c r="A237" s="5"/>
      <c r="B237" s="1"/>
      <c r="C237" s="5"/>
      <c r="D237" s="1"/>
      <c r="E237" s="1"/>
      <c r="F237" s="1"/>
      <c r="G237" s="1"/>
    </row>
    <row r="238" spans="1:7" x14ac:dyDescent="0.35">
      <c r="A238" s="5"/>
      <c r="B238" s="1"/>
      <c r="C238" s="5"/>
      <c r="D238" s="1"/>
      <c r="E238" s="1"/>
      <c r="F238" s="1"/>
      <c r="G238" s="1"/>
    </row>
    <row r="239" spans="1:7" x14ac:dyDescent="0.35">
      <c r="A239" s="5"/>
      <c r="B239" s="1"/>
      <c r="C239" s="5"/>
      <c r="D239" s="1"/>
      <c r="E239" s="1"/>
      <c r="F239" s="1"/>
      <c r="G239" s="1"/>
    </row>
    <row r="240" spans="1:7" x14ac:dyDescent="0.35">
      <c r="A240" s="5"/>
      <c r="B240" s="1"/>
      <c r="C240" s="5"/>
      <c r="D240" s="1"/>
      <c r="E240" s="1"/>
      <c r="F240" s="1"/>
      <c r="G240" s="1"/>
    </row>
    <row r="241" spans="1:7" x14ac:dyDescent="0.35">
      <c r="A241" s="5"/>
      <c r="B241" s="1"/>
      <c r="C241" s="5"/>
      <c r="D241" s="1"/>
      <c r="E241" s="1"/>
      <c r="F241" s="1"/>
      <c r="G241" s="1"/>
    </row>
    <row r="242" spans="1:7" x14ac:dyDescent="0.35">
      <c r="A242" s="5"/>
      <c r="B242" s="1"/>
      <c r="C242" s="5"/>
      <c r="D242" s="1"/>
      <c r="E242" s="1"/>
      <c r="F242" s="1"/>
      <c r="G242" s="1"/>
    </row>
    <row r="243" spans="1:7" x14ac:dyDescent="0.35">
      <c r="A243" s="5"/>
      <c r="B243" s="1"/>
      <c r="C243" s="5"/>
      <c r="D243" s="1"/>
      <c r="E243" s="1"/>
      <c r="F243" s="1"/>
      <c r="G243" s="1"/>
    </row>
    <row r="244" spans="1:7" x14ac:dyDescent="0.35">
      <c r="A244" s="5"/>
      <c r="B244" s="1"/>
      <c r="C244" s="5"/>
      <c r="D244" s="1"/>
      <c r="E244" s="1"/>
      <c r="F244" s="1"/>
      <c r="G244" s="1"/>
    </row>
    <row r="245" spans="1:7" x14ac:dyDescent="0.35">
      <c r="A245" s="5"/>
      <c r="B245" s="1"/>
      <c r="C245" s="5"/>
      <c r="D245" s="1"/>
      <c r="E245" s="1"/>
      <c r="F245" s="1"/>
      <c r="G245" s="1"/>
    </row>
    <row r="246" spans="1:7" x14ac:dyDescent="0.35">
      <c r="A246" s="5"/>
      <c r="B246" s="1"/>
      <c r="C246" s="5"/>
      <c r="D246" s="1"/>
      <c r="E246" s="1"/>
      <c r="F246" s="1"/>
      <c r="G246" s="1"/>
    </row>
    <row r="247" spans="1:7" x14ac:dyDescent="0.35">
      <c r="A247" s="5"/>
      <c r="B247" s="1"/>
      <c r="C247" s="5"/>
      <c r="D247" s="1"/>
      <c r="E247" s="1"/>
      <c r="F247" s="1"/>
      <c r="G247" s="1"/>
    </row>
    <row r="248" spans="1:7" x14ac:dyDescent="0.35">
      <c r="A248" s="5"/>
      <c r="B248" s="1"/>
      <c r="C248" s="5"/>
      <c r="D248" s="1"/>
      <c r="E248" s="1"/>
      <c r="F248" s="1"/>
      <c r="G248" s="1"/>
    </row>
    <row r="249" spans="1:7" x14ac:dyDescent="0.35">
      <c r="A249" s="5"/>
      <c r="B249" s="1"/>
      <c r="C249" s="5"/>
      <c r="D249" s="1"/>
      <c r="E249" s="1"/>
      <c r="F249" s="1"/>
      <c r="G249" s="1"/>
    </row>
    <row r="250" spans="1:7" x14ac:dyDescent="0.35">
      <c r="A250" s="5"/>
      <c r="B250" s="1"/>
      <c r="C250" s="5"/>
      <c r="D250" s="1"/>
      <c r="E250" s="1"/>
      <c r="F250" s="1"/>
      <c r="G250" s="1"/>
    </row>
    <row r="251" spans="1:7" x14ac:dyDescent="0.35">
      <c r="A251" s="5"/>
      <c r="B251" s="1"/>
      <c r="C251" s="5"/>
      <c r="D251" s="1"/>
      <c r="E251" s="1"/>
      <c r="F251" s="1"/>
      <c r="G251" s="1"/>
    </row>
    <row r="252" spans="1:7" x14ac:dyDescent="0.35">
      <c r="A252" s="5"/>
      <c r="B252" s="1"/>
      <c r="C252" s="5"/>
      <c r="D252" s="1"/>
      <c r="E252" s="1"/>
      <c r="F252" s="1"/>
      <c r="G252" s="1"/>
    </row>
    <row r="253" spans="1:7" x14ac:dyDescent="0.35">
      <c r="A253" s="5"/>
      <c r="B253" s="1"/>
      <c r="C253" s="5"/>
      <c r="D253" s="1"/>
      <c r="E253" s="1"/>
      <c r="F253" s="1"/>
      <c r="G253" s="1"/>
    </row>
    <row r="254" spans="1:7" x14ac:dyDescent="0.35">
      <c r="A254" s="5"/>
      <c r="B254" s="1"/>
      <c r="C254" s="5"/>
      <c r="D254" s="1"/>
      <c r="E254" s="1"/>
      <c r="F254" s="1"/>
      <c r="G254" s="1"/>
    </row>
    <row r="255" spans="1:7" x14ac:dyDescent="0.35">
      <c r="A255" s="5"/>
      <c r="B255" s="1"/>
      <c r="C255" s="5"/>
      <c r="D255" s="1"/>
      <c r="E255" s="1"/>
      <c r="F255" s="1"/>
      <c r="G255" s="1"/>
    </row>
    <row r="256" spans="1:7" x14ac:dyDescent="0.35">
      <c r="A256" s="5"/>
      <c r="B256" s="1"/>
      <c r="C256" s="5"/>
      <c r="D256" s="1"/>
      <c r="E256" s="1"/>
      <c r="F256" s="1"/>
      <c r="G256" s="1"/>
    </row>
    <row r="257" spans="1:7" x14ac:dyDescent="0.35">
      <c r="A257" s="5"/>
      <c r="B257" s="1"/>
      <c r="C257" s="5"/>
      <c r="D257" s="1"/>
      <c r="E257" s="1"/>
      <c r="F257" s="1"/>
      <c r="G257" s="1"/>
    </row>
    <row r="258" spans="1:7" x14ac:dyDescent="0.35">
      <c r="A258" s="5"/>
      <c r="B258" s="1"/>
      <c r="C258" s="5"/>
      <c r="D258" s="1"/>
      <c r="E258" s="1"/>
      <c r="F258" s="1"/>
      <c r="G258" s="1"/>
    </row>
    <row r="259" spans="1:7" x14ac:dyDescent="0.35">
      <c r="A259" s="5"/>
      <c r="B259" s="1"/>
      <c r="C259" s="5"/>
      <c r="D259" s="1"/>
      <c r="E259" s="1"/>
      <c r="F259" s="1"/>
      <c r="G259" s="1"/>
    </row>
    <row r="260" spans="1:7" x14ac:dyDescent="0.35">
      <c r="A260" s="5"/>
      <c r="B260" s="1"/>
      <c r="C260" s="5"/>
      <c r="D260" s="1"/>
      <c r="E260" s="1"/>
      <c r="F260" s="1"/>
      <c r="G260" s="1"/>
    </row>
    <row r="261" spans="1:7" x14ac:dyDescent="0.35">
      <c r="B261" s="1"/>
    </row>
    <row r="262" spans="1:7" x14ac:dyDescent="0.35">
      <c r="B262" s="1"/>
    </row>
    <row r="263" spans="1:7" x14ac:dyDescent="0.35">
      <c r="B263" s="1"/>
    </row>
    <row r="264" spans="1:7" x14ac:dyDescent="0.35">
      <c r="B264" s="1"/>
    </row>
    <row r="265" spans="1:7" x14ac:dyDescent="0.35">
      <c r="B265" s="1"/>
    </row>
    <row r="266" spans="1:7" x14ac:dyDescent="0.35">
      <c r="B266" s="1"/>
    </row>
    <row r="267" spans="1:7" x14ac:dyDescent="0.35">
      <c r="B267" s="1"/>
    </row>
    <row r="268" spans="1:7" x14ac:dyDescent="0.35">
      <c r="B268" s="1"/>
    </row>
    <row r="269" spans="1:7" x14ac:dyDescent="0.35">
      <c r="B269" s="1"/>
    </row>
    <row r="270" spans="1:7" x14ac:dyDescent="0.35">
      <c r="B270" s="1"/>
    </row>
    <row r="271" spans="1:7" x14ac:dyDescent="0.35">
      <c r="B271" s="1"/>
    </row>
    <row r="272" spans="1:7" x14ac:dyDescent="0.35">
      <c r="B272" s="1"/>
    </row>
    <row r="273" spans="2:2" x14ac:dyDescent="0.35">
      <c r="B273" s="1"/>
    </row>
    <row r="274" spans="2:2" x14ac:dyDescent="0.35">
      <c r="B274" s="1"/>
    </row>
    <row r="275" spans="2:2" x14ac:dyDescent="0.35">
      <c r="B275" s="1"/>
    </row>
    <row r="276" spans="2:2" x14ac:dyDescent="0.35">
      <c r="B276" s="1"/>
    </row>
    <row r="277" spans="2:2" x14ac:dyDescent="0.35">
      <c r="B277" s="1"/>
    </row>
    <row r="278" spans="2:2" x14ac:dyDescent="0.35">
      <c r="B278" s="1"/>
    </row>
    <row r="279" spans="2:2" x14ac:dyDescent="0.35">
      <c r="B279" s="1"/>
    </row>
    <row r="280" spans="2:2" x14ac:dyDescent="0.35">
      <c r="B280" s="1"/>
    </row>
    <row r="281" spans="2:2" x14ac:dyDescent="0.35">
      <c r="B281" s="1"/>
    </row>
    <row r="282" spans="2:2" x14ac:dyDescent="0.35">
      <c r="B282" s="1"/>
    </row>
    <row r="283" spans="2:2" x14ac:dyDescent="0.35">
      <c r="B283" s="1"/>
    </row>
    <row r="284" spans="2:2" x14ac:dyDescent="0.35">
      <c r="B284" s="1"/>
    </row>
    <row r="285" spans="2:2" x14ac:dyDescent="0.35">
      <c r="B285" s="1"/>
    </row>
    <row r="286" spans="2:2" x14ac:dyDescent="0.35">
      <c r="B286" s="1"/>
    </row>
    <row r="287" spans="2:2" x14ac:dyDescent="0.35">
      <c r="B287" s="1"/>
    </row>
    <row r="288" spans="2:2" x14ac:dyDescent="0.35">
      <c r="B288" s="1"/>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A026F-090B-49AE-8234-E949C5C13191}">
  <sheetPr codeName="Sheet23"/>
  <dimension ref="A1:AO289"/>
  <sheetViews>
    <sheetView rightToLeft="1" workbookViewId="0">
      <pane xSplit="1" ySplit="1" topLeftCell="B6" activePane="bottomRight" state="frozen"/>
      <selection activeCell="B66" sqref="A1:AH87"/>
      <selection pane="topRight" activeCell="B66" sqref="A1:AH87"/>
      <selection pane="bottomLeft" activeCell="B66" sqref="A1:AH87"/>
      <selection pane="bottomRight" activeCell="C8" sqref="C8"/>
    </sheetView>
  </sheetViews>
  <sheetFormatPr defaultColWidth="8.81640625" defaultRowHeight="14.5" x14ac:dyDescent="0.35"/>
  <cols>
    <col min="1" max="1" width="52.1796875" style="8" customWidth="1"/>
    <col min="2" max="3" width="10" style="2" customWidth="1"/>
    <col min="4" max="4" width="10.81640625" style="8" customWidth="1"/>
    <col min="5" max="5" width="11.81640625" style="2" customWidth="1"/>
    <col min="6" max="8" width="8.81640625" style="2"/>
    <col min="9" max="16" width="8.81640625" style="1" customWidth="1"/>
    <col min="17" max="18" width="8.81640625" style="30" customWidth="1"/>
    <col min="19" max="35" width="8.81640625" style="1" customWidth="1"/>
    <col min="36" max="36" width="8.81640625" style="2"/>
    <col min="37" max="37" width="10.08984375" style="2" bestFit="1" customWidth="1"/>
    <col min="38" max="38" width="8.81640625" style="2"/>
    <col min="39" max="39" width="10.453125" style="2" bestFit="1" customWidth="1"/>
    <col min="40" max="40" width="8.81640625" style="2"/>
    <col min="41" max="41" width="17" style="2" bestFit="1" customWidth="1"/>
    <col min="42" max="16384" width="8.81640625" style="2"/>
  </cols>
  <sheetData>
    <row r="1" spans="1:41" ht="15" thickBot="1" x14ac:dyDescent="0.4">
      <c r="A1" s="7" t="s">
        <v>0</v>
      </c>
      <c r="B1" s="4">
        <v>2025</v>
      </c>
      <c r="C1" s="4">
        <v>2022</v>
      </c>
      <c r="D1" s="7">
        <v>2021</v>
      </c>
      <c r="E1" s="4">
        <v>2020</v>
      </c>
      <c r="F1" s="9">
        <v>43709</v>
      </c>
      <c r="G1" s="9">
        <v>43556</v>
      </c>
      <c r="H1" s="4">
        <v>2015</v>
      </c>
      <c r="I1" s="4">
        <v>2013</v>
      </c>
      <c r="J1" s="4">
        <v>2009</v>
      </c>
      <c r="K1" s="4">
        <v>2006</v>
      </c>
      <c r="L1" s="4">
        <v>2003</v>
      </c>
      <c r="M1" s="4">
        <v>2001</v>
      </c>
      <c r="N1" s="4">
        <v>1999</v>
      </c>
      <c r="O1" s="4">
        <v>1996</v>
      </c>
      <c r="P1" s="4">
        <v>1992</v>
      </c>
      <c r="Q1" s="28" t="s">
        <v>1788</v>
      </c>
      <c r="R1" s="28" t="s">
        <v>1961</v>
      </c>
      <c r="S1" s="4">
        <v>1988</v>
      </c>
      <c r="T1" s="4">
        <v>1984</v>
      </c>
      <c r="U1" s="4" t="s">
        <v>2300</v>
      </c>
      <c r="V1" s="4" t="s">
        <v>2413</v>
      </c>
      <c r="W1" s="4" t="s">
        <v>2513</v>
      </c>
      <c r="X1" s="4" t="s">
        <v>2567</v>
      </c>
      <c r="Y1" s="4" t="s">
        <v>2579</v>
      </c>
      <c r="Z1" s="4" t="s">
        <v>2581</v>
      </c>
      <c r="AA1" s="4" t="s">
        <v>2586</v>
      </c>
      <c r="AB1" s="4" t="s">
        <v>2636</v>
      </c>
      <c r="AC1" s="4" t="s">
        <v>2729</v>
      </c>
      <c r="AD1" s="4" t="s">
        <v>2787</v>
      </c>
      <c r="AE1" s="4" t="s">
        <v>2827</v>
      </c>
      <c r="AF1" s="4" t="s">
        <v>2955</v>
      </c>
      <c r="AG1" s="4" t="s">
        <v>2981</v>
      </c>
      <c r="AH1" s="4" t="s">
        <v>3019</v>
      </c>
      <c r="AI1" s="4" t="s">
        <v>3063</v>
      </c>
      <c r="AK1" s="41" t="s">
        <v>3228</v>
      </c>
      <c r="AM1" s="41" t="s">
        <v>3229</v>
      </c>
      <c r="AO1" s="41" t="s">
        <v>3230</v>
      </c>
    </row>
    <row r="2" spans="1:41" ht="58" x14ac:dyDescent="0.35">
      <c r="A2" s="6" t="s">
        <v>32</v>
      </c>
      <c r="B2" s="6"/>
      <c r="C2" s="6"/>
      <c r="D2" s="6" t="s">
        <v>33</v>
      </c>
      <c r="E2" s="57" t="s">
        <v>33</v>
      </c>
      <c r="F2" s="3"/>
      <c r="G2" s="3" t="s">
        <v>33</v>
      </c>
      <c r="H2" s="3"/>
      <c r="I2" s="3"/>
      <c r="J2" s="3"/>
      <c r="K2" s="3"/>
      <c r="L2" s="3"/>
      <c r="M2" s="3"/>
      <c r="N2" s="3"/>
      <c r="O2" s="3"/>
      <c r="P2" s="3"/>
      <c r="Q2" s="29"/>
      <c r="R2" s="29"/>
      <c r="S2" s="3"/>
      <c r="T2" s="3"/>
      <c r="U2" s="3"/>
      <c r="V2" s="3"/>
      <c r="W2" s="3"/>
      <c r="X2" s="3"/>
      <c r="Y2" s="3"/>
      <c r="Z2" s="3"/>
      <c r="AA2" s="3"/>
      <c r="AB2" s="3"/>
      <c r="AC2" s="3"/>
      <c r="AD2" s="3"/>
      <c r="AE2" s="3"/>
      <c r="AF2" s="3"/>
      <c r="AG2" s="3"/>
      <c r="AH2" s="3"/>
      <c r="AI2" s="3"/>
      <c r="AK2" s="2">
        <f>COUNTA(C2:AI2)</f>
        <v>3</v>
      </c>
      <c r="AM2" s="2">
        <f>COUNTA(G2:P2,S2:T2)</f>
        <v>1</v>
      </c>
      <c r="AO2" s="2">
        <f>COUNTIF(AM2:AM17,"&gt;=2")</f>
        <v>8</v>
      </c>
    </row>
    <row r="3" spans="1:41" ht="43.5" x14ac:dyDescent="0.35">
      <c r="A3" s="5" t="s">
        <v>439</v>
      </c>
      <c r="B3" s="6"/>
      <c r="C3" s="6"/>
      <c r="D3" s="6"/>
      <c r="E3" s="3"/>
      <c r="F3" s="3"/>
      <c r="G3" s="3"/>
      <c r="H3" s="3" t="s">
        <v>440</v>
      </c>
      <c r="AK3" s="2">
        <f t="shared" ref="AK3:AK17" si="0">COUNTA(C3:AI3)</f>
        <v>1</v>
      </c>
      <c r="AM3" s="2">
        <f t="shared" ref="AM3:AM17" si="1">COUNTA(G3:P3,S3:T3)</f>
        <v>1</v>
      </c>
    </row>
    <row r="4" spans="1:41" ht="29" x14ac:dyDescent="0.35">
      <c r="A4" s="5" t="s">
        <v>438</v>
      </c>
      <c r="B4" s="6" t="s">
        <v>34</v>
      </c>
      <c r="C4" s="6" t="s">
        <v>34</v>
      </c>
      <c r="D4" s="5" t="s">
        <v>34</v>
      </c>
      <c r="E4" s="59" t="s">
        <v>34</v>
      </c>
      <c r="F4" s="1"/>
      <c r="G4" s="53" t="s">
        <v>34</v>
      </c>
      <c r="H4" s="1" t="s">
        <v>441</v>
      </c>
      <c r="AK4" s="2">
        <f t="shared" si="0"/>
        <v>5</v>
      </c>
      <c r="AM4" s="2">
        <f t="shared" si="1"/>
        <v>2</v>
      </c>
    </row>
    <row r="5" spans="1:41" ht="29" x14ac:dyDescent="0.35">
      <c r="A5" s="5" t="s">
        <v>35</v>
      </c>
      <c r="B5" s="5" t="s">
        <v>36</v>
      </c>
      <c r="C5" s="5" t="s">
        <v>36</v>
      </c>
      <c r="D5" s="5" t="s">
        <v>36</v>
      </c>
      <c r="E5" s="53" t="s">
        <v>36</v>
      </c>
      <c r="F5" s="53" t="s">
        <v>366</v>
      </c>
      <c r="G5" s="53" t="s">
        <v>36</v>
      </c>
      <c r="H5" s="1" t="s">
        <v>442</v>
      </c>
      <c r="AK5" s="2">
        <f t="shared" si="0"/>
        <v>6</v>
      </c>
      <c r="AM5" s="2">
        <f t="shared" si="1"/>
        <v>2</v>
      </c>
    </row>
    <row r="6" spans="1:41" ht="29" x14ac:dyDescent="0.35">
      <c r="A6" s="5" t="s">
        <v>3233</v>
      </c>
      <c r="B6" s="6" t="s">
        <v>37</v>
      </c>
      <c r="C6" s="6" t="s">
        <v>37</v>
      </c>
      <c r="D6" s="5" t="s">
        <v>37</v>
      </c>
      <c r="E6" s="53" t="s">
        <v>37</v>
      </c>
      <c r="F6" s="53" t="s">
        <v>367</v>
      </c>
      <c r="G6" s="53" t="s">
        <v>37</v>
      </c>
      <c r="H6" s="1" t="s">
        <v>443</v>
      </c>
      <c r="AK6" s="2">
        <f t="shared" si="0"/>
        <v>6</v>
      </c>
      <c r="AM6" s="2">
        <f t="shared" si="1"/>
        <v>2</v>
      </c>
    </row>
    <row r="7" spans="1:41" ht="29" x14ac:dyDescent="0.35">
      <c r="A7" s="5" t="s">
        <v>38</v>
      </c>
      <c r="B7" s="6" t="s">
        <v>39</v>
      </c>
      <c r="C7" s="6" t="s">
        <v>39</v>
      </c>
      <c r="D7" s="5" t="s">
        <v>39</v>
      </c>
      <c r="E7" s="1" t="s">
        <v>39</v>
      </c>
      <c r="F7" s="1"/>
      <c r="G7" s="53" t="s">
        <v>39</v>
      </c>
      <c r="H7" s="1" t="s">
        <v>57</v>
      </c>
      <c r="AK7" s="2">
        <f t="shared" si="0"/>
        <v>5</v>
      </c>
      <c r="AM7" s="2">
        <f t="shared" si="1"/>
        <v>2</v>
      </c>
    </row>
    <row r="8" spans="1:41" x14ac:dyDescent="0.35">
      <c r="A8" s="5" t="s">
        <v>7899</v>
      </c>
      <c r="B8" s="6" t="s">
        <v>421</v>
      </c>
      <c r="C8" s="6"/>
      <c r="D8" s="5"/>
      <c r="E8" s="1"/>
      <c r="F8" s="1"/>
      <c r="G8" s="53"/>
      <c r="H8" s="1"/>
    </row>
    <row r="9" spans="1:41" ht="29" x14ac:dyDescent="0.35">
      <c r="A9" s="5" t="s">
        <v>3151</v>
      </c>
      <c r="B9" s="6"/>
      <c r="C9" s="6"/>
      <c r="D9" s="5" t="s">
        <v>40</v>
      </c>
      <c r="E9" s="1" t="s">
        <v>40</v>
      </c>
      <c r="F9" s="1"/>
      <c r="G9" s="1"/>
      <c r="H9" s="1"/>
      <c r="AK9" s="2">
        <f t="shared" si="0"/>
        <v>2</v>
      </c>
      <c r="AM9" s="2">
        <f t="shared" si="1"/>
        <v>0</v>
      </c>
    </row>
    <row r="10" spans="1:41" ht="29" x14ac:dyDescent="0.35">
      <c r="A10" s="5" t="s">
        <v>339</v>
      </c>
      <c r="B10" s="6"/>
      <c r="C10" s="6"/>
      <c r="D10" s="5"/>
      <c r="E10" s="1"/>
      <c r="F10" s="1"/>
      <c r="G10" s="1"/>
      <c r="H10" s="1"/>
      <c r="AK10" s="2">
        <f t="shared" si="0"/>
        <v>0</v>
      </c>
      <c r="AM10" s="2">
        <f t="shared" si="1"/>
        <v>0</v>
      </c>
    </row>
    <row r="11" spans="1:41" ht="29" x14ac:dyDescent="0.35">
      <c r="A11" s="5" t="s">
        <v>340</v>
      </c>
      <c r="B11" s="6"/>
      <c r="C11" s="6"/>
      <c r="D11" s="5"/>
      <c r="E11" s="1"/>
      <c r="F11" s="1"/>
      <c r="G11" s="1"/>
      <c r="H11" s="1"/>
      <c r="AK11" s="2">
        <f t="shared" si="0"/>
        <v>0</v>
      </c>
      <c r="AM11" s="2">
        <f t="shared" si="1"/>
        <v>0</v>
      </c>
    </row>
    <row r="12" spans="1:41" ht="29" x14ac:dyDescent="0.35">
      <c r="A12" s="5" t="s">
        <v>341</v>
      </c>
      <c r="B12" s="6"/>
      <c r="C12" s="6"/>
      <c r="D12" s="5"/>
      <c r="E12" s="1"/>
      <c r="F12" s="1"/>
      <c r="G12" s="1"/>
      <c r="H12" s="1"/>
      <c r="AK12" s="2">
        <f t="shared" si="0"/>
        <v>0</v>
      </c>
      <c r="AM12" s="2">
        <f t="shared" si="1"/>
        <v>0</v>
      </c>
    </row>
    <row r="13" spans="1:41" ht="29" x14ac:dyDescent="0.35">
      <c r="A13" s="5" t="s">
        <v>812</v>
      </c>
      <c r="B13" s="1"/>
      <c r="C13" s="1"/>
      <c r="D13" s="5"/>
      <c r="E13" s="1"/>
      <c r="F13" s="1"/>
      <c r="G13" s="1"/>
      <c r="H13" s="1"/>
      <c r="J13" s="54" t="s">
        <v>813</v>
      </c>
      <c r="K13" s="1" t="s">
        <v>1078</v>
      </c>
      <c r="AK13" s="2">
        <f t="shared" si="0"/>
        <v>2</v>
      </c>
      <c r="AM13" s="2">
        <f t="shared" si="1"/>
        <v>2</v>
      </c>
    </row>
    <row r="14" spans="1:41" x14ac:dyDescent="0.35">
      <c r="A14" s="5" t="s">
        <v>806</v>
      </c>
      <c r="B14" s="1"/>
      <c r="C14" s="1"/>
      <c r="D14" s="5"/>
      <c r="E14" s="1"/>
      <c r="F14" s="1"/>
      <c r="G14" s="1"/>
      <c r="H14" s="1"/>
      <c r="J14" s="54" t="s">
        <v>814</v>
      </c>
      <c r="K14" s="1" t="s">
        <v>1079</v>
      </c>
      <c r="AK14" s="2">
        <f t="shared" si="0"/>
        <v>2</v>
      </c>
      <c r="AM14" s="2">
        <f t="shared" si="1"/>
        <v>2</v>
      </c>
    </row>
    <row r="15" spans="1:41" x14ac:dyDescent="0.35">
      <c r="A15" s="5" t="s">
        <v>807</v>
      </c>
      <c r="B15" s="1"/>
      <c r="C15" s="1"/>
      <c r="D15" s="5"/>
      <c r="E15" s="1"/>
      <c r="F15" s="1"/>
      <c r="G15" s="1"/>
      <c r="H15" s="1"/>
      <c r="J15" s="54" t="s">
        <v>815</v>
      </c>
      <c r="K15" s="1" t="s">
        <v>1080</v>
      </c>
      <c r="AK15" s="2">
        <f t="shared" si="0"/>
        <v>2</v>
      </c>
      <c r="AM15" s="2">
        <f t="shared" si="1"/>
        <v>2</v>
      </c>
    </row>
    <row r="16" spans="1:41" x14ac:dyDescent="0.35">
      <c r="A16" s="5" t="s">
        <v>808</v>
      </c>
      <c r="B16" s="5"/>
      <c r="C16" s="5"/>
      <c r="D16" s="5"/>
      <c r="E16" s="1"/>
      <c r="F16" s="1"/>
      <c r="G16" s="1"/>
      <c r="H16" s="1"/>
      <c r="J16" s="54" t="s">
        <v>816</v>
      </c>
      <c r="K16" s="1" t="s">
        <v>1081</v>
      </c>
      <c r="AK16" s="2">
        <f t="shared" si="0"/>
        <v>2</v>
      </c>
      <c r="AM16" s="2">
        <f t="shared" si="1"/>
        <v>2</v>
      </c>
    </row>
    <row r="17" spans="1:39" x14ac:dyDescent="0.35">
      <c r="A17" s="5" t="s">
        <v>3152</v>
      </c>
      <c r="B17" s="1"/>
      <c r="C17" s="1"/>
      <c r="D17" s="5" t="s">
        <v>3153</v>
      </c>
      <c r="E17" s="1"/>
      <c r="F17" s="1"/>
      <c r="G17" s="1"/>
      <c r="H17" s="1"/>
      <c r="AK17" s="2">
        <f t="shared" si="0"/>
        <v>1</v>
      </c>
      <c r="AM17" s="2">
        <f t="shared" si="1"/>
        <v>0</v>
      </c>
    </row>
    <row r="18" spans="1:39" x14ac:dyDescent="0.35">
      <c r="A18" s="5"/>
      <c r="B18" s="1"/>
      <c r="C18" s="1"/>
      <c r="D18" s="5"/>
      <c r="E18" s="1"/>
      <c r="F18" s="1"/>
      <c r="G18" s="1"/>
      <c r="H18" s="1"/>
    </row>
    <row r="19" spans="1:39" x14ac:dyDescent="0.35">
      <c r="A19" s="5"/>
      <c r="B19" s="1"/>
      <c r="C19" s="1"/>
      <c r="D19" s="5"/>
      <c r="E19" s="1"/>
      <c r="F19" s="1"/>
      <c r="G19" s="1"/>
      <c r="H19" s="1"/>
    </row>
    <row r="20" spans="1:39" x14ac:dyDescent="0.35">
      <c r="A20" s="5"/>
      <c r="B20" s="1"/>
      <c r="C20" s="1"/>
      <c r="D20" s="5"/>
      <c r="E20" s="1"/>
      <c r="F20" s="1"/>
      <c r="G20" s="1"/>
      <c r="H20" s="1"/>
    </row>
    <row r="21" spans="1:39" x14ac:dyDescent="0.35">
      <c r="A21" s="5"/>
      <c r="B21" s="1"/>
      <c r="C21" s="1"/>
      <c r="D21" s="5"/>
      <c r="E21" s="1"/>
      <c r="F21" s="1"/>
      <c r="G21" s="1"/>
      <c r="H21" s="1"/>
    </row>
    <row r="22" spans="1:39" x14ac:dyDescent="0.35">
      <c r="A22" s="5"/>
      <c r="B22" s="1"/>
      <c r="C22" s="1"/>
      <c r="D22" s="5"/>
      <c r="E22" s="1"/>
      <c r="F22" s="1"/>
      <c r="G22" s="1"/>
      <c r="H22" s="1"/>
    </row>
    <row r="23" spans="1:39" x14ac:dyDescent="0.35">
      <c r="A23" s="5"/>
      <c r="B23" s="1"/>
      <c r="C23" s="1"/>
      <c r="D23" s="5"/>
      <c r="E23" s="1"/>
      <c r="F23" s="1"/>
      <c r="G23" s="1"/>
      <c r="H23" s="1"/>
    </row>
    <row r="24" spans="1:39" x14ac:dyDescent="0.35">
      <c r="A24" s="5"/>
      <c r="B24" s="1"/>
      <c r="C24" s="1"/>
      <c r="D24" s="5"/>
      <c r="E24" s="1"/>
      <c r="F24" s="1"/>
      <c r="G24" s="1"/>
      <c r="H24" s="1"/>
    </row>
    <row r="25" spans="1:39" x14ac:dyDescent="0.35">
      <c r="A25" s="5"/>
      <c r="B25" s="1"/>
      <c r="C25" s="1"/>
      <c r="D25" s="5"/>
      <c r="E25" s="1"/>
      <c r="F25" s="1"/>
      <c r="G25" s="1"/>
      <c r="H25" s="1"/>
    </row>
    <row r="26" spans="1:39" x14ac:dyDescent="0.35">
      <c r="A26" s="5"/>
      <c r="B26" s="1"/>
      <c r="C26" s="1"/>
      <c r="D26" s="5"/>
      <c r="E26" s="1"/>
      <c r="F26" s="1"/>
      <c r="G26" s="1"/>
      <c r="H26" s="1"/>
    </row>
    <row r="27" spans="1:39" x14ac:dyDescent="0.35">
      <c r="A27" s="5"/>
      <c r="B27" s="5"/>
      <c r="C27" s="5"/>
      <c r="D27" s="5"/>
      <c r="E27" s="1"/>
      <c r="F27" s="1"/>
      <c r="G27" s="1"/>
      <c r="H27" s="1"/>
    </row>
    <row r="28" spans="1:39" x14ac:dyDescent="0.35">
      <c r="A28" s="5"/>
      <c r="B28" s="5"/>
      <c r="C28" s="5"/>
      <c r="D28" s="5"/>
      <c r="E28" s="1"/>
      <c r="F28" s="1"/>
      <c r="G28" s="1"/>
      <c r="H28" s="1"/>
    </row>
    <row r="29" spans="1:39" x14ac:dyDescent="0.35">
      <c r="A29" s="5"/>
      <c r="B29" s="5"/>
      <c r="C29" s="5"/>
      <c r="D29" s="5"/>
      <c r="E29" s="1"/>
      <c r="F29" s="1"/>
      <c r="G29" s="1"/>
      <c r="H29" s="1"/>
    </row>
    <row r="30" spans="1:39" x14ac:dyDescent="0.35">
      <c r="A30" s="5"/>
      <c r="B30" s="5"/>
      <c r="C30" s="5"/>
      <c r="D30" s="5"/>
      <c r="E30" s="1"/>
      <c r="F30" s="1"/>
      <c r="G30" s="1"/>
      <c r="H30" s="1"/>
    </row>
    <row r="31" spans="1:39" x14ac:dyDescent="0.35">
      <c r="A31" s="5"/>
      <c r="B31" s="5"/>
      <c r="C31" s="5"/>
      <c r="D31" s="5"/>
      <c r="E31" s="1"/>
      <c r="F31" s="1"/>
      <c r="G31" s="1"/>
      <c r="H31" s="1"/>
    </row>
    <row r="32" spans="1:39" x14ac:dyDescent="0.35">
      <c r="A32" s="5"/>
      <c r="B32" s="5"/>
      <c r="C32" s="5"/>
      <c r="D32" s="5"/>
      <c r="E32" s="1"/>
      <c r="F32" s="1"/>
      <c r="G32" s="1"/>
      <c r="H32" s="1"/>
    </row>
    <row r="33" spans="1:8" x14ac:dyDescent="0.35">
      <c r="A33" s="5"/>
      <c r="B33" s="5"/>
      <c r="C33" s="5"/>
      <c r="D33" s="5"/>
      <c r="E33" s="1"/>
      <c r="F33" s="1"/>
      <c r="G33" s="1"/>
      <c r="H33" s="1"/>
    </row>
    <row r="34" spans="1:8" x14ac:dyDescent="0.35">
      <c r="A34" s="5"/>
      <c r="B34" s="5"/>
      <c r="C34" s="5"/>
      <c r="D34" s="5"/>
      <c r="E34" s="1"/>
      <c r="F34" s="1"/>
      <c r="G34" s="1"/>
      <c r="H34" s="1"/>
    </row>
    <row r="35" spans="1:8" x14ac:dyDescent="0.35">
      <c r="A35" s="5"/>
      <c r="B35" s="5"/>
      <c r="C35" s="5"/>
      <c r="D35" s="5"/>
      <c r="E35" s="1"/>
      <c r="F35" s="1"/>
      <c r="G35" s="1"/>
      <c r="H35" s="1"/>
    </row>
    <row r="36" spans="1:8" x14ac:dyDescent="0.35">
      <c r="A36" s="5"/>
      <c r="B36" s="5"/>
      <c r="C36" s="5"/>
      <c r="D36" s="5"/>
      <c r="E36" s="1"/>
      <c r="F36" s="1"/>
      <c r="G36" s="1"/>
      <c r="H36" s="1"/>
    </row>
    <row r="37" spans="1:8" x14ac:dyDescent="0.35">
      <c r="A37" s="5"/>
      <c r="B37" s="5"/>
      <c r="C37" s="5"/>
      <c r="D37" s="5"/>
      <c r="E37" s="1"/>
      <c r="F37" s="1"/>
      <c r="G37" s="1"/>
      <c r="H37" s="1"/>
    </row>
    <row r="38" spans="1:8" x14ac:dyDescent="0.35">
      <c r="A38" s="5"/>
      <c r="B38" s="5"/>
      <c r="C38" s="5"/>
      <c r="D38" s="5"/>
      <c r="E38" s="1"/>
      <c r="F38" s="1"/>
      <c r="G38" s="1"/>
      <c r="H38" s="1"/>
    </row>
    <row r="39" spans="1:8" x14ac:dyDescent="0.35">
      <c r="A39" s="5"/>
      <c r="B39" s="5"/>
      <c r="C39" s="5"/>
      <c r="D39" s="5"/>
      <c r="E39" s="1"/>
      <c r="F39" s="1"/>
      <c r="G39" s="1"/>
      <c r="H39" s="1"/>
    </row>
    <row r="40" spans="1:8" x14ac:dyDescent="0.35">
      <c r="A40" s="5"/>
      <c r="B40" s="5"/>
      <c r="C40" s="5"/>
      <c r="D40" s="5"/>
      <c r="E40" s="1"/>
      <c r="F40" s="1"/>
      <c r="G40" s="1"/>
      <c r="H40" s="1"/>
    </row>
    <row r="41" spans="1:8" x14ac:dyDescent="0.35">
      <c r="A41" s="5"/>
      <c r="B41" s="5"/>
      <c r="C41" s="5"/>
      <c r="D41" s="5"/>
      <c r="E41" s="1"/>
      <c r="F41" s="1"/>
      <c r="G41" s="1"/>
      <c r="H41" s="1"/>
    </row>
    <row r="42" spans="1:8" x14ac:dyDescent="0.35">
      <c r="A42" s="5"/>
      <c r="B42" s="5"/>
      <c r="C42" s="5"/>
      <c r="D42" s="5"/>
      <c r="E42" s="1"/>
      <c r="F42" s="1"/>
      <c r="G42" s="1"/>
      <c r="H42" s="1"/>
    </row>
    <row r="43" spans="1:8" x14ac:dyDescent="0.35">
      <c r="A43" s="5"/>
      <c r="B43" s="5"/>
      <c r="C43" s="5"/>
      <c r="D43" s="5"/>
      <c r="E43" s="1"/>
      <c r="F43" s="1"/>
      <c r="G43" s="1"/>
      <c r="H43" s="1"/>
    </row>
    <row r="44" spans="1:8" x14ac:dyDescent="0.35">
      <c r="A44" s="5"/>
      <c r="B44" s="5"/>
      <c r="C44" s="5"/>
      <c r="D44" s="5"/>
      <c r="E44" s="1"/>
      <c r="F44" s="1"/>
      <c r="G44" s="1"/>
      <c r="H44" s="1"/>
    </row>
    <row r="45" spans="1:8" x14ac:dyDescent="0.35">
      <c r="A45" s="5"/>
      <c r="B45" s="5"/>
      <c r="C45" s="5"/>
      <c r="D45" s="5"/>
      <c r="E45" s="1"/>
      <c r="F45" s="1"/>
      <c r="G45" s="1"/>
      <c r="H45" s="1"/>
    </row>
    <row r="46" spans="1:8" x14ac:dyDescent="0.35">
      <c r="A46" s="5"/>
      <c r="B46" s="5"/>
      <c r="C46" s="5"/>
      <c r="D46" s="5"/>
      <c r="E46" s="1"/>
      <c r="F46" s="1"/>
      <c r="G46" s="1"/>
      <c r="H46" s="1"/>
    </row>
    <row r="47" spans="1:8" x14ac:dyDescent="0.35">
      <c r="A47" s="5"/>
      <c r="B47" s="5"/>
      <c r="C47" s="5"/>
      <c r="D47" s="5"/>
      <c r="E47" s="1"/>
      <c r="F47" s="1"/>
      <c r="G47" s="1"/>
      <c r="H47" s="1"/>
    </row>
    <row r="48" spans="1:8" x14ac:dyDescent="0.35">
      <c r="A48" s="5"/>
      <c r="B48" s="5"/>
      <c r="C48" s="5"/>
      <c r="D48" s="5"/>
      <c r="E48" s="1"/>
      <c r="F48" s="1"/>
      <c r="G48" s="1"/>
      <c r="H48" s="1"/>
    </row>
    <row r="49" spans="1:8" x14ac:dyDescent="0.35">
      <c r="A49" s="5"/>
      <c r="B49" s="5"/>
      <c r="C49" s="5"/>
      <c r="D49" s="5"/>
      <c r="E49" s="1"/>
      <c r="F49" s="1"/>
      <c r="G49" s="1"/>
      <c r="H49" s="1"/>
    </row>
    <row r="50" spans="1:8" x14ac:dyDescent="0.35">
      <c r="A50" s="5"/>
      <c r="B50" s="5"/>
      <c r="C50" s="5"/>
      <c r="D50" s="5"/>
      <c r="E50" s="1"/>
      <c r="F50" s="1"/>
      <c r="G50" s="1"/>
      <c r="H50" s="1"/>
    </row>
    <row r="51" spans="1:8" x14ac:dyDescent="0.35">
      <c r="A51" s="5"/>
      <c r="B51" s="5"/>
      <c r="C51" s="5"/>
      <c r="D51" s="5"/>
      <c r="E51" s="1"/>
      <c r="F51" s="1"/>
      <c r="G51" s="1"/>
      <c r="H51" s="1"/>
    </row>
    <row r="52" spans="1:8" x14ac:dyDescent="0.35">
      <c r="A52" s="5"/>
      <c r="B52" s="5"/>
      <c r="C52" s="5"/>
      <c r="D52" s="5"/>
      <c r="E52" s="1"/>
      <c r="F52" s="1"/>
      <c r="G52" s="1"/>
      <c r="H52" s="1"/>
    </row>
    <row r="53" spans="1:8" x14ac:dyDescent="0.35">
      <c r="A53" s="5"/>
      <c r="B53" s="5"/>
      <c r="C53" s="5"/>
      <c r="D53" s="5"/>
      <c r="E53" s="1"/>
      <c r="F53" s="1"/>
      <c r="G53" s="1"/>
      <c r="H53" s="1"/>
    </row>
    <row r="54" spans="1:8" x14ac:dyDescent="0.35">
      <c r="A54" s="5"/>
      <c r="B54" s="5"/>
      <c r="C54" s="5"/>
      <c r="D54" s="5"/>
      <c r="E54" s="1"/>
      <c r="F54" s="1"/>
      <c r="G54" s="1"/>
      <c r="H54" s="1"/>
    </row>
    <row r="55" spans="1:8" x14ac:dyDescent="0.35">
      <c r="A55" s="5"/>
      <c r="B55" s="5"/>
      <c r="C55" s="5"/>
      <c r="D55" s="5"/>
      <c r="E55" s="1"/>
      <c r="F55" s="1"/>
      <c r="G55" s="1"/>
      <c r="H55" s="1"/>
    </row>
    <row r="56" spans="1:8" x14ac:dyDescent="0.35">
      <c r="A56" s="5"/>
      <c r="B56" s="5"/>
      <c r="C56" s="5"/>
      <c r="D56" s="5"/>
      <c r="E56" s="1"/>
      <c r="F56" s="1"/>
      <c r="G56" s="1"/>
      <c r="H56" s="1"/>
    </row>
    <row r="57" spans="1:8" x14ac:dyDescent="0.35">
      <c r="A57" s="5"/>
      <c r="B57" s="5"/>
      <c r="C57" s="5"/>
      <c r="D57" s="5"/>
      <c r="E57" s="1"/>
      <c r="F57" s="1"/>
      <c r="G57" s="1"/>
      <c r="H57" s="1"/>
    </row>
    <row r="58" spans="1:8" x14ac:dyDescent="0.35">
      <c r="A58" s="5"/>
      <c r="B58" s="5"/>
      <c r="C58" s="5"/>
      <c r="D58" s="5"/>
      <c r="E58" s="1"/>
      <c r="F58" s="1"/>
      <c r="G58" s="1"/>
      <c r="H58" s="1"/>
    </row>
    <row r="59" spans="1:8" x14ac:dyDescent="0.35">
      <c r="A59" s="5"/>
      <c r="B59" s="5"/>
      <c r="C59" s="5"/>
      <c r="D59" s="5"/>
      <c r="E59" s="1"/>
      <c r="F59" s="1"/>
      <c r="G59" s="1"/>
      <c r="H59" s="1"/>
    </row>
    <row r="60" spans="1:8" x14ac:dyDescent="0.35">
      <c r="A60" s="5"/>
      <c r="B60" s="5"/>
      <c r="C60" s="5"/>
      <c r="D60" s="5"/>
      <c r="E60" s="1"/>
      <c r="F60" s="1"/>
      <c r="G60" s="1"/>
      <c r="H60" s="1"/>
    </row>
    <row r="61" spans="1:8" x14ac:dyDescent="0.35">
      <c r="A61" s="5"/>
      <c r="B61" s="5"/>
      <c r="C61" s="5"/>
      <c r="D61" s="5"/>
      <c r="E61" s="1"/>
      <c r="F61" s="1"/>
      <c r="G61" s="1"/>
      <c r="H61" s="1"/>
    </row>
    <row r="62" spans="1:8" x14ac:dyDescent="0.35">
      <c r="A62" s="5"/>
      <c r="B62" s="5"/>
      <c r="C62" s="5"/>
      <c r="D62" s="5"/>
      <c r="E62" s="1"/>
      <c r="F62" s="1"/>
      <c r="G62" s="1"/>
      <c r="H62" s="1"/>
    </row>
    <row r="63" spans="1:8" x14ac:dyDescent="0.35">
      <c r="A63" s="5"/>
      <c r="B63" s="5"/>
      <c r="C63" s="5"/>
      <c r="D63" s="5"/>
      <c r="E63" s="1"/>
      <c r="F63" s="1"/>
      <c r="G63" s="1"/>
      <c r="H63" s="1"/>
    </row>
    <row r="64" spans="1:8" x14ac:dyDescent="0.35">
      <c r="A64" s="5"/>
      <c r="B64" s="5"/>
      <c r="C64" s="5"/>
      <c r="D64" s="5"/>
      <c r="E64" s="1"/>
      <c r="F64" s="1"/>
      <c r="G64" s="1"/>
      <c r="H64" s="1"/>
    </row>
    <row r="65" spans="1:8" x14ac:dyDescent="0.35">
      <c r="A65" s="5"/>
      <c r="B65" s="5"/>
      <c r="C65" s="5"/>
      <c r="D65" s="5"/>
      <c r="E65" s="1"/>
      <c r="F65" s="1"/>
      <c r="G65" s="1"/>
      <c r="H65" s="1"/>
    </row>
    <row r="66" spans="1:8" x14ac:dyDescent="0.35">
      <c r="A66" s="5"/>
      <c r="B66" s="5"/>
      <c r="C66" s="5"/>
      <c r="D66" s="5"/>
      <c r="E66" s="1"/>
      <c r="F66" s="1"/>
      <c r="G66" s="1"/>
      <c r="H66" s="1"/>
    </row>
    <row r="67" spans="1:8" x14ac:dyDescent="0.35">
      <c r="A67" s="5"/>
      <c r="B67" s="5"/>
      <c r="C67" s="5"/>
      <c r="D67" s="5"/>
      <c r="E67" s="1"/>
      <c r="F67" s="1"/>
      <c r="G67" s="1"/>
      <c r="H67" s="1"/>
    </row>
    <row r="68" spans="1:8" x14ac:dyDescent="0.35">
      <c r="A68" s="5"/>
      <c r="B68" s="5"/>
      <c r="C68" s="5"/>
      <c r="D68" s="5"/>
      <c r="E68" s="1"/>
      <c r="F68" s="1"/>
      <c r="G68" s="1"/>
      <c r="H68" s="1"/>
    </row>
    <row r="69" spans="1:8" x14ac:dyDescent="0.35">
      <c r="A69" s="5"/>
      <c r="B69" s="5"/>
      <c r="C69" s="5"/>
      <c r="D69" s="5"/>
      <c r="E69" s="1"/>
      <c r="F69" s="1"/>
      <c r="G69" s="1"/>
      <c r="H69" s="1"/>
    </row>
    <row r="70" spans="1:8" x14ac:dyDescent="0.35">
      <c r="A70" s="5"/>
      <c r="B70" s="5"/>
      <c r="C70" s="5"/>
      <c r="D70" s="5"/>
      <c r="E70" s="1"/>
      <c r="F70" s="1"/>
      <c r="G70" s="1"/>
      <c r="H70" s="1"/>
    </row>
    <row r="71" spans="1:8" x14ac:dyDescent="0.35">
      <c r="A71" s="5"/>
      <c r="B71" s="5"/>
      <c r="C71" s="5"/>
      <c r="D71" s="5"/>
      <c r="E71" s="1"/>
      <c r="F71" s="1"/>
      <c r="G71" s="1"/>
      <c r="H71" s="1"/>
    </row>
    <row r="72" spans="1:8" x14ac:dyDescent="0.35">
      <c r="A72" s="5"/>
      <c r="B72" s="1"/>
      <c r="C72" s="1"/>
      <c r="D72" s="5"/>
      <c r="E72" s="1"/>
      <c r="F72" s="1"/>
      <c r="G72" s="1"/>
      <c r="H72" s="1"/>
    </row>
    <row r="73" spans="1:8" x14ac:dyDescent="0.35">
      <c r="A73" s="5"/>
      <c r="B73" s="1"/>
      <c r="C73" s="1"/>
      <c r="D73" s="5"/>
      <c r="E73" s="1"/>
      <c r="F73" s="1"/>
      <c r="G73" s="1"/>
      <c r="H73" s="1"/>
    </row>
    <row r="74" spans="1:8" x14ac:dyDescent="0.35">
      <c r="A74" s="5"/>
      <c r="B74" s="1"/>
      <c r="C74" s="1"/>
      <c r="D74" s="5"/>
      <c r="E74" s="1"/>
      <c r="F74" s="1"/>
      <c r="G74" s="1"/>
      <c r="H74" s="1"/>
    </row>
    <row r="75" spans="1:8" x14ac:dyDescent="0.35">
      <c r="A75" s="5"/>
      <c r="B75" s="1"/>
      <c r="C75" s="1"/>
      <c r="D75" s="5"/>
      <c r="E75" s="1"/>
      <c r="F75" s="1"/>
      <c r="G75" s="1"/>
      <c r="H75" s="1"/>
    </row>
    <row r="76" spans="1:8" x14ac:dyDescent="0.35">
      <c r="A76" s="5"/>
      <c r="B76" s="1"/>
      <c r="C76" s="1"/>
      <c r="D76" s="5"/>
      <c r="E76" s="1"/>
      <c r="F76" s="1"/>
      <c r="G76" s="1"/>
      <c r="H76" s="1"/>
    </row>
    <row r="77" spans="1:8" x14ac:dyDescent="0.35">
      <c r="A77" s="5"/>
      <c r="B77" s="1"/>
      <c r="C77" s="1"/>
      <c r="D77" s="5"/>
      <c r="E77" s="1"/>
      <c r="F77" s="1"/>
      <c r="G77" s="1"/>
      <c r="H77" s="1"/>
    </row>
    <row r="78" spans="1:8" x14ac:dyDescent="0.35">
      <c r="A78" s="5"/>
      <c r="B78" s="1"/>
      <c r="C78" s="1"/>
      <c r="D78" s="5"/>
      <c r="E78" s="1"/>
      <c r="F78" s="1"/>
      <c r="G78" s="1"/>
      <c r="H78" s="1"/>
    </row>
    <row r="79" spans="1:8" x14ac:dyDescent="0.35">
      <c r="A79" s="5"/>
      <c r="B79" s="1"/>
      <c r="C79" s="1"/>
      <c r="D79" s="5"/>
      <c r="E79" s="1"/>
      <c r="F79" s="1"/>
      <c r="G79" s="1"/>
      <c r="H79" s="1"/>
    </row>
    <row r="80" spans="1:8" x14ac:dyDescent="0.35">
      <c r="A80" s="5"/>
      <c r="B80" s="1"/>
      <c r="C80" s="1"/>
      <c r="D80" s="5"/>
      <c r="E80" s="1"/>
      <c r="F80" s="1"/>
      <c r="G80" s="1"/>
      <c r="H80" s="1"/>
    </row>
    <row r="81" spans="1:8" x14ac:dyDescent="0.35">
      <c r="A81" s="5"/>
      <c r="B81" s="5"/>
      <c r="C81" s="5"/>
      <c r="D81" s="5"/>
      <c r="E81" s="1"/>
      <c r="F81" s="1"/>
      <c r="G81" s="1"/>
      <c r="H81" s="1"/>
    </row>
    <row r="82" spans="1:8" x14ac:dyDescent="0.35">
      <c r="A82" s="5"/>
      <c r="B82" s="1"/>
      <c r="C82" s="1"/>
      <c r="D82" s="5"/>
      <c r="E82" s="1"/>
      <c r="F82" s="1"/>
      <c r="G82" s="1"/>
      <c r="H82" s="1"/>
    </row>
    <row r="83" spans="1:8" x14ac:dyDescent="0.35">
      <c r="A83" s="5"/>
      <c r="B83" s="1"/>
      <c r="C83" s="1"/>
      <c r="D83" s="5"/>
      <c r="E83" s="1"/>
      <c r="F83" s="1"/>
      <c r="G83" s="1"/>
      <c r="H83" s="1"/>
    </row>
    <row r="84" spans="1:8" x14ac:dyDescent="0.35">
      <c r="A84" s="5"/>
      <c r="B84" s="1"/>
      <c r="C84" s="1"/>
      <c r="D84" s="5"/>
      <c r="E84" s="1"/>
      <c r="F84" s="1"/>
      <c r="G84" s="1"/>
      <c r="H84" s="1"/>
    </row>
    <row r="85" spans="1:8" x14ac:dyDescent="0.35">
      <c r="A85" s="5"/>
      <c r="B85" s="1"/>
      <c r="C85" s="1"/>
      <c r="D85" s="5"/>
      <c r="E85" s="1"/>
      <c r="F85" s="1"/>
      <c r="G85" s="1"/>
      <c r="H85" s="1"/>
    </row>
    <row r="86" spans="1:8" x14ac:dyDescent="0.35">
      <c r="A86" s="5"/>
      <c r="B86" s="1"/>
      <c r="C86" s="1"/>
      <c r="D86" s="5"/>
      <c r="E86" s="1"/>
      <c r="F86" s="1"/>
      <c r="G86" s="1"/>
      <c r="H86" s="1"/>
    </row>
    <row r="87" spans="1:8" x14ac:dyDescent="0.35">
      <c r="A87" s="5"/>
      <c r="B87" s="1"/>
      <c r="C87" s="1"/>
      <c r="D87" s="5"/>
      <c r="E87" s="1"/>
      <c r="F87" s="1"/>
      <c r="G87" s="1"/>
      <c r="H87" s="1"/>
    </row>
    <row r="88" spans="1:8" x14ac:dyDescent="0.35">
      <c r="A88" s="5"/>
      <c r="B88" s="1"/>
      <c r="C88" s="1"/>
      <c r="D88" s="5"/>
      <c r="E88" s="1"/>
      <c r="F88" s="1"/>
      <c r="G88" s="1"/>
      <c r="H88" s="1"/>
    </row>
    <row r="89" spans="1:8" x14ac:dyDescent="0.35">
      <c r="A89" s="5"/>
      <c r="B89" s="1"/>
      <c r="C89" s="1"/>
      <c r="D89" s="5"/>
      <c r="E89" s="1"/>
      <c r="F89" s="1"/>
      <c r="G89" s="1"/>
      <c r="H89" s="1"/>
    </row>
    <row r="90" spans="1:8" x14ac:dyDescent="0.35">
      <c r="A90" s="5"/>
      <c r="B90" s="1"/>
      <c r="C90" s="1"/>
      <c r="D90" s="5"/>
      <c r="E90" s="1"/>
      <c r="F90" s="1"/>
      <c r="G90" s="1"/>
      <c r="H90" s="1"/>
    </row>
    <row r="91" spans="1:8" x14ac:dyDescent="0.35">
      <c r="A91" s="5"/>
      <c r="B91" s="1"/>
      <c r="C91" s="1"/>
      <c r="D91" s="5"/>
      <c r="E91" s="1"/>
      <c r="F91" s="1"/>
      <c r="G91" s="1"/>
      <c r="H91" s="1"/>
    </row>
    <row r="92" spans="1:8" x14ac:dyDescent="0.35">
      <c r="A92" s="5"/>
      <c r="B92" s="1"/>
      <c r="C92" s="1"/>
      <c r="D92" s="5"/>
      <c r="E92" s="1"/>
      <c r="F92" s="1"/>
      <c r="G92" s="1"/>
      <c r="H92" s="1"/>
    </row>
    <row r="93" spans="1:8" x14ac:dyDescent="0.35">
      <c r="A93" s="5"/>
      <c r="B93" s="1"/>
      <c r="C93" s="1"/>
      <c r="D93" s="5"/>
      <c r="E93" s="1"/>
      <c r="F93" s="1"/>
      <c r="G93" s="1"/>
      <c r="H93" s="1"/>
    </row>
    <row r="94" spans="1:8" x14ac:dyDescent="0.35">
      <c r="A94" s="5"/>
      <c r="B94" s="1"/>
      <c r="C94" s="1"/>
      <c r="D94" s="5"/>
      <c r="E94" s="1"/>
      <c r="F94" s="1"/>
      <c r="G94" s="1"/>
      <c r="H94" s="1"/>
    </row>
    <row r="95" spans="1:8" x14ac:dyDescent="0.35">
      <c r="A95" s="5"/>
      <c r="B95" s="1"/>
      <c r="C95" s="1"/>
      <c r="D95" s="5"/>
      <c r="E95" s="1"/>
      <c r="F95" s="1"/>
      <c r="G95" s="1"/>
      <c r="H95" s="1"/>
    </row>
    <row r="96" spans="1:8" x14ac:dyDescent="0.35">
      <c r="A96" s="5"/>
      <c r="B96" s="1"/>
      <c r="C96" s="1"/>
      <c r="D96" s="5"/>
      <c r="E96" s="1"/>
      <c r="F96" s="1"/>
      <c r="G96" s="1"/>
      <c r="H96" s="1"/>
    </row>
    <row r="97" spans="1:8" x14ac:dyDescent="0.35">
      <c r="A97" s="5"/>
      <c r="B97" s="1"/>
      <c r="C97" s="1"/>
      <c r="D97" s="5"/>
      <c r="E97" s="1"/>
      <c r="F97" s="1"/>
      <c r="G97" s="1"/>
      <c r="H97" s="1"/>
    </row>
    <row r="98" spans="1:8" x14ac:dyDescent="0.35">
      <c r="A98" s="5"/>
      <c r="B98" s="1"/>
      <c r="C98" s="1"/>
      <c r="D98" s="5"/>
      <c r="E98" s="1"/>
      <c r="F98" s="1"/>
      <c r="G98" s="1"/>
      <c r="H98" s="1"/>
    </row>
    <row r="99" spans="1:8" x14ac:dyDescent="0.35">
      <c r="A99" s="5"/>
      <c r="B99" s="1"/>
      <c r="C99" s="1"/>
      <c r="D99" s="5"/>
      <c r="E99" s="1"/>
      <c r="F99" s="1"/>
      <c r="G99" s="1"/>
      <c r="H99" s="1"/>
    </row>
    <row r="100" spans="1:8" x14ac:dyDescent="0.35">
      <c r="A100" s="5"/>
      <c r="B100" s="1"/>
      <c r="C100" s="1"/>
      <c r="D100" s="5"/>
      <c r="E100" s="1"/>
      <c r="F100" s="1"/>
      <c r="G100" s="1"/>
      <c r="H100" s="1"/>
    </row>
    <row r="101" spans="1:8" x14ac:dyDescent="0.35">
      <c r="A101" s="5"/>
      <c r="B101" s="1"/>
      <c r="C101" s="1"/>
      <c r="D101" s="5"/>
      <c r="E101" s="1"/>
      <c r="F101" s="1"/>
      <c r="G101" s="1"/>
      <c r="H101" s="1"/>
    </row>
    <row r="102" spans="1:8" x14ac:dyDescent="0.35">
      <c r="A102" s="5"/>
      <c r="B102" s="1"/>
      <c r="C102" s="1"/>
      <c r="D102" s="5"/>
      <c r="E102" s="1"/>
      <c r="F102" s="1"/>
      <c r="G102" s="1"/>
      <c r="H102" s="1"/>
    </row>
    <row r="103" spans="1:8" x14ac:dyDescent="0.35">
      <c r="A103" s="5"/>
      <c r="B103" s="1"/>
      <c r="C103" s="1"/>
      <c r="D103" s="5"/>
      <c r="E103" s="1"/>
      <c r="F103" s="1"/>
      <c r="G103" s="1"/>
      <c r="H103" s="1"/>
    </row>
    <row r="104" spans="1:8" x14ac:dyDescent="0.35">
      <c r="A104" s="5"/>
      <c r="B104" s="1"/>
      <c r="C104" s="1"/>
      <c r="D104" s="5"/>
      <c r="E104" s="1"/>
      <c r="F104" s="1"/>
      <c r="G104" s="1"/>
      <c r="H104" s="1"/>
    </row>
    <row r="105" spans="1:8" x14ac:dyDescent="0.35">
      <c r="A105" s="5"/>
      <c r="B105" s="1"/>
      <c r="C105" s="1"/>
      <c r="D105" s="5"/>
      <c r="E105" s="1"/>
      <c r="F105" s="1"/>
      <c r="G105" s="1"/>
      <c r="H105" s="1"/>
    </row>
    <row r="106" spans="1:8" x14ac:dyDescent="0.35">
      <c r="A106" s="5"/>
      <c r="B106" s="1"/>
      <c r="C106" s="1"/>
      <c r="D106" s="5"/>
      <c r="E106" s="1"/>
      <c r="F106" s="1"/>
      <c r="G106" s="1"/>
      <c r="H106" s="1"/>
    </row>
    <row r="107" spans="1:8" x14ac:dyDescent="0.35">
      <c r="A107" s="5"/>
      <c r="B107" s="1"/>
      <c r="C107" s="1"/>
      <c r="D107" s="5"/>
      <c r="E107" s="1"/>
      <c r="F107" s="1"/>
      <c r="G107" s="1"/>
      <c r="H107" s="1"/>
    </row>
    <row r="108" spans="1:8" x14ac:dyDescent="0.35">
      <c r="A108" s="5"/>
      <c r="B108" s="1"/>
      <c r="C108" s="1"/>
      <c r="D108" s="5"/>
      <c r="E108" s="1"/>
      <c r="F108" s="1"/>
      <c r="G108" s="1"/>
      <c r="H108" s="1"/>
    </row>
    <row r="109" spans="1:8" x14ac:dyDescent="0.35">
      <c r="A109" s="5"/>
      <c r="B109" s="1"/>
      <c r="C109" s="1"/>
      <c r="D109" s="5"/>
      <c r="E109" s="1"/>
      <c r="F109" s="1"/>
      <c r="G109" s="1"/>
      <c r="H109" s="1"/>
    </row>
    <row r="110" spans="1:8" x14ac:dyDescent="0.35">
      <c r="A110" s="5"/>
      <c r="B110" s="1"/>
      <c r="C110" s="1"/>
      <c r="D110" s="5"/>
      <c r="E110" s="1"/>
      <c r="F110" s="1"/>
      <c r="G110" s="1"/>
      <c r="H110" s="1"/>
    </row>
    <row r="111" spans="1:8" x14ac:dyDescent="0.35">
      <c r="A111" s="5"/>
      <c r="B111" s="1"/>
      <c r="C111" s="1"/>
      <c r="D111" s="5"/>
      <c r="E111" s="1"/>
      <c r="F111" s="1"/>
      <c r="G111" s="1"/>
      <c r="H111" s="1"/>
    </row>
    <row r="112" spans="1:8" x14ac:dyDescent="0.35">
      <c r="A112" s="5"/>
      <c r="B112" s="1"/>
      <c r="C112" s="1"/>
      <c r="D112" s="5"/>
      <c r="E112" s="1"/>
      <c r="F112" s="1"/>
      <c r="G112" s="1"/>
      <c r="H112" s="1"/>
    </row>
    <row r="113" spans="1:8" x14ac:dyDescent="0.35">
      <c r="A113" s="5"/>
      <c r="B113" s="1"/>
      <c r="C113" s="1"/>
      <c r="D113" s="5"/>
      <c r="E113" s="1"/>
      <c r="F113" s="1"/>
      <c r="G113" s="1"/>
      <c r="H113" s="1"/>
    </row>
    <row r="114" spans="1:8" x14ac:dyDescent="0.35">
      <c r="A114" s="5"/>
      <c r="B114" s="1"/>
      <c r="C114" s="1"/>
      <c r="D114" s="5"/>
      <c r="E114" s="1"/>
      <c r="F114" s="1"/>
      <c r="G114" s="1"/>
      <c r="H114" s="1"/>
    </row>
    <row r="115" spans="1:8" x14ac:dyDescent="0.35">
      <c r="A115" s="5"/>
      <c r="B115" s="1"/>
      <c r="C115" s="1"/>
      <c r="D115" s="5"/>
      <c r="E115" s="1"/>
      <c r="F115" s="1"/>
      <c r="G115" s="1"/>
      <c r="H115" s="1"/>
    </row>
    <row r="116" spans="1:8" x14ac:dyDescent="0.35">
      <c r="A116" s="5"/>
      <c r="B116" s="1"/>
      <c r="C116" s="1"/>
      <c r="D116" s="5"/>
      <c r="E116" s="1"/>
      <c r="F116" s="1"/>
      <c r="G116" s="1"/>
      <c r="H116" s="1"/>
    </row>
    <row r="117" spans="1:8" x14ac:dyDescent="0.35">
      <c r="A117" s="5"/>
      <c r="B117" s="1"/>
      <c r="C117" s="1"/>
      <c r="D117" s="5"/>
      <c r="E117" s="1"/>
      <c r="F117" s="1"/>
      <c r="G117" s="1"/>
      <c r="H117" s="1"/>
    </row>
    <row r="118" spans="1:8" x14ac:dyDescent="0.35">
      <c r="A118" s="5"/>
      <c r="B118" s="1"/>
      <c r="C118" s="1"/>
      <c r="D118" s="5"/>
      <c r="E118" s="1"/>
      <c r="F118" s="1"/>
      <c r="G118" s="1"/>
      <c r="H118" s="1"/>
    </row>
    <row r="119" spans="1:8" x14ac:dyDescent="0.35">
      <c r="A119" s="5"/>
      <c r="B119" s="1"/>
      <c r="C119" s="1"/>
      <c r="D119" s="5"/>
      <c r="E119" s="1"/>
      <c r="F119" s="1"/>
      <c r="G119" s="1"/>
      <c r="H119" s="1"/>
    </row>
    <row r="120" spans="1:8" x14ac:dyDescent="0.35">
      <c r="A120" s="5"/>
      <c r="B120" s="1"/>
      <c r="C120" s="1"/>
      <c r="D120" s="5"/>
      <c r="E120" s="1"/>
      <c r="F120" s="1"/>
      <c r="G120" s="1"/>
      <c r="H120" s="1"/>
    </row>
    <row r="121" spans="1:8" x14ac:dyDescent="0.35">
      <c r="A121" s="5"/>
      <c r="B121" s="1"/>
      <c r="C121" s="1"/>
      <c r="D121" s="5"/>
      <c r="E121" s="1"/>
      <c r="F121" s="1"/>
      <c r="G121" s="1"/>
      <c r="H121" s="1"/>
    </row>
    <row r="122" spans="1:8" x14ac:dyDescent="0.35">
      <c r="A122" s="5"/>
      <c r="B122" s="1"/>
      <c r="C122" s="1"/>
      <c r="D122" s="5"/>
      <c r="E122" s="1"/>
      <c r="F122" s="1"/>
      <c r="G122" s="1"/>
      <c r="H122" s="1"/>
    </row>
    <row r="123" spans="1:8" x14ac:dyDescent="0.35">
      <c r="A123" s="5"/>
      <c r="B123" s="1"/>
      <c r="C123" s="1"/>
      <c r="D123" s="5"/>
      <c r="E123" s="1"/>
      <c r="F123" s="1"/>
      <c r="G123" s="1"/>
      <c r="H123" s="1"/>
    </row>
    <row r="124" spans="1:8" x14ac:dyDescent="0.35">
      <c r="A124" s="5"/>
      <c r="B124" s="1"/>
      <c r="C124" s="1"/>
      <c r="D124" s="5"/>
      <c r="E124" s="1"/>
      <c r="F124" s="1"/>
      <c r="G124" s="1"/>
      <c r="H124" s="1"/>
    </row>
    <row r="125" spans="1:8" x14ac:dyDescent="0.35">
      <c r="A125" s="5"/>
      <c r="B125" s="1"/>
      <c r="C125" s="1"/>
      <c r="D125" s="5"/>
      <c r="E125" s="1"/>
      <c r="F125" s="1"/>
      <c r="G125" s="1"/>
      <c r="H125" s="1"/>
    </row>
    <row r="126" spans="1:8" x14ac:dyDescent="0.35">
      <c r="A126" s="5"/>
      <c r="B126" s="1"/>
      <c r="C126" s="1"/>
      <c r="D126" s="5"/>
      <c r="E126" s="1"/>
      <c r="F126" s="1"/>
      <c r="G126" s="1"/>
      <c r="H126" s="1"/>
    </row>
    <row r="127" spans="1:8" x14ac:dyDescent="0.35">
      <c r="A127" s="5"/>
      <c r="B127" s="1"/>
      <c r="C127" s="1"/>
      <c r="D127" s="5"/>
      <c r="E127" s="1"/>
      <c r="F127" s="1"/>
      <c r="G127" s="1"/>
      <c r="H127" s="1"/>
    </row>
    <row r="128" spans="1:8" x14ac:dyDescent="0.35">
      <c r="A128" s="5"/>
      <c r="B128" s="1"/>
      <c r="C128" s="1"/>
      <c r="D128" s="5"/>
      <c r="E128" s="1"/>
      <c r="F128" s="1"/>
      <c r="G128" s="1"/>
      <c r="H128" s="1"/>
    </row>
    <row r="129" spans="1:8" x14ac:dyDescent="0.35">
      <c r="A129" s="5"/>
      <c r="B129" s="1"/>
      <c r="C129" s="1"/>
      <c r="D129" s="5"/>
      <c r="E129" s="1"/>
      <c r="F129" s="1"/>
      <c r="G129" s="1"/>
      <c r="H129" s="1"/>
    </row>
    <row r="130" spans="1:8" x14ac:dyDescent="0.35">
      <c r="A130" s="5"/>
      <c r="B130" s="1"/>
      <c r="C130" s="1"/>
      <c r="D130" s="5"/>
      <c r="E130" s="1"/>
      <c r="F130" s="1"/>
      <c r="G130" s="1"/>
      <c r="H130" s="1"/>
    </row>
    <row r="131" spans="1:8" x14ac:dyDescent="0.35">
      <c r="A131" s="5"/>
      <c r="B131" s="1"/>
      <c r="C131" s="1"/>
      <c r="D131" s="5"/>
      <c r="E131" s="1"/>
      <c r="F131" s="1"/>
      <c r="G131" s="1"/>
      <c r="H131" s="1"/>
    </row>
    <row r="132" spans="1:8" x14ac:dyDescent="0.35">
      <c r="A132" s="5"/>
      <c r="B132" s="1"/>
      <c r="C132" s="1"/>
      <c r="D132" s="5"/>
      <c r="E132" s="1"/>
      <c r="F132" s="1"/>
      <c r="G132" s="1"/>
      <c r="H132" s="1"/>
    </row>
    <row r="133" spans="1:8" x14ac:dyDescent="0.35">
      <c r="A133" s="5"/>
      <c r="B133" s="1"/>
      <c r="C133" s="1"/>
      <c r="D133" s="5"/>
      <c r="E133" s="1"/>
      <c r="F133" s="1"/>
      <c r="G133" s="1"/>
      <c r="H133" s="1"/>
    </row>
    <row r="134" spans="1:8" x14ac:dyDescent="0.35">
      <c r="A134" s="5"/>
      <c r="B134" s="1"/>
      <c r="C134" s="1"/>
      <c r="D134" s="5"/>
      <c r="E134" s="1"/>
      <c r="F134" s="1"/>
      <c r="G134" s="1"/>
      <c r="H134" s="1"/>
    </row>
    <row r="135" spans="1:8" x14ac:dyDescent="0.35">
      <c r="A135" s="5"/>
      <c r="B135" s="1"/>
      <c r="C135" s="1"/>
      <c r="D135" s="5"/>
      <c r="E135" s="1"/>
      <c r="F135" s="1"/>
      <c r="G135" s="1"/>
      <c r="H135" s="1"/>
    </row>
    <row r="136" spans="1:8" x14ac:dyDescent="0.35">
      <c r="A136" s="5"/>
      <c r="B136" s="1"/>
      <c r="C136" s="1"/>
      <c r="D136" s="5"/>
      <c r="E136" s="1"/>
      <c r="F136" s="1"/>
      <c r="G136" s="1"/>
      <c r="H136" s="1"/>
    </row>
    <row r="137" spans="1:8" x14ac:dyDescent="0.35">
      <c r="A137" s="5"/>
      <c r="B137" s="1"/>
      <c r="C137" s="1"/>
      <c r="D137" s="5"/>
      <c r="E137" s="1"/>
      <c r="F137" s="1"/>
      <c r="G137" s="1"/>
      <c r="H137" s="1"/>
    </row>
    <row r="138" spans="1:8" x14ac:dyDescent="0.35">
      <c r="A138" s="5"/>
      <c r="B138" s="1"/>
      <c r="C138" s="1"/>
      <c r="D138" s="5"/>
      <c r="E138" s="1"/>
      <c r="F138" s="1"/>
      <c r="G138" s="1"/>
      <c r="H138" s="1"/>
    </row>
    <row r="139" spans="1:8" x14ac:dyDescent="0.35">
      <c r="A139" s="5"/>
      <c r="B139" s="1"/>
      <c r="C139" s="1"/>
      <c r="D139" s="5"/>
      <c r="E139" s="1"/>
      <c r="F139" s="1"/>
      <c r="G139" s="1"/>
      <c r="H139" s="1"/>
    </row>
    <row r="140" spans="1:8" x14ac:dyDescent="0.35">
      <c r="A140" s="5"/>
      <c r="B140" s="1"/>
      <c r="C140" s="1"/>
      <c r="D140" s="5"/>
      <c r="E140" s="1"/>
      <c r="F140" s="1"/>
      <c r="G140" s="1"/>
      <c r="H140" s="1"/>
    </row>
    <row r="141" spans="1:8" x14ac:dyDescent="0.35">
      <c r="A141" s="5"/>
      <c r="B141" s="1"/>
      <c r="C141" s="1"/>
      <c r="D141" s="5"/>
      <c r="E141" s="1"/>
      <c r="F141" s="1"/>
      <c r="G141" s="1"/>
      <c r="H141" s="1"/>
    </row>
    <row r="142" spans="1:8" x14ac:dyDescent="0.35">
      <c r="A142" s="5"/>
      <c r="B142" s="1"/>
      <c r="C142" s="1"/>
      <c r="D142" s="5"/>
      <c r="E142" s="1"/>
      <c r="F142" s="1"/>
      <c r="G142" s="1"/>
      <c r="H142" s="1"/>
    </row>
    <row r="143" spans="1:8" x14ac:dyDescent="0.35">
      <c r="A143" s="5"/>
      <c r="B143" s="1"/>
      <c r="C143" s="1"/>
      <c r="D143" s="5"/>
      <c r="E143" s="1"/>
      <c r="F143" s="1"/>
      <c r="G143" s="1"/>
      <c r="H143" s="1"/>
    </row>
    <row r="144" spans="1:8" x14ac:dyDescent="0.35">
      <c r="A144" s="5"/>
      <c r="B144" s="1"/>
      <c r="C144" s="1"/>
      <c r="D144" s="5"/>
      <c r="E144" s="1"/>
      <c r="F144" s="1"/>
      <c r="G144" s="1"/>
      <c r="H144" s="1"/>
    </row>
    <row r="145" spans="1:8" x14ac:dyDescent="0.35">
      <c r="A145" s="5"/>
      <c r="B145" s="1"/>
      <c r="C145" s="1"/>
      <c r="D145" s="5"/>
      <c r="E145" s="1"/>
      <c r="F145" s="1"/>
      <c r="G145" s="1"/>
      <c r="H145" s="1"/>
    </row>
    <row r="146" spans="1:8" x14ac:dyDescent="0.35">
      <c r="A146" s="5"/>
      <c r="B146" s="1"/>
      <c r="C146" s="1"/>
      <c r="D146" s="5"/>
      <c r="E146" s="1"/>
      <c r="F146" s="1"/>
      <c r="G146" s="1"/>
      <c r="H146" s="1"/>
    </row>
    <row r="147" spans="1:8" x14ac:dyDescent="0.35">
      <c r="A147" s="5"/>
      <c r="B147" s="1"/>
      <c r="C147" s="1"/>
      <c r="D147" s="5"/>
      <c r="E147" s="1"/>
      <c r="F147" s="1"/>
      <c r="G147" s="1"/>
      <c r="H147" s="1"/>
    </row>
    <row r="148" spans="1:8" x14ac:dyDescent="0.35">
      <c r="A148" s="5"/>
      <c r="B148" s="1"/>
      <c r="C148" s="1"/>
      <c r="D148" s="5"/>
      <c r="E148" s="1"/>
      <c r="F148" s="1"/>
      <c r="G148" s="1"/>
      <c r="H148" s="1"/>
    </row>
    <row r="149" spans="1:8" x14ac:dyDescent="0.35">
      <c r="A149" s="5"/>
      <c r="B149" s="1"/>
      <c r="C149" s="1"/>
      <c r="D149" s="5"/>
      <c r="E149" s="1"/>
      <c r="F149" s="1"/>
      <c r="G149" s="1"/>
      <c r="H149" s="1"/>
    </row>
    <row r="150" spans="1:8" x14ac:dyDescent="0.35">
      <c r="A150" s="5"/>
      <c r="B150" s="1"/>
      <c r="C150" s="1"/>
      <c r="D150" s="5"/>
      <c r="E150" s="1"/>
      <c r="F150" s="1"/>
      <c r="G150" s="1"/>
      <c r="H150" s="1"/>
    </row>
    <row r="151" spans="1:8" x14ac:dyDescent="0.35">
      <c r="A151" s="5"/>
      <c r="B151" s="1"/>
      <c r="C151" s="1"/>
      <c r="D151" s="5"/>
      <c r="E151" s="1"/>
      <c r="F151" s="1"/>
      <c r="G151" s="1"/>
      <c r="H151" s="1"/>
    </row>
    <row r="152" spans="1:8" x14ac:dyDescent="0.35">
      <c r="A152" s="5"/>
      <c r="B152" s="1"/>
      <c r="C152" s="1"/>
      <c r="D152" s="5"/>
      <c r="E152" s="1"/>
      <c r="F152" s="1"/>
      <c r="G152" s="1"/>
      <c r="H152" s="1"/>
    </row>
    <row r="153" spans="1:8" x14ac:dyDescent="0.35">
      <c r="A153" s="5"/>
      <c r="B153" s="1"/>
      <c r="C153" s="1"/>
      <c r="D153" s="5"/>
      <c r="E153" s="1"/>
      <c r="F153" s="1"/>
      <c r="G153" s="1"/>
      <c r="H153" s="1"/>
    </row>
    <row r="154" spans="1:8" x14ac:dyDescent="0.35">
      <c r="A154" s="5"/>
      <c r="B154" s="1"/>
      <c r="C154" s="1"/>
      <c r="D154" s="5"/>
      <c r="E154" s="1"/>
      <c r="F154" s="1"/>
      <c r="G154" s="1"/>
      <c r="H154" s="1"/>
    </row>
    <row r="155" spans="1:8" x14ac:dyDescent="0.35">
      <c r="A155" s="5"/>
      <c r="B155" s="1"/>
      <c r="C155" s="1"/>
      <c r="D155" s="5"/>
      <c r="E155" s="1"/>
      <c r="F155" s="1"/>
      <c r="G155" s="1"/>
      <c r="H155" s="1"/>
    </row>
    <row r="156" spans="1:8" x14ac:dyDescent="0.35">
      <c r="A156" s="5"/>
      <c r="B156" s="1"/>
      <c r="C156" s="1"/>
      <c r="D156" s="5"/>
      <c r="E156" s="1"/>
      <c r="F156" s="1"/>
      <c r="G156" s="1"/>
      <c r="H156" s="1"/>
    </row>
    <row r="157" spans="1:8" x14ac:dyDescent="0.35">
      <c r="A157" s="5"/>
      <c r="B157" s="1"/>
      <c r="C157" s="1"/>
      <c r="D157" s="5"/>
      <c r="E157" s="1"/>
      <c r="F157" s="1"/>
      <c r="G157" s="1"/>
      <c r="H157" s="1"/>
    </row>
    <row r="158" spans="1:8" x14ac:dyDescent="0.35">
      <c r="A158" s="5"/>
      <c r="B158" s="1"/>
      <c r="C158" s="1"/>
      <c r="D158" s="5"/>
      <c r="E158" s="1"/>
      <c r="F158" s="1"/>
      <c r="G158" s="1"/>
      <c r="H158" s="1"/>
    </row>
    <row r="159" spans="1:8" x14ac:dyDescent="0.35">
      <c r="A159" s="5"/>
      <c r="B159" s="1"/>
      <c r="C159" s="1"/>
      <c r="D159" s="5"/>
      <c r="E159" s="1"/>
      <c r="F159" s="1"/>
      <c r="G159" s="1"/>
      <c r="H159" s="1"/>
    </row>
    <row r="160" spans="1:8" x14ac:dyDescent="0.35">
      <c r="A160" s="5"/>
      <c r="B160" s="1"/>
      <c r="C160" s="1"/>
      <c r="D160" s="5"/>
      <c r="E160" s="1"/>
      <c r="F160" s="1"/>
      <c r="G160" s="1"/>
      <c r="H160" s="1"/>
    </row>
    <row r="161" spans="1:8" x14ac:dyDescent="0.35">
      <c r="A161" s="5"/>
      <c r="B161" s="1"/>
      <c r="C161" s="1"/>
      <c r="D161" s="5"/>
      <c r="E161" s="1"/>
      <c r="F161" s="1"/>
      <c r="G161" s="1"/>
      <c r="H161" s="1"/>
    </row>
    <row r="162" spans="1:8" x14ac:dyDescent="0.35">
      <c r="A162" s="5"/>
      <c r="B162" s="1"/>
      <c r="C162" s="1"/>
      <c r="D162" s="5"/>
      <c r="E162" s="1"/>
      <c r="F162" s="1"/>
      <c r="G162" s="1"/>
      <c r="H162" s="1"/>
    </row>
    <row r="163" spans="1:8" x14ac:dyDescent="0.35">
      <c r="A163" s="5"/>
      <c r="B163" s="1"/>
      <c r="C163" s="1"/>
      <c r="D163" s="5"/>
      <c r="E163" s="1"/>
      <c r="F163" s="1"/>
      <c r="G163" s="1"/>
      <c r="H163" s="1"/>
    </row>
    <row r="164" spans="1:8" x14ac:dyDescent="0.35">
      <c r="A164" s="5"/>
      <c r="B164" s="1"/>
      <c r="C164" s="1"/>
      <c r="D164" s="5"/>
      <c r="E164" s="1"/>
      <c r="F164" s="1"/>
      <c r="G164" s="1"/>
      <c r="H164" s="1"/>
    </row>
    <row r="165" spans="1:8" x14ac:dyDescent="0.35">
      <c r="A165" s="5"/>
      <c r="B165" s="1"/>
      <c r="C165" s="1"/>
      <c r="D165" s="5"/>
      <c r="E165" s="1"/>
      <c r="F165" s="1"/>
      <c r="G165" s="1"/>
      <c r="H165" s="1"/>
    </row>
    <row r="166" spans="1:8" x14ac:dyDescent="0.35">
      <c r="A166" s="5"/>
      <c r="B166" s="1"/>
      <c r="C166" s="1"/>
      <c r="D166" s="5"/>
      <c r="E166" s="1"/>
      <c r="F166" s="1"/>
      <c r="G166" s="1"/>
      <c r="H166" s="1"/>
    </row>
    <row r="167" spans="1:8" x14ac:dyDescent="0.35">
      <c r="A167" s="5"/>
      <c r="B167" s="1"/>
      <c r="C167" s="1"/>
      <c r="D167" s="5"/>
      <c r="E167" s="1"/>
      <c r="F167" s="1"/>
      <c r="G167" s="1"/>
      <c r="H167" s="1"/>
    </row>
    <row r="168" spans="1:8" x14ac:dyDescent="0.35">
      <c r="A168" s="5"/>
      <c r="B168" s="1"/>
      <c r="C168" s="1"/>
      <c r="D168" s="5"/>
      <c r="E168" s="1"/>
      <c r="F168" s="1"/>
      <c r="G168" s="1"/>
      <c r="H168" s="1"/>
    </row>
    <row r="169" spans="1:8" x14ac:dyDescent="0.35">
      <c r="A169" s="5"/>
      <c r="B169" s="1"/>
      <c r="C169" s="1"/>
      <c r="D169" s="5"/>
      <c r="E169" s="1"/>
      <c r="F169" s="1"/>
      <c r="G169" s="1"/>
      <c r="H169" s="1"/>
    </row>
    <row r="170" spans="1:8" x14ac:dyDescent="0.35">
      <c r="A170" s="5"/>
      <c r="B170" s="1"/>
      <c r="C170" s="1"/>
      <c r="D170" s="5"/>
      <c r="E170" s="1"/>
      <c r="F170" s="1"/>
      <c r="G170" s="1"/>
      <c r="H170" s="1"/>
    </row>
    <row r="171" spans="1:8" x14ac:dyDescent="0.35">
      <c r="A171" s="5"/>
      <c r="B171" s="1"/>
      <c r="C171" s="1"/>
      <c r="D171" s="5"/>
      <c r="E171" s="1"/>
      <c r="F171" s="1"/>
      <c r="G171" s="1"/>
      <c r="H171" s="1"/>
    </row>
    <row r="172" spans="1:8" x14ac:dyDescent="0.35">
      <c r="A172" s="5"/>
      <c r="B172" s="1"/>
      <c r="C172" s="1"/>
      <c r="D172" s="5"/>
      <c r="E172" s="1"/>
      <c r="F172" s="1"/>
      <c r="G172" s="1"/>
      <c r="H172" s="1"/>
    </row>
    <row r="173" spans="1:8" x14ac:dyDescent="0.35">
      <c r="A173" s="5"/>
      <c r="B173" s="1"/>
      <c r="C173" s="1"/>
      <c r="D173" s="5"/>
      <c r="E173" s="1"/>
      <c r="F173" s="1"/>
      <c r="G173" s="1"/>
      <c r="H173" s="1"/>
    </row>
    <row r="174" spans="1:8" x14ac:dyDescent="0.35">
      <c r="A174" s="5"/>
      <c r="B174" s="1"/>
      <c r="C174" s="1"/>
      <c r="D174" s="5"/>
      <c r="E174" s="1"/>
      <c r="F174" s="1"/>
      <c r="G174" s="1"/>
      <c r="H174" s="1"/>
    </row>
    <row r="175" spans="1:8" x14ac:dyDescent="0.35">
      <c r="A175" s="5"/>
      <c r="B175" s="1"/>
      <c r="C175" s="1"/>
      <c r="D175" s="5"/>
      <c r="E175" s="1"/>
      <c r="F175" s="1"/>
      <c r="G175" s="1"/>
      <c r="H175" s="1"/>
    </row>
    <row r="176" spans="1:8" x14ac:dyDescent="0.35">
      <c r="A176" s="5"/>
      <c r="B176" s="1"/>
      <c r="C176" s="1"/>
      <c r="D176" s="5"/>
      <c r="E176" s="1"/>
      <c r="F176" s="1"/>
      <c r="G176" s="1"/>
      <c r="H176" s="1"/>
    </row>
    <row r="177" spans="1:8" x14ac:dyDescent="0.35">
      <c r="A177" s="5"/>
      <c r="B177" s="1"/>
      <c r="C177" s="1"/>
      <c r="D177" s="5"/>
      <c r="E177" s="1"/>
      <c r="F177" s="1"/>
      <c r="G177" s="1"/>
      <c r="H177" s="1"/>
    </row>
    <row r="178" spans="1:8" x14ac:dyDescent="0.35">
      <c r="A178" s="5"/>
      <c r="B178" s="1"/>
      <c r="C178" s="1"/>
      <c r="D178" s="5"/>
      <c r="E178" s="1"/>
      <c r="F178" s="1"/>
      <c r="G178" s="1"/>
      <c r="H178" s="1"/>
    </row>
    <row r="179" spans="1:8" x14ac:dyDescent="0.35">
      <c r="A179" s="5"/>
      <c r="B179" s="1"/>
      <c r="C179" s="1"/>
      <c r="D179" s="5"/>
      <c r="E179" s="1"/>
      <c r="F179" s="1"/>
      <c r="G179" s="1"/>
      <c r="H179" s="1"/>
    </row>
    <row r="180" spans="1:8" x14ac:dyDescent="0.35">
      <c r="A180" s="5"/>
      <c r="B180" s="1"/>
      <c r="C180" s="1"/>
      <c r="D180" s="5"/>
      <c r="E180" s="1"/>
      <c r="F180" s="1"/>
      <c r="G180" s="1"/>
      <c r="H180" s="1"/>
    </row>
    <row r="181" spans="1:8" x14ac:dyDescent="0.35">
      <c r="A181" s="5"/>
      <c r="B181" s="1"/>
      <c r="C181" s="1"/>
      <c r="D181" s="5"/>
      <c r="E181" s="1"/>
      <c r="F181" s="1"/>
      <c r="G181" s="1"/>
      <c r="H181" s="1"/>
    </row>
    <row r="182" spans="1:8" x14ac:dyDescent="0.35">
      <c r="A182" s="5"/>
      <c r="B182" s="1"/>
      <c r="C182" s="1"/>
      <c r="D182" s="5"/>
      <c r="E182" s="1"/>
      <c r="F182" s="1"/>
      <c r="G182" s="1"/>
      <c r="H182" s="1"/>
    </row>
    <row r="183" spans="1:8" x14ac:dyDescent="0.35">
      <c r="A183" s="5"/>
      <c r="B183" s="1"/>
      <c r="C183" s="1"/>
      <c r="D183" s="5"/>
      <c r="E183" s="1"/>
      <c r="F183" s="1"/>
      <c r="G183" s="1"/>
      <c r="H183" s="1"/>
    </row>
    <row r="184" spans="1:8" x14ac:dyDescent="0.35">
      <c r="A184" s="5"/>
      <c r="B184" s="1"/>
      <c r="C184" s="1"/>
      <c r="D184" s="5"/>
      <c r="E184" s="1"/>
      <c r="F184" s="1"/>
      <c r="G184" s="1"/>
      <c r="H184" s="1"/>
    </row>
    <row r="185" spans="1:8" x14ac:dyDescent="0.35">
      <c r="A185" s="5"/>
      <c r="B185" s="1"/>
      <c r="C185" s="1"/>
      <c r="D185" s="5"/>
      <c r="E185" s="1"/>
      <c r="F185" s="1"/>
      <c r="G185" s="1"/>
      <c r="H185" s="1"/>
    </row>
    <row r="186" spans="1:8" x14ac:dyDescent="0.35">
      <c r="A186" s="5"/>
      <c r="B186" s="1"/>
      <c r="C186" s="1"/>
      <c r="D186" s="5"/>
      <c r="E186" s="1"/>
      <c r="F186" s="1"/>
      <c r="G186" s="1"/>
      <c r="H186" s="1"/>
    </row>
    <row r="187" spans="1:8" x14ac:dyDescent="0.35">
      <c r="A187" s="5"/>
      <c r="B187" s="1"/>
      <c r="C187" s="1"/>
      <c r="D187" s="5"/>
      <c r="E187" s="1"/>
      <c r="F187" s="1"/>
      <c r="G187" s="1"/>
      <c r="H187" s="1"/>
    </row>
    <row r="188" spans="1:8" x14ac:dyDescent="0.35">
      <c r="A188" s="5"/>
      <c r="B188" s="1"/>
      <c r="C188" s="1"/>
      <c r="D188" s="5"/>
      <c r="E188" s="1"/>
      <c r="F188" s="1"/>
      <c r="G188" s="1"/>
      <c r="H188" s="1"/>
    </row>
    <row r="189" spans="1:8" x14ac:dyDescent="0.35">
      <c r="A189" s="5"/>
      <c r="B189" s="1"/>
      <c r="C189" s="1"/>
      <c r="D189" s="5"/>
      <c r="E189" s="1"/>
      <c r="F189" s="1"/>
      <c r="G189" s="1"/>
      <c r="H189" s="1"/>
    </row>
    <row r="190" spans="1:8" x14ac:dyDescent="0.35">
      <c r="A190" s="5"/>
      <c r="B190" s="1"/>
      <c r="C190" s="1"/>
      <c r="D190" s="5"/>
      <c r="E190" s="1"/>
      <c r="F190" s="1"/>
      <c r="G190" s="1"/>
      <c r="H190" s="1"/>
    </row>
    <row r="191" spans="1:8" x14ac:dyDescent="0.35">
      <c r="A191" s="5"/>
      <c r="B191" s="1"/>
      <c r="C191" s="1"/>
      <c r="D191" s="5"/>
      <c r="E191" s="1"/>
      <c r="F191" s="1"/>
      <c r="G191" s="1"/>
      <c r="H191" s="1"/>
    </row>
    <row r="192" spans="1:8" x14ac:dyDescent="0.35">
      <c r="A192" s="5"/>
      <c r="B192" s="1"/>
      <c r="C192" s="1"/>
      <c r="D192" s="5"/>
      <c r="E192" s="1"/>
      <c r="F192" s="1"/>
      <c r="G192" s="1"/>
      <c r="H192" s="1"/>
    </row>
    <row r="193" spans="1:8" x14ac:dyDescent="0.35">
      <c r="A193" s="5"/>
      <c r="B193" s="1"/>
      <c r="C193" s="1"/>
      <c r="D193" s="5"/>
      <c r="E193" s="1"/>
      <c r="F193" s="1"/>
      <c r="G193" s="1"/>
      <c r="H193" s="1"/>
    </row>
    <row r="194" spans="1:8" x14ac:dyDescent="0.35">
      <c r="A194" s="5"/>
      <c r="B194" s="1"/>
      <c r="C194" s="1"/>
      <c r="D194" s="5"/>
      <c r="E194" s="1"/>
      <c r="F194" s="1"/>
      <c r="G194" s="1"/>
      <c r="H194" s="1"/>
    </row>
    <row r="195" spans="1:8" x14ac:dyDescent="0.35">
      <c r="A195" s="5"/>
      <c r="B195" s="1"/>
      <c r="C195" s="1"/>
      <c r="D195" s="5"/>
      <c r="E195" s="1"/>
      <c r="F195" s="1"/>
      <c r="G195" s="1"/>
      <c r="H195" s="1"/>
    </row>
    <row r="196" spans="1:8" x14ac:dyDescent="0.35">
      <c r="A196" s="5"/>
      <c r="B196" s="1"/>
      <c r="C196" s="1"/>
      <c r="D196" s="5"/>
      <c r="E196" s="1"/>
      <c r="F196" s="1"/>
      <c r="G196" s="1"/>
      <c r="H196" s="1"/>
    </row>
    <row r="197" spans="1:8" x14ac:dyDescent="0.35">
      <c r="A197" s="5"/>
      <c r="B197" s="1"/>
      <c r="C197" s="1"/>
      <c r="D197" s="5"/>
      <c r="E197" s="1"/>
      <c r="F197" s="1"/>
      <c r="G197" s="1"/>
      <c r="H197" s="1"/>
    </row>
    <row r="198" spans="1:8" x14ac:dyDescent="0.35">
      <c r="A198" s="5"/>
      <c r="B198" s="1"/>
      <c r="C198" s="1"/>
      <c r="D198" s="5"/>
      <c r="E198" s="1"/>
      <c r="F198" s="1"/>
      <c r="G198" s="1"/>
      <c r="H198" s="1"/>
    </row>
    <row r="199" spans="1:8" x14ac:dyDescent="0.35">
      <c r="A199" s="5"/>
      <c r="B199" s="1"/>
      <c r="C199" s="1"/>
      <c r="D199" s="5"/>
      <c r="E199" s="1"/>
      <c r="F199" s="1"/>
      <c r="G199" s="1"/>
      <c r="H199" s="1"/>
    </row>
    <row r="200" spans="1:8" x14ac:dyDescent="0.35">
      <c r="A200" s="5"/>
      <c r="B200" s="1"/>
      <c r="C200" s="1"/>
      <c r="D200" s="5"/>
      <c r="E200" s="1"/>
      <c r="F200" s="1"/>
      <c r="G200" s="1"/>
      <c r="H200" s="1"/>
    </row>
    <row r="201" spans="1:8" x14ac:dyDescent="0.35">
      <c r="A201" s="5"/>
      <c r="B201" s="1"/>
      <c r="C201" s="1"/>
      <c r="D201" s="5"/>
      <c r="E201" s="1"/>
      <c r="F201" s="1"/>
      <c r="G201" s="1"/>
      <c r="H201" s="1"/>
    </row>
    <row r="202" spans="1:8" x14ac:dyDescent="0.35">
      <c r="A202" s="5"/>
      <c r="B202" s="1"/>
      <c r="C202" s="1"/>
      <c r="D202" s="5"/>
      <c r="E202" s="1"/>
      <c r="F202" s="1"/>
      <c r="G202" s="1"/>
      <c r="H202" s="1"/>
    </row>
    <row r="203" spans="1:8" x14ac:dyDescent="0.35">
      <c r="A203" s="5"/>
      <c r="B203" s="1"/>
      <c r="C203" s="1"/>
      <c r="D203" s="5"/>
      <c r="E203" s="1"/>
      <c r="F203" s="1"/>
      <c r="G203" s="1"/>
      <c r="H203" s="1"/>
    </row>
    <row r="204" spans="1:8" x14ac:dyDescent="0.35">
      <c r="A204" s="5"/>
      <c r="B204" s="1"/>
      <c r="C204" s="1"/>
      <c r="D204" s="5"/>
      <c r="E204" s="1"/>
      <c r="F204" s="1"/>
      <c r="G204" s="1"/>
      <c r="H204" s="1"/>
    </row>
    <row r="205" spans="1:8" x14ac:dyDescent="0.35">
      <c r="A205" s="5"/>
      <c r="B205" s="1"/>
      <c r="C205" s="1"/>
      <c r="D205" s="5"/>
      <c r="E205" s="1"/>
      <c r="F205" s="1"/>
      <c r="G205" s="1"/>
      <c r="H205" s="1"/>
    </row>
    <row r="206" spans="1:8" x14ac:dyDescent="0.35">
      <c r="A206" s="5"/>
      <c r="B206" s="1"/>
      <c r="C206" s="1"/>
      <c r="D206" s="5"/>
      <c r="E206" s="1"/>
      <c r="F206" s="1"/>
      <c r="G206" s="1"/>
      <c r="H206" s="1"/>
    </row>
    <row r="207" spans="1:8" x14ac:dyDescent="0.35">
      <c r="A207" s="5"/>
      <c r="B207" s="1"/>
      <c r="C207" s="1"/>
      <c r="D207" s="5"/>
      <c r="E207" s="1"/>
      <c r="F207" s="1"/>
      <c r="G207" s="1"/>
      <c r="H207" s="1"/>
    </row>
    <row r="208" spans="1:8" x14ac:dyDescent="0.35">
      <c r="A208" s="5"/>
      <c r="B208" s="1"/>
      <c r="C208" s="1"/>
      <c r="D208" s="5"/>
      <c r="E208" s="1"/>
      <c r="F208" s="1"/>
      <c r="G208" s="1"/>
      <c r="H208" s="1"/>
    </row>
    <row r="209" spans="1:8" x14ac:dyDescent="0.35">
      <c r="A209" s="5"/>
      <c r="B209" s="1"/>
      <c r="C209" s="1"/>
      <c r="D209" s="5"/>
      <c r="E209" s="1"/>
      <c r="F209" s="1"/>
      <c r="G209" s="1"/>
      <c r="H209" s="1"/>
    </row>
    <row r="210" spans="1:8" x14ac:dyDescent="0.35">
      <c r="A210" s="5"/>
      <c r="B210" s="1"/>
      <c r="C210" s="1"/>
      <c r="D210" s="5"/>
      <c r="E210" s="1"/>
      <c r="F210" s="1"/>
      <c r="G210" s="1"/>
      <c r="H210" s="1"/>
    </row>
    <row r="211" spans="1:8" x14ac:dyDescent="0.35">
      <c r="A211" s="5"/>
      <c r="B211" s="1"/>
      <c r="C211" s="1"/>
      <c r="D211" s="5"/>
      <c r="E211" s="1"/>
      <c r="F211" s="1"/>
      <c r="G211" s="1"/>
      <c r="H211" s="1"/>
    </row>
    <row r="212" spans="1:8" x14ac:dyDescent="0.35">
      <c r="A212" s="5"/>
      <c r="B212" s="1"/>
      <c r="C212" s="1"/>
      <c r="D212" s="5"/>
      <c r="E212" s="1"/>
      <c r="F212" s="1"/>
      <c r="G212" s="1"/>
      <c r="H212" s="1"/>
    </row>
    <row r="213" spans="1:8" x14ac:dyDescent="0.35">
      <c r="A213" s="5"/>
      <c r="B213" s="1"/>
      <c r="C213" s="1"/>
      <c r="D213" s="5"/>
      <c r="E213" s="1"/>
      <c r="F213" s="1"/>
      <c r="G213" s="1"/>
      <c r="H213" s="1"/>
    </row>
    <row r="214" spans="1:8" x14ac:dyDescent="0.35">
      <c r="A214" s="5"/>
      <c r="B214" s="1"/>
      <c r="C214" s="1"/>
      <c r="D214" s="5"/>
      <c r="E214" s="1"/>
      <c r="F214" s="1"/>
      <c r="G214" s="1"/>
      <c r="H214" s="1"/>
    </row>
    <row r="215" spans="1:8" x14ac:dyDescent="0.35">
      <c r="A215" s="5"/>
      <c r="B215" s="1"/>
      <c r="C215" s="1"/>
      <c r="D215" s="5"/>
      <c r="E215" s="1"/>
      <c r="F215" s="1"/>
      <c r="G215" s="1"/>
      <c r="H215" s="1"/>
    </row>
    <row r="216" spans="1:8" x14ac:dyDescent="0.35">
      <c r="A216" s="5"/>
      <c r="B216" s="1"/>
      <c r="C216" s="1"/>
      <c r="D216" s="5"/>
      <c r="E216" s="1"/>
      <c r="F216" s="1"/>
      <c r="G216" s="1"/>
      <c r="H216" s="1"/>
    </row>
    <row r="217" spans="1:8" x14ac:dyDescent="0.35">
      <c r="A217" s="5"/>
      <c r="B217" s="1"/>
      <c r="C217" s="1"/>
      <c r="D217" s="5"/>
      <c r="E217" s="1"/>
      <c r="F217" s="1"/>
      <c r="G217" s="1"/>
      <c r="H217" s="1"/>
    </row>
    <row r="218" spans="1:8" x14ac:dyDescent="0.35">
      <c r="A218" s="5"/>
      <c r="B218" s="1"/>
      <c r="C218" s="1"/>
      <c r="D218" s="5"/>
      <c r="E218" s="1"/>
      <c r="F218" s="1"/>
      <c r="G218" s="1"/>
      <c r="H218" s="1"/>
    </row>
    <row r="219" spans="1:8" x14ac:dyDescent="0.35">
      <c r="A219" s="5"/>
      <c r="B219" s="1"/>
      <c r="C219" s="1"/>
      <c r="D219" s="5"/>
      <c r="E219" s="1"/>
      <c r="F219" s="1"/>
      <c r="G219" s="1"/>
      <c r="H219" s="1"/>
    </row>
    <row r="220" spans="1:8" x14ac:dyDescent="0.35">
      <c r="A220" s="5"/>
      <c r="B220" s="1"/>
      <c r="C220" s="1"/>
      <c r="D220" s="5"/>
      <c r="E220" s="1"/>
      <c r="F220" s="1"/>
      <c r="G220" s="1"/>
      <c r="H220" s="1"/>
    </row>
    <row r="221" spans="1:8" x14ac:dyDescent="0.35">
      <c r="A221" s="5"/>
      <c r="B221" s="1"/>
      <c r="C221" s="1"/>
      <c r="D221" s="5"/>
      <c r="E221" s="1"/>
      <c r="F221" s="1"/>
      <c r="G221" s="1"/>
      <c r="H221" s="1"/>
    </row>
    <row r="222" spans="1:8" x14ac:dyDescent="0.35">
      <c r="A222" s="5"/>
      <c r="B222" s="1"/>
      <c r="C222" s="1"/>
      <c r="D222" s="5"/>
      <c r="E222" s="1"/>
      <c r="F222" s="1"/>
      <c r="G222" s="1"/>
      <c r="H222" s="1"/>
    </row>
    <row r="223" spans="1:8" x14ac:dyDescent="0.35">
      <c r="A223" s="5"/>
      <c r="B223" s="1"/>
      <c r="C223" s="1"/>
      <c r="D223" s="5"/>
      <c r="E223" s="1"/>
      <c r="F223" s="1"/>
      <c r="G223" s="1"/>
      <c r="H223" s="1"/>
    </row>
    <row r="224" spans="1:8" x14ac:dyDescent="0.35">
      <c r="A224" s="5"/>
      <c r="B224" s="1"/>
      <c r="C224" s="1"/>
      <c r="D224" s="5"/>
      <c r="E224" s="1"/>
      <c r="F224" s="1"/>
      <c r="G224" s="1"/>
      <c r="H224" s="1"/>
    </row>
    <row r="225" spans="1:8" x14ac:dyDescent="0.35">
      <c r="A225" s="5"/>
      <c r="B225" s="1"/>
      <c r="C225" s="1"/>
      <c r="D225" s="5"/>
      <c r="E225" s="1"/>
      <c r="F225" s="1"/>
      <c r="G225" s="1"/>
      <c r="H225" s="1"/>
    </row>
    <row r="226" spans="1:8" x14ac:dyDescent="0.35">
      <c r="A226" s="5"/>
      <c r="B226" s="1"/>
      <c r="C226" s="1"/>
      <c r="D226" s="5"/>
      <c r="E226" s="1"/>
      <c r="F226" s="1"/>
      <c r="G226" s="1"/>
      <c r="H226" s="1"/>
    </row>
    <row r="227" spans="1:8" x14ac:dyDescent="0.35">
      <c r="A227" s="5"/>
      <c r="B227" s="1"/>
      <c r="C227" s="1"/>
      <c r="D227" s="5"/>
      <c r="E227" s="1"/>
      <c r="F227" s="1"/>
      <c r="G227" s="1"/>
      <c r="H227" s="1"/>
    </row>
    <row r="228" spans="1:8" x14ac:dyDescent="0.35">
      <c r="A228" s="5"/>
      <c r="B228" s="1"/>
      <c r="C228" s="1"/>
      <c r="D228" s="5"/>
      <c r="E228" s="1"/>
      <c r="F228" s="1"/>
      <c r="G228" s="1"/>
      <c r="H228" s="1"/>
    </row>
    <row r="229" spans="1:8" x14ac:dyDescent="0.35">
      <c r="A229" s="5"/>
      <c r="B229" s="1"/>
      <c r="C229" s="1"/>
      <c r="D229" s="5"/>
      <c r="E229" s="1"/>
      <c r="F229" s="1"/>
      <c r="G229" s="1"/>
      <c r="H229" s="1"/>
    </row>
    <row r="230" spans="1:8" x14ac:dyDescent="0.35">
      <c r="A230" s="5"/>
      <c r="B230" s="1"/>
      <c r="C230" s="1"/>
      <c r="D230" s="5"/>
      <c r="E230" s="1"/>
      <c r="F230" s="1"/>
      <c r="G230" s="1"/>
      <c r="H230" s="1"/>
    </row>
    <row r="231" spans="1:8" x14ac:dyDescent="0.35">
      <c r="A231" s="5"/>
      <c r="B231" s="1"/>
      <c r="C231" s="1"/>
      <c r="D231" s="5"/>
      <c r="E231" s="1"/>
      <c r="F231" s="1"/>
      <c r="G231" s="1"/>
      <c r="H231" s="1"/>
    </row>
    <row r="232" spans="1:8" x14ac:dyDescent="0.35">
      <c r="A232" s="5"/>
      <c r="B232" s="1"/>
      <c r="C232" s="1"/>
      <c r="D232" s="5"/>
      <c r="E232" s="1"/>
      <c r="F232" s="1"/>
      <c r="G232" s="1"/>
      <c r="H232" s="1"/>
    </row>
    <row r="233" spans="1:8" x14ac:dyDescent="0.35">
      <c r="A233" s="5"/>
      <c r="B233" s="1"/>
      <c r="C233" s="1"/>
      <c r="D233" s="5"/>
      <c r="E233" s="1"/>
      <c r="F233" s="1"/>
      <c r="G233" s="1"/>
      <c r="H233" s="1"/>
    </row>
    <row r="234" spans="1:8" x14ac:dyDescent="0.35">
      <c r="A234" s="5"/>
      <c r="B234" s="1"/>
      <c r="C234" s="1"/>
      <c r="D234" s="5"/>
      <c r="E234" s="1"/>
      <c r="F234" s="1"/>
      <c r="G234" s="1"/>
      <c r="H234" s="1"/>
    </row>
    <row r="235" spans="1:8" x14ac:dyDescent="0.35">
      <c r="A235" s="5"/>
      <c r="B235" s="1"/>
      <c r="C235" s="1"/>
      <c r="D235" s="5"/>
      <c r="E235" s="1"/>
      <c r="F235" s="1"/>
      <c r="G235" s="1"/>
      <c r="H235" s="1"/>
    </row>
    <row r="236" spans="1:8" x14ac:dyDescent="0.35">
      <c r="A236" s="5"/>
      <c r="B236" s="1"/>
      <c r="C236" s="1"/>
      <c r="D236" s="5"/>
      <c r="E236" s="1"/>
      <c r="F236" s="1"/>
      <c r="G236" s="1"/>
      <c r="H236" s="1"/>
    </row>
    <row r="237" spans="1:8" x14ac:dyDescent="0.35">
      <c r="A237" s="5"/>
      <c r="B237" s="1"/>
      <c r="C237" s="1"/>
      <c r="D237" s="5"/>
      <c r="E237" s="1"/>
      <c r="F237" s="1"/>
      <c r="G237" s="1"/>
      <c r="H237" s="1"/>
    </row>
    <row r="238" spans="1:8" x14ac:dyDescent="0.35">
      <c r="A238" s="5"/>
      <c r="B238" s="1"/>
      <c r="C238" s="1"/>
      <c r="D238" s="5"/>
      <c r="E238" s="1"/>
      <c r="F238" s="1"/>
      <c r="G238" s="1"/>
      <c r="H238" s="1"/>
    </row>
    <row r="239" spans="1:8" x14ac:dyDescent="0.35">
      <c r="A239" s="5"/>
      <c r="B239" s="1"/>
      <c r="C239" s="1"/>
      <c r="D239" s="5"/>
      <c r="E239" s="1"/>
      <c r="F239" s="1"/>
      <c r="G239" s="1"/>
      <c r="H239" s="1"/>
    </row>
    <row r="240" spans="1:8" x14ac:dyDescent="0.35">
      <c r="A240" s="5"/>
      <c r="B240" s="1"/>
      <c r="C240" s="1"/>
      <c r="D240" s="5"/>
      <c r="E240" s="1"/>
      <c r="F240" s="1"/>
      <c r="G240" s="1"/>
      <c r="H240" s="1"/>
    </row>
    <row r="241" spans="1:8" x14ac:dyDescent="0.35">
      <c r="A241" s="5"/>
      <c r="B241" s="1"/>
      <c r="C241" s="1"/>
      <c r="D241" s="5"/>
      <c r="E241" s="1"/>
      <c r="F241" s="1"/>
      <c r="G241" s="1"/>
      <c r="H241" s="1"/>
    </row>
    <row r="242" spans="1:8" x14ac:dyDescent="0.35">
      <c r="A242" s="5"/>
      <c r="B242" s="1"/>
      <c r="C242" s="1"/>
      <c r="D242" s="5"/>
      <c r="E242" s="1"/>
      <c r="F242" s="1"/>
      <c r="G242" s="1"/>
      <c r="H242" s="1"/>
    </row>
    <row r="243" spans="1:8" x14ac:dyDescent="0.35">
      <c r="A243" s="5"/>
      <c r="B243" s="1"/>
      <c r="C243" s="1"/>
      <c r="D243" s="5"/>
      <c r="E243" s="1"/>
      <c r="F243" s="1"/>
      <c r="G243" s="1"/>
      <c r="H243" s="1"/>
    </row>
    <row r="244" spans="1:8" x14ac:dyDescent="0.35">
      <c r="A244" s="5"/>
      <c r="B244" s="1"/>
      <c r="C244" s="1"/>
      <c r="D244" s="5"/>
      <c r="E244" s="1"/>
      <c r="F244" s="1"/>
      <c r="G244" s="1"/>
      <c r="H244" s="1"/>
    </row>
    <row r="245" spans="1:8" x14ac:dyDescent="0.35">
      <c r="A245" s="5"/>
      <c r="B245" s="1"/>
      <c r="C245" s="1"/>
      <c r="D245" s="5"/>
      <c r="E245" s="1"/>
      <c r="F245" s="1"/>
      <c r="G245" s="1"/>
      <c r="H245" s="1"/>
    </row>
    <row r="246" spans="1:8" x14ac:dyDescent="0.35">
      <c r="A246" s="5"/>
      <c r="B246" s="1"/>
      <c r="C246" s="1"/>
      <c r="D246" s="5"/>
      <c r="E246" s="1"/>
      <c r="F246" s="1"/>
      <c r="G246" s="1"/>
      <c r="H246" s="1"/>
    </row>
    <row r="247" spans="1:8" x14ac:dyDescent="0.35">
      <c r="A247" s="5"/>
      <c r="B247" s="1"/>
      <c r="C247" s="1"/>
      <c r="D247" s="5"/>
      <c r="E247" s="1"/>
      <c r="F247" s="1"/>
      <c r="G247" s="1"/>
      <c r="H247" s="1"/>
    </row>
    <row r="248" spans="1:8" x14ac:dyDescent="0.35">
      <c r="A248" s="5"/>
      <c r="B248" s="1"/>
      <c r="C248" s="1"/>
      <c r="D248" s="5"/>
      <c r="E248" s="1"/>
      <c r="F248" s="1"/>
      <c r="G248" s="1"/>
      <c r="H248" s="1"/>
    </row>
    <row r="249" spans="1:8" x14ac:dyDescent="0.35">
      <c r="A249" s="5"/>
      <c r="B249" s="1"/>
      <c r="C249" s="1"/>
      <c r="D249" s="5"/>
      <c r="E249" s="1"/>
      <c r="F249" s="1"/>
      <c r="G249" s="1"/>
      <c r="H249" s="1"/>
    </row>
    <row r="250" spans="1:8" x14ac:dyDescent="0.35">
      <c r="A250" s="5"/>
      <c r="B250" s="1"/>
      <c r="C250" s="1"/>
      <c r="D250" s="5"/>
      <c r="E250" s="1"/>
      <c r="F250" s="1"/>
      <c r="G250" s="1"/>
      <c r="H250" s="1"/>
    </row>
    <row r="251" spans="1:8" x14ac:dyDescent="0.35">
      <c r="A251" s="5"/>
      <c r="B251" s="1"/>
      <c r="C251" s="1"/>
      <c r="D251" s="5"/>
      <c r="E251" s="1"/>
      <c r="F251" s="1"/>
      <c r="G251" s="1"/>
      <c r="H251" s="1"/>
    </row>
    <row r="252" spans="1:8" x14ac:dyDescent="0.35">
      <c r="A252" s="5"/>
      <c r="B252" s="1"/>
      <c r="C252" s="1"/>
      <c r="D252" s="5"/>
      <c r="E252" s="1"/>
      <c r="F252" s="1"/>
      <c r="G252" s="1"/>
      <c r="H252" s="1"/>
    </row>
    <row r="253" spans="1:8" x14ac:dyDescent="0.35">
      <c r="A253" s="5"/>
      <c r="B253" s="1"/>
      <c r="C253" s="1"/>
      <c r="D253" s="5"/>
      <c r="E253" s="1"/>
      <c r="F253" s="1"/>
      <c r="G253" s="1"/>
      <c r="H253" s="1"/>
    </row>
    <row r="254" spans="1:8" x14ac:dyDescent="0.35">
      <c r="A254" s="5"/>
      <c r="B254" s="1"/>
      <c r="C254" s="1"/>
      <c r="D254" s="5"/>
      <c r="E254" s="1"/>
      <c r="F254" s="1"/>
      <c r="G254" s="1"/>
      <c r="H254" s="1"/>
    </row>
    <row r="255" spans="1:8" x14ac:dyDescent="0.35">
      <c r="A255" s="5"/>
      <c r="B255" s="1"/>
      <c r="C255" s="1"/>
      <c r="D255" s="5"/>
      <c r="E255" s="1"/>
      <c r="F255" s="1"/>
      <c r="G255" s="1"/>
      <c r="H255" s="1"/>
    </row>
    <row r="256" spans="1:8" x14ac:dyDescent="0.35">
      <c r="A256" s="5"/>
      <c r="B256" s="1"/>
      <c r="C256" s="1"/>
      <c r="D256" s="5"/>
      <c r="E256" s="1"/>
      <c r="F256" s="1"/>
      <c r="G256" s="1"/>
      <c r="H256" s="1"/>
    </row>
    <row r="257" spans="1:8" x14ac:dyDescent="0.35">
      <c r="A257" s="5"/>
      <c r="B257" s="1"/>
      <c r="C257" s="1"/>
      <c r="D257" s="5"/>
      <c r="E257" s="1"/>
      <c r="F257" s="1"/>
      <c r="G257" s="1"/>
      <c r="H257" s="1"/>
    </row>
    <row r="258" spans="1:8" x14ac:dyDescent="0.35">
      <c r="A258" s="5"/>
      <c r="B258" s="1"/>
      <c r="C258" s="1"/>
      <c r="D258" s="5"/>
      <c r="E258" s="1"/>
      <c r="F258" s="1"/>
      <c r="G258" s="1"/>
      <c r="H258" s="1"/>
    </row>
    <row r="259" spans="1:8" x14ac:dyDescent="0.35">
      <c r="A259" s="5"/>
      <c r="B259" s="1"/>
      <c r="C259" s="1"/>
      <c r="D259" s="5"/>
      <c r="E259" s="1"/>
      <c r="F259" s="1"/>
      <c r="G259" s="1"/>
      <c r="H259" s="1"/>
    </row>
    <row r="260" spans="1:8" x14ac:dyDescent="0.35">
      <c r="A260" s="5"/>
      <c r="B260" s="1"/>
      <c r="C260" s="1"/>
      <c r="D260" s="5"/>
      <c r="E260" s="1"/>
      <c r="F260" s="1"/>
      <c r="G260" s="1"/>
      <c r="H260" s="1"/>
    </row>
    <row r="261" spans="1:8" x14ac:dyDescent="0.35">
      <c r="A261" s="5"/>
      <c r="B261" s="1"/>
      <c r="C261" s="1"/>
      <c r="D261" s="5"/>
      <c r="E261" s="1"/>
      <c r="F261" s="1"/>
      <c r="G261" s="1"/>
      <c r="H261" s="1"/>
    </row>
    <row r="262" spans="1:8" x14ac:dyDescent="0.35">
      <c r="A262" s="5"/>
      <c r="B262" s="1"/>
      <c r="C262" s="1"/>
      <c r="D262" s="5"/>
      <c r="E262" s="1"/>
      <c r="F262" s="1"/>
      <c r="G262" s="1"/>
      <c r="H262" s="1"/>
    </row>
    <row r="263" spans="1:8" x14ac:dyDescent="0.35">
      <c r="B263" s="1"/>
      <c r="C263" s="1"/>
    </row>
    <row r="264" spans="1:8" x14ac:dyDescent="0.35">
      <c r="B264" s="1"/>
      <c r="C264" s="1"/>
    </row>
    <row r="265" spans="1:8" x14ac:dyDescent="0.35">
      <c r="B265" s="1"/>
      <c r="C265" s="1"/>
    </row>
    <row r="266" spans="1:8" x14ac:dyDescent="0.35">
      <c r="B266" s="1"/>
      <c r="C266" s="1"/>
    </row>
    <row r="267" spans="1:8" x14ac:dyDescent="0.35">
      <c r="B267" s="1"/>
      <c r="C267" s="1"/>
    </row>
    <row r="268" spans="1:8" x14ac:dyDescent="0.35">
      <c r="B268" s="1"/>
      <c r="C268" s="1"/>
    </row>
    <row r="269" spans="1:8" x14ac:dyDescent="0.35">
      <c r="B269" s="1"/>
      <c r="C269" s="1"/>
    </row>
    <row r="270" spans="1:8" x14ac:dyDescent="0.35">
      <c r="B270" s="1"/>
      <c r="C270" s="1"/>
    </row>
    <row r="271" spans="1:8" x14ac:dyDescent="0.35">
      <c r="B271" s="1"/>
      <c r="C271" s="1"/>
    </row>
    <row r="272" spans="1:8" x14ac:dyDescent="0.35">
      <c r="B272" s="1"/>
      <c r="C272" s="1"/>
    </row>
    <row r="273" spans="2:3" x14ac:dyDescent="0.35">
      <c r="B273" s="1"/>
      <c r="C273" s="1"/>
    </row>
    <row r="274" spans="2:3" x14ac:dyDescent="0.35">
      <c r="B274" s="1"/>
      <c r="C274" s="1"/>
    </row>
    <row r="275" spans="2:3" x14ac:dyDescent="0.35">
      <c r="B275" s="1"/>
      <c r="C275" s="1"/>
    </row>
    <row r="276" spans="2:3" x14ac:dyDescent="0.35">
      <c r="B276" s="1"/>
      <c r="C276" s="1"/>
    </row>
    <row r="277" spans="2:3" x14ac:dyDescent="0.35">
      <c r="B277" s="1"/>
      <c r="C277" s="1"/>
    </row>
    <row r="278" spans="2:3" x14ac:dyDescent="0.35">
      <c r="B278" s="1"/>
      <c r="C278" s="1"/>
    </row>
    <row r="279" spans="2:3" x14ac:dyDescent="0.35">
      <c r="B279" s="1"/>
      <c r="C279" s="1"/>
    </row>
    <row r="280" spans="2:3" x14ac:dyDescent="0.35">
      <c r="B280" s="1"/>
      <c r="C280" s="1"/>
    </row>
    <row r="281" spans="2:3" x14ac:dyDescent="0.35">
      <c r="B281" s="1"/>
      <c r="C281" s="1"/>
    </row>
    <row r="282" spans="2:3" x14ac:dyDescent="0.35">
      <c r="B282" s="1"/>
      <c r="C282" s="1"/>
    </row>
    <row r="283" spans="2:3" x14ac:dyDescent="0.35">
      <c r="B283" s="1"/>
      <c r="C283" s="1"/>
    </row>
    <row r="284" spans="2:3" x14ac:dyDescent="0.35">
      <c r="B284" s="1"/>
      <c r="C284" s="1"/>
    </row>
    <row r="285" spans="2:3" x14ac:dyDescent="0.35">
      <c r="B285" s="1"/>
      <c r="C285" s="1"/>
    </row>
    <row r="286" spans="2:3" x14ac:dyDescent="0.35">
      <c r="B286" s="1"/>
      <c r="C286" s="1"/>
    </row>
    <row r="287" spans="2:3" x14ac:dyDescent="0.35">
      <c r="B287" s="1"/>
      <c r="C287" s="1"/>
    </row>
    <row r="288" spans="2:3" x14ac:dyDescent="0.35">
      <c r="B288" s="1"/>
      <c r="C288" s="1"/>
    </row>
    <row r="289" spans="2:3" x14ac:dyDescent="0.35">
      <c r="B289" s="1"/>
      <c r="C289" s="1"/>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הערות כלליות</vt:lpstr>
      <vt:lpstr>איחוד שאלות</vt:lpstr>
      <vt:lpstr>סופי סופי</vt:lpstr>
      <vt:lpstr>דמוגרפיה</vt:lpstr>
      <vt:lpstr>ישראל כללי</vt:lpstr>
      <vt:lpstr>עניין פוליטי</vt:lpstr>
      <vt:lpstr>ימין-שמאל</vt:lpstr>
      <vt:lpstr>זיקה רגשית</vt:lpstr>
      <vt:lpstr>תכונות</vt:lpstr>
      <vt:lpstr>הצבעה</vt:lpstr>
      <vt:lpstr>ציפיות</vt:lpstr>
      <vt:lpstr>סוגיות</vt:lpstr>
      <vt:lpstr>כלכלה-חברה</vt:lpstr>
      <vt:lpstr>דת ומדינה</vt:lpstr>
      <vt:lpstr>חוץ וביטחון</vt:lpstr>
      <vt:lpstr>שלום</vt:lpstr>
      <vt:lpstr>דמוקרטיה</vt:lpstr>
      <vt:lpstr>תקשורת</vt:lpstr>
      <vt:lpstr>ידע כללי</vt:lpstr>
      <vt:lpstr>מגדר</vt:lpstr>
      <vt:lpstr>ייצוגיות</vt:lpstr>
      <vt:lpstr>שחיתות</vt:lpstr>
      <vt:lpstr>ערבים בלבד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יניב שפירא</dc:creator>
  <cp:lastModifiedBy>Adi Zaba</cp:lastModifiedBy>
  <dcterms:created xsi:type="dcterms:W3CDTF">2021-11-14T07:57:14Z</dcterms:created>
  <dcterms:modified xsi:type="dcterms:W3CDTF">2025-07-14T15:23:56Z</dcterms:modified>
</cp:coreProperties>
</file>